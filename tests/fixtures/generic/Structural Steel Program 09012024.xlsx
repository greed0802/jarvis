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2 Templates\Internal Procedures\"/>
    </mc:Choice>
  </mc:AlternateContent>
  <xr:revisionPtr revIDLastSave="0" documentId="13_ncr:1_{9D59DAFD-18FF-44B0-BD99-E94128379442}" xr6:coauthVersionLast="47" xr6:coauthVersionMax="47" xr10:uidLastSave="{00000000-0000-0000-0000-000000000000}"/>
  <bookViews>
    <workbookView xWindow="28680" yWindow="-120" windowWidth="29040" windowHeight="15840" tabRatio="614" activeTab="1" xr2:uid="{BF90DE68-0DB3-486C-B55A-24AA634C26DE}"/>
  </bookViews>
  <sheets>
    <sheet name="READ FIRST!!" sheetId="24" r:id="rId1"/>
    <sheet name="&lt;PROJECT&gt;" sheetId="18" r:id="rId2"/>
    <sheet name="DATA SHEET" sheetId="22" r:id="rId3"/>
    <sheet name="FOR IMPORT TO COSTX" sheetId="25" r:id="rId4"/>
    <sheet name="COLOR CODE" sheetId="26" state="hidden" r:id="rId5"/>
  </sheets>
  <definedNames>
    <definedName name="BT">'DATA SHEET'!$B$540:$B$575</definedName>
    <definedName name="CHS">'DATA SHEET'!$B$82:$B$198</definedName>
    <definedName name="Column">'DATA SHEET'!$L$24</definedName>
    <definedName name="CT">'DATA SHEET'!$B$579:$B$594</definedName>
    <definedName name="DimFolder">'DATA SHEET'!$L$3:$M$19</definedName>
    <definedName name="EA">'DATA SHEET'!$B$201:$B$248</definedName>
    <definedName name="FB">'DATA SHEET'!$B$535:$B$537</definedName>
    <definedName name="Framing">'DATA SHEET'!$L$25</definedName>
    <definedName name="PFC">'DATA SHEET'!$B$490:$B$501</definedName>
    <definedName name="Purlins_Girths_Bracings">'DATA SHEET'!$L$27</definedName>
    <definedName name="PurlinsxGirthsxBracings">'DATA SHEET'!$L$16:$L$18</definedName>
    <definedName name="RHS">'DATA SHEET'!$B$274:$B$368</definedName>
    <definedName name="Roof">'DATA SHEET'!$L$26</definedName>
    <definedName name="SHS">'DATA SHEET'!$B$386:$B$487</definedName>
    <definedName name="SteelType">Table27[Steel Type]</definedName>
    <definedName name="UA">'DATA SHEET'!$B$251:$B$271</definedName>
    <definedName name="UB">'DATA SHEET'!$B$3:$B$53</definedName>
    <definedName name="UC">'DATA SHEET'!$B$56:$B$78</definedName>
    <definedName name="WB">'DATA SHEET'!$B$504:$B$532</definedName>
    <definedName name="WC">'DATA SHEET'!$B$597:$B$616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8" l="1"/>
  <c r="P6" i="18" s="1"/>
  <c r="O11" i="18"/>
  <c r="P653" i="18"/>
  <c r="P652" i="18"/>
  <c r="P651" i="18"/>
  <c r="P650" i="18"/>
  <c r="P649" i="18"/>
  <c r="P648" i="18"/>
  <c r="P647" i="18"/>
  <c r="P646" i="18"/>
  <c r="P645" i="18"/>
  <c r="P644" i="18"/>
  <c r="P643" i="18"/>
  <c r="P642" i="18"/>
  <c r="P641" i="18"/>
  <c r="P640" i="18"/>
  <c r="P639" i="18"/>
  <c r="P638" i="18"/>
  <c r="P637" i="18"/>
  <c r="P636" i="18"/>
  <c r="P635" i="18"/>
  <c r="P634" i="18"/>
  <c r="P633" i="18"/>
  <c r="P632" i="18"/>
  <c r="P631" i="18"/>
  <c r="P630" i="18"/>
  <c r="P629" i="18"/>
  <c r="P628" i="18"/>
  <c r="P627" i="18"/>
  <c r="P626" i="18"/>
  <c r="P625" i="18"/>
  <c r="P624" i="18"/>
  <c r="P623" i="18"/>
  <c r="P622" i="18"/>
  <c r="P621" i="18"/>
  <c r="P620" i="18"/>
  <c r="P619" i="18"/>
  <c r="P618" i="18"/>
  <c r="P617" i="18"/>
  <c r="P616" i="18"/>
  <c r="P615" i="18"/>
  <c r="P614" i="18"/>
  <c r="P613" i="18"/>
  <c r="P612" i="18"/>
  <c r="P611" i="18"/>
  <c r="P610" i="18"/>
  <c r="P609" i="18"/>
  <c r="P608" i="18"/>
  <c r="P607" i="18"/>
  <c r="P606" i="18"/>
  <c r="P605" i="18"/>
  <c r="P604" i="18"/>
  <c r="P603" i="18"/>
  <c r="P602" i="18"/>
  <c r="P601" i="18"/>
  <c r="P600" i="18"/>
  <c r="P599" i="18"/>
  <c r="P598" i="18"/>
  <c r="P597" i="18"/>
  <c r="P596" i="18"/>
  <c r="P595" i="18"/>
  <c r="P594" i="18"/>
  <c r="P593" i="18"/>
  <c r="P592" i="18"/>
  <c r="P591" i="18"/>
  <c r="P590" i="18"/>
  <c r="P589" i="18"/>
  <c r="P588" i="18"/>
  <c r="P587" i="18"/>
  <c r="P586" i="18"/>
  <c r="P585" i="18"/>
  <c r="P584" i="18"/>
  <c r="P583" i="18"/>
  <c r="P582" i="18"/>
  <c r="P581" i="18"/>
  <c r="P580" i="18"/>
  <c r="P579" i="18"/>
  <c r="P578" i="18"/>
  <c r="P577" i="18"/>
  <c r="P576" i="18"/>
  <c r="P575" i="18"/>
  <c r="P574" i="18"/>
  <c r="P573" i="18"/>
  <c r="P572" i="18"/>
  <c r="P571" i="18"/>
  <c r="P570" i="18"/>
  <c r="P569" i="18"/>
  <c r="P568" i="18"/>
  <c r="P567" i="18"/>
  <c r="P566" i="18"/>
  <c r="P565" i="18"/>
  <c r="P564" i="18"/>
  <c r="P563" i="18"/>
  <c r="P562" i="18"/>
  <c r="P561" i="18"/>
  <c r="P560" i="18"/>
  <c r="P559" i="18"/>
  <c r="P558" i="18"/>
  <c r="P557" i="18"/>
  <c r="P556" i="18"/>
  <c r="P555" i="18"/>
  <c r="P554" i="18"/>
  <c r="P553" i="18"/>
  <c r="P552" i="18"/>
  <c r="P551" i="18"/>
  <c r="P550" i="18"/>
  <c r="P549" i="18"/>
  <c r="P548" i="18"/>
  <c r="P547" i="18"/>
  <c r="P546" i="18"/>
  <c r="P545" i="18"/>
  <c r="P544" i="18"/>
  <c r="P543" i="18"/>
  <c r="P542" i="18"/>
  <c r="P541" i="18"/>
  <c r="P540" i="18"/>
  <c r="P539" i="18"/>
  <c r="P538" i="18"/>
  <c r="P537" i="18"/>
  <c r="P536" i="18"/>
  <c r="P535" i="18"/>
  <c r="P534" i="18"/>
  <c r="P533" i="18"/>
  <c r="P532" i="18"/>
  <c r="P531" i="18"/>
  <c r="P530" i="18"/>
  <c r="P529" i="18"/>
  <c r="P528" i="18"/>
  <c r="P527" i="18"/>
  <c r="P526" i="18"/>
  <c r="P525" i="18"/>
  <c r="P524" i="18"/>
  <c r="P523" i="18"/>
  <c r="P522" i="18"/>
  <c r="P521" i="18"/>
  <c r="P520" i="18"/>
  <c r="P519" i="18"/>
  <c r="P518" i="18"/>
  <c r="P517" i="18"/>
  <c r="P516" i="18"/>
  <c r="P515" i="18"/>
  <c r="P514" i="18"/>
  <c r="P513" i="18"/>
  <c r="P512" i="18"/>
  <c r="P511" i="18"/>
  <c r="P510" i="18"/>
  <c r="P509" i="18"/>
  <c r="P508" i="18"/>
  <c r="P507" i="18"/>
  <c r="P506" i="18"/>
  <c r="P505" i="18"/>
  <c r="P504" i="18"/>
  <c r="P503" i="18"/>
  <c r="P502" i="18"/>
  <c r="P501" i="18"/>
  <c r="P500" i="18"/>
  <c r="P499" i="18"/>
  <c r="P498" i="18"/>
  <c r="P497" i="18"/>
  <c r="P496" i="18"/>
  <c r="P495" i="18"/>
  <c r="P494" i="18"/>
  <c r="P493" i="18"/>
  <c r="P492" i="18"/>
  <c r="P491" i="18"/>
  <c r="P490" i="18"/>
  <c r="P489" i="18"/>
  <c r="P488" i="18"/>
  <c r="P487" i="18"/>
  <c r="P486" i="18"/>
  <c r="P485" i="18"/>
  <c r="P484" i="18"/>
  <c r="P483" i="18"/>
  <c r="P482" i="18"/>
  <c r="P481" i="18"/>
  <c r="P480" i="18"/>
  <c r="P479" i="18"/>
  <c r="P478" i="18"/>
  <c r="P477" i="18"/>
  <c r="P476" i="18"/>
  <c r="P475" i="18"/>
  <c r="P474" i="18"/>
  <c r="P473" i="18"/>
  <c r="P472" i="18"/>
  <c r="P471" i="18"/>
  <c r="P470" i="18"/>
  <c r="P469" i="18"/>
  <c r="P468" i="18"/>
  <c r="P467" i="18"/>
  <c r="P466" i="18"/>
  <c r="P465" i="18"/>
  <c r="P464" i="18"/>
  <c r="P463" i="18"/>
  <c r="P462" i="18"/>
  <c r="P461" i="18"/>
  <c r="P460" i="18"/>
  <c r="P459" i="18"/>
  <c r="P458" i="18"/>
  <c r="P457" i="18"/>
  <c r="P456" i="18"/>
  <c r="P455" i="18"/>
  <c r="P454" i="18"/>
  <c r="P453" i="18"/>
  <c r="P452" i="18"/>
  <c r="P451" i="18"/>
  <c r="P450" i="18"/>
  <c r="P449" i="18"/>
  <c r="P448" i="18"/>
  <c r="P447" i="18"/>
  <c r="P446" i="18"/>
  <c r="P445" i="18"/>
  <c r="P444" i="18"/>
  <c r="P443" i="18"/>
  <c r="P442" i="18"/>
  <c r="P441" i="18"/>
  <c r="P440" i="18"/>
  <c r="P439" i="18"/>
  <c r="P438" i="18"/>
  <c r="P437" i="18"/>
  <c r="P436" i="18"/>
  <c r="P435" i="18"/>
  <c r="P434" i="18"/>
  <c r="P433" i="18"/>
  <c r="P432" i="18"/>
  <c r="P431" i="18"/>
  <c r="P430" i="18"/>
  <c r="P429" i="18"/>
  <c r="P428" i="18"/>
  <c r="P427" i="18"/>
  <c r="P426" i="18"/>
  <c r="P425" i="18"/>
  <c r="P424" i="18"/>
  <c r="P423" i="18"/>
  <c r="P422" i="18"/>
  <c r="P421" i="18"/>
  <c r="P420" i="18"/>
  <c r="P419" i="18"/>
  <c r="P418" i="18"/>
  <c r="P417" i="18"/>
  <c r="P416" i="18"/>
  <c r="P415" i="18"/>
  <c r="P414" i="18"/>
  <c r="P413" i="18"/>
  <c r="P412" i="18"/>
  <c r="P411" i="18"/>
  <c r="P410" i="18"/>
  <c r="P409" i="18"/>
  <c r="P408" i="18"/>
  <c r="P407" i="18"/>
  <c r="P406" i="18"/>
  <c r="P405" i="18"/>
  <c r="P404" i="18"/>
  <c r="P403" i="18"/>
  <c r="P402" i="18"/>
  <c r="P401" i="18"/>
  <c r="P400" i="18"/>
  <c r="P399" i="18"/>
  <c r="P398" i="18"/>
  <c r="P397" i="18"/>
  <c r="P396" i="18"/>
  <c r="P395" i="18"/>
  <c r="P394" i="18"/>
  <c r="P393" i="18"/>
  <c r="P392" i="18"/>
  <c r="P391" i="18"/>
  <c r="P390" i="18"/>
  <c r="P389" i="18"/>
  <c r="P388" i="18"/>
  <c r="P387" i="18"/>
  <c r="P386" i="18"/>
  <c r="P385" i="18"/>
  <c r="P384" i="18"/>
  <c r="P383" i="18"/>
  <c r="P382" i="18"/>
  <c r="P381" i="18"/>
  <c r="P380" i="18"/>
  <c r="P379" i="18"/>
  <c r="P378" i="18"/>
  <c r="P377" i="18"/>
  <c r="P376" i="18"/>
  <c r="P375" i="18"/>
  <c r="P374" i="18"/>
  <c r="P373" i="18"/>
  <c r="P372" i="18"/>
  <c r="P371" i="18"/>
  <c r="P370" i="18"/>
  <c r="P369" i="18"/>
  <c r="P368" i="18"/>
  <c r="P367" i="18"/>
  <c r="P366" i="18"/>
  <c r="P365" i="18"/>
  <c r="P364" i="18"/>
  <c r="P363" i="18"/>
  <c r="P362" i="18"/>
  <c r="P361" i="18"/>
  <c r="P360" i="18"/>
  <c r="P359" i="18"/>
  <c r="P358" i="18"/>
  <c r="P357" i="18"/>
  <c r="P356" i="18"/>
  <c r="P355" i="18"/>
  <c r="P354" i="18"/>
  <c r="P353" i="18"/>
  <c r="P352" i="18"/>
  <c r="P351" i="18"/>
  <c r="P350" i="18"/>
  <c r="P349" i="18"/>
  <c r="P348" i="18"/>
  <c r="P347" i="18"/>
  <c r="P346" i="18"/>
  <c r="P345" i="18"/>
  <c r="P344" i="18"/>
  <c r="P343" i="18"/>
  <c r="P342" i="18"/>
  <c r="P341" i="18"/>
  <c r="P340" i="18"/>
  <c r="P339" i="18"/>
  <c r="P338" i="18"/>
  <c r="P337" i="18"/>
  <c r="P336" i="18"/>
  <c r="P335" i="18"/>
  <c r="P334" i="18"/>
  <c r="P333" i="18"/>
  <c r="P332" i="18"/>
  <c r="P331" i="18"/>
  <c r="P330" i="18"/>
  <c r="P329" i="18"/>
  <c r="P328" i="18"/>
  <c r="P327" i="18"/>
  <c r="P326" i="18"/>
  <c r="P325" i="18"/>
  <c r="P324" i="18"/>
  <c r="P323" i="18"/>
  <c r="P322" i="18"/>
  <c r="P321" i="18"/>
  <c r="P320" i="18"/>
  <c r="P319" i="18"/>
  <c r="P318" i="18"/>
  <c r="P317" i="18"/>
  <c r="P316" i="18"/>
  <c r="P315" i="18"/>
  <c r="P314" i="18"/>
  <c r="P313" i="18"/>
  <c r="P312" i="18"/>
  <c r="P311" i="18"/>
  <c r="P310" i="18"/>
  <c r="P309" i="18"/>
  <c r="P308" i="18"/>
  <c r="P307" i="18"/>
  <c r="P306" i="18"/>
  <c r="P305" i="18"/>
  <c r="P304" i="18"/>
  <c r="P303" i="18"/>
  <c r="P302" i="18"/>
  <c r="P301" i="18"/>
  <c r="P300" i="18"/>
  <c r="P299" i="18"/>
  <c r="P298" i="18"/>
  <c r="P297" i="18"/>
  <c r="P296" i="18"/>
  <c r="P295" i="18"/>
  <c r="P294" i="18"/>
  <c r="P293" i="18"/>
  <c r="P292" i="18"/>
  <c r="P291" i="18"/>
  <c r="P290" i="18"/>
  <c r="P289" i="18"/>
  <c r="P288" i="18"/>
  <c r="P287" i="18"/>
  <c r="P286" i="18"/>
  <c r="P285" i="18"/>
  <c r="P284" i="18"/>
  <c r="P283" i="18"/>
  <c r="P282" i="18"/>
  <c r="P281" i="18"/>
  <c r="P280" i="18"/>
  <c r="P279" i="18"/>
  <c r="P278" i="18"/>
  <c r="P277" i="18"/>
  <c r="P276" i="18"/>
  <c r="P275" i="18"/>
  <c r="P274" i="18"/>
  <c r="P273" i="18"/>
  <c r="P272" i="18"/>
  <c r="P271" i="18"/>
  <c r="P270" i="18"/>
  <c r="P269" i="18"/>
  <c r="P268" i="18"/>
  <c r="P267" i="18"/>
  <c r="P266" i="18"/>
  <c r="P265" i="18"/>
  <c r="P264" i="18"/>
  <c r="P263" i="18"/>
  <c r="P262" i="18"/>
  <c r="P261" i="18"/>
  <c r="P260" i="18"/>
  <c r="P259" i="18"/>
  <c r="P258" i="18"/>
  <c r="P257" i="18"/>
  <c r="P256" i="18"/>
  <c r="P255" i="18"/>
  <c r="P254" i="18"/>
  <c r="P253" i="18"/>
  <c r="P252" i="18"/>
  <c r="P251" i="18"/>
  <c r="P250" i="18"/>
  <c r="P249" i="18"/>
  <c r="P248" i="18"/>
  <c r="P247" i="18"/>
  <c r="P246" i="18"/>
  <c r="P245" i="18"/>
  <c r="P244" i="18"/>
  <c r="P243" i="18"/>
  <c r="P242" i="18"/>
  <c r="P241" i="18"/>
  <c r="P240" i="18"/>
  <c r="P239" i="18"/>
  <c r="P238" i="18"/>
  <c r="P237" i="18"/>
  <c r="P236" i="18"/>
  <c r="P235" i="18"/>
  <c r="P234" i="18"/>
  <c r="P233" i="18"/>
  <c r="P232" i="18"/>
  <c r="P231" i="18"/>
  <c r="P230" i="18"/>
  <c r="P229" i="18"/>
  <c r="P228" i="18"/>
  <c r="P227" i="18"/>
  <c r="P226" i="18"/>
  <c r="P225" i="18"/>
  <c r="P224" i="18"/>
  <c r="P223" i="18"/>
  <c r="P222" i="18"/>
  <c r="P221" i="18"/>
  <c r="P220" i="18"/>
  <c r="P219" i="18"/>
  <c r="P218" i="18"/>
  <c r="P217" i="18"/>
  <c r="P216" i="18"/>
  <c r="P215" i="18"/>
  <c r="P214" i="18"/>
  <c r="P213" i="18"/>
  <c r="P212" i="18"/>
  <c r="P211" i="18"/>
  <c r="P210" i="18"/>
  <c r="P209" i="18"/>
  <c r="P208" i="18"/>
  <c r="P207" i="18"/>
  <c r="P206" i="18"/>
  <c r="P205" i="18"/>
  <c r="P204" i="18"/>
  <c r="P203" i="18"/>
  <c r="P202" i="18"/>
  <c r="P201" i="18"/>
  <c r="P200" i="18"/>
  <c r="P199" i="18"/>
  <c r="P198" i="18"/>
  <c r="P197" i="18"/>
  <c r="P196" i="18"/>
  <c r="P195" i="18"/>
  <c r="P194" i="18"/>
  <c r="P193" i="18"/>
  <c r="P192" i="18"/>
  <c r="P191" i="18"/>
  <c r="P190" i="18"/>
  <c r="P189" i="18"/>
  <c r="P188" i="18"/>
  <c r="P187" i="18"/>
  <c r="P186" i="18"/>
  <c r="P185" i="18"/>
  <c r="P184" i="18"/>
  <c r="P183" i="18"/>
  <c r="P182" i="18"/>
  <c r="P181" i="18"/>
  <c r="P180" i="18"/>
  <c r="P179" i="18"/>
  <c r="P178" i="18"/>
  <c r="P177" i="18"/>
  <c r="P176" i="18"/>
  <c r="P175" i="18"/>
  <c r="P174" i="18"/>
  <c r="P173" i="18"/>
  <c r="P172" i="18"/>
  <c r="P171" i="18"/>
  <c r="P170" i="18"/>
  <c r="P169" i="18"/>
  <c r="P168" i="18"/>
  <c r="P167" i="18"/>
  <c r="P166" i="18"/>
  <c r="P165" i="18"/>
  <c r="P164" i="18"/>
  <c r="P163" i="18"/>
  <c r="P162" i="18"/>
  <c r="P161" i="18"/>
  <c r="P160" i="18"/>
  <c r="P159" i="18"/>
  <c r="P158" i="18"/>
  <c r="P157" i="18"/>
  <c r="P156" i="18"/>
  <c r="P155" i="18"/>
  <c r="P154" i="18"/>
  <c r="P153" i="18"/>
  <c r="P152" i="18"/>
  <c r="P151" i="18"/>
  <c r="P150" i="18"/>
  <c r="P149" i="18"/>
  <c r="P148" i="18"/>
  <c r="P147" i="18"/>
  <c r="P146" i="18"/>
  <c r="P145" i="18"/>
  <c r="P144" i="18"/>
  <c r="P143" i="18"/>
  <c r="P142" i="18"/>
  <c r="P141" i="18"/>
  <c r="P140" i="18"/>
  <c r="P139" i="18"/>
  <c r="P138" i="18"/>
  <c r="P137" i="18"/>
  <c r="P136" i="18"/>
  <c r="P135" i="18"/>
  <c r="P134" i="18"/>
  <c r="P133" i="18"/>
  <c r="P132" i="18"/>
  <c r="P131" i="18"/>
  <c r="P130" i="18"/>
  <c r="P129" i="18"/>
  <c r="P128" i="18"/>
  <c r="P127" i="18"/>
  <c r="P126" i="18"/>
  <c r="P125" i="18"/>
  <c r="P124" i="18"/>
  <c r="P123" i="18"/>
  <c r="P122" i="18"/>
  <c r="P121" i="18"/>
  <c r="P120" i="18"/>
  <c r="P119" i="18"/>
  <c r="P118" i="18"/>
  <c r="P117" i="18"/>
  <c r="P116" i="18"/>
  <c r="P115" i="18"/>
  <c r="P114" i="18"/>
  <c r="P113" i="18"/>
  <c r="P112" i="18"/>
  <c r="P111" i="18"/>
  <c r="P110" i="18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1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8" i="18"/>
  <c r="P77" i="18"/>
  <c r="P76" i="18"/>
  <c r="P75" i="18"/>
  <c r="P74" i="18"/>
  <c r="P73" i="18"/>
  <c r="P72" i="18"/>
  <c r="P71" i="18"/>
  <c r="P70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2" i="18"/>
  <c r="P11" i="18"/>
  <c r="P9" i="18"/>
  <c r="P8" i="18"/>
  <c r="P7" i="18"/>
  <c r="I9" i="18" l="1" a="1"/>
  <c r="I9" i="18" s="1"/>
  <c r="O9" i="18" s="1"/>
  <c r="I8" i="18" a="1"/>
  <c r="I8" i="18" s="1"/>
  <c r="O8" i="18" s="1"/>
  <c r="I7" i="18" a="1"/>
  <c r="I7" i="18" s="1"/>
  <c r="O7" i="18" s="1"/>
  <c r="I653" i="18" a="1"/>
  <c r="I653" i="18" s="1"/>
  <c r="O653" i="18" s="1"/>
  <c r="I652" i="18" a="1"/>
  <c r="I652" i="18" s="1"/>
  <c r="O652" i="18" s="1"/>
  <c r="I651" i="18" a="1"/>
  <c r="I651" i="18" s="1"/>
  <c r="O651" i="18" s="1"/>
  <c r="I650" i="18" a="1"/>
  <c r="I650" i="18" s="1"/>
  <c r="O650" i="18" s="1"/>
  <c r="I649" i="18" a="1"/>
  <c r="I649" i="18" s="1"/>
  <c r="O649" i="18" s="1"/>
  <c r="I648" i="18" a="1"/>
  <c r="I648" i="18" s="1"/>
  <c r="O648" i="18" s="1"/>
  <c r="I647" i="18" a="1"/>
  <c r="I647" i="18" s="1"/>
  <c r="O647" i="18" s="1"/>
  <c r="I646" i="18" a="1"/>
  <c r="I646" i="18" s="1"/>
  <c r="O646" i="18" s="1"/>
  <c r="I645" i="18" a="1"/>
  <c r="I645" i="18" s="1"/>
  <c r="O645" i="18" s="1"/>
  <c r="I644" i="18" a="1"/>
  <c r="I644" i="18" s="1"/>
  <c r="O644" i="18" s="1"/>
  <c r="I643" i="18" a="1"/>
  <c r="I643" i="18" s="1"/>
  <c r="O643" i="18" s="1"/>
  <c r="I642" i="18" a="1"/>
  <c r="I642" i="18" s="1"/>
  <c r="O642" i="18" s="1"/>
  <c r="I641" i="18" a="1"/>
  <c r="I641" i="18" s="1"/>
  <c r="O641" i="18" s="1"/>
  <c r="I640" i="18" a="1"/>
  <c r="I640" i="18" s="1"/>
  <c r="O640" i="18" s="1"/>
  <c r="I639" i="18" a="1"/>
  <c r="I639" i="18" s="1"/>
  <c r="O639" i="18" s="1"/>
  <c r="I638" i="18" a="1"/>
  <c r="I638" i="18" s="1"/>
  <c r="O638" i="18" s="1"/>
  <c r="I637" i="18" a="1"/>
  <c r="I637" i="18" s="1"/>
  <c r="O637" i="18" s="1"/>
  <c r="I636" i="18" a="1"/>
  <c r="I636" i="18" s="1"/>
  <c r="O636" i="18" s="1"/>
  <c r="I635" i="18" a="1"/>
  <c r="I635" i="18" s="1"/>
  <c r="O635" i="18" s="1"/>
  <c r="I634" i="18" a="1"/>
  <c r="I634" i="18" s="1"/>
  <c r="O634" i="18" s="1"/>
  <c r="I633" i="18" a="1"/>
  <c r="I633" i="18" s="1"/>
  <c r="O633" i="18" s="1"/>
  <c r="I632" i="18" a="1"/>
  <c r="I632" i="18" s="1"/>
  <c r="O632" i="18" s="1"/>
  <c r="I631" i="18" a="1"/>
  <c r="I631" i="18" s="1"/>
  <c r="O631" i="18" s="1"/>
  <c r="I630" i="18" a="1"/>
  <c r="I630" i="18" s="1"/>
  <c r="O630" i="18" s="1"/>
  <c r="I629" i="18" a="1"/>
  <c r="I629" i="18" s="1"/>
  <c r="O629" i="18" s="1"/>
  <c r="I628" i="18" a="1"/>
  <c r="I628" i="18" s="1"/>
  <c r="O628" i="18" s="1"/>
  <c r="I627" i="18" a="1"/>
  <c r="I627" i="18" s="1"/>
  <c r="O627" i="18" s="1"/>
  <c r="I626" i="18" a="1"/>
  <c r="I626" i="18" s="1"/>
  <c r="O626" i="18" s="1"/>
  <c r="I625" i="18" a="1"/>
  <c r="I625" i="18" s="1"/>
  <c r="O625" i="18" s="1"/>
  <c r="I624" i="18" a="1"/>
  <c r="I624" i="18" s="1"/>
  <c r="O624" i="18" s="1"/>
  <c r="I623" i="18" a="1"/>
  <c r="I623" i="18" s="1"/>
  <c r="O623" i="18" s="1"/>
  <c r="I622" i="18" a="1"/>
  <c r="I622" i="18" s="1"/>
  <c r="O622" i="18" s="1"/>
  <c r="I621" i="18" a="1"/>
  <c r="I621" i="18" s="1"/>
  <c r="O621" i="18" s="1"/>
  <c r="I620" i="18" a="1"/>
  <c r="I620" i="18" s="1"/>
  <c r="O620" i="18" s="1"/>
  <c r="I619" i="18" a="1"/>
  <c r="I619" i="18" s="1"/>
  <c r="O619" i="18" s="1"/>
  <c r="I618" i="18" a="1"/>
  <c r="I618" i="18" s="1"/>
  <c r="O618" i="18" s="1"/>
  <c r="I617" i="18" a="1"/>
  <c r="I617" i="18" s="1"/>
  <c r="O617" i="18" s="1"/>
  <c r="I616" i="18" a="1"/>
  <c r="I616" i="18" s="1"/>
  <c r="O616" i="18" s="1"/>
  <c r="I615" i="18" a="1"/>
  <c r="I615" i="18" s="1"/>
  <c r="O615" i="18" s="1"/>
  <c r="I614" i="18" a="1"/>
  <c r="I614" i="18" s="1"/>
  <c r="O614" i="18" s="1"/>
  <c r="I613" i="18" a="1"/>
  <c r="I613" i="18" s="1"/>
  <c r="O613" i="18" s="1"/>
  <c r="I612" i="18" a="1"/>
  <c r="I612" i="18" s="1"/>
  <c r="O612" i="18" s="1"/>
  <c r="I611" i="18" a="1"/>
  <c r="I611" i="18" s="1"/>
  <c r="O611" i="18" s="1"/>
  <c r="I610" i="18" a="1"/>
  <c r="I610" i="18" s="1"/>
  <c r="O610" i="18" s="1"/>
  <c r="I609" i="18" a="1"/>
  <c r="I609" i="18" s="1"/>
  <c r="O609" i="18" s="1"/>
  <c r="I608" i="18" a="1"/>
  <c r="I608" i="18" s="1"/>
  <c r="O608" i="18" s="1"/>
  <c r="I607" i="18" a="1"/>
  <c r="I607" i="18" s="1"/>
  <c r="O607" i="18" s="1"/>
  <c r="I606" i="18" a="1"/>
  <c r="I606" i="18" s="1"/>
  <c r="O606" i="18" s="1"/>
  <c r="I605" i="18" a="1"/>
  <c r="I605" i="18" s="1"/>
  <c r="O605" i="18" s="1"/>
  <c r="I604" i="18" a="1"/>
  <c r="I604" i="18" s="1"/>
  <c r="O604" i="18" s="1"/>
  <c r="I603" i="18" a="1"/>
  <c r="I603" i="18" s="1"/>
  <c r="O603" i="18" s="1"/>
  <c r="I602" i="18" a="1"/>
  <c r="I602" i="18" s="1"/>
  <c r="O602" i="18" s="1"/>
  <c r="I601" i="18" a="1"/>
  <c r="I601" i="18" s="1"/>
  <c r="O601" i="18" s="1"/>
  <c r="I600" i="18" a="1"/>
  <c r="I600" i="18" s="1"/>
  <c r="O600" i="18" s="1"/>
  <c r="I599" i="18" a="1"/>
  <c r="I599" i="18" s="1"/>
  <c r="O599" i="18" s="1"/>
  <c r="I598" i="18" a="1"/>
  <c r="I598" i="18" s="1"/>
  <c r="O598" i="18" s="1"/>
  <c r="I597" i="18" a="1"/>
  <c r="I597" i="18" s="1"/>
  <c r="O597" i="18" s="1"/>
  <c r="I596" i="18" a="1"/>
  <c r="I596" i="18" s="1"/>
  <c r="O596" i="18" s="1"/>
  <c r="I595" i="18" a="1"/>
  <c r="I595" i="18" s="1"/>
  <c r="O595" i="18" s="1"/>
  <c r="I594" i="18" a="1"/>
  <c r="I594" i="18" s="1"/>
  <c r="O594" i="18" s="1"/>
  <c r="I593" i="18" a="1"/>
  <c r="I593" i="18" s="1"/>
  <c r="O593" i="18" s="1"/>
  <c r="I592" i="18" a="1"/>
  <c r="I592" i="18" s="1"/>
  <c r="O592" i="18" s="1"/>
  <c r="I591" i="18" a="1"/>
  <c r="I591" i="18" s="1"/>
  <c r="O591" i="18" s="1"/>
  <c r="I590" i="18" a="1"/>
  <c r="I590" i="18" s="1"/>
  <c r="O590" i="18" s="1"/>
  <c r="I589" i="18" a="1"/>
  <c r="I589" i="18" s="1"/>
  <c r="O589" i="18" s="1"/>
  <c r="I588" i="18" a="1"/>
  <c r="I588" i="18" s="1"/>
  <c r="O588" i="18" s="1"/>
  <c r="I587" i="18" a="1"/>
  <c r="I587" i="18" s="1"/>
  <c r="O587" i="18" s="1"/>
  <c r="I586" i="18" a="1"/>
  <c r="I586" i="18" s="1"/>
  <c r="O586" i="18" s="1"/>
  <c r="I585" i="18" a="1"/>
  <c r="I585" i="18" s="1"/>
  <c r="O585" i="18" s="1"/>
  <c r="I584" i="18" a="1"/>
  <c r="I584" i="18" s="1"/>
  <c r="O584" i="18" s="1"/>
  <c r="I583" i="18" a="1"/>
  <c r="I583" i="18" s="1"/>
  <c r="O583" i="18" s="1"/>
  <c r="I582" i="18" a="1"/>
  <c r="I582" i="18" s="1"/>
  <c r="O582" i="18" s="1"/>
  <c r="I581" i="18" a="1"/>
  <c r="I581" i="18" s="1"/>
  <c r="O581" i="18" s="1"/>
  <c r="I580" i="18" a="1"/>
  <c r="I580" i="18" s="1"/>
  <c r="O580" i="18" s="1"/>
  <c r="I579" i="18" a="1"/>
  <c r="I579" i="18" s="1"/>
  <c r="O579" i="18" s="1"/>
  <c r="I578" i="18" a="1"/>
  <c r="I578" i="18" s="1"/>
  <c r="O578" i="18" s="1"/>
  <c r="I577" i="18" a="1"/>
  <c r="I577" i="18" s="1"/>
  <c r="O577" i="18" s="1"/>
  <c r="I576" i="18" a="1"/>
  <c r="I576" i="18" s="1"/>
  <c r="O576" i="18" s="1"/>
  <c r="I575" i="18" a="1"/>
  <c r="I575" i="18" s="1"/>
  <c r="O575" i="18" s="1"/>
  <c r="I574" i="18" a="1"/>
  <c r="I574" i="18" s="1"/>
  <c r="O574" i="18" s="1"/>
  <c r="I573" i="18" a="1"/>
  <c r="I573" i="18" s="1"/>
  <c r="O573" i="18" s="1"/>
  <c r="I572" i="18" a="1"/>
  <c r="I572" i="18" s="1"/>
  <c r="O572" i="18" s="1"/>
  <c r="I571" i="18" a="1"/>
  <c r="I571" i="18" s="1"/>
  <c r="O571" i="18" s="1"/>
  <c r="I570" i="18" a="1"/>
  <c r="I570" i="18" s="1"/>
  <c r="O570" i="18" s="1"/>
  <c r="I569" i="18" a="1"/>
  <c r="I569" i="18" s="1"/>
  <c r="O569" i="18" s="1"/>
  <c r="I568" i="18" a="1"/>
  <c r="I568" i="18" s="1"/>
  <c r="O568" i="18" s="1"/>
  <c r="I567" i="18" a="1"/>
  <c r="I567" i="18" s="1"/>
  <c r="O567" i="18" s="1"/>
  <c r="I566" i="18" a="1"/>
  <c r="I566" i="18" s="1"/>
  <c r="O566" i="18" s="1"/>
  <c r="I565" i="18" a="1"/>
  <c r="I565" i="18" s="1"/>
  <c r="O565" i="18" s="1"/>
  <c r="I564" i="18" a="1"/>
  <c r="I564" i="18" s="1"/>
  <c r="O564" i="18" s="1"/>
  <c r="I563" i="18" a="1"/>
  <c r="I563" i="18" s="1"/>
  <c r="O563" i="18" s="1"/>
  <c r="I562" i="18" a="1"/>
  <c r="I562" i="18" s="1"/>
  <c r="O562" i="18" s="1"/>
  <c r="I561" i="18" a="1"/>
  <c r="I561" i="18" s="1"/>
  <c r="O561" i="18" s="1"/>
  <c r="I560" i="18" a="1"/>
  <c r="I560" i="18" s="1"/>
  <c r="O560" i="18" s="1"/>
  <c r="I559" i="18" a="1"/>
  <c r="I559" i="18" s="1"/>
  <c r="O559" i="18" s="1"/>
  <c r="I558" i="18" a="1"/>
  <c r="I558" i="18" s="1"/>
  <c r="O558" i="18" s="1"/>
  <c r="I557" i="18" a="1"/>
  <c r="I557" i="18" s="1"/>
  <c r="O557" i="18" s="1"/>
  <c r="I556" i="18" a="1"/>
  <c r="I556" i="18" s="1"/>
  <c r="O556" i="18" s="1"/>
  <c r="I555" i="18" a="1"/>
  <c r="I555" i="18" s="1"/>
  <c r="O555" i="18" s="1"/>
  <c r="I554" i="18" a="1"/>
  <c r="I554" i="18" s="1"/>
  <c r="O554" i="18" s="1"/>
  <c r="I553" i="18" a="1"/>
  <c r="I553" i="18" s="1"/>
  <c r="O553" i="18" s="1"/>
  <c r="I552" i="18" a="1"/>
  <c r="I552" i="18" s="1"/>
  <c r="O552" i="18" s="1"/>
  <c r="I551" i="18" a="1"/>
  <c r="I551" i="18" s="1"/>
  <c r="O551" i="18" s="1"/>
  <c r="I550" i="18" a="1"/>
  <c r="I550" i="18" s="1"/>
  <c r="O550" i="18" s="1"/>
  <c r="I549" i="18" a="1"/>
  <c r="I549" i="18" s="1"/>
  <c r="O549" i="18" s="1"/>
  <c r="I548" i="18" a="1"/>
  <c r="I548" i="18" s="1"/>
  <c r="O548" i="18" s="1"/>
  <c r="I547" i="18" a="1"/>
  <c r="I547" i="18" s="1"/>
  <c r="O547" i="18" s="1"/>
  <c r="I546" i="18" a="1"/>
  <c r="I546" i="18" s="1"/>
  <c r="O546" i="18" s="1"/>
  <c r="I545" i="18" a="1"/>
  <c r="I545" i="18" s="1"/>
  <c r="O545" i="18" s="1"/>
  <c r="I544" i="18" a="1"/>
  <c r="I544" i="18" s="1"/>
  <c r="O544" i="18" s="1"/>
  <c r="I543" i="18" a="1"/>
  <c r="I543" i="18" s="1"/>
  <c r="O543" i="18" s="1"/>
  <c r="I542" i="18" a="1"/>
  <c r="I542" i="18" s="1"/>
  <c r="O542" i="18" s="1"/>
  <c r="I541" i="18" a="1"/>
  <c r="I541" i="18" s="1"/>
  <c r="O541" i="18" s="1"/>
  <c r="I540" i="18" a="1"/>
  <c r="I540" i="18" s="1"/>
  <c r="O540" i="18" s="1"/>
  <c r="I539" i="18" a="1"/>
  <c r="I539" i="18" s="1"/>
  <c r="O539" i="18" s="1"/>
  <c r="I538" i="18" a="1"/>
  <c r="I538" i="18" s="1"/>
  <c r="O538" i="18" s="1"/>
  <c r="I537" i="18" a="1"/>
  <c r="I537" i="18" s="1"/>
  <c r="O537" i="18" s="1"/>
  <c r="I536" i="18" a="1"/>
  <c r="I536" i="18" s="1"/>
  <c r="O536" i="18" s="1"/>
  <c r="I535" i="18" a="1"/>
  <c r="I535" i="18" s="1"/>
  <c r="O535" i="18" s="1"/>
  <c r="I534" i="18" a="1"/>
  <c r="I534" i="18" s="1"/>
  <c r="O534" i="18" s="1"/>
  <c r="I533" i="18" a="1"/>
  <c r="I533" i="18" s="1"/>
  <c r="O533" i="18" s="1"/>
  <c r="I532" i="18" a="1"/>
  <c r="I532" i="18" s="1"/>
  <c r="O532" i="18" s="1"/>
  <c r="I531" i="18" a="1"/>
  <c r="I531" i="18" s="1"/>
  <c r="O531" i="18" s="1"/>
  <c r="I530" i="18" a="1"/>
  <c r="I530" i="18" s="1"/>
  <c r="O530" i="18" s="1"/>
  <c r="I529" i="18" a="1"/>
  <c r="I529" i="18" s="1"/>
  <c r="O529" i="18" s="1"/>
  <c r="I528" i="18" a="1"/>
  <c r="I528" i="18" s="1"/>
  <c r="O528" i="18" s="1"/>
  <c r="I527" i="18" a="1"/>
  <c r="I527" i="18" s="1"/>
  <c r="O527" i="18" s="1"/>
  <c r="I526" i="18" a="1"/>
  <c r="I526" i="18" s="1"/>
  <c r="O526" i="18" s="1"/>
  <c r="I525" i="18" a="1"/>
  <c r="I525" i="18" s="1"/>
  <c r="O525" i="18" s="1"/>
  <c r="I524" i="18" a="1"/>
  <c r="I524" i="18" s="1"/>
  <c r="O524" i="18" s="1"/>
  <c r="I523" i="18" a="1"/>
  <c r="I523" i="18" s="1"/>
  <c r="O523" i="18" s="1"/>
  <c r="I522" i="18" a="1"/>
  <c r="I522" i="18" s="1"/>
  <c r="O522" i="18" s="1"/>
  <c r="I521" i="18" a="1"/>
  <c r="I521" i="18" s="1"/>
  <c r="O521" i="18" s="1"/>
  <c r="I520" i="18" a="1"/>
  <c r="I520" i="18" s="1"/>
  <c r="O520" i="18" s="1"/>
  <c r="I519" i="18" a="1"/>
  <c r="I519" i="18" s="1"/>
  <c r="O519" i="18" s="1"/>
  <c r="I518" i="18" a="1"/>
  <c r="I518" i="18" s="1"/>
  <c r="O518" i="18" s="1"/>
  <c r="I517" i="18" a="1"/>
  <c r="I517" i="18" s="1"/>
  <c r="O517" i="18" s="1"/>
  <c r="I516" i="18" a="1"/>
  <c r="I516" i="18" s="1"/>
  <c r="O516" i="18" s="1"/>
  <c r="I515" i="18" a="1"/>
  <c r="I515" i="18" s="1"/>
  <c r="O515" i="18" s="1"/>
  <c r="I514" i="18" a="1"/>
  <c r="I514" i="18" s="1"/>
  <c r="O514" i="18" s="1"/>
  <c r="I513" i="18" a="1"/>
  <c r="I513" i="18" s="1"/>
  <c r="O513" i="18" s="1"/>
  <c r="I512" i="18" a="1"/>
  <c r="I512" i="18" s="1"/>
  <c r="O512" i="18" s="1"/>
  <c r="I511" i="18" a="1"/>
  <c r="I511" i="18" s="1"/>
  <c r="O511" i="18" s="1"/>
  <c r="I510" i="18" a="1"/>
  <c r="I510" i="18" s="1"/>
  <c r="O510" i="18" s="1"/>
  <c r="I509" i="18" a="1"/>
  <c r="I509" i="18" s="1"/>
  <c r="O509" i="18" s="1"/>
  <c r="I508" i="18" a="1"/>
  <c r="I508" i="18" s="1"/>
  <c r="O508" i="18" s="1"/>
  <c r="I507" i="18" a="1"/>
  <c r="I507" i="18" s="1"/>
  <c r="O507" i="18" s="1"/>
  <c r="I506" i="18" a="1"/>
  <c r="I506" i="18" s="1"/>
  <c r="O506" i="18" s="1"/>
  <c r="I505" i="18" a="1"/>
  <c r="I505" i="18" s="1"/>
  <c r="O505" i="18" s="1"/>
  <c r="I504" i="18" a="1"/>
  <c r="I504" i="18" s="1"/>
  <c r="O504" i="18" s="1"/>
  <c r="I503" i="18" a="1"/>
  <c r="I503" i="18" s="1"/>
  <c r="O503" i="18" s="1"/>
  <c r="I502" i="18" a="1"/>
  <c r="I502" i="18" s="1"/>
  <c r="O502" i="18" s="1"/>
  <c r="I501" i="18" a="1"/>
  <c r="I501" i="18" s="1"/>
  <c r="O501" i="18" s="1"/>
  <c r="I500" i="18" a="1"/>
  <c r="I500" i="18" s="1"/>
  <c r="O500" i="18" s="1"/>
  <c r="I499" i="18" a="1"/>
  <c r="I499" i="18" s="1"/>
  <c r="O499" i="18" s="1"/>
  <c r="I498" i="18" a="1"/>
  <c r="I498" i="18" s="1"/>
  <c r="O498" i="18" s="1"/>
  <c r="I497" i="18" a="1"/>
  <c r="I497" i="18" s="1"/>
  <c r="O497" i="18" s="1"/>
  <c r="I496" i="18" a="1"/>
  <c r="I496" i="18" s="1"/>
  <c r="O496" i="18" s="1"/>
  <c r="I495" i="18" a="1"/>
  <c r="I495" i="18" s="1"/>
  <c r="O495" i="18" s="1"/>
  <c r="I494" i="18" a="1"/>
  <c r="I494" i="18" s="1"/>
  <c r="O494" i="18" s="1"/>
  <c r="I493" i="18" a="1"/>
  <c r="I493" i="18" s="1"/>
  <c r="O493" i="18" s="1"/>
  <c r="I492" i="18" a="1"/>
  <c r="I492" i="18" s="1"/>
  <c r="O492" i="18" s="1"/>
  <c r="I491" i="18" a="1"/>
  <c r="I491" i="18" s="1"/>
  <c r="O491" i="18" s="1"/>
  <c r="I490" i="18" a="1"/>
  <c r="I490" i="18" s="1"/>
  <c r="O490" i="18" s="1"/>
  <c r="I489" i="18" a="1"/>
  <c r="I489" i="18" s="1"/>
  <c r="O489" i="18" s="1"/>
  <c r="I488" i="18" a="1"/>
  <c r="I488" i="18" s="1"/>
  <c r="O488" i="18" s="1"/>
  <c r="I487" i="18" a="1"/>
  <c r="I487" i="18" s="1"/>
  <c r="O487" i="18" s="1"/>
  <c r="I486" i="18" a="1"/>
  <c r="I486" i="18" s="1"/>
  <c r="O486" i="18" s="1"/>
  <c r="I485" i="18" a="1"/>
  <c r="I485" i="18" s="1"/>
  <c r="O485" i="18" s="1"/>
  <c r="I484" i="18" a="1"/>
  <c r="I484" i="18" s="1"/>
  <c r="O484" i="18" s="1"/>
  <c r="I483" i="18" a="1"/>
  <c r="I483" i="18" s="1"/>
  <c r="O483" i="18" s="1"/>
  <c r="I482" i="18" a="1"/>
  <c r="I482" i="18" s="1"/>
  <c r="O482" i="18" s="1"/>
  <c r="I481" i="18" a="1"/>
  <c r="I481" i="18" s="1"/>
  <c r="O481" i="18" s="1"/>
  <c r="I480" i="18" a="1"/>
  <c r="I480" i="18" s="1"/>
  <c r="O480" i="18" s="1"/>
  <c r="I479" i="18" a="1"/>
  <c r="I479" i="18" s="1"/>
  <c r="O479" i="18" s="1"/>
  <c r="I478" i="18" a="1"/>
  <c r="I478" i="18" s="1"/>
  <c r="O478" i="18" s="1"/>
  <c r="I477" i="18" a="1"/>
  <c r="I477" i="18" s="1"/>
  <c r="O477" i="18" s="1"/>
  <c r="I476" i="18" a="1"/>
  <c r="I476" i="18" s="1"/>
  <c r="O476" i="18" s="1"/>
  <c r="I475" i="18" a="1"/>
  <c r="I475" i="18" s="1"/>
  <c r="O475" i="18" s="1"/>
  <c r="I474" i="18" a="1"/>
  <c r="I474" i="18" s="1"/>
  <c r="O474" i="18" s="1"/>
  <c r="I473" i="18" a="1"/>
  <c r="I473" i="18" s="1"/>
  <c r="O473" i="18" s="1"/>
  <c r="I472" i="18" a="1"/>
  <c r="I472" i="18" s="1"/>
  <c r="O472" i="18" s="1"/>
  <c r="I471" i="18" a="1"/>
  <c r="I471" i="18" s="1"/>
  <c r="O471" i="18" s="1"/>
  <c r="I470" i="18" a="1"/>
  <c r="I470" i="18" s="1"/>
  <c r="O470" i="18" s="1"/>
  <c r="I469" i="18" a="1"/>
  <c r="I469" i="18" s="1"/>
  <c r="O469" i="18" s="1"/>
  <c r="I468" i="18" a="1"/>
  <c r="I468" i="18" s="1"/>
  <c r="O468" i="18" s="1"/>
  <c r="I467" i="18" a="1"/>
  <c r="I467" i="18" s="1"/>
  <c r="O467" i="18" s="1"/>
  <c r="I466" i="18" a="1"/>
  <c r="I466" i="18" s="1"/>
  <c r="O466" i="18" s="1"/>
  <c r="I465" i="18" a="1"/>
  <c r="I465" i="18" s="1"/>
  <c r="O465" i="18" s="1"/>
  <c r="I464" i="18" a="1"/>
  <c r="I464" i="18" s="1"/>
  <c r="O464" i="18" s="1"/>
  <c r="I463" i="18" a="1"/>
  <c r="I463" i="18" s="1"/>
  <c r="O463" i="18" s="1"/>
  <c r="I462" i="18" a="1"/>
  <c r="I462" i="18" s="1"/>
  <c r="O462" i="18" s="1"/>
  <c r="I461" i="18" a="1"/>
  <c r="I461" i="18" s="1"/>
  <c r="O461" i="18" s="1"/>
  <c r="I460" i="18" a="1"/>
  <c r="I460" i="18" s="1"/>
  <c r="O460" i="18" s="1"/>
  <c r="I459" i="18" a="1"/>
  <c r="I459" i="18" s="1"/>
  <c r="O459" i="18" s="1"/>
  <c r="I458" i="18" a="1"/>
  <c r="I458" i="18" s="1"/>
  <c r="O458" i="18" s="1"/>
  <c r="I457" i="18" a="1"/>
  <c r="I457" i="18" s="1"/>
  <c r="O457" i="18" s="1"/>
  <c r="I456" i="18" a="1"/>
  <c r="I456" i="18" s="1"/>
  <c r="O456" i="18" s="1"/>
  <c r="I455" i="18" a="1"/>
  <c r="I455" i="18" s="1"/>
  <c r="O455" i="18" s="1"/>
  <c r="I454" i="18" a="1"/>
  <c r="I454" i="18" s="1"/>
  <c r="O454" i="18" s="1"/>
  <c r="I453" i="18" a="1"/>
  <c r="I453" i="18" s="1"/>
  <c r="O453" i="18" s="1"/>
  <c r="I452" i="18" a="1"/>
  <c r="I452" i="18" s="1"/>
  <c r="O452" i="18" s="1"/>
  <c r="I451" i="18" a="1"/>
  <c r="I451" i="18" s="1"/>
  <c r="O451" i="18" s="1"/>
  <c r="I450" i="18" a="1"/>
  <c r="I450" i="18" s="1"/>
  <c r="O450" i="18" s="1"/>
  <c r="I449" i="18" a="1"/>
  <c r="I449" i="18" s="1"/>
  <c r="O449" i="18" s="1"/>
  <c r="I448" i="18" a="1"/>
  <c r="I448" i="18" s="1"/>
  <c r="O448" i="18" s="1"/>
  <c r="I447" i="18" a="1"/>
  <c r="I447" i="18" s="1"/>
  <c r="O447" i="18" s="1"/>
  <c r="I446" i="18" a="1"/>
  <c r="I446" i="18" s="1"/>
  <c r="O446" i="18" s="1"/>
  <c r="I445" i="18" a="1"/>
  <c r="I445" i="18" s="1"/>
  <c r="O445" i="18" s="1"/>
  <c r="I444" i="18" a="1"/>
  <c r="I444" i="18" s="1"/>
  <c r="O444" i="18" s="1"/>
  <c r="I443" i="18" a="1"/>
  <c r="I443" i="18" s="1"/>
  <c r="O443" i="18" s="1"/>
  <c r="I442" i="18" a="1"/>
  <c r="I442" i="18" s="1"/>
  <c r="O442" i="18" s="1"/>
  <c r="I441" i="18" a="1"/>
  <c r="I441" i="18" s="1"/>
  <c r="O441" i="18" s="1"/>
  <c r="I440" i="18" a="1"/>
  <c r="I440" i="18" s="1"/>
  <c r="O440" i="18" s="1"/>
  <c r="I439" i="18" a="1"/>
  <c r="I439" i="18" s="1"/>
  <c r="O439" i="18" s="1"/>
  <c r="I438" i="18" a="1"/>
  <c r="I438" i="18" s="1"/>
  <c r="O438" i="18" s="1"/>
  <c r="I437" i="18" a="1"/>
  <c r="I437" i="18" s="1"/>
  <c r="O437" i="18" s="1"/>
  <c r="I436" i="18" a="1"/>
  <c r="I436" i="18" s="1"/>
  <c r="O436" i="18" s="1"/>
  <c r="I435" i="18" a="1"/>
  <c r="I435" i="18" s="1"/>
  <c r="O435" i="18" s="1"/>
  <c r="I434" i="18" a="1"/>
  <c r="I434" i="18" s="1"/>
  <c r="O434" i="18" s="1"/>
  <c r="I433" i="18" a="1"/>
  <c r="I433" i="18" s="1"/>
  <c r="O433" i="18" s="1"/>
  <c r="I432" i="18" a="1"/>
  <c r="I432" i="18" s="1"/>
  <c r="O432" i="18" s="1"/>
  <c r="I431" i="18" a="1"/>
  <c r="I431" i="18" s="1"/>
  <c r="O431" i="18" s="1"/>
  <c r="I430" i="18" a="1"/>
  <c r="I430" i="18" s="1"/>
  <c r="O430" i="18" s="1"/>
  <c r="I429" i="18" a="1"/>
  <c r="I429" i="18" s="1"/>
  <c r="O429" i="18" s="1"/>
  <c r="I428" i="18" a="1"/>
  <c r="I428" i="18" s="1"/>
  <c r="O428" i="18" s="1"/>
  <c r="I427" i="18" a="1"/>
  <c r="I427" i="18" s="1"/>
  <c r="O427" i="18" s="1"/>
  <c r="I426" i="18" a="1"/>
  <c r="I426" i="18" s="1"/>
  <c r="O426" i="18" s="1"/>
  <c r="I425" i="18" a="1"/>
  <c r="I425" i="18" s="1"/>
  <c r="O425" i="18" s="1"/>
  <c r="I424" i="18" a="1"/>
  <c r="I424" i="18" s="1"/>
  <c r="O424" i="18" s="1"/>
  <c r="I423" i="18" a="1"/>
  <c r="I423" i="18" s="1"/>
  <c r="O423" i="18" s="1"/>
  <c r="I422" i="18" a="1"/>
  <c r="I422" i="18" s="1"/>
  <c r="O422" i="18" s="1"/>
  <c r="I421" i="18" a="1"/>
  <c r="I421" i="18" s="1"/>
  <c r="O421" i="18" s="1"/>
  <c r="I420" i="18" a="1"/>
  <c r="I420" i="18" s="1"/>
  <c r="O420" i="18" s="1"/>
  <c r="I419" i="18" a="1"/>
  <c r="I419" i="18" s="1"/>
  <c r="O419" i="18" s="1"/>
  <c r="I418" i="18" a="1"/>
  <c r="I418" i="18" s="1"/>
  <c r="O418" i="18" s="1"/>
  <c r="I417" i="18" a="1"/>
  <c r="I417" i="18" s="1"/>
  <c r="O417" i="18" s="1"/>
  <c r="I416" i="18" a="1"/>
  <c r="I416" i="18" s="1"/>
  <c r="O416" i="18" s="1"/>
  <c r="I415" i="18" a="1"/>
  <c r="I415" i="18" s="1"/>
  <c r="O415" i="18" s="1"/>
  <c r="I414" i="18" a="1"/>
  <c r="I414" i="18" s="1"/>
  <c r="O414" i="18" s="1"/>
  <c r="I413" i="18" a="1"/>
  <c r="I413" i="18" s="1"/>
  <c r="O413" i="18" s="1"/>
  <c r="I412" i="18" a="1"/>
  <c r="I412" i="18" s="1"/>
  <c r="O412" i="18" s="1"/>
  <c r="I411" i="18" a="1"/>
  <c r="I411" i="18" s="1"/>
  <c r="O411" i="18" s="1"/>
  <c r="I410" i="18" a="1"/>
  <c r="I410" i="18" s="1"/>
  <c r="O410" i="18" s="1"/>
  <c r="I409" i="18" a="1"/>
  <c r="I409" i="18" s="1"/>
  <c r="O409" i="18" s="1"/>
  <c r="I408" i="18" a="1"/>
  <c r="I408" i="18" s="1"/>
  <c r="O408" i="18" s="1"/>
  <c r="I407" i="18" a="1"/>
  <c r="I407" i="18" s="1"/>
  <c r="O407" i="18" s="1"/>
  <c r="I406" i="18" a="1"/>
  <c r="I406" i="18" s="1"/>
  <c r="O406" i="18" s="1"/>
  <c r="I405" i="18" a="1"/>
  <c r="I405" i="18" s="1"/>
  <c r="O405" i="18" s="1"/>
  <c r="I404" i="18" a="1"/>
  <c r="I404" i="18" s="1"/>
  <c r="O404" i="18" s="1"/>
  <c r="I403" i="18" a="1"/>
  <c r="I403" i="18" s="1"/>
  <c r="O403" i="18" s="1"/>
  <c r="I402" i="18" a="1"/>
  <c r="I402" i="18" s="1"/>
  <c r="O402" i="18" s="1"/>
  <c r="I401" i="18" a="1"/>
  <c r="I401" i="18" s="1"/>
  <c r="O401" i="18" s="1"/>
  <c r="I400" i="18" a="1"/>
  <c r="I400" i="18" s="1"/>
  <c r="O400" i="18" s="1"/>
  <c r="I399" i="18" a="1"/>
  <c r="I399" i="18" s="1"/>
  <c r="O399" i="18" s="1"/>
  <c r="I398" i="18" a="1"/>
  <c r="I398" i="18" s="1"/>
  <c r="O398" i="18" s="1"/>
  <c r="I397" i="18" a="1"/>
  <c r="I397" i="18" s="1"/>
  <c r="O397" i="18" s="1"/>
  <c r="I396" i="18" a="1"/>
  <c r="I396" i="18" s="1"/>
  <c r="O396" i="18" s="1"/>
  <c r="I395" i="18" a="1"/>
  <c r="I395" i="18" s="1"/>
  <c r="O395" i="18" s="1"/>
  <c r="I394" i="18" a="1"/>
  <c r="I394" i="18" s="1"/>
  <c r="O394" i="18" s="1"/>
  <c r="I393" i="18" a="1"/>
  <c r="I393" i="18" s="1"/>
  <c r="O393" i="18" s="1"/>
  <c r="I392" i="18" a="1"/>
  <c r="I392" i="18" s="1"/>
  <c r="O392" i="18" s="1"/>
  <c r="I391" i="18" a="1"/>
  <c r="I391" i="18" s="1"/>
  <c r="O391" i="18" s="1"/>
  <c r="I390" i="18" a="1"/>
  <c r="I390" i="18" s="1"/>
  <c r="O390" i="18" s="1"/>
  <c r="I389" i="18" a="1"/>
  <c r="I389" i="18" s="1"/>
  <c r="O389" i="18" s="1"/>
  <c r="I388" i="18" a="1"/>
  <c r="I388" i="18" s="1"/>
  <c r="O388" i="18" s="1"/>
  <c r="I387" i="18" a="1"/>
  <c r="I387" i="18" s="1"/>
  <c r="O387" i="18" s="1"/>
  <c r="I386" i="18" a="1"/>
  <c r="I386" i="18" s="1"/>
  <c r="O386" i="18" s="1"/>
  <c r="I385" i="18" a="1"/>
  <c r="I385" i="18" s="1"/>
  <c r="O385" i="18" s="1"/>
  <c r="I384" i="18" a="1"/>
  <c r="I384" i="18" s="1"/>
  <c r="O384" i="18" s="1"/>
  <c r="I383" i="18" a="1"/>
  <c r="I383" i="18" s="1"/>
  <c r="O383" i="18" s="1"/>
  <c r="I382" i="18" a="1"/>
  <c r="I382" i="18" s="1"/>
  <c r="O382" i="18" s="1"/>
  <c r="I381" i="18" a="1"/>
  <c r="I381" i="18" s="1"/>
  <c r="O381" i="18" s="1"/>
  <c r="I380" i="18" a="1"/>
  <c r="I380" i="18" s="1"/>
  <c r="O380" i="18" s="1"/>
  <c r="I379" i="18" a="1"/>
  <c r="I379" i="18" s="1"/>
  <c r="O379" i="18" s="1"/>
  <c r="I378" i="18" a="1"/>
  <c r="I378" i="18" s="1"/>
  <c r="O378" i="18" s="1"/>
  <c r="I377" i="18" a="1"/>
  <c r="I377" i="18" s="1"/>
  <c r="O377" i="18" s="1"/>
  <c r="I376" i="18" a="1"/>
  <c r="I376" i="18" s="1"/>
  <c r="O376" i="18" s="1"/>
  <c r="I375" i="18" a="1"/>
  <c r="I375" i="18" s="1"/>
  <c r="O375" i="18" s="1"/>
  <c r="I374" i="18" a="1"/>
  <c r="I374" i="18" s="1"/>
  <c r="O374" i="18" s="1"/>
  <c r="I373" i="18" a="1"/>
  <c r="I373" i="18" s="1"/>
  <c r="O373" i="18" s="1"/>
  <c r="I372" i="18" a="1"/>
  <c r="I372" i="18" s="1"/>
  <c r="O372" i="18" s="1"/>
  <c r="I371" i="18" a="1"/>
  <c r="I371" i="18" s="1"/>
  <c r="O371" i="18" s="1"/>
  <c r="I370" i="18" a="1"/>
  <c r="I370" i="18" s="1"/>
  <c r="O370" i="18" s="1"/>
  <c r="I369" i="18" a="1"/>
  <c r="I369" i="18" s="1"/>
  <c r="O369" i="18" s="1"/>
  <c r="I368" i="18" a="1"/>
  <c r="I368" i="18" s="1"/>
  <c r="O368" i="18" s="1"/>
  <c r="I367" i="18" a="1"/>
  <c r="I367" i="18" s="1"/>
  <c r="O367" i="18" s="1"/>
  <c r="I366" i="18" a="1"/>
  <c r="I366" i="18" s="1"/>
  <c r="O366" i="18" s="1"/>
  <c r="I365" i="18" a="1"/>
  <c r="I365" i="18" s="1"/>
  <c r="O365" i="18" s="1"/>
  <c r="I364" i="18" a="1"/>
  <c r="I364" i="18" s="1"/>
  <c r="O364" i="18" s="1"/>
  <c r="I363" i="18" a="1"/>
  <c r="I363" i="18" s="1"/>
  <c r="O363" i="18" s="1"/>
  <c r="I362" i="18" a="1"/>
  <c r="I362" i="18" s="1"/>
  <c r="O362" i="18" s="1"/>
  <c r="I361" i="18" a="1"/>
  <c r="I361" i="18" s="1"/>
  <c r="O361" i="18" s="1"/>
  <c r="I360" i="18" a="1"/>
  <c r="I360" i="18" s="1"/>
  <c r="O360" i="18" s="1"/>
  <c r="I359" i="18" a="1"/>
  <c r="I359" i="18" s="1"/>
  <c r="O359" i="18" s="1"/>
  <c r="I358" i="18" a="1"/>
  <c r="I358" i="18" s="1"/>
  <c r="O358" i="18" s="1"/>
  <c r="I357" i="18" a="1"/>
  <c r="I357" i="18" s="1"/>
  <c r="O357" i="18" s="1"/>
  <c r="I356" i="18" a="1"/>
  <c r="I356" i="18" s="1"/>
  <c r="O356" i="18" s="1"/>
  <c r="I355" i="18" a="1"/>
  <c r="I355" i="18" s="1"/>
  <c r="O355" i="18" s="1"/>
  <c r="I354" i="18" a="1"/>
  <c r="I354" i="18" s="1"/>
  <c r="O354" i="18" s="1"/>
  <c r="I353" i="18" a="1"/>
  <c r="I353" i="18" s="1"/>
  <c r="O353" i="18" s="1"/>
  <c r="I352" i="18" a="1"/>
  <c r="I352" i="18" s="1"/>
  <c r="O352" i="18" s="1"/>
  <c r="I351" i="18" a="1"/>
  <c r="I351" i="18" s="1"/>
  <c r="O351" i="18" s="1"/>
  <c r="I350" i="18" a="1"/>
  <c r="I350" i="18" s="1"/>
  <c r="O350" i="18" s="1"/>
  <c r="I349" i="18" a="1"/>
  <c r="I349" i="18" s="1"/>
  <c r="O349" i="18" s="1"/>
  <c r="I348" i="18" a="1"/>
  <c r="I348" i="18" s="1"/>
  <c r="O348" i="18" s="1"/>
  <c r="I347" i="18" a="1"/>
  <c r="I347" i="18" s="1"/>
  <c r="O347" i="18" s="1"/>
  <c r="I346" i="18" a="1"/>
  <c r="I346" i="18" s="1"/>
  <c r="O346" i="18" s="1"/>
  <c r="I345" i="18" a="1"/>
  <c r="I345" i="18" s="1"/>
  <c r="O345" i="18" s="1"/>
  <c r="I344" i="18" a="1"/>
  <c r="I344" i="18" s="1"/>
  <c r="O344" i="18" s="1"/>
  <c r="I343" i="18" a="1"/>
  <c r="I343" i="18" s="1"/>
  <c r="O343" i="18" s="1"/>
  <c r="I342" i="18" a="1"/>
  <c r="I342" i="18" s="1"/>
  <c r="O342" i="18" s="1"/>
  <c r="I341" i="18" a="1"/>
  <c r="I341" i="18" s="1"/>
  <c r="O341" i="18" s="1"/>
  <c r="I340" i="18" a="1"/>
  <c r="I340" i="18" s="1"/>
  <c r="O340" i="18" s="1"/>
  <c r="I339" i="18" a="1"/>
  <c r="I339" i="18" s="1"/>
  <c r="O339" i="18" s="1"/>
  <c r="I338" i="18" a="1"/>
  <c r="I338" i="18" s="1"/>
  <c r="O338" i="18" s="1"/>
  <c r="I337" i="18" a="1"/>
  <c r="I337" i="18" s="1"/>
  <c r="O337" i="18" s="1"/>
  <c r="I336" i="18" a="1"/>
  <c r="I336" i="18" s="1"/>
  <c r="O336" i="18" s="1"/>
  <c r="I335" i="18" a="1"/>
  <c r="I335" i="18" s="1"/>
  <c r="O335" i="18" s="1"/>
  <c r="I334" i="18" a="1"/>
  <c r="I334" i="18" s="1"/>
  <c r="O334" i="18" s="1"/>
  <c r="I333" i="18" a="1"/>
  <c r="I333" i="18" s="1"/>
  <c r="O333" i="18" s="1"/>
  <c r="I332" i="18" a="1"/>
  <c r="I332" i="18" s="1"/>
  <c r="O332" i="18" s="1"/>
  <c r="I331" i="18" a="1"/>
  <c r="I331" i="18" s="1"/>
  <c r="O331" i="18" s="1"/>
  <c r="I330" i="18" a="1"/>
  <c r="I330" i="18" s="1"/>
  <c r="O330" i="18" s="1"/>
  <c r="I329" i="18" a="1"/>
  <c r="I329" i="18" s="1"/>
  <c r="O329" i="18" s="1"/>
  <c r="I328" i="18" a="1"/>
  <c r="I328" i="18" s="1"/>
  <c r="O328" i="18" s="1"/>
  <c r="I327" i="18" a="1"/>
  <c r="I327" i="18" s="1"/>
  <c r="O327" i="18" s="1"/>
  <c r="I326" i="18" a="1"/>
  <c r="I326" i="18" s="1"/>
  <c r="O326" i="18" s="1"/>
  <c r="I325" i="18" a="1"/>
  <c r="I325" i="18" s="1"/>
  <c r="O325" i="18" s="1"/>
  <c r="I324" i="18" a="1"/>
  <c r="I324" i="18" s="1"/>
  <c r="O324" i="18" s="1"/>
  <c r="I323" i="18" a="1"/>
  <c r="I323" i="18" s="1"/>
  <c r="O323" i="18" s="1"/>
  <c r="I322" i="18" a="1"/>
  <c r="I322" i="18" s="1"/>
  <c r="O322" i="18" s="1"/>
  <c r="I321" i="18" a="1"/>
  <c r="I321" i="18" s="1"/>
  <c r="O321" i="18" s="1"/>
  <c r="I320" i="18" a="1"/>
  <c r="I320" i="18" s="1"/>
  <c r="O320" i="18" s="1"/>
  <c r="I319" i="18" a="1"/>
  <c r="I319" i="18" s="1"/>
  <c r="O319" i="18" s="1"/>
  <c r="I318" i="18" a="1"/>
  <c r="I318" i="18" s="1"/>
  <c r="O318" i="18" s="1"/>
  <c r="I317" i="18" a="1"/>
  <c r="I317" i="18" s="1"/>
  <c r="O317" i="18" s="1"/>
  <c r="I316" i="18" a="1"/>
  <c r="I316" i="18" s="1"/>
  <c r="O316" i="18" s="1"/>
  <c r="I315" i="18" a="1"/>
  <c r="I315" i="18" s="1"/>
  <c r="O315" i="18" s="1"/>
  <c r="I314" i="18" a="1"/>
  <c r="I314" i="18" s="1"/>
  <c r="O314" i="18" s="1"/>
  <c r="I313" i="18" a="1"/>
  <c r="I313" i="18" s="1"/>
  <c r="O313" i="18" s="1"/>
  <c r="I312" i="18" a="1"/>
  <c r="I312" i="18" s="1"/>
  <c r="O312" i="18" s="1"/>
  <c r="I311" i="18" a="1"/>
  <c r="I311" i="18" s="1"/>
  <c r="O311" i="18" s="1"/>
  <c r="I310" i="18" a="1"/>
  <c r="I310" i="18" s="1"/>
  <c r="O310" i="18" s="1"/>
  <c r="I309" i="18" a="1"/>
  <c r="I309" i="18" s="1"/>
  <c r="O309" i="18" s="1"/>
  <c r="I308" i="18" a="1"/>
  <c r="I308" i="18" s="1"/>
  <c r="O308" i="18" s="1"/>
  <c r="I307" i="18" a="1"/>
  <c r="I307" i="18" s="1"/>
  <c r="O307" i="18" s="1"/>
  <c r="I306" i="18" a="1"/>
  <c r="I306" i="18" s="1"/>
  <c r="O306" i="18" s="1"/>
  <c r="I305" i="18" a="1"/>
  <c r="I305" i="18" s="1"/>
  <c r="O305" i="18" s="1"/>
  <c r="I304" i="18" a="1"/>
  <c r="I304" i="18" s="1"/>
  <c r="O304" i="18" s="1"/>
  <c r="I303" i="18" a="1"/>
  <c r="I303" i="18" s="1"/>
  <c r="O303" i="18" s="1"/>
  <c r="I302" i="18" a="1"/>
  <c r="I302" i="18" s="1"/>
  <c r="O302" i="18" s="1"/>
  <c r="I301" i="18" a="1"/>
  <c r="I301" i="18" s="1"/>
  <c r="O301" i="18" s="1"/>
  <c r="I300" i="18" a="1"/>
  <c r="I300" i="18" s="1"/>
  <c r="O300" i="18" s="1"/>
  <c r="I299" i="18" a="1"/>
  <c r="I299" i="18" s="1"/>
  <c r="O299" i="18" s="1"/>
  <c r="I298" i="18" a="1"/>
  <c r="I298" i="18" s="1"/>
  <c r="O298" i="18" s="1"/>
  <c r="I297" i="18" a="1"/>
  <c r="I297" i="18" s="1"/>
  <c r="O297" i="18" s="1"/>
  <c r="I296" i="18" a="1"/>
  <c r="I296" i="18" s="1"/>
  <c r="O296" i="18" s="1"/>
  <c r="I295" i="18" a="1"/>
  <c r="I295" i="18" s="1"/>
  <c r="O295" i="18" s="1"/>
  <c r="I294" i="18" a="1"/>
  <c r="I294" i="18" s="1"/>
  <c r="O294" i="18" s="1"/>
  <c r="I293" i="18" a="1"/>
  <c r="I293" i="18" s="1"/>
  <c r="O293" i="18" s="1"/>
  <c r="I292" i="18" a="1"/>
  <c r="I292" i="18" s="1"/>
  <c r="O292" i="18" s="1"/>
  <c r="I291" i="18" a="1"/>
  <c r="I291" i="18" s="1"/>
  <c r="O291" i="18" s="1"/>
  <c r="I290" i="18" a="1"/>
  <c r="I290" i="18" s="1"/>
  <c r="O290" i="18" s="1"/>
  <c r="I289" i="18" a="1"/>
  <c r="I289" i="18" s="1"/>
  <c r="O289" i="18" s="1"/>
  <c r="I288" i="18" a="1"/>
  <c r="I288" i="18" s="1"/>
  <c r="O288" i="18" s="1"/>
  <c r="I287" i="18" a="1"/>
  <c r="I287" i="18" s="1"/>
  <c r="O287" i="18" s="1"/>
  <c r="I286" i="18" a="1"/>
  <c r="I286" i="18" s="1"/>
  <c r="O286" i="18" s="1"/>
  <c r="I285" i="18" a="1"/>
  <c r="I285" i="18" s="1"/>
  <c r="O285" i="18" s="1"/>
  <c r="I284" i="18" a="1"/>
  <c r="I284" i="18" s="1"/>
  <c r="O284" i="18" s="1"/>
  <c r="I283" i="18" a="1"/>
  <c r="I283" i="18" s="1"/>
  <c r="O283" i="18" s="1"/>
  <c r="I282" i="18" a="1"/>
  <c r="I282" i="18" s="1"/>
  <c r="O282" i="18" s="1"/>
  <c r="I281" i="18" a="1"/>
  <c r="I281" i="18" s="1"/>
  <c r="O281" i="18" s="1"/>
  <c r="I280" i="18" a="1"/>
  <c r="I280" i="18" s="1"/>
  <c r="O280" i="18" s="1"/>
  <c r="I279" i="18" a="1"/>
  <c r="I279" i="18" s="1"/>
  <c r="O279" i="18" s="1"/>
  <c r="I278" i="18" a="1"/>
  <c r="I278" i="18" s="1"/>
  <c r="O278" i="18" s="1"/>
  <c r="I277" i="18" a="1"/>
  <c r="I277" i="18" s="1"/>
  <c r="O277" i="18" s="1"/>
  <c r="I276" i="18" a="1"/>
  <c r="I276" i="18" s="1"/>
  <c r="O276" i="18" s="1"/>
  <c r="I275" i="18" a="1"/>
  <c r="I275" i="18" s="1"/>
  <c r="O275" i="18" s="1"/>
  <c r="I274" i="18" a="1"/>
  <c r="I274" i="18" s="1"/>
  <c r="O274" i="18" s="1"/>
  <c r="I273" i="18" a="1"/>
  <c r="I273" i="18" s="1"/>
  <c r="O273" i="18" s="1"/>
  <c r="I272" i="18" a="1"/>
  <c r="I272" i="18" s="1"/>
  <c r="O272" i="18" s="1"/>
  <c r="I271" i="18" a="1"/>
  <c r="I271" i="18" s="1"/>
  <c r="O271" i="18" s="1"/>
  <c r="I270" i="18" a="1"/>
  <c r="I270" i="18" s="1"/>
  <c r="O270" i="18" s="1"/>
  <c r="I269" i="18" a="1"/>
  <c r="I269" i="18" s="1"/>
  <c r="O269" i="18" s="1"/>
  <c r="I268" i="18" a="1"/>
  <c r="I268" i="18" s="1"/>
  <c r="O268" i="18" s="1"/>
  <c r="I267" i="18" a="1"/>
  <c r="I267" i="18" s="1"/>
  <c r="O267" i="18" s="1"/>
  <c r="I266" i="18" a="1"/>
  <c r="I266" i="18" s="1"/>
  <c r="O266" i="18" s="1"/>
  <c r="I265" i="18" a="1"/>
  <c r="I265" i="18" s="1"/>
  <c r="O265" i="18" s="1"/>
  <c r="I264" i="18" a="1"/>
  <c r="I264" i="18" s="1"/>
  <c r="O264" i="18" s="1"/>
  <c r="I263" i="18" a="1"/>
  <c r="I263" i="18" s="1"/>
  <c r="O263" i="18" s="1"/>
  <c r="I262" i="18" a="1"/>
  <c r="I262" i="18" s="1"/>
  <c r="O262" i="18" s="1"/>
  <c r="I261" i="18" a="1"/>
  <c r="I261" i="18" s="1"/>
  <c r="O261" i="18" s="1"/>
  <c r="I260" i="18" a="1"/>
  <c r="I260" i="18" s="1"/>
  <c r="O260" i="18" s="1"/>
  <c r="I259" i="18" a="1"/>
  <c r="I259" i="18" s="1"/>
  <c r="O259" i="18" s="1"/>
  <c r="I258" i="18" a="1"/>
  <c r="I258" i="18" s="1"/>
  <c r="O258" i="18" s="1"/>
  <c r="I257" i="18" a="1"/>
  <c r="I257" i="18" s="1"/>
  <c r="O257" i="18" s="1"/>
  <c r="I256" i="18" a="1"/>
  <c r="I256" i="18" s="1"/>
  <c r="O256" i="18" s="1"/>
  <c r="I255" i="18" a="1"/>
  <c r="I255" i="18" s="1"/>
  <c r="O255" i="18" s="1"/>
  <c r="I254" i="18" a="1"/>
  <c r="I254" i="18" s="1"/>
  <c r="O254" i="18" s="1"/>
  <c r="I253" i="18" a="1"/>
  <c r="I253" i="18" s="1"/>
  <c r="O253" i="18" s="1"/>
  <c r="I252" i="18" a="1"/>
  <c r="I252" i="18" s="1"/>
  <c r="O252" i="18" s="1"/>
  <c r="I251" i="18" a="1"/>
  <c r="I251" i="18" s="1"/>
  <c r="O251" i="18" s="1"/>
  <c r="I250" i="18" a="1"/>
  <c r="I250" i="18" s="1"/>
  <c r="O250" i="18" s="1"/>
  <c r="I249" i="18" a="1"/>
  <c r="I249" i="18" s="1"/>
  <c r="O249" i="18" s="1"/>
  <c r="I248" i="18" a="1"/>
  <c r="I248" i="18" s="1"/>
  <c r="O248" i="18" s="1"/>
  <c r="I247" i="18" a="1"/>
  <c r="I247" i="18" s="1"/>
  <c r="O247" i="18" s="1"/>
  <c r="I246" i="18" a="1"/>
  <c r="I246" i="18" s="1"/>
  <c r="O246" i="18" s="1"/>
  <c r="I245" i="18" a="1"/>
  <c r="I245" i="18" s="1"/>
  <c r="O245" i="18" s="1"/>
  <c r="I244" i="18" a="1"/>
  <c r="I244" i="18" s="1"/>
  <c r="O244" i="18" s="1"/>
  <c r="I243" i="18" a="1"/>
  <c r="I243" i="18" s="1"/>
  <c r="O243" i="18" s="1"/>
  <c r="I242" i="18" a="1"/>
  <c r="I242" i="18" s="1"/>
  <c r="O242" i="18" s="1"/>
  <c r="I241" i="18" a="1"/>
  <c r="I241" i="18" s="1"/>
  <c r="O241" i="18" s="1"/>
  <c r="I240" i="18" a="1"/>
  <c r="I240" i="18" s="1"/>
  <c r="O240" i="18" s="1"/>
  <c r="I239" i="18" a="1"/>
  <c r="I239" i="18" s="1"/>
  <c r="O239" i="18" s="1"/>
  <c r="I238" i="18" a="1"/>
  <c r="I238" i="18" s="1"/>
  <c r="O238" i="18" s="1"/>
  <c r="I237" i="18" a="1"/>
  <c r="I237" i="18" s="1"/>
  <c r="O237" i="18" s="1"/>
  <c r="I236" i="18" a="1"/>
  <c r="I236" i="18" s="1"/>
  <c r="O236" i="18" s="1"/>
  <c r="I235" i="18" a="1"/>
  <c r="I235" i="18" s="1"/>
  <c r="O235" i="18" s="1"/>
  <c r="I234" i="18" a="1"/>
  <c r="I234" i="18" s="1"/>
  <c r="O234" i="18" s="1"/>
  <c r="I233" i="18" a="1"/>
  <c r="I233" i="18" s="1"/>
  <c r="O233" i="18" s="1"/>
  <c r="I232" i="18" a="1"/>
  <c r="I232" i="18" s="1"/>
  <c r="O232" i="18" s="1"/>
  <c r="I231" i="18" a="1"/>
  <c r="I231" i="18" s="1"/>
  <c r="O231" i="18" s="1"/>
  <c r="I230" i="18" a="1"/>
  <c r="I230" i="18" s="1"/>
  <c r="O230" i="18" s="1"/>
  <c r="I229" i="18" a="1"/>
  <c r="I229" i="18" s="1"/>
  <c r="O229" i="18" s="1"/>
  <c r="I228" i="18" a="1"/>
  <c r="I228" i="18" s="1"/>
  <c r="O228" i="18" s="1"/>
  <c r="I227" i="18" a="1"/>
  <c r="I227" i="18" s="1"/>
  <c r="O227" i="18" s="1"/>
  <c r="I226" i="18" a="1"/>
  <c r="I226" i="18" s="1"/>
  <c r="O226" i="18" s="1"/>
  <c r="I225" i="18" a="1"/>
  <c r="I225" i="18" s="1"/>
  <c r="O225" i="18" s="1"/>
  <c r="I224" i="18" a="1"/>
  <c r="I224" i="18" s="1"/>
  <c r="O224" i="18" s="1"/>
  <c r="I223" i="18" a="1"/>
  <c r="I223" i="18" s="1"/>
  <c r="O223" i="18" s="1"/>
  <c r="I222" i="18" a="1"/>
  <c r="I222" i="18" s="1"/>
  <c r="O222" i="18" s="1"/>
  <c r="I221" i="18" a="1"/>
  <c r="I221" i="18" s="1"/>
  <c r="O221" i="18" s="1"/>
  <c r="I220" i="18" a="1"/>
  <c r="I220" i="18" s="1"/>
  <c r="O220" i="18" s="1"/>
  <c r="I219" i="18" a="1"/>
  <c r="I219" i="18" s="1"/>
  <c r="O219" i="18" s="1"/>
  <c r="I218" i="18" a="1"/>
  <c r="I218" i="18" s="1"/>
  <c r="O218" i="18" s="1"/>
  <c r="I217" i="18" a="1"/>
  <c r="I217" i="18" s="1"/>
  <c r="O217" i="18" s="1"/>
  <c r="I216" i="18" a="1"/>
  <c r="I216" i="18" s="1"/>
  <c r="O216" i="18" s="1"/>
  <c r="I215" i="18" a="1"/>
  <c r="I215" i="18" s="1"/>
  <c r="O215" i="18" s="1"/>
  <c r="I214" i="18" a="1"/>
  <c r="I214" i="18" s="1"/>
  <c r="O214" i="18" s="1"/>
  <c r="I213" i="18" a="1"/>
  <c r="I213" i="18" s="1"/>
  <c r="O213" i="18" s="1"/>
  <c r="I212" i="18" a="1"/>
  <c r="I212" i="18" s="1"/>
  <c r="O212" i="18" s="1"/>
  <c r="I211" i="18" a="1"/>
  <c r="I211" i="18" s="1"/>
  <c r="O211" i="18" s="1"/>
  <c r="I210" i="18" a="1"/>
  <c r="I210" i="18" s="1"/>
  <c r="O210" i="18" s="1"/>
  <c r="I209" i="18" a="1"/>
  <c r="I209" i="18" s="1"/>
  <c r="O209" i="18" s="1"/>
  <c r="I208" i="18" a="1"/>
  <c r="I208" i="18" s="1"/>
  <c r="O208" i="18" s="1"/>
  <c r="I207" i="18" a="1"/>
  <c r="I207" i="18" s="1"/>
  <c r="O207" i="18" s="1"/>
  <c r="I206" i="18" a="1"/>
  <c r="I206" i="18" s="1"/>
  <c r="O206" i="18" s="1"/>
  <c r="I205" i="18" a="1"/>
  <c r="I205" i="18" s="1"/>
  <c r="O205" i="18" s="1"/>
  <c r="I204" i="18" a="1"/>
  <c r="I204" i="18" s="1"/>
  <c r="O204" i="18" s="1"/>
  <c r="I203" i="18" a="1"/>
  <c r="I203" i="18" s="1"/>
  <c r="O203" i="18" s="1"/>
  <c r="I202" i="18" a="1"/>
  <c r="I202" i="18" s="1"/>
  <c r="O202" i="18" s="1"/>
  <c r="I201" i="18" a="1"/>
  <c r="I201" i="18" s="1"/>
  <c r="O201" i="18" s="1"/>
  <c r="I200" i="18" a="1"/>
  <c r="I200" i="18" s="1"/>
  <c r="O200" i="18" s="1"/>
  <c r="I199" i="18" a="1"/>
  <c r="I199" i="18" s="1"/>
  <c r="O199" i="18" s="1"/>
  <c r="I198" i="18" a="1"/>
  <c r="I198" i="18" s="1"/>
  <c r="O198" i="18" s="1"/>
  <c r="I197" i="18" a="1"/>
  <c r="I197" i="18" s="1"/>
  <c r="O197" i="18" s="1"/>
  <c r="I196" i="18" a="1"/>
  <c r="I196" i="18" s="1"/>
  <c r="O196" i="18" s="1"/>
  <c r="I195" i="18" a="1"/>
  <c r="I195" i="18" s="1"/>
  <c r="O195" i="18" s="1"/>
  <c r="I194" i="18" a="1"/>
  <c r="I194" i="18" s="1"/>
  <c r="O194" i="18" s="1"/>
  <c r="I193" i="18" a="1"/>
  <c r="I193" i="18" s="1"/>
  <c r="O193" i="18" s="1"/>
  <c r="I192" i="18" a="1"/>
  <c r="I192" i="18" s="1"/>
  <c r="O192" i="18" s="1"/>
  <c r="I191" i="18" a="1"/>
  <c r="I191" i="18" s="1"/>
  <c r="O191" i="18" s="1"/>
  <c r="I190" i="18" a="1"/>
  <c r="I190" i="18" s="1"/>
  <c r="O190" i="18" s="1"/>
  <c r="I189" i="18" a="1"/>
  <c r="I189" i="18" s="1"/>
  <c r="O189" i="18" s="1"/>
  <c r="I188" i="18" a="1"/>
  <c r="I188" i="18" s="1"/>
  <c r="O188" i="18" s="1"/>
  <c r="I187" i="18" a="1"/>
  <c r="I187" i="18" s="1"/>
  <c r="O187" i="18" s="1"/>
  <c r="I186" i="18" a="1"/>
  <c r="I186" i="18" s="1"/>
  <c r="O186" i="18" s="1"/>
  <c r="I185" i="18" a="1"/>
  <c r="I185" i="18" s="1"/>
  <c r="O185" i="18" s="1"/>
  <c r="I184" i="18" a="1"/>
  <c r="I184" i="18" s="1"/>
  <c r="O184" i="18" s="1"/>
  <c r="I183" i="18" a="1"/>
  <c r="I183" i="18" s="1"/>
  <c r="O183" i="18" s="1"/>
  <c r="I182" i="18" a="1"/>
  <c r="I182" i="18" s="1"/>
  <c r="O182" i="18" s="1"/>
  <c r="I181" i="18" a="1"/>
  <c r="I181" i="18" s="1"/>
  <c r="O181" i="18" s="1"/>
  <c r="I180" i="18" a="1"/>
  <c r="I180" i="18" s="1"/>
  <c r="O180" i="18" s="1"/>
  <c r="I179" i="18" a="1"/>
  <c r="I179" i="18" s="1"/>
  <c r="O179" i="18" s="1"/>
  <c r="I178" i="18" a="1"/>
  <c r="I178" i="18" s="1"/>
  <c r="O178" i="18" s="1"/>
  <c r="I177" i="18" a="1"/>
  <c r="I177" i="18" s="1"/>
  <c r="O177" i="18" s="1"/>
  <c r="I176" i="18" a="1"/>
  <c r="I176" i="18" s="1"/>
  <c r="O176" i="18" s="1"/>
  <c r="I175" i="18" a="1"/>
  <c r="I175" i="18" s="1"/>
  <c r="O175" i="18" s="1"/>
  <c r="I174" i="18" a="1"/>
  <c r="I174" i="18" s="1"/>
  <c r="O174" i="18" s="1"/>
  <c r="I173" i="18" a="1"/>
  <c r="I173" i="18" s="1"/>
  <c r="O173" i="18" s="1"/>
  <c r="I172" i="18" a="1"/>
  <c r="I172" i="18" s="1"/>
  <c r="O172" i="18" s="1"/>
  <c r="I171" i="18" a="1"/>
  <c r="I171" i="18" s="1"/>
  <c r="O171" i="18" s="1"/>
  <c r="I170" i="18" a="1"/>
  <c r="I170" i="18" s="1"/>
  <c r="O170" i="18" s="1"/>
  <c r="I169" i="18" a="1"/>
  <c r="I169" i="18" s="1"/>
  <c r="O169" i="18" s="1"/>
  <c r="I168" i="18" a="1"/>
  <c r="I168" i="18" s="1"/>
  <c r="O168" i="18" s="1"/>
  <c r="I167" i="18" a="1"/>
  <c r="I167" i="18" s="1"/>
  <c r="O167" i="18" s="1"/>
  <c r="I166" i="18" a="1"/>
  <c r="I166" i="18" s="1"/>
  <c r="O166" i="18" s="1"/>
  <c r="I165" i="18" a="1"/>
  <c r="I165" i="18" s="1"/>
  <c r="O165" i="18" s="1"/>
  <c r="I164" i="18" a="1"/>
  <c r="I164" i="18" s="1"/>
  <c r="O164" i="18" s="1"/>
  <c r="I163" i="18" a="1"/>
  <c r="I163" i="18" s="1"/>
  <c r="O163" i="18" s="1"/>
  <c r="I162" i="18" a="1"/>
  <c r="I162" i="18" s="1"/>
  <c r="O162" i="18" s="1"/>
  <c r="I161" i="18" a="1"/>
  <c r="I161" i="18" s="1"/>
  <c r="O161" i="18" s="1"/>
  <c r="I160" i="18" a="1"/>
  <c r="I160" i="18" s="1"/>
  <c r="O160" i="18" s="1"/>
  <c r="I159" i="18" a="1"/>
  <c r="I159" i="18" s="1"/>
  <c r="O159" i="18" s="1"/>
  <c r="I158" i="18" a="1"/>
  <c r="I158" i="18" s="1"/>
  <c r="O158" i="18" s="1"/>
  <c r="I157" i="18" a="1"/>
  <c r="I157" i="18" s="1"/>
  <c r="O157" i="18" s="1"/>
  <c r="I156" i="18" a="1"/>
  <c r="I156" i="18" s="1"/>
  <c r="O156" i="18" s="1"/>
  <c r="I155" i="18" a="1"/>
  <c r="I155" i="18" s="1"/>
  <c r="O155" i="18" s="1"/>
  <c r="I154" i="18" a="1"/>
  <c r="I154" i="18" s="1"/>
  <c r="O154" i="18" s="1"/>
  <c r="I153" i="18" a="1"/>
  <c r="I153" i="18" s="1"/>
  <c r="O153" i="18" s="1"/>
  <c r="I152" i="18" a="1"/>
  <c r="I152" i="18" s="1"/>
  <c r="O152" i="18" s="1"/>
  <c r="I151" i="18" a="1"/>
  <c r="I151" i="18" s="1"/>
  <c r="O151" i="18" s="1"/>
  <c r="I150" i="18" a="1"/>
  <c r="I150" i="18" s="1"/>
  <c r="O150" i="18" s="1"/>
  <c r="I149" i="18" a="1"/>
  <c r="I149" i="18" s="1"/>
  <c r="O149" i="18" s="1"/>
  <c r="I148" i="18" a="1"/>
  <c r="I148" i="18" s="1"/>
  <c r="O148" i="18" s="1"/>
  <c r="I147" i="18" a="1"/>
  <c r="I147" i="18" s="1"/>
  <c r="O147" i="18" s="1"/>
  <c r="I146" i="18" a="1"/>
  <c r="I146" i="18" s="1"/>
  <c r="O146" i="18" s="1"/>
  <c r="I145" i="18" a="1"/>
  <c r="I145" i="18" s="1"/>
  <c r="O145" i="18" s="1"/>
  <c r="I144" i="18" a="1"/>
  <c r="I144" i="18" s="1"/>
  <c r="O144" i="18" s="1"/>
  <c r="I143" i="18" a="1"/>
  <c r="I143" i="18" s="1"/>
  <c r="O143" i="18" s="1"/>
  <c r="I142" i="18" a="1"/>
  <c r="I142" i="18" s="1"/>
  <c r="O142" i="18" s="1"/>
  <c r="I141" i="18" a="1"/>
  <c r="I141" i="18" s="1"/>
  <c r="O141" i="18" s="1"/>
  <c r="I140" i="18" a="1"/>
  <c r="I140" i="18" s="1"/>
  <c r="O140" i="18" s="1"/>
  <c r="I139" i="18" a="1"/>
  <c r="I139" i="18" s="1"/>
  <c r="O139" i="18" s="1"/>
  <c r="I138" i="18" a="1"/>
  <c r="I138" i="18" s="1"/>
  <c r="O138" i="18" s="1"/>
  <c r="I137" i="18" a="1"/>
  <c r="I137" i="18" s="1"/>
  <c r="O137" i="18" s="1"/>
  <c r="I136" i="18" a="1"/>
  <c r="I136" i="18" s="1"/>
  <c r="O136" i="18" s="1"/>
  <c r="I135" i="18" a="1"/>
  <c r="I135" i="18" s="1"/>
  <c r="O135" i="18" s="1"/>
  <c r="I134" i="18" a="1"/>
  <c r="I134" i="18" s="1"/>
  <c r="O134" i="18" s="1"/>
  <c r="I133" i="18" a="1"/>
  <c r="I133" i="18" s="1"/>
  <c r="O133" i="18" s="1"/>
  <c r="I132" i="18" a="1"/>
  <c r="I132" i="18" s="1"/>
  <c r="O132" i="18" s="1"/>
  <c r="I131" i="18" a="1"/>
  <c r="I131" i="18" s="1"/>
  <c r="O131" i="18" s="1"/>
  <c r="I130" i="18" a="1"/>
  <c r="I130" i="18" s="1"/>
  <c r="O130" i="18" s="1"/>
  <c r="I129" i="18" a="1"/>
  <c r="I129" i="18" s="1"/>
  <c r="O129" i="18" s="1"/>
  <c r="I128" i="18" a="1"/>
  <c r="I128" i="18" s="1"/>
  <c r="O128" i="18" s="1"/>
  <c r="I127" i="18" a="1"/>
  <c r="I127" i="18" s="1"/>
  <c r="O127" i="18" s="1"/>
  <c r="I126" i="18" a="1"/>
  <c r="I126" i="18" s="1"/>
  <c r="O126" i="18" s="1"/>
  <c r="I125" i="18" a="1"/>
  <c r="I125" i="18" s="1"/>
  <c r="O125" i="18" s="1"/>
  <c r="I124" i="18" a="1"/>
  <c r="I124" i="18" s="1"/>
  <c r="O124" i="18" s="1"/>
  <c r="I123" i="18" a="1"/>
  <c r="I123" i="18" s="1"/>
  <c r="O123" i="18" s="1"/>
  <c r="I122" i="18" a="1"/>
  <c r="I122" i="18" s="1"/>
  <c r="O122" i="18" s="1"/>
  <c r="I121" i="18" a="1"/>
  <c r="I121" i="18" s="1"/>
  <c r="O121" i="18" s="1"/>
  <c r="I120" i="18" a="1"/>
  <c r="I120" i="18" s="1"/>
  <c r="O120" i="18" s="1"/>
  <c r="I119" i="18" a="1"/>
  <c r="I119" i="18" s="1"/>
  <c r="O119" i="18" s="1"/>
  <c r="I118" i="18" a="1"/>
  <c r="I118" i="18" s="1"/>
  <c r="O118" i="18" s="1"/>
  <c r="I117" i="18" a="1"/>
  <c r="I117" i="18" s="1"/>
  <c r="O117" i="18" s="1"/>
  <c r="I116" i="18" a="1"/>
  <c r="I116" i="18" s="1"/>
  <c r="O116" i="18" s="1"/>
  <c r="I115" i="18" a="1"/>
  <c r="I115" i="18" s="1"/>
  <c r="O115" i="18" s="1"/>
  <c r="I114" i="18" a="1"/>
  <c r="I114" i="18" s="1"/>
  <c r="O114" i="18" s="1"/>
  <c r="I113" i="18" a="1"/>
  <c r="I113" i="18" s="1"/>
  <c r="O113" i="18" s="1"/>
  <c r="I112" i="18" a="1"/>
  <c r="I112" i="18" s="1"/>
  <c r="O112" i="18" s="1"/>
  <c r="I111" i="18" a="1"/>
  <c r="I111" i="18" s="1"/>
  <c r="O111" i="18" s="1"/>
  <c r="I110" i="18" a="1"/>
  <c r="I110" i="18" s="1"/>
  <c r="O110" i="18" s="1"/>
  <c r="I109" i="18" a="1"/>
  <c r="I109" i="18" s="1"/>
  <c r="O109" i="18" s="1"/>
  <c r="I108" i="18" a="1"/>
  <c r="I108" i="18" s="1"/>
  <c r="O108" i="18" s="1"/>
  <c r="I107" i="18" a="1"/>
  <c r="I107" i="18" s="1"/>
  <c r="O107" i="18" s="1"/>
  <c r="I106" i="18" a="1"/>
  <c r="I106" i="18" s="1"/>
  <c r="O106" i="18" s="1"/>
  <c r="I105" i="18" a="1"/>
  <c r="I105" i="18" s="1"/>
  <c r="O105" i="18" s="1"/>
  <c r="I104" i="18" a="1"/>
  <c r="I104" i="18" s="1"/>
  <c r="O104" i="18" s="1"/>
  <c r="I103" i="18" a="1"/>
  <c r="I103" i="18" s="1"/>
  <c r="O103" i="18" s="1"/>
  <c r="I102" i="18" a="1"/>
  <c r="I102" i="18" s="1"/>
  <c r="O102" i="18" s="1"/>
  <c r="I101" i="18" a="1"/>
  <c r="I101" i="18" s="1"/>
  <c r="O101" i="18" s="1"/>
  <c r="I100" i="18" a="1"/>
  <c r="I100" i="18" s="1"/>
  <c r="O100" i="18" s="1"/>
  <c r="I99" i="18" a="1"/>
  <c r="I99" i="18" s="1"/>
  <c r="O99" i="18" s="1"/>
  <c r="I98" i="18" a="1"/>
  <c r="I98" i="18" s="1"/>
  <c r="O98" i="18" s="1"/>
  <c r="I97" i="18" a="1"/>
  <c r="I97" i="18" s="1"/>
  <c r="O97" i="18" s="1"/>
  <c r="I96" i="18" a="1"/>
  <c r="I96" i="18" s="1"/>
  <c r="O96" i="18" s="1"/>
  <c r="I95" i="18" a="1"/>
  <c r="I95" i="18" s="1"/>
  <c r="O95" i="18" s="1"/>
  <c r="I94" i="18" a="1"/>
  <c r="I94" i="18" s="1"/>
  <c r="O94" i="18" s="1"/>
  <c r="I93" i="18" a="1"/>
  <c r="I93" i="18" s="1"/>
  <c r="O93" i="18" s="1"/>
  <c r="I92" i="18" a="1"/>
  <c r="I92" i="18" s="1"/>
  <c r="O92" i="18" s="1"/>
  <c r="I91" i="18" a="1"/>
  <c r="I91" i="18" s="1"/>
  <c r="O91" i="18" s="1"/>
  <c r="I90" i="18" a="1"/>
  <c r="I90" i="18" s="1"/>
  <c r="O90" i="18" s="1"/>
  <c r="I89" i="18" a="1"/>
  <c r="I89" i="18" s="1"/>
  <c r="O89" i="18" s="1"/>
  <c r="I88" i="18" a="1"/>
  <c r="I88" i="18" s="1"/>
  <c r="O88" i="18" s="1"/>
  <c r="I71" i="18" a="1"/>
  <c r="I71" i="18" s="1"/>
  <c r="O71" i="18" s="1"/>
  <c r="I70" i="18" a="1"/>
  <c r="I70" i="18" s="1"/>
  <c r="O70" i="18" s="1"/>
  <c r="I41" i="18" a="1"/>
  <c r="I41" i="18" s="1"/>
  <c r="O41" i="18" s="1"/>
  <c r="P41" i="18" s="1"/>
  <c r="I40" i="18" a="1"/>
  <c r="I40" i="18" s="1"/>
  <c r="O40" i="18" s="1"/>
  <c r="P40" i="18" s="1"/>
  <c r="I39" i="18" a="1"/>
  <c r="I39" i="18" s="1"/>
  <c r="O39" i="18" s="1"/>
  <c r="P39" i="18" s="1"/>
  <c r="I38" i="18" a="1"/>
  <c r="I38" i="18" s="1"/>
  <c r="O38" i="18" s="1"/>
  <c r="P38" i="18" s="1"/>
  <c r="I37" i="18" a="1"/>
  <c r="I37" i="18" s="1"/>
  <c r="O37" i="18" s="1"/>
  <c r="P37" i="18" s="1"/>
  <c r="I36" i="18" a="1"/>
  <c r="I36" i="18" s="1"/>
  <c r="O36" i="18" s="1"/>
  <c r="P36" i="18" s="1"/>
  <c r="I35" i="18" a="1"/>
  <c r="I35" i="18" s="1"/>
  <c r="O35" i="18" s="1"/>
  <c r="P35" i="18" s="1"/>
  <c r="I34" i="18" a="1"/>
  <c r="I34" i="18" s="1"/>
  <c r="O34" i="18" s="1"/>
  <c r="P34" i="18" s="1"/>
  <c r="I33" i="18" a="1"/>
  <c r="I33" i="18" s="1"/>
  <c r="O33" i="18" s="1"/>
  <c r="P33" i="18" s="1"/>
  <c r="I32" i="18" a="1"/>
  <c r="I32" i="18" s="1"/>
  <c r="O32" i="18" s="1"/>
  <c r="P32" i="18" s="1"/>
  <c r="I31" i="18" a="1"/>
  <c r="I31" i="18" s="1"/>
  <c r="O31" i="18" s="1"/>
  <c r="P31" i="18" s="1"/>
  <c r="I30" i="18" a="1"/>
  <c r="I30" i="18" s="1"/>
  <c r="O30" i="18" s="1"/>
  <c r="P30" i="18" s="1"/>
  <c r="I29" i="18" a="1"/>
  <c r="I29" i="18" s="1"/>
  <c r="O29" i="18" s="1"/>
  <c r="P29" i="18" s="1"/>
  <c r="I28" i="18" a="1"/>
  <c r="I28" i="18" s="1"/>
  <c r="O28" i="18" s="1"/>
  <c r="P28" i="18" s="1"/>
  <c r="I27" i="18" a="1"/>
  <c r="I27" i="18" s="1"/>
  <c r="O27" i="18" s="1"/>
  <c r="P27" i="18" s="1"/>
  <c r="I26" i="18" a="1"/>
  <c r="I26" i="18" s="1"/>
  <c r="O26" i="18" s="1"/>
  <c r="P26" i="18" s="1"/>
  <c r="AN86" i="18"/>
  <c r="AK86" i="18"/>
  <c r="AJ86" i="18"/>
  <c r="AF86" i="18"/>
  <c r="AE86" i="18"/>
  <c r="V86" i="18"/>
  <c r="T86" i="18"/>
  <c r="L86" i="18" a="1"/>
  <c r="L86" i="18" s="1"/>
  <c r="G86" i="18" a="1"/>
  <c r="G86" i="18" s="1"/>
  <c r="F86" i="18" a="1"/>
  <c r="F86" i="18" s="1"/>
  <c r="I86" i="18" s="1" a="1"/>
  <c r="I86" i="18" s="1"/>
  <c r="O86" i="18" s="1"/>
  <c r="AN85" i="18"/>
  <c r="AK85" i="18"/>
  <c r="AJ85" i="18"/>
  <c r="AF85" i="18"/>
  <c r="AE85" i="18"/>
  <c r="V85" i="18"/>
  <c r="T85" i="18"/>
  <c r="L85" i="18" a="1"/>
  <c r="L85" i="18" s="1"/>
  <c r="G85" i="18" a="1"/>
  <c r="G85" i="18" s="1"/>
  <c r="F85" i="18" a="1"/>
  <c r="F85" i="18" s="1"/>
  <c r="I85" i="18" s="1" a="1"/>
  <c r="I85" i="18" s="1"/>
  <c r="O85" i="18" s="1"/>
  <c r="AN84" i="18"/>
  <c r="AK84" i="18"/>
  <c r="AJ84" i="18"/>
  <c r="AF84" i="18"/>
  <c r="AE84" i="18"/>
  <c r="V84" i="18"/>
  <c r="T84" i="18"/>
  <c r="L84" i="18" a="1"/>
  <c r="L84" i="18" s="1"/>
  <c r="G84" i="18" a="1"/>
  <c r="G84" i="18" s="1"/>
  <c r="F84" i="18" a="1"/>
  <c r="F84" i="18" s="1"/>
  <c r="AN83" i="18"/>
  <c r="AK83" i="18"/>
  <c r="AJ83" i="18"/>
  <c r="AF83" i="18"/>
  <c r="AE83" i="18"/>
  <c r="V83" i="18"/>
  <c r="T83" i="18"/>
  <c r="L83" i="18" a="1"/>
  <c r="L83" i="18" s="1"/>
  <c r="G83" i="18" a="1"/>
  <c r="G83" i="18" s="1"/>
  <c r="F83" i="18" a="1"/>
  <c r="F83" i="18" s="1"/>
  <c r="AN82" i="18"/>
  <c r="AK82" i="18"/>
  <c r="AJ82" i="18"/>
  <c r="AF82" i="18"/>
  <c r="AE82" i="18"/>
  <c r="V82" i="18"/>
  <c r="T82" i="18"/>
  <c r="L82" i="18" a="1"/>
  <c r="L82" i="18" s="1"/>
  <c r="G82" i="18" a="1"/>
  <c r="G82" i="18" s="1"/>
  <c r="F82" i="18" a="1"/>
  <c r="F82" i="18" s="1"/>
  <c r="AN81" i="18"/>
  <c r="AK81" i="18"/>
  <c r="AJ81" i="18"/>
  <c r="AF81" i="18"/>
  <c r="AE81" i="18"/>
  <c r="V81" i="18"/>
  <c r="T81" i="18"/>
  <c r="L81" i="18" a="1"/>
  <c r="L81" i="18" s="1"/>
  <c r="G81" i="18" a="1"/>
  <c r="G81" i="18" s="1"/>
  <c r="I81" i="18" s="1" a="1"/>
  <c r="I81" i="18" s="1"/>
  <c r="O81" i="18" s="1"/>
  <c r="F81" i="18" a="1"/>
  <c r="F81" i="18" s="1"/>
  <c r="AN80" i="18"/>
  <c r="AK80" i="18"/>
  <c r="AJ80" i="18"/>
  <c r="AF80" i="18"/>
  <c r="AE80" i="18"/>
  <c r="V80" i="18"/>
  <c r="T80" i="18"/>
  <c r="L80" i="18" a="1"/>
  <c r="L80" i="18" s="1"/>
  <c r="G80" i="18" a="1"/>
  <c r="G80" i="18" s="1"/>
  <c r="F80" i="18" a="1"/>
  <c r="F80" i="18" s="1"/>
  <c r="I80" i="18" s="1" a="1"/>
  <c r="I80" i="18" s="1"/>
  <c r="O80" i="18" s="1"/>
  <c r="AN79" i="18"/>
  <c r="AK79" i="18"/>
  <c r="AJ79" i="18"/>
  <c r="AF79" i="18"/>
  <c r="AE79" i="18"/>
  <c r="V79" i="18"/>
  <c r="T79" i="18"/>
  <c r="L79" i="18" a="1"/>
  <c r="L79" i="18" s="1"/>
  <c r="G79" i="18" a="1"/>
  <c r="G79" i="18" s="1"/>
  <c r="F79" i="18" a="1"/>
  <c r="F79" i="18" s="1"/>
  <c r="I79" i="18" s="1" a="1"/>
  <c r="I79" i="18" s="1"/>
  <c r="AN78" i="18"/>
  <c r="AK78" i="18"/>
  <c r="AJ78" i="18"/>
  <c r="AF78" i="18"/>
  <c r="AE78" i="18"/>
  <c r="V78" i="18"/>
  <c r="T78" i="18"/>
  <c r="L78" i="18" a="1"/>
  <c r="L78" i="18" s="1"/>
  <c r="G78" i="18" a="1"/>
  <c r="G78" i="18" s="1"/>
  <c r="F78" i="18" a="1"/>
  <c r="F78" i="18" s="1"/>
  <c r="AN77" i="18"/>
  <c r="AK77" i="18"/>
  <c r="AJ77" i="18"/>
  <c r="AF77" i="18"/>
  <c r="AE77" i="18"/>
  <c r="V77" i="18"/>
  <c r="T77" i="18"/>
  <c r="L77" i="18" a="1"/>
  <c r="L77" i="18" s="1"/>
  <c r="G77" i="18" a="1"/>
  <c r="G77" i="18" s="1"/>
  <c r="F77" i="18" a="1"/>
  <c r="F77" i="18" s="1"/>
  <c r="AN76" i="18"/>
  <c r="AK76" i="18"/>
  <c r="AJ76" i="18"/>
  <c r="AF76" i="18"/>
  <c r="AE76" i="18"/>
  <c r="V76" i="18"/>
  <c r="T76" i="18"/>
  <c r="L76" i="18" a="1"/>
  <c r="L76" i="18" s="1"/>
  <c r="G76" i="18" a="1"/>
  <c r="G76" i="18" s="1"/>
  <c r="F76" i="18" a="1"/>
  <c r="F76" i="18" s="1"/>
  <c r="AN75" i="18"/>
  <c r="AK75" i="18"/>
  <c r="AJ75" i="18"/>
  <c r="AF75" i="18"/>
  <c r="AE75" i="18"/>
  <c r="V75" i="18"/>
  <c r="T75" i="18"/>
  <c r="L75" i="18" a="1"/>
  <c r="L75" i="18" s="1"/>
  <c r="G75" i="18" a="1"/>
  <c r="G75" i="18" s="1"/>
  <c r="F75" i="18" a="1"/>
  <c r="F75" i="18" s="1"/>
  <c r="AN74" i="18"/>
  <c r="AK74" i="18"/>
  <c r="AJ74" i="18"/>
  <c r="AF74" i="18"/>
  <c r="AE74" i="18"/>
  <c r="V74" i="18"/>
  <c r="T74" i="18"/>
  <c r="L74" i="18" a="1"/>
  <c r="L74" i="18" s="1"/>
  <c r="G74" i="18" a="1"/>
  <c r="G74" i="18" s="1"/>
  <c r="F74" i="18" a="1"/>
  <c r="F74" i="18" s="1"/>
  <c r="I74" i="18" s="1" a="1"/>
  <c r="I74" i="18" s="1"/>
  <c r="O74" i="18" s="1"/>
  <c r="AN73" i="18"/>
  <c r="AK73" i="18"/>
  <c r="AJ73" i="18"/>
  <c r="AF73" i="18"/>
  <c r="AE73" i="18"/>
  <c r="V73" i="18"/>
  <c r="T73" i="18"/>
  <c r="L73" i="18" a="1"/>
  <c r="L73" i="18" s="1"/>
  <c r="G73" i="18" a="1"/>
  <c r="G73" i="18" s="1"/>
  <c r="F73" i="18" a="1"/>
  <c r="F73" i="18" s="1"/>
  <c r="I73" i="18" s="1" a="1"/>
  <c r="I73" i="18" s="1"/>
  <c r="O73" i="18" s="1"/>
  <c r="AN72" i="18"/>
  <c r="AK72" i="18"/>
  <c r="AJ72" i="18"/>
  <c r="AF72" i="18"/>
  <c r="AE72" i="18"/>
  <c r="V72" i="18"/>
  <c r="T72" i="18"/>
  <c r="L72" i="18" a="1"/>
  <c r="L72" i="18" s="1"/>
  <c r="G72" i="18" a="1"/>
  <c r="G72" i="18" s="1"/>
  <c r="F72" i="18" a="1"/>
  <c r="F72" i="18" s="1"/>
  <c r="AN67" i="18"/>
  <c r="AK67" i="18"/>
  <c r="AJ67" i="18"/>
  <c r="AF67" i="18"/>
  <c r="AE67" i="18"/>
  <c r="V67" i="18"/>
  <c r="T67" i="18"/>
  <c r="L67" i="18" a="1"/>
  <c r="L67" i="18" s="1"/>
  <c r="G67" i="18" a="1"/>
  <c r="G67" i="18" s="1"/>
  <c r="F67" i="18" a="1"/>
  <c r="F67" i="18" s="1"/>
  <c r="C141" i="26"/>
  <c r="C140" i="26"/>
  <c r="C139" i="26"/>
  <c r="C138" i="26"/>
  <c r="C137" i="26"/>
  <c r="C136" i="26"/>
  <c r="C135" i="26"/>
  <c r="C134" i="26"/>
  <c r="C133" i="26"/>
  <c r="C132" i="26"/>
  <c r="C131" i="26"/>
  <c r="C130" i="26"/>
  <c r="C129" i="26"/>
  <c r="C128" i="26"/>
  <c r="C127" i="26"/>
  <c r="C126" i="26"/>
  <c r="C125" i="26"/>
  <c r="C124" i="26"/>
  <c r="C123" i="26"/>
  <c r="C122" i="26"/>
  <c r="C121" i="26"/>
  <c r="C120" i="26"/>
  <c r="C119" i="26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1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F405" i="22"/>
  <c r="F406" i="22"/>
  <c r="F407" i="22"/>
  <c r="Q79" i="18" l="1"/>
  <c r="O79" i="18"/>
  <c r="AG79" i="18" s="1" a="1"/>
  <c r="AG79" i="18" s="1"/>
  <c r="AH79" i="18" s="1"/>
  <c r="I84" i="18" a="1"/>
  <c r="I84" i="18" s="1"/>
  <c r="I83" i="18" a="1"/>
  <c r="I83" i="18" s="1"/>
  <c r="I78" i="18" a="1"/>
  <c r="I78" i="18" s="1"/>
  <c r="I76" i="18" a="1"/>
  <c r="I76" i="18" s="1"/>
  <c r="I82" i="18" a="1"/>
  <c r="I82" i="18" s="1"/>
  <c r="I72" i="18" a="1"/>
  <c r="I72" i="18" s="1"/>
  <c r="I67" i="18" a="1"/>
  <c r="I67" i="18" s="1"/>
  <c r="I77" i="18" a="1"/>
  <c r="I77" i="18" s="1"/>
  <c r="I75" i="18" a="1"/>
  <c r="I75" i="18" s="1"/>
  <c r="Q86" i="18"/>
  <c r="Q85" i="18"/>
  <c r="Q74" i="18"/>
  <c r="Q73" i="18"/>
  <c r="Q80" i="18"/>
  <c r="AC86" i="18" a="1"/>
  <c r="AC86" i="18" s="1"/>
  <c r="AD86" i="18" s="1"/>
  <c r="AC85" i="18" a="1"/>
  <c r="AC85" i="18" s="1"/>
  <c r="AD85" i="18" s="1"/>
  <c r="AC80" i="18" a="1"/>
  <c r="AC80" i="18" s="1"/>
  <c r="AD80" i="18" s="1"/>
  <c r="Q81" i="18"/>
  <c r="AC81" i="18" a="1"/>
  <c r="AC81" i="18" s="1"/>
  <c r="AD81" i="18" s="1"/>
  <c r="AC74" i="18" a="1"/>
  <c r="AC74" i="18" s="1"/>
  <c r="AD74" i="18" s="1"/>
  <c r="AC73" i="18" a="1"/>
  <c r="AC73" i="18" s="1"/>
  <c r="AD73" i="18" s="1"/>
  <c r="Q116" i="18"/>
  <c r="Q111" i="18"/>
  <c r="Q104" i="18"/>
  <c r="AN13" i="18"/>
  <c r="AK13" i="18"/>
  <c r="AJ13" i="18"/>
  <c r="AF13" i="18"/>
  <c r="AE13" i="18"/>
  <c r="V13" i="18"/>
  <c r="T13" i="18"/>
  <c r="L13" i="18" a="1"/>
  <c r="L13" i="18" s="1"/>
  <c r="G13" i="18" a="1"/>
  <c r="G13" i="18" s="1"/>
  <c r="F13" i="18" a="1"/>
  <c r="F13" i="18" s="1"/>
  <c r="AF653" i="18"/>
  <c r="AE653" i="18"/>
  <c r="AF652" i="18"/>
  <c r="AE652" i="18"/>
  <c r="AF651" i="18"/>
  <c r="AE651" i="18"/>
  <c r="AF650" i="18"/>
  <c r="AE650" i="18"/>
  <c r="AF649" i="18"/>
  <c r="AE649" i="18"/>
  <c r="AF648" i="18"/>
  <c r="AE648" i="18"/>
  <c r="AF647" i="18"/>
  <c r="AE647" i="18"/>
  <c r="AF646" i="18"/>
  <c r="AE646" i="18"/>
  <c r="AF645" i="18"/>
  <c r="AE645" i="18"/>
  <c r="AF644" i="18"/>
  <c r="AE644" i="18"/>
  <c r="AF643" i="18"/>
  <c r="AE643" i="18"/>
  <c r="AF642" i="18"/>
  <c r="AE642" i="18"/>
  <c r="AF641" i="18"/>
  <c r="AE641" i="18"/>
  <c r="AF640" i="18"/>
  <c r="AE640" i="18"/>
  <c r="AF639" i="18"/>
  <c r="AE639" i="18"/>
  <c r="AF638" i="18"/>
  <c r="AE638" i="18"/>
  <c r="AF637" i="18"/>
  <c r="AE637" i="18"/>
  <c r="AF636" i="18"/>
  <c r="AE636" i="18"/>
  <c r="AF635" i="18"/>
  <c r="AE635" i="18"/>
  <c r="AF634" i="18"/>
  <c r="AE634" i="18"/>
  <c r="AF633" i="18"/>
  <c r="AE633" i="18"/>
  <c r="AF632" i="18"/>
  <c r="AE632" i="18"/>
  <c r="AF631" i="18"/>
  <c r="AE631" i="18"/>
  <c r="AF630" i="18"/>
  <c r="AE630" i="18"/>
  <c r="AF629" i="18"/>
  <c r="AE629" i="18"/>
  <c r="AF628" i="18"/>
  <c r="AE628" i="18"/>
  <c r="AF627" i="18"/>
  <c r="AE627" i="18"/>
  <c r="AF626" i="18"/>
  <c r="AE626" i="18"/>
  <c r="AF625" i="18"/>
  <c r="AE625" i="18"/>
  <c r="AF624" i="18"/>
  <c r="AE624" i="18"/>
  <c r="AF623" i="18"/>
  <c r="AE623" i="18"/>
  <c r="AF622" i="18"/>
  <c r="AE622" i="18"/>
  <c r="AF621" i="18"/>
  <c r="AE621" i="18"/>
  <c r="AF620" i="18"/>
  <c r="AE620" i="18"/>
  <c r="AF619" i="18"/>
  <c r="AE619" i="18"/>
  <c r="AF618" i="18"/>
  <c r="AE618" i="18"/>
  <c r="AF617" i="18"/>
  <c r="AE617" i="18"/>
  <c r="AF616" i="18"/>
  <c r="AE616" i="18"/>
  <c r="AF615" i="18"/>
  <c r="AE615" i="18"/>
  <c r="AF614" i="18"/>
  <c r="AE614" i="18"/>
  <c r="AF613" i="18"/>
  <c r="AE613" i="18"/>
  <c r="AF612" i="18"/>
  <c r="AE612" i="18"/>
  <c r="AF611" i="18"/>
  <c r="AE611" i="18"/>
  <c r="AF610" i="18"/>
  <c r="AE610" i="18"/>
  <c r="AF609" i="18"/>
  <c r="AE609" i="18"/>
  <c r="AF608" i="18"/>
  <c r="AE608" i="18"/>
  <c r="AF607" i="18"/>
  <c r="AE607" i="18"/>
  <c r="AF606" i="18"/>
  <c r="AE606" i="18"/>
  <c r="AF605" i="18"/>
  <c r="AE605" i="18"/>
  <c r="AF604" i="18"/>
  <c r="AE604" i="18"/>
  <c r="AF603" i="18"/>
  <c r="AE603" i="18"/>
  <c r="AF602" i="18"/>
  <c r="AE602" i="18"/>
  <c r="AF601" i="18"/>
  <c r="AE601" i="18"/>
  <c r="AF600" i="18"/>
  <c r="AE600" i="18"/>
  <c r="AF599" i="18"/>
  <c r="AE599" i="18"/>
  <c r="AF598" i="18"/>
  <c r="AE598" i="18"/>
  <c r="AF597" i="18"/>
  <c r="AE597" i="18"/>
  <c r="AF596" i="18"/>
  <c r="AE596" i="18"/>
  <c r="AF595" i="18"/>
  <c r="AE595" i="18"/>
  <c r="AF594" i="18"/>
  <c r="AE594" i="18"/>
  <c r="AF593" i="18"/>
  <c r="AE593" i="18"/>
  <c r="AF592" i="18"/>
  <c r="AE592" i="18"/>
  <c r="AF591" i="18"/>
  <c r="AE591" i="18"/>
  <c r="AF590" i="18"/>
  <c r="AE590" i="18"/>
  <c r="AF589" i="18"/>
  <c r="AE589" i="18"/>
  <c r="AF588" i="18"/>
  <c r="AE588" i="18"/>
  <c r="AF587" i="18"/>
  <c r="AE587" i="18"/>
  <c r="AF586" i="18"/>
  <c r="AE586" i="18"/>
  <c r="AF585" i="18"/>
  <c r="AE585" i="18"/>
  <c r="AF584" i="18"/>
  <c r="AE584" i="18"/>
  <c r="AF583" i="18"/>
  <c r="AE583" i="18"/>
  <c r="AF582" i="18"/>
  <c r="AE582" i="18"/>
  <c r="AF581" i="18"/>
  <c r="AE581" i="18"/>
  <c r="AF580" i="18"/>
  <c r="AE580" i="18"/>
  <c r="AF579" i="18"/>
  <c r="AE579" i="18"/>
  <c r="AF578" i="18"/>
  <c r="AE578" i="18"/>
  <c r="AF577" i="18"/>
  <c r="AE577" i="18"/>
  <c r="AF576" i="18"/>
  <c r="AE576" i="18"/>
  <c r="AF575" i="18"/>
  <c r="AE575" i="18"/>
  <c r="AF574" i="18"/>
  <c r="AE574" i="18"/>
  <c r="AF573" i="18"/>
  <c r="AE573" i="18"/>
  <c r="AF572" i="18"/>
  <c r="AE572" i="18"/>
  <c r="AF571" i="18"/>
  <c r="AE571" i="18"/>
  <c r="AF570" i="18"/>
  <c r="AE570" i="18"/>
  <c r="AF569" i="18"/>
  <c r="AE569" i="18"/>
  <c r="AF568" i="18"/>
  <c r="AE568" i="18"/>
  <c r="AF567" i="18"/>
  <c r="AE567" i="18"/>
  <c r="AF566" i="18"/>
  <c r="AE566" i="18"/>
  <c r="AF565" i="18"/>
  <c r="AE565" i="18"/>
  <c r="AF564" i="18"/>
  <c r="AE564" i="18"/>
  <c r="AF563" i="18"/>
  <c r="AE563" i="18"/>
  <c r="AF562" i="18"/>
  <c r="AE562" i="18"/>
  <c r="AF561" i="18"/>
  <c r="AE561" i="18"/>
  <c r="AF560" i="18"/>
  <c r="AE560" i="18"/>
  <c r="AF559" i="18"/>
  <c r="AE559" i="18"/>
  <c r="AF558" i="18"/>
  <c r="AE558" i="18"/>
  <c r="AF557" i="18"/>
  <c r="AE557" i="18"/>
  <c r="AF556" i="18"/>
  <c r="AE556" i="18"/>
  <c r="AF555" i="18"/>
  <c r="AE555" i="18"/>
  <c r="AF554" i="18"/>
  <c r="AE554" i="18"/>
  <c r="AF553" i="18"/>
  <c r="AE553" i="18"/>
  <c r="AF552" i="18"/>
  <c r="AE552" i="18"/>
  <c r="AF551" i="18"/>
  <c r="AE551" i="18"/>
  <c r="AF550" i="18"/>
  <c r="AE550" i="18"/>
  <c r="AF549" i="18"/>
  <c r="AE549" i="18"/>
  <c r="AF548" i="18"/>
  <c r="AE548" i="18"/>
  <c r="AF547" i="18"/>
  <c r="AE547" i="18"/>
  <c r="AF546" i="18"/>
  <c r="AE546" i="18"/>
  <c r="AF545" i="18"/>
  <c r="AE545" i="18"/>
  <c r="AF544" i="18"/>
  <c r="AE544" i="18"/>
  <c r="AF543" i="18"/>
  <c r="AE543" i="18"/>
  <c r="AF542" i="18"/>
  <c r="AE542" i="18"/>
  <c r="AF541" i="18"/>
  <c r="AE541" i="18"/>
  <c r="AF540" i="18"/>
  <c r="AE540" i="18"/>
  <c r="AF539" i="18"/>
  <c r="AE539" i="18"/>
  <c r="AF538" i="18"/>
  <c r="AE538" i="18"/>
  <c r="AF537" i="18"/>
  <c r="AE537" i="18"/>
  <c r="AF536" i="18"/>
  <c r="AE536" i="18"/>
  <c r="AF535" i="18"/>
  <c r="AE535" i="18"/>
  <c r="AF534" i="18"/>
  <c r="AE534" i="18"/>
  <c r="AF533" i="18"/>
  <c r="AE533" i="18"/>
  <c r="AF532" i="18"/>
  <c r="AE532" i="18"/>
  <c r="AF531" i="18"/>
  <c r="AE531" i="18"/>
  <c r="AF530" i="18"/>
  <c r="AE530" i="18"/>
  <c r="AF529" i="18"/>
  <c r="AE529" i="18"/>
  <c r="AF528" i="18"/>
  <c r="AE528" i="18"/>
  <c r="AF527" i="18"/>
  <c r="AE527" i="18"/>
  <c r="AF526" i="18"/>
  <c r="AE526" i="18"/>
  <c r="AF525" i="18"/>
  <c r="AE525" i="18"/>
  <c r="AF524" i="18"/>
  <c r="AE524" i="18"/>
  <c r="AF523" i="18"/>
  <c r="AE523" i="18"/>
  <c r="AF522" i="18"/>
  <c r="AE522" i="18"/>
  <c r="AF521" i="18"/>
  <c r="AE521" i="18"/>
  <c r="AF520" i="18"/>
  <c r="AE520" i="18"/>
  <c r="AF519" i="18"/>
  <c r="AE519" i="18"/>
  <c r="AF518" i="18"/>
  <c r="AE518" i="18"/>
  <c r="AF517" i="18"/>
  <c r="AE517" i="18"/>
  <c r="AF516" i="18"/>
  <c r="AE516" i="18"/>
  <c r="AF515" i="18"/>
  <c r="AE515" i="18"/>
  <c r="AF514" i="18"/>
  <c r="AE514" i="18"/>
  <c r="AF513" i="18"/>
  <c r="AE513" i="18"/>
  <c r="AF512" i="18"/>
  <c r="AE512" i="18"/>
  <c r="AF511" i="18"/>
  <c r="AE511" i="18"/>
  <c r="AF510" i="18"/>
  <c r="AE510" i="18"/>
  <c r="AF509" i="18"/>
  <c r="AE509" i="18"/>
  <c r="AF508" i="18"/>
  <c r="AE508" i="18"/>
  <c r="AF507" i="18"/>
  <c r="AE507" i="18"/>
  <c r="AF506" i="18"/>
  <c r="AE506" i="18"/>
  <c r="AF505" i="18"/>
  <c r="AE505" i="18"/>
  <c r="AF504" i="18"/>
  <c r="AE504" i="18"/>
  <c r="AF503" i="18"/>
  <c r="AE503" i="18"/>
  <c r="AF502" i="18"/>
  <c r="AE502" i="18"/>
  <c r="AF501" i="18"/>
  <c r="AE501" i="18"/>
  <c r="AF500" i="18"/>
  <c r="AE500" i="18"/>
  <c r="AF499" i="18"/>
  <c r="AE499" i="18"/>
  <c r="AF498" i="18"/>
  <c r="AE498" i="18"/>
  <c r="AF497" i="18"/>
  <c r="AE497" i="18"/>
  <c r="AF496" i="18"/>
  <c r="AE496" i="18"/>
  <c r="AF495" i="18"/>
  <c r="AE495" i="18"/>
  <c r="AF494" i="18"/>
  <c r="AE494" i="18"/>
  <c r="AF493" i="18"/>
  <c r="AE493" i="18"/>
  <c r="AF492" i="18"/>
  <c r="AE492" i="18"/>
  <c r="AF491" i="18"/>
  <c r="AE491" i="18"/>
  <c r="AF490" i="18"/>
  <c r="AE490" i="18"/>
  <c r="AF489" i="18"/>
  <c r="AE489" i="18"/>
  <c r="AF488" i="18"/>
  <c r="AE488" i="18"/>
  <c r="AF487" i="18"/>
  <c r="AE487" i="18"/>
  <c r="AF486" i="18"/>
  <c r="AE486" i="18"/>
  <c r="AF485" i="18"/>
  <c r="AE485" i="18"/>
  <c r="AF484" i="18"/>
  <c r="AE484" i="18"/>
  <c r="AF483" i="18"/>
  <c r="AE483" i="18"/>
  <c r="AF482" i="18"/>
  <c r="AE482" i="18"/>
  <c r="AF481" i="18"/>
  <c r="AE481" i="18"/>
  <c r="AF480" i="18"/>
  <c r="AE480" i="18"/>
  <c r="AF479" i="18"/>
  <c r="AE479" i="18"/>
  <c r="AF478" i="18"/>
  <c r="AE478" i="18"/>
  <c r="AF477" i="18"/>
  <c r="AE477" i="18"/>
  <c r="AF476" i="18"/>
  <c r="AE476" i="18"/>
  <c r="AF475" i="18"/>
  <c r="AE475" i="18"/>
  <c r="AF474" i="18"/>
  <c r="AE474" i="18"/>
  <c r="AF473" i="18"/>
  <c r="AE473" i="18"/>
  <c r="AF472" i="18"/>
  <c r="AE472" i="18"/>
  <c r="AF471" i="18"/>
  <c r="AE471" i="18"/>
  <c r="AF470" i="18"/>
  <c r="AE470" i="18"/>
  <c r="AF469" i="18"/>
  <c r="AE469" i="18"/>
  <c r="AF468" i="18"/>
  <c r="AE468" i="18"/>
  <c r="AF467" i="18"/>
  <c r="AE467" i="18"/>
  <c r="AF466" i="18"/>
  <c r="AE466" i="18"/>
  <c r="AF465" i="18"/>
  <c r="AE465" i="18"/>
  <c r="AF464" i="18"/>
  <c r="AE464" i="18"/>
  <c r="AF463" i="18"/>
  <c r="AE463" i="18"/>
  <c r="AF462" i="18"/>
  <c r="AE462" i="18"/>
  <c r="AF461" i="18"/>
  <c r="AE461" i="18"/>
  <c r="AF460" i="18"/>
  <c r="AE460" i="18"/>
  <c r="AF459" i="18"/>
  <c r="AE459" i="18"/>
  <c r="AF458" i="18"/>
  <c r="AE458" i="18"/>
  <c r="AF457" i="18"/>
  <c r="AE457" i="18"/>
  <c r="AF456" i="18"/>
  <c r="AE456" i="18"/>
  <c r="AF455" i="18"/>
  <c r="AE455" i="18"/>
  <c r="AF454" i="18"/>
  <c r="AE454" i="18"/>
  <c r="AF453" i="18"/>
  <c r="AE453" i="18"/>
  <c r="AF452" i="18"/>
  <c r="AE452" i="18"/>
  <c r="AF451" i="18"/>
  <c r="AE451" i="18"/>
  <c r="AF450" i="18"/>
  <c r="AE450" i="18"/>
  <c r="AF449" i="18"/>
  <c r="AE449" i="18"/>
  <c r="AF448" i="18"/>
  <c r="AE448" i="18"/>
  <c r="AF447" i="18"/>
  <c r="AE447" i="18"/>
  <c r="AF446" i="18"/>
  <c r="AE446" i="18"/>
  <c r="AF445" i="18"/>
  <c r="AE445" i="18"/>
  <c r="AF444" i="18"/>
  <c r="AE444" i="18"/>
  <c r="AF443" i="18"/>
  <c r="AE443" i="18"/>
  <c r="AF442" i="18"/>
  <c r="AE442" i="18"/>
  <c r="AF441" i="18"/>
  <c r="AE441" i="18"/>
  <c r="AF440" i="18"/>
  <c r="AE440" i="18"/>
  <c r="AF439" i="18"/>
  <c r="AE439" i="18"/>
  <c r="AF438" i="18"/>
  <c r="AE438" i="18"/>
  <c r="AF437" i="18"/>
  <c r="AE437" i="18"/>
  <c r="AF436" i="18"/>
  <c r="AE436" i="18"/>
  <c r="AF435" i="18"/>
  <c r="AE435" i="18"/>
  <c r="AF434" i="18"/>
  <c r="AE434" i="18"/>
  <c r="AF433" i="18"/>
  <c r="AE433" i="18"/>
  <c r="AF432" i="18"/>
  <c r="AE432" i="18"/>
  <c r="AF431" i="18"/>
  <c r="AE431" i="18"/>
  <c r="AF430" i="18"/>
  <c r="AE430" i="18"/>
  <c r="AF429" i="18"/>
  <c r="AE429" i="18"/>
  <c r="AF428" i="18"/>
  <c r="AE428" i="18"/>
  <c r="AF427" i="18"/>
  <c r="AE427" i="18"/>
  <c r="AF426" i="18"/>
  <c r="AE426" i="18"/>
  <c r="AF425" i="18"/>
  <c r="AE425" i="18"/>
  <c r="AF424" i="18"/>
  <c r="AE424" i="18"/>
  <c r="AF423" i="18"/>
  <c r="AE423" i="18"/>
  <c r="AF422" i="18"/>
  <c r="AE422" i="18"/>
  <c r="AF421" i="18"/>
  <c r="AE421" i="18"/>
  <c r="AF420" i="18"/>
  <c r="AE420" i="18"/>
  <c r="AF419" i="18"/>
  <c r="AE419" i="18"/>
  <c r="AF418" i="18"/>
  <c r="AE418" i="18"/>
  <c r="AF417" i="18"/>
  <c r="AE417" i="18"/>
  <c r="AF416" i="18"/>
  <c r="AE416" i="18"/>
  <c r="AF415" i="18"/>
  <c r="AE415" i="18"/>
  <c r="AF414" i="18"/>
  <c r="AE414" i="18"/>
  <c r="AF413" i="18"/>
  <c r="AE413" i="18"/>
  <c r="AF412" i="18"/>
  <c r="AE412" i="18"/>
  <c r="AF411" i="18"/>
  <c r="AE411" i="18"/>
  <c r="AF410" i="18"/>
  <c r="AE410" i="18"/>
  <c r="AF409" i="18"/>
  <c r="AE409" i="18"/>
  <c r="AF408" i="18"/>
  <c r="AE408" i="18"/>
  <c r="AF407" i="18"/>
  <c r="AE407" i="18"/>
  <c r="AF406" i="18"/>
  <c r="AE406" i="18"/>
  <c r="AF405" i="18"/>
  <c r="AE405" i="18"/>
  <c r="AF404" i="18"/>
  <c r="AE404" i="18"/>
  <c r="AF403" i="18"/>
  <c r="AE403" i="18"/>
  <c r="AF402" i="18"/>
  <c r="AE402" i="18"/>
  <c r="AF401" i="18"/>
  <c r="AE401" i="18"/>
  <c r="AF400" i="18"/>
  <c r="AE400" i="18"/>
  <c r="AF399" i="18"/>
  <c r="AE399" i="18"/>
  <c r="AF398" i="18"/>
  <c r="AE398" i="18"/>
  <c r="AF397" i="18"/>
  <c r="AE397" i="18"/>
  <c r="AF396" i="18"/>
  <c r="AE396" i="18"/>
  <c r="AF395" i="18"/>
  <c r="AE395" i="18"/>
  <c r="AF394" i="18"/>
  <c r="AE394" i="18"/>
  <c r="AF393" i="18"/>
  <c r="AE393" i="18"/>
  <c r="AF392" i="18"/>
  <c r="AE392" i="18"/>
  <c r="AF391" i="18"/>
  <c r="AE391" i="18"/>
  <c r="AF390" i="18"/>
  <c r="AE390" i="18"/>
  <c r="AF389" i="18"/>
  <c r="AE389" i="18"/>
  <c r="AF388" i="18"/>
  <c r="AE388" i="18"/>
  <c r="AF387" i="18"/>
  <c r="AE387" i="18"/>
  <c r="AF386" i="18"/>
  <c r="AE386" i="18"/>
  <c r="AF385" i="18"/>
  <c r="AE385" i="18"/>
  <c r="AF384" i="18"/>
  <c r="AE384" i="18"/>
  <c r="AF383" i="18"/>
  <c r="AE383" i="18"/>
  <c r="AF382" i="18"/>
  <c r="AE382" i="18"/>
  <c r="AF381" i="18"/>
  <c r="AE381" i="18"/>
  <c r="AF380" i="18"/>
  <c r="AE380" i="18"/>
  <c r="AF379" i="18"/>
  <c r="AE379" i="18"/>
  <c r="AF378" i="18"/>
  <c r="AE378" i="18"/>
  <c r="AF377" i="18"/>
  <c r="AE377" i="18"/>
  <c r="AF376" i="18"/>
  <c r="AE376" i="18"/>
  <c r="AF375" i="18"/>
  <c r="AE375" i="18"/>
  <c r="AF374" i="18"/>
  <c r="AE374" i="18"/>
  <c r="AF373" i="18"/>
  <c r="AE373" i="18"/>
  <c r="AF372" i="18"/>
  <c r="AE372" i="18"/>
  <c r="AF371" i="18"/>
  <c r="AE371" i="18"/>
  <c r="AF370" i="18"/>
  <c r="AE370" i="18"/>
  <c r="AF369" i="18"/>
  <c r="AE369" i="18"/>
  <c r="AF368" i="18"/>
  <c r="AE368" i="18"/>
  <c r="AF367" i="18"/>
  <c r="AE367" i="18"/>
  <c r="AF366" i="18"/>
  <c r="AE366" i="18"/>
  <c r="AF365" i="18"/>
  <c r="AE365" i="18"/>
  <c r="AF364" i="18"/>
  <c r="AE364" i="18"/>
  <c r="AF363" i="18"/>
  <c r="AE363" i="18"/>
  <c r="AF362" i="18"/>
  <c r="AE362" i="18"/>
  <c r="AF361" i="18"/>
  <c r="AE361" i="18"/>
  <c r="AF360" i="18"/>
  <c r="AE360" i="18"/>
  <c r="AF359" i="18"/>
  <c r="AE359" i="18"/>
  <c r="AF358" i="18"/>
  <c r="AE358" i="18"/>
  <c r="AF357" i="18"/>
  <c r="AE357" i="18"/>
  <c r="AF356" i="18"/>
  <c r="AE356" i="18"/>
  <c r="AF355" i="18"/>
  <c r="AE355" i="18"/>
  <c r="AF354" i="18"/>
  <c r="AE354" i="18"/>
  <c r="AF353" i="18"/>
  <c r="AE353" i="18"/>
  <c r="AF352" i="18"/>
  <c r="AE352" i="18"/>
  <c r="AF351" i="18"/>
  <c r="AE351" i="18"/>
  <c r="AF350" i="18"/>
  <c r="AE350" i="18"/>
  <c r="AF349" i="18"/>
  <c r="AE349" i="18"/>
  <c r="AF348" i="18"/>
  <c r="AE348" i="18"/>
  <c r="AF347" i="18"/>
  <c r="AE347" i="18"/>
  <c r="AF346" i="18"/>
  <c r="AE346" i="18"/>
  <c r="AF345" i="18"/>
  <c r="AE345" i="18"/>
  <c r="AF344" i="18"/>
  <c r="AE344" i="18"/>
  <c r="AF343" i="18"/>
  <c r="AE343" i="18"/>
  <c r="AF342" i="18"/>
  <c r="AE342" i="18"/>
  <c r="AF341" i="18"/>
  <c r="AE341" i="18"/>
  <c r="AF340" i="18"/>
  <c r="AE340" i="18"/>
  <c r="AF339" i="18"/>
  <c r="AE339" i="18"/>
  <c r="AF338" i="18"/>
  <c r="AE338" i="18"/>
  <c r="AF337" i="18"/>
  <c r="AE337" i="18"/>
  <c r="AF336" i="18"/>
  <c r="AE336" i="18"/>
  <c r="AF335" i="18"/>
  <c r="AE335" i="18"/>
  <c r="AF334" i="18"/>
  <c r="AE334" i="18"/>
  <c r="AF333" i="18"/>
  <c r="AE333" i="18"/>
  <c r="AF332" i="18"/>
  <c r="AE332" i="18"/>
  <c r="AF331" i="18"/>
  <c r="AE331" i="18"/>
  <c r="AF330" i="18"/>
  <c r="AE330" i="18"/>
  <c r="AF329" i="18"/>
  <c r="AE329" i="18"/>
  <c r="AF328" i="18"/>
  <c r="AE328" i="18"/>
  <c r="AF327" i="18"/>
  <c r="AE327" i="18"/>
  <c r="AF326" i="18"/>
  <c r="AE326" i="18"/>
  <c r="AF325" i="18"/>
  <c r="AE325" i="18"/>
  <c r="AF324" i="18"/>
  <c r="AE324" i="18"/>
  <c r="AF323" i="18"/>
  <c r="AE323" i="18"/>
  <c r="AF322" i="18"/>
  <c r="AE322" i="18"/>
  <c r="AF321" i="18"/>
  <c r="AE321" i="18"/>
  <c r="AF320" i="18"/>
  <c r="AE320" i="18"/>
  <c r="AF319" i="18"/>
  <c r="AE319" i="18"/>
  <c r="AF318" i="18"/>
  <c r="AE318" i="18"/>
  <c r="AF317" i="18"/>
  <c r="AE317" i="18"/>
  <c r="AF316" i="18"/>
  <c r="AE316" i="18"/>
  <c r="AF315" i="18"/>
  <c r="AE315" i="18"/>
  <c r="AF314" i="18"/>
  <c r="AE314" i="18"/>
  <c r="AF313" i="18"/>
  <c r="AE313" i="18"/>
  <c r="AF312" i="18"/>
  <c r="AE312" i="18"/>
  <c r="AF311" i="18"/>
  <c r="AE311" i="18"/>
  <c r="AF310" i="18"/>
  <c r="AE310" i="18"/>
  <c r="AF309" i="18"/>
  <c r="AE309" i="18"/>
  <c r="AF308" i="18"/>
  <c r="AE308" i="18"/>
  <c r="AF307" i="18"/>
  <c r="AE307" i="18"/>
  <c r="AF306" i="18"/>
  <c r="AE306" i="18"/>
  <c r="AF305" i="18"/>
  <c r="AE305" i="18"/>
  <c r="AF304" i="18"/>
  <c r="AE304" i="18"/>
  <c r="AF303" i="18"/>
  <c r="AE303" i="18"/>
  <c r="AF302" i="18"/>
  <c r="AE302" i="18"/>
  <c r="AF301" i="18"/>
  <c r="AE301" i="18"/>
  <c r="AF300" i="18"/>
  <c r="AE300" i="18"/>
  <c r="AF299" i="18"/>
  <c r="AE299" i="18"/>
  <c r="AF298" i="18"/>
  <c r="AE298" i="18"/>
  <c r="AF297" i="18"/>
  <c r="AE297" i="18"/>
  <c r="AF296" i="18"/>
  <c r="AE296" i="18"/>
  <c r="AF295" i="18"/>
  <c r="AE295" i="18"/>
  <c r="AF294" i="18"/>
  <c r="AE294" i="18"/>
  <c r="AF293" i="18"/>
  <c r="AE293" i="18"/>
  <c r="AF292" i="18"/>
  <c r="AE292" i="18"/>
  <c r="AF291" i="18"/>
  <c r="AE291" i="18"/>
  <c r="AF290" i="18"/>
  <c r="AE290" i="18"/>
  <c r="AF289" i="18"/>
  <c r="AE289" i="18"/>
  <c r="AF288" i="18"/>
  <c r="AE288" i="18"/>
  <c r="AF287" i="18"/>
  <c r="AE287" i="18"/>
  <c r="AF286" i="18"/>
  <c r="AE286" i="18"/>
  <c r="AF285" i="18"/>
  <c r="AE285" i="18"/>
  <c r="AF284" i="18"/>
  <c r="AE284" i="18"/>
  <c r="AF283" i="18"/>
  <c r="AE283" i="18"/>
  <c r="AF282" i="18"/>
  <c r="AE282" i="18"/>
  <c r="AF281" i="18"/>
  <c r="AE281" i="18"/>
  <c r="AF280" i="18"/>
  <c r="AE280" i="18"/>
  <c r="AF279" i="18"/>
  <c r="AE279" i="18"/>
  <c r="AF278" i="18"/>
  <c r="AE278" i="18"/>
  <c r="AF277" i="18"/>
  <c r="AE277" i="18"/>
  <c r="AF276" i="18"/>
  <c r="AE276" i="18"/>
  <c r="AF275" i="18"/>
  <c r="AE275" i="18"/>
  <c r="AF274" i="18"/>
  <c r="AE274" i="18"/>
  <c r="AF273" i="18"/>
  <c r="AE273" i="18"/>
  <c r="AF272" i="18"/>
  <c r="AE272" i="18"/>
  <c r="AF271" i="18"/>
  <c r="AE271" i="18"/>
  <c r="AF270" i="18"/>
  <c r="AE270" i="18"/>
  <c r="AF269" i="18"/>
  <c r="AE269" i="18"/>
  <c r="AF268" i="18"/>
  <c r="AE268" i="18"/>
  <c r="AF267" i="18"/>
  <c r="AE267" i="18"/>
  <c r="AF266" i="18"/>
  <c r="AE266" i="18"/>
  <c r="AF265" i="18"/>
  <c r="AE265" i="18"/>
  <c r="AF264" i="18"/>
  <c r="AE264" i="18"/>
  <c r="AF263" i="18"/>
  <c r="AE263" i="18"/>
  <c r="AF262" i="18"/>
  <c r="AE262" i="18"/>
  <c r="AF261" i="18"/>
  <c r="AE261" i="18"/>
  <c r="AF260" i="18"/>
  <c r="AE260" i="18"/>
  <c r="AF259" i="18"/>
  <c r="AE259" i="18"/>
  <c r="AF258" i="18"/>
  <c r="AE258" i="18"/>
  <c r="AF257" i="18"/>
  <c r="AE257" i="18"/>
  <c r="AF256" i="18"/>
  <c r="AE256" i="18"/>
  <c r="AF255" i="18"/>
  <c r="AE255" i="18"/>
  <c r="AF254" i="18"/>
  <c r="AE254" i="18"/>
  <c r="AF253" i="18"/>
  <c r="AE253" i="18"/>
  <c r="AF252" i="18"/>
  <c r="AE252" i="18"/>
  <c r="AF251" i="18"/>
  <c r="AE251" i="18"/>
  <c r="AF250" i="18"/>
  <c r="AE250" i="18"/>
  <c r="AF249" i="18"/>
  <c r="AE249" i="18"/>
  <c r="AF248" i="18"/>
  <c r="AE248" i="18"/>
  <c r="AF247" i="18"/>
  <c r="AE247" i="18"/>
  <c r="AF246" i="18"/>
  <c r="AE246" i="18"/>
  <c r="AF245" i="18"/>
  <c r="AE245" i="18"/>
  <c r="AF244" i="18"/>
  <c r="AE244" i="18"/>
  <c r="AF243" i="18"/>
  <c r="AE243" i="18"/>
  <c r="AF242" i="18"/>
  <c r="AE242" i="18"/>
  <c r="AF241" i="18"/>
  <c r="AE241" i="18"/>
  <c r="AF240" i="18"/>
  <c r="AE240" i="18"/>
  <c r="AF239" i="18"/>
  <c r="AE239" i="18"/>
  <c r="AF238" i="18"/>
  <c r="AE238" i="18"/>
  <c r="AF237" i="18"/>
  <c r="AE237" i="18"/>
  <c r="AF236" i="18"/>
  <c r="AE236" i="18"/>
  <c r="AF235" i="18"/>
  <c r="AE235" i="18"/>
  <c r="AF234" i="18"/>
  <c r="AE234" i="18"/>
  <c r="AF233" i="18"/>
  <c r="AE233" i="18"/>
  <c r="AF232" i="18"/>
  <c r="AE232" i="18"/>
  <c r="AF231" i="18"/>
  <c r="AE231" i="18"/>
  <c r="AF230" i="18"/>
  <c r="AE230" i="18"/>
  <c r="AF229" i="18"/>
  <c r="AE229" i="18"/>
  <c r="AF228" i="18"/>
  <c r="AE228" i="18"/>
  <c r="AF227" i="18"/>
  <c r="AE227" i="18"/>
  <c r="AF226" i="18"/>
  <c r="AE226" i="18"/>
  <c r="AF225" i="18"/>
  <c r="AE225" i="18"/>
  <c r="AF224" i="18"/>
  <c r="AE224" i="18"/>
  <c r="AF223" i="18"/>
  <c r="AE223" i="18"/>
  <c r="AF222" i="18"/>
  <c r="AE222" i="18"/>
  <c r="AF221" i="18"/>
  <c r="AE221" i="18"/>
  <c r="AF220" i="18"/>
  <c r="AE220" i="18"/>
  <c r="AF219" i="18"/>
  <c r="AE219" i="18"/>
  <c r="AF218" i="18"/>
  <c r="AE218" i="18"/>
  <c r="AF217" i="18"/>
  <c r="AE217" i="18"/>
  <c r="AF216" i="18"/>
  <c r="AE216" i="18"/>
  <c r="AF215" i="18"/>
  <c r="AE215" i="18"/>
  <c r="AF214" i="18"/>
  <c r="AE214" i="18"/>
  <c r="AF213" i="18"/>
  <c r="AE213" i="18"/>
  <c r="AF212" i="18"/>
  <c r="AE212" i="18"/>
  <c r="AF211" i="18"/>
  <c r="AE211" i="18"/>
  <c r="AF210" i="18"/>
  <c r="AE210" i="18"/>
  <c r="AF209" i="18"/>
  <c r="AE209" i="18"/>
  <c r="AF208" i="18"/>
  <c r="AE208" i="18"/>
  <c r="AF207" i="18"/>
  <c r="AE207" i="18"/>
  <c r="AF206" i="18"/>
  <c r="AE206" i="18"/>
  <c r="AF205" i="18"/>
  <c r="AE205" i="18"/>
  <c r="AF204" i="18"/>
  <c r="AE204" i="18"/>
  <c r="AF203" i="18"/>
  <c r="AE203" i="18"/>
  <c r="AF202" i="18"/>
  <c r="AE202" i="18"/>
  <c r="AF201" i="18"/>
  <c r="AE201" i="18"/>
  <c r="AF200" i="18"/>
  <c r="AE200" i="18"/>
  <c r="AF199" i="18"/>
  <c r="AE199" i="18"/>
  <c r="AF198" i="18"/>
  <c r="AE198" i="18"/>
  <c r="AF197" i="18"/>
  <c r="AE197" i="18"/>
  <c r="AF196" i="18"/>
  <c r="AE196" i="18"/>
  <c r="AF195" i="18"/>
  <c r="AE195" i="18"/>
  <c r="AF194" i="18"/>
  <c r="AE194" i="18"/>
  <c r="AF193" i="18"/>
  <c r="AE193" i="18"/>
  <c r="AF192" i="18"/>
  <c r="AE192" i="18"/>
  <c r="AF191" i="18"/>
  <c r="AE191" i="18"/>
  <c r="AF190" i="18"/>
  <c r="AE190" i="18"/>
  <c r="AF189" i="18"/>
  <c r="AE189" i="18"/>
  <c r="AF188" i="18"/>
  <c r="AE188" i="18"/>
  <c r="AF187" i="18"/>
  <c r="AE187" i="18"/>
  <c r="AF186" i="18"/>
  <c r="AE186" i="18"/>
  <c r="AF185" i="18"/>
  <c r="AE185" i="18"/>
  <c r="AF184" i="18"/>
  <c r="AE184" i="18"/>
  <c r="AF183" i="18"/>
  <c r="AE183" i="18"/>
  <c r="AF182" i="18"/>
  <c r="AE182" i="18"/>
  <c r="AF181" i="18"/>
  <c r="AE181" i="18"/>
  <c r="AF180" i="18"/>
  <c r="AE180" i="18"/>
  <c r="AF179" i="18"/>
  <c r="AE179" i="18"/>
  <c r="AF178" i="18"/>
  <c r="AE178" i="18"/>
  <c r="AF177" i="18"/>
  <c r="AE177" i="18"/>
  <c r="AF176" i="18"/>
  <c r="AE176" i="18"/>
  <c r="AF175" i="18"/>
  <c r="AE175" i="18"/>
  <c r="AF174" i="18"/>
  <c r="AE174" i="18"/>
  <c r="AF173" i="18"/>
  <c r="AE173" i="18"/>
  <c r="AF172" i="18"/>
  <c r="AE172" i="18"/>
  <c r="AF171" i="18"/>
  <c r="AE171" i="18"/>
  <c r="AF170" i="18"/>
  <c r="AE170" i="18"/>
  <c r="AF169" i="18"/>
  <c r="AE169" i="18"/>
  <c r="AF168" i="18"/>
  <c r="AE168" i="18"/>
  <c r="AF167" i="18"/>
  <c r="AE167" i="18"/>
  <c r="AF166" i="18"/>
  <c r="AE166" i="18"/>
  <c r="AF165" i="18"/>
  <c r="AE165" i="18"/>
  <c r="AF164" i="18"/>
  <c r="AE164" i="18"/>
  <c r="AF163" i="18"/>
  <c r="AE163" i="18"/>
  <c r="AF162" i="18"/>
  <c r="AE162" i="18"/>
  <c r="AF161" i="18"/>
  <c r="AE161" i="18"/>
  <c r="AF160" i="18"/>
  <c r="AE160" i="18"/>
  <c r="AF159" i="18"/>
  <c r="AE159" i="18"/>
  <c r="AF158" i="18"/>
  <c r="AE158" i="18"/>
  <c r="AF157" i="18"/>
  <c r="AE157" i="18"/>
  <c r="AF156" i="18"/>
  <c r="AE156" i="18"/>
  <c r="AF155" i="18"/>
  <c r="AE155" i="18"/>
  <c r="AF154" i="18"/>
  <c r="AE154" i="18"/>
  <c r="AF153" i="18"/>
  <c r="AE153" i="18"/>
  <c r="AF152" i="18"/>
  <c r="AE152" i="18"/>
  <c r="AF151" i="18"/>
  <c r="AE151" i="18"/>
  <c r="AF150" i="18"/>
  <c r="AE150" i="18"/>
  <c r="AF149" i="18"/>
  <c r="AE149" i="18"/>
  <c r="AF148" i="18"/>
  <c r="AE148" i="18"/>
  <c r="AF147" i="18"/>
  <c r="AE147" i="18"/>
  <c r="AF146" i="18"/>
  <c r="AE146" i="18"/>
  <c r="AF145" i="18"/>
  <c r="AE145" i="18"/>
  <c r="AF144" i="18"/>
  <c r="AE144" i="18"/>
  <c r="AF143" i="18"/>
  <c r="AE143" i="18"/>
  <c r="AF142" i="18"/>
  <c r="AE142" i="18"/>
  <c r="AF141" i="18"/>
  <c r="AE141" i="18"/>
  <c r="AF140" i="18"/>
  <c r="AE140" i="18"/>
  <c r="AF139" i="18"/>
  <c r="AE139" i="18"/>
  <c r="AF138" i="18"/>
  <c r="AE138" i="18"/>
  <c r="AF137" i="18"/>
  <c r="AE137" i="18"/>
  <c r="AF136" i="18"/>
  <c r="AE136" i="18"/>
  <c r="AF135" i="18"/>
  <c r="AE135" i="18"/>
  <c r="AF134" i="18"/>
  <c r="AE134" i="18"/>
  <c r="AF133" i="18"/>
  <c r="AE133" i="18"/>
  <c r="AF132" i="18"/>
  <c r="AE132" i="18"/>
  <c r="AF131" i="18"/>
  <c r="AE131" i="18"/>
  <c r="AF130" i="18"/>
  <c r="AE130" i="18"/>
  <c r="AF129" i="18"/>
  <c r="AE129" i="18"/>
  <c r="AF128" i="18"/>
  <c r="AE128" i="18"/>
  <c r="AF127" i="18"/>
  <c r="AE127" i="18"/>
  <c r="AF126" i="18"/>
  <c r="AE126" i="18"/>
  <c r="AF125" i="18"/>
  <c r="AE125" i="18"/>
  <c r="AF124" i="18"/>
  <c r="AE124" i="18"/>
  <c r="AF123" i="18"/>
  <c r="AE123" i="18"/>
  <c r="AF122" i="18"/>
  <c r="AE122" i="18"/>
  <c r="AF121" i="18"/>
  <c r="AE121" i="18"/>
  <c r="AF120" i="18"/>
  <c r="AE120" i="18"/>
  <c r="AF119" i="18"/>
  <c r="AE119" i="18"/>
  <c r="AF118" i="18"/>
  <c r="AE118" i="18"/>
  <c r="AF117" i="18"/>
  <c r="AE117" i="18"/>
  <c r="AF116" i="18"/>
  <c r="AE116" i="18"/>
  <c r="AF115" i="18"/>
  <c r="AE115" i="18"/>
  <c r="AF114" i="18"/>
  <c r="AE114" i="18"/>
  <c r="AF113" i="18"/>
  <c r="AE113" i="18"/>
  <c r="AF112" i="18"/>
  <c r="AE112" i="18"/>
  <c r="AF111" i="18"/>
  <c r="AE111" i="18"/>
  <c r="AF110" i="18"/>
  <c r="AE110" i="18"/>
  <c r="AF109" i="18"/>
  <c r="AE109" i="18"/>
  <c r="AF108" i="18"/>
  <c r="AE108" i="18"/>
  <c r="AF107" i="18"/>
  <c r="AE107" i="18"/>
  <c r="AF106" i="18"/>
  <c r="AE106" i="18"/>
  <c r="AF105" i="18"/>
  <c r="AE105" i="18"/>
  <c r="AF104" i="18"/>
  <c r="AE104" i="18"/>
  <c r="AF103" i="18"/>
  <c r="AE103" i="18"/>
  <c r="AF102" i="18"/>
  <c r="AE102" i="18"/>
  <c r="AF101" i="18"/>
  <c r="AE101" i="18"/>
  <c r="AF100" i="18"/>
  <c r="AE100" i="18"/>
  <c r="AF99" i="18"/>
  <c r="AE99" i="18"/>
  <c r="AF98" i="18"/>
  <c r="AE98" i="18"/>
  <c r="AF97" i="18"/>
  <c r="AE97" i="18"/>
  <c r="AF96" i="18"/>
  <c r="AE96" i="18"/>
  <c r="AF95" i="18"/>
  <c r="AE95" i="18"/>
  <c r="AF94" i="18"/>
  <c r="AE94" i="18"/>
  <c r="AF93" i="18"/>
  <c r="AE93" i="18"/>
  <c r="AF92" i="18"/>
  <c r="AE92" i="18"/>
  <c r="AF91" i="18"/>
  <c r="AE91" i="18"/>
  <c r="AF90" i="18"/>
  <c r="AE90" i="18"/>
  <c r="AF89" i="18"/>
  <c r="AE89" i="18"/>
  <c r="AF88" i="18"/>
  <c r="AE88" i="18"/>
  <c r="AF87" i="18"/>
  <c r="AE87" i="18"/>
  <c r="AF71" i="18"/>
  <c r="AE71" i="18"/>
  <c r="AF70" i="18"/>
  <c r="AE70" i="18"/>
  <c r="AF69" i="18"/>
  <c r="AE69" i="18"/>
  <c r="AF68" i="18"/>
  <c r="AE68" i="18"/>
  <c r="AF66" i="18"/>
  <c r="AE66" i="18"/>
  <c r="AF65" i="18"/>
  <c r="AE65" i="18"/>
  <c r="AF64" i="18"/>
  <c r="AE64" i="18"/>
  <c r="AF63" i="18"/>
  <c r="AE63" i="18"/>
  <c r="AF62" i="18"/>
  <c r="AE62" i="18"/>
  <c r="AF61" i="18"/>
  <c r="AE61" i="18"/>
  <c r="AF60" i="18"/>
  <c r="AE60" i="18"/>
  <c r="AF59" i="18"/>
  <c r="AE59" i="18"/>
  <c r="AF58" i="18"/>
  <c r="AE58" i="18"/>
  <c r="AF57" i="18"/>
  <c r="AE57" i="18"/>
  <c r="AF56" i="18"/>
  <c r="AE56" i="18"/>
  <c r="AF55" i="18"/>
  <c r="AE55" i="18"/>
  <c r="AF54" i="18"/>
  <c r="AE54" i="18"/>
  <c r="AF53" i="18"/>
  <c r="AE53" i="18"/>
  <c r="AF52" i="18"/>
  <c r="AE52" i="18"/>
  <c r="AF51" i="18"/>
  <c r="AE51" i="18"/>
  <c r="AF50" i="18"/>
  <c r="AE50" i="18"/>
  <c r="AF49" i="18"/>
  <c r="AE49" i="18"/>
  <c r="AF48" i="18"/>
  <c r="AE48" i="18"/>
  <c r="AF47" i="18"/>
  <c r="AE47" i="18"/>
  <c r="AF46" i="18"/>
  <c r="AE46" i="18"/>
  <c r="AF45" i="18"/>
  <c r="AE45" i="18"/>
  <c r="AF44" i="18"/>
  <c r="AE44" i="18"/>
  <c r="AF43" i="18"/>
  <c r="AE43" i="18"/>
  <c r="AF42" i="18"/>
  <c r="AE42" i="18"/>
  <c r="AF41" i="18"/>
  <c r="AE41" i="18"/>
  <c r="AF40" i="18"/>
  <c r="AE40" i="18"/>
  <c r="AF39" i="18"/>
  <c r="AE39" i="18"/>
  <c r="AF38" i="18"/>
  <c r="AE38" i="18"/>
  <c r="AF37" i="18"/>
  <c r="AE37" i="18"/>
  <c r="AF36" i="18"/>
  <c r="AE36" i="18"/>
  <c r="AF35" i="18"/>
  <c r="AE35" i="18"/>
  <c r="AF34" i="18"/>
  <c r="AE34" i="18"/>
  <c r="AF33" i="18"/>
  <c r="AE33" i="18"/>
  <c r="AF32" i="18"/>
  <c r="AE32" i="18"/>
  <c r="AF31" i="18"/>
  <c r="AE31" i="18"/>
  <c r="AF30" i="18"/>
  <c r="AE30" i="18"/>
  <c r="AF29" i="18"/>
  <c r="AE29" i="18"/>
  <c r="AF28" i="18"/>
  <c r="AE28" i="18"/>
  <c r="AF27" i="18"/>
  <c r="AE27" i="18"/>
  <c r="AF26" i="18"/>
  <c r="AE26" i="18"/>
  <c r="AF25" i="18"/>
  <c r="AE25" i="18"/>
  <c r="AF24" i="18"/>
  <c r="AE24" i="18"/>
  <c r="AF23" i="18"/>
  <c r="AE23" i="18"/>
  <c r="AF22" i="18"/>
  <c r="AE22" i="18"/>
  <c r="AF21" i="18"/>
  <c r="AE21" i="18"/>
  <c r="AF20" i="18"/>
  <c r="AE20" i="18"/>
  <c r="AF19" i="18"/>
  <c r="AE19" i="18"/>
  <c r="AF18" i="18"/>
  <c r="AE18" i="18"/>
  <c r="AF17" i="18"/>
  <c r="AE17" i="18"/>
  <c r="AF16" i="18"/>
  <c r="AE16" i="18"/>
  <c r="AF15" i="18"/>
  <c r="AE15" i="18"/>
  <c r="AF14" i="18"/>
  <c r="AE14" i="18"/>
  <c r="AF12" i="18"/>
  <c r="AE12" i="18"/>
  <c r="AF11" i="18"/>
  <c r="AE11" i="18"/>
  <c r="AF9" i="18"/>
  <c r="AE9" i="18"/>
  <c r="AF8" i="18"/>
  <c r="AE8" i="18"/>
  <c r="AF7" i="18"/>
  <c r="AE7" i="18"/>
  <c r="AF6" i="18"/>
  <c r="AE6" i="18"/>
  <c r="AF5" i="18"/>
  <c r="AE5" i="18"/>
  <c r="AF4" i="18"/>
  <c r="AE4" i="18"/>
  <c r="Q653" i="18"/>
  <c r="Q652" i="18"/>
  <c r="Q651" i="18"/>
  <c r="Q650" i="18"/>
  <c r="Q649" i="18"/>
  <c r="Q648" i="18"/>
  <c r="Q647" i="18"/>
  <c r="Q646" i="18"/>
  <c r="Q645" i="18"/>
  <c r="Q644" i="18"/>
  <c r="Q643" i="18"/>
  <c r="Q642" i="18"/>
  <c r="Q641" i="18"/>
  <c r="Q640" i="18"/>
  <c r="Q639" i="18"/>
  <c r="Q638" i="18"/>
  <c r="Q637" i="18"/>
  <c r="Q636" i="18"/>
  <c r="Q635" i="18"/>
  <c r="Q634" i="18"/>
  <c r="Q633" i="18"/>
  <c r="Q632" i="18"/>
  <c r="Q631" i="18"/>
  <c r="Q630" i="18"/>
  <c r="Q629" i="18"/>
  <c r="Q628" i="18"/>
  <c r="Q627" i="18"/>
  <c r="Q626" i="18"/>
  <c r="Q625" i="18"/>
  <c r="Q624" i="18"/>
  <c r="Q623" i="18"/>
  <c r="Q622" i="18"/>
  <c r="Q621" i="18"/>
  <c r="Q620" i="18"/>
  <c r="Q619" i="18"/>
  <c r="Q618" i="18"/>
  <c r="Q617" i="18"/>
  <c r="Q616" i="18"/>
  <c r="Q615" i="18"/>
  <c r="Q614" i="18"/>
  <c r="Q613" i="18"/>
  <c r="Q612" i="18"/>
  <c r="Q611" i="18"/>
  <c r="Q610" i="18"/>
  <c r="Q609" i="18"/>
  <c r="Q608" i="18"/>
  <c r="Q607" i="18"/>
  <c r="Q606" i="18"/>
  <c r="Q605" i="18"/>
  <c r="Q604" i="18"/>
  <c r="Q603" i="18"/>
  <c r="Q602" i="18"/>
  <c r="Q601" i="18"/>
  <c r="Q600" i="18"/>
  <c r="Q599" i="18"/>
  <c r="Q598" i="18"/>
  <c r="Q597" i="18"/>
  <c r="Q596" i="18"/>
  <c r="Q595" i="18"/>
  <c r="Q594" i="18"/>
  <c r="Q593" i="18"/>
  <c r="Q592" i="18"/>
  <c r="Q591" i="18"/>
  <c r="Q590" i="18"/>
  <c r="Q589" i="18"/>
  <c r="Q588" i="18"/>
  <c r="Q587" i="18"/>
  <c r="Q586" i="18"/>
  <c r="Q585" i="18"/>
  <c r="Q584" i="18"/>
  <c r="Q583" i="18"/>
  <c r="Q582" i="18"/>
  <c r="Q581" i="18"/>
  <c r="Q580" i="18"/>
  <c r="Q579" i="18"/>
  <c r="Q578" i="18"/>
  <c r="Q577" i="18"/>
  <c r="Q576" i="18"/>
  <c r="Q575" i="18"/>
  <c r="Q574" i="18"/>
  <c r="Q573" i="18"/>
  <c r="Q572" i="18"/>
  <c r="Q571" i="18"/>
  <c r="Q570" i="18"/>
  <c r="Q569" i="18"/>
  <c r="Q568" i="18"/>
  <c r="Q567" i="18"/>
  <c r="Q566" i="18"/>
  <c r="Q565" i="18"/>
  <c r="Q564" i="18"/>
  <c r="Q563" i="18"/>
  <c r="Q562" i="18"/>
  <c r="Q561" i="18"/>
  <c r="Q560" i="18"/>
  <c r="Q559" i="18"/>
  <c r="Q558" i="18"/>
  <c r="Q557" i="18"/>
  <c r="Q556" i="18"/>
  <c r="Q555" i="18"/>
  <c r="Q554" i="18"/>
  <c r="Q553" i="18"/>
  <c r="Q552" i="18"/>
  <c r="Q551" i="18"/>
  <c r="Q550" i="18"/>
  <c r="Q549" i="18"/>
  <c r="Q548" i="18"/>
  <c r="Q547" i="18"/>
  <c r="Q546" i="18"/>
  <c r="Q545" i="18"/>
  <c r="Q544" i="18"/>
  <c r="Q543" i="18"/>
  <c r="Q542" i="18"/>
  <c r="Q541" i="18"/>
  <c r="Q540" i="18"/>
  <c r="Q539" i="18"/>
  <c r="Q538" i="18"/>
  <c r="Q537" i="18"/>
  <c r="Q536" i="18"/>
  <c r="Q535" i="18"/>
  <c r="Q534" i="18"/>
  <c r="Q533" i="18"/>
  <c r="Q532" i="18"/>
  <c r="Q531" i="18"/>
  <c r="Q530" i="18"/>
  <c r="Q529" i="18"/>
  <c r="Q528" i="18"/>
  <c r="Q527" i="18"/>
  <c r="Q526" i="18"/>
  <c r="Q525" i="18"/>
  <c r="Q524" i="18"/>
  <c r="Q523" i="18"/>
  <c r="Q522" i="18"/>
  <c r="Q521" i="18"/>
  <c r="Q520" i="18"/>
  <c r="Q519" i="18"/>
  <c r="Q518" i="18"/>
  <c r="Q517" i="18"/>
  <c r="Q516" i="18"/>
  <c r="Q515" i="18"/>
  <c r="Q514" i="18"/>
  <c r="Q513" i="18"/>
  <c r="Q512" i="18"/>
  <c r="Q511" i="18"/>
  <c r="Q510" i="18"/>
  <c r="Q509" i="18"/>
  <c r="Q508" i="18"/>
  <c r="Q507" i="18"/>
  <c r="Q506" i="18"/>
  <c r="Q505" i="18"/>
  <c r="Q504" i="18"/>
  <c r="Q503" i="18"/>
  <c r="Q502" i="18"/>
  <c r="Q501" i="18"/>
  <c r="Q500" i="18"/>
  <c r="Q499" i="18"/>
  <c r="Q498" i="18"/>
  <c r="Q497" i="18"/>
  <c r="Q496" i="18"/>
  <c r="Q495" i="18"/>
  <c r="Q494" i="18"/>
  <c r="Q493" i="18"/>
  <c r="Q492" i="18"/>
  <c r="Q491" i="18"/>
  <c r="Q490" i="18"/>
  <c r="Q489" i="18"/>
  <c r="Q488" i="18"/>
  <c r="Q487" i="18"/>
  <c r="Q486" i="18"/>
  <c r="Q485" i="18"/>
  <c r="Q484" i="18"/>
  <c r="Q483" i="18"/>
  <c r="Q482" i="18"/>
  <c r="Q481" i="18"/>
  <c r="Q480" i="18"/>
  <c r="Q479" i="18"/>
  <c r="Q478" i="18"/>
  <c r="Q477" i="18"/>
  <c r="Q476" i="18"/>
  <c r="Q475" i="18"/>
  <c r="Q474" i="18"/>
  <c r="Q473" i="18"/>
  <c r="Q472" i="18"/>
  <c r="Q471" i="18"/>
  <c r="Q470" i="18"/>
  <c r="Q469" i="18"/>
  <c r="Q468" i="18"/>
  <c r="Q467" i="18"/>
  <c r="Q466" i="18"/>
  <c r="Q465" i="18"/>
  <c r="Q464" i="18"/>
  <c r="Q463" i="18"/>
  <c r="Q462" i="18"/>
  <c r="Q461" i="18"/>
  <c r="Q460" i="18"/>
  <c r="Q459" i="18"/>
  <c r="Q458" i="18"/>
  <c r="Q457" i="18"/>
  <c r="Q456" i="18"/>
  <c r="Q455" i="18"/>
  <c r="Q454" i="18"/>
  <c r="Q453" i="18"/>
  <c r="Q452" i="18"/>
  <c r="Q451" i="18"/>
  <c r="Q450" i="18"/>
  <c r="Q449" i="18"/>
  <c r="Q448" i="18"/>
  <c r="Q447" i="18"/>
  <c r="Q446" i="18"/>
  <c r="Q445" i="18"/>
  <c r="Q444" i="18"/>
  <c r="Q443" i="18"/>
  <c r="Q442" i="18"/>
  <c r="Q441" i="18"/>
  <c r="Q440" i="18"/>
  <c r="Q439" i="18"/>
  <c r="Q438" i="18"/>
  <c r="Q437" i="18"/>
  <c r="Q436" i="18"/>
  <c r="Q435" i="18"/>
  <c r="Q434" i="18"/>
  <c r="Q433" i="18"/>
  <c r="Q432" i="18"/>
  <c r="Q431" i="18"/>
  <c r="Q430" i="18"/>
  <c r="Q429" i="18"/>
  <c r="Q428" i="18"/>
  <c r="Q427" i="18"/>
  <c r="Q426" i="18"/>
  <c r="Q425" i="18"/>
  <c r="Q424" i="18"/>
  <c r="Q423" i="18"/>
  <c r="Q422" i="18"/>
  <c r="Q421" i="18"/>
  <c r="Q420" i="18"/>
  <c r="Q419" i="18"/>
  <c r="Q418" i="18"/>
  <c r="Q417" i="18"/>
  <c r="Q416" i="18"/>
  <c r="Q415" i="18"/>
  <c r="Q414" i="18"/>
  <c r="Q413" i="18"/>
  <c r="Q412" i="18"/>
  <c r="Q411" i="18"/>
  <c r="Q410" i="18"/>
  <c r="Q409" i="18"/>
  <c r="Q408" i="18"/>
  <c r="Q407" i="18"/>
  <c r="Q406" i="18"/>
  <c r="Q405" i="18"/>
  <c r="Q404" i="18"/>
  <c r="Q403" i="18"/>
  <c r="Q402" i="18"/>
  <c r="Q401" i="18"/>
  <c r="Q400" i="18"/>
  <c r="Q399" i="18"/>
  <c r="Q398" i="18"/>
  <c r="Q397" i="18"/>
  <c r="Q396" i="18"/>
  <c r="Q395" i="18"/>
  <c r="Q394" i="18"/>
  <c r="Q393" i="18"/>
  <c r="Q392" i="18"/>
  <c r="Q391" i="18"/>
  <c r="Q390" i="18"/>
  <c r="Q389" i="18"/>
  <c r="Q388" i="18"/>
  <c r="Q387" i="18"/>
  <c r="Q386" i="18"/>
  <c r="Q385" i="18"/>
  <c r="Q384" i="18"/>
  <c r="Q383" i="18"/>
  <c r="Q382" i="18"/>
  <c r="Q381" i="18"/>
  <c r="Q380" i="18"/>
  <c r="Q379" i="18"/>
  <c r="Q378" i="18"/>
  <c r="Q377" i="18"/>
  <c r="Q376" i="18"/>
  <c r="Q375" i="18"/>
  <c r="Q374" i="18"/>
  <c r="Q373" i="18"/>
  <c r="Q372" i="18"/>
  <c r="Q371" i="18"/>
  <c r="Q370" i="18"/>
  <c r="Q369" i="18"/>
  <c r="Q368" i="18"/>
  <c r="Q367" i="18"/>
  <c r="Q366" i="18"/>
  <c r="Q365" i="18"/>
  <c r="Q364" i="18"/>
  <c r="Q363" i="18"/>
  <c r="Q362" i="18"/>
  <c r="Q361" i="18"/>
  <c r="Q360" i="18"/>
  <c r="Q359" i="18"/>
  <c r="Q358" i="18"/>
  <c r="Q357" i="18"/>
  <c r="Q356" i="18"/>
  <c r="Q355" i="18"/>
  <c r="Q354" i="18"/>
  <c r="Q353" i="18"/>
  <c r="Q352" i="18"/>
  <c r="Q351" i="18"/>
  <c r="Q350" i="18"/>
  <c r="Q349" i="18"/>
  <c r="Q348" i="18"/>
  <c r="Q347" i="18"/>
  <c r="Q346" i="18"/>
  <c r="Q345" i="18"/>
  <c r="Q344" i="18"/>
  <c r="Q343" i="18"/>
  <c r="Q342" i="18"/>
  <c r="Q341" i="18"/>
  <c r="Q340" i="18"/>
  <c r="Q339" i="18"/>
  <c r="Q338" i="18"/>
  <c r="Q337" i="18"/>
  <c r="Q336" i="18"/>
  <c r="Q335" i="18"/>
  <c r="Q334" i="18"/>
  <c r="Q333" i="18"/>
  <c r="Q332" i="18"/>
  <c r="Q331" i="18"/>
  <c r="Q330" i="18"/>
  <c r="Q329" i="18"/>
  <c r="Q328" i="18"/>
  <c r="Q327" i="18"/>
  <c r="Q326" i="18"/>
  <c r="Q325" i="18"/>
  <c r="Q324" i="18"/>
  <c r="Q323" i="18"/>
  <c r="Q322" i="18"/>
  <c r="Q321" i="18"/>
  <c r="Q320" i="18"/>
  <c r="Q319" i="18"/>
  <c r="Q318" i="18"/>
  <c r="Q317" i="18"/>
  <c r="Q316" i="18"/>
  <c r="Q315" i="18"/>
  <c r="Q314" i="18"/>
  <c r="Q313" i="18"/>
  <c r="Q312" i="18"/>
  <c r="Q311" i="18"/>
  <c r="Q310" i="18"/>
  <c r="Q309" i="18"/>
  <c r="Q308" i="18"/>
  <c r="Q307" i="18"/>
  <c r="Q306" i="18"/>
  <c r="Q305" i="18"/>
  <c r="Q304" i="18"/>
  <c r="Q303" i="18"/>
  <c r="Q302" i="18"/>
  <c r="Q301" i="18"/>
  <c r="Q300" i="18"/>
  <c r="Q299" i="18"/>
  <c r="Q298" i="18"/>
  <c r="Q297" i="18"/>
  <c r="Q296" i="18"/>
  <c r="Q295" i="18"/>
  <c r="Q294" i="18"/>
  <c r="Q293" i="18"/>
  <c r="Q292" i="18"/>
  <c r="Q291" i="18"/>
  <c r="Q290" i="18"/>
  <c r="Q289" i="18"/>
  <c r="Q288" i="18"/>
  <c r="Q287" i="18"/>
  <c r="Q286" i="18"/>
  <c r="Q285" i="18"/>
  <c r="Q284" i="18"/>
  <c r="Q283" i="18"/>
  <c r="Q282" i="18"/>
  <c r="Q281" i="18"/>
  <c r="Q280" i="18"/>
  <c r="Q279" i="18"/>
  <c r="Q278" i="18"/>
  <c r="Q277" i="18"/>
  <c r="Q276" i="18"/>
  <c r="Q275" i="18"/>
  <c r="Q274" i="18"/>
  <c r="Q273" i="18"/>
  <c r="Q272" i="18"/>
  <c r="Q271" i="18"/>
  <c r="Q270" i="18"/>
  <c r="Q269" i="18"/>
  <c r="Q268" i="18"/>
  <c r="Q267" i="18"/>
  <c r="Q266" i="18"/>
  <c r="Q265" i="18"/>
  <c r="Q264" i="18"/>
  <c r="Q263" i="18"/>
  <c r="Q262" i="18"/>
  <c r="Q261" i="18"/>
  <c r="Q260" i="18"/>
  <c r="Q259" i="18"/>
  <c r="Q258" i="18"/>
  <c r="Q257" i="18"/>
  <c r="Q256" i="18"/>
  <c r="Q255" i="18"/>
  <c r="Q254" i="18"/>
  <c r="Q253" i="18"/>
  <c r="Q252" i="18"/>
  <c r="Q251" i="18"/>
  <c r="Q250" i="18"/>
  <c r="Q249" i="18"/>
  <c r="Q248" i="18"/>
  <c r="Q247" i="18"/>
  <c r="Q246" i="18"/>
  <c r="Q245" i="18"/>
  <c r="Q244" i="18"/>
  <c r="Q243" i="18"/>
  <c r="Q242" i="18"/>
  <c r="Q241" i="18"/>
  <c r="Q240" i="18"/>
  <c r="Q239" i="18"/>
  <c r="Q238" i="18"/>
  <c r="Q237" i="18"/>
  <c r="Q236" i="18"/>
  <c r="Q235" i="18"/>
  <c r="Q234" i="18"/>
  <c r="Q233" i="18"/>
  <c r="Q232" i="18"/>
  <c r="Q231" i="18"/>
  <c r="Q230" i="18"/>
  <c r="Q229" i="18"/>
  <c r="Q228" i="18"/>
  <c r="Q227" i="18"/>
  <c r="Q226" i="18"/>
  <c r="Q225" i="18"/>
  <c r="Q224" i="18"/>
  <c r="Q223" i="18"/>
  <c r="Q222" i="18"/>
  <c r="Q221" i="18"/>
  <c r="Q220" i="18"/>
  <c r="Q219" i="18"/>
  <c r="Q218" i="18"/>
  <c r="Q217" i="18"/>
  <c r="Q216" i="18"/>
  <c r="Q215" i="18"/>
  <c r="Q214" i="18"/>
  <c r="Q213" i="18"/>
  <c r="Q212" i="18"/>
  <c r="Q211" i="18"/>
  <c r="Q210" i="18"/>
  <c r="Q209" i="18"/>
  <c r="Q208" i="18"/>
  <c r="Q207" i="18"/>
  <c r="Q206" i="18"/>
  <c r="Q205" i="18"/>
  <c r="Q204" i="18"/>
  <c r="Q203" i="18"/>
  <c r="Q202" i="18"/>
  <c r="Q201" i="18"/>
  <c r="Q200" i="18"/>
  <c r="Q199" i="18"/>
  <c r="Q198" i="18"/>
  <c r="Q197" i="18"/>
  <c r="Q196" i="18"/>
  <c r="Q195" i="18"/>
  <c r="Q194" i="18"/>
  <c r="Q193" i="18"/>
  <c r="Q192" i="18"/>
  <c r="Q191" i="18"/>
  <c r="Q190" i="18"/>
  <c r="Q189" i="18"/>
  <c r="Q188" i="18"/>
  <c r="Q187" i="18"/>
  <c r="Q186" i="18"/>
  <c r="Q185" i="18"/>
  <c r="Q184" i="18"/>
  <c r="Q183" i="18"/>
  <c r="Q182" i="18"/>
  <c r="Q181" i="18"/>
  <c r="Q180" i="18"/>
  <c r="Q179" i="18"/>
  <c r="Q178" i="18"/>
  <c r="Q177" i="18"/>
  <c r="Q176" i="18"/>
  <c r="Q175" i="18"/>
  <c r="Q174" i="18"/>
  <c r="Q173" i="18"/>
  <c r="Q172" i="18"/>
  <c r="Q171" i="18"/>
  <c r="Q170" i="18"/>
  <c r="Q169" i="18"/>
  <c r="Q168" i="18"/>
  <c r="Q167" i="18"/>
  <c r="Q166" i="18"/>
  <c r="Q165" i="18"/>
  <c r="Q164" i="18"/>
  <c r="Q163" i="18"/>
  <c r="Q162" i="18"/>
  <c r="Q161" i="18"/>
  <c r="Q160" i="18"/>
  <c r="Q159" i="18"/>
  <c r="Q158" i="18"/>
  <c r="Q157" i="18"/>
  <c r="Q156" i="18"/>
  <c r="Q155" i="18"/>
  <c r="Q154" i="18"/>
  <c r="Q153" i="18"/>
  <c r="Q152" i="18"/>
  <c r="Q151" i="18"/>
  <c r="Q150" i="18"/>
  <c r="Q149" i="18"/>
  <c r="Q148" i="18"/>
  <c r="Q147" i="18"/>
  <c r="Q146" i="18"/>
  <c r="Q145" i="18"/>
  <c r="Q144" i="18"/>
  <c r="Q143" i="18"/>
  <c r="Q142" i="18"/>
  <c r="Q141" i="18"/>
  <c r="Q140" i="18"/>
  <c r="Q139" i="18"/>
  <c r="Q138" i="18"/>
  <c r="Q137" i="18"/>
  <c r="Q136" i="18"/>
  <c r="Q135" i="18"/>
  <c r="Q134" i="18"/>
  <c r="Q133" i="18"/>
  <c r="Q132" i="18"/>
  <c r="Q131" i="18"/>
  <c r="Q130" i="18"/>
  <c r="Q129" i="18"/>
  <c r="Q128" i="18"/>
  <c r="Q127" i="18"/>
  <c r="Q126" i="18"/>
  <c r="Q125" i="18"/>
  <c r="Q124" i="18"/>
  <c r="Q123" i="18"/>
  <c r="Q122" i="18"/>
  <c r="Q121" i="18"/>
  <c r="Q120" i="18"/>
  <c r="Q117" i="18"/>
  <c r="Q114" i="18"/>
  <c r="Q113" i="18"/>
  <c r="Q110" i="18"/>
  <c r="Q109" i="18"/>
  <c r="Q108" i="18"/>
  <c r="Q100" i="18"/>
  <c r="Q99" i="18"/>
  <c r="Q96" i="18"/>
  <c r="Q95" i="18"/>
  <c r="Q9" i="18"/>
  <c r="Q8" i="18"/>
  <c r="Q7" i="18"/>
  <c r="AO1" i="25"/>
  <c r="AP1" i="25"/>
  <c r="AQ1" i="25"/>
  <c r="AR1" i="25"/>
  <c r="AT1" i="25"/>
  <c r="AU1" i="25"/>
  <c r="AV1" i="25"/>
  <c r="AX1" i="25"/>
  <c r="AN1" i="25"/>
  <c r="AM1" i="25"/>
  <c r="Y1" i="25"/>
  <c r="N1" i="25"/>
  <c r="L1" i="25"/>
  <c r="J1" i="25"/>
  <c r="B1" i="25"/>
  <c r="A1" i="25"/>
  <c r="AN38" i="18"/>
  <c r="AK38" i="18"/>
  <c r="AJ38" i="18"/>
  <c r="V38" i="18"/>
  <c r="T38" i="18"/>
  <c r="L38" i="18" a="1"/>
  <c r="L38" i="18" s="1"/>
  <c r="G38" i="18" a="1"/>
  <c r="G38" i="18" s="1"/>
  <c r="F38" i="18" a="1"/>
  <c r="F38" i="18" s="1"/>
  <c r="AN37" i="18"/>
  <c r="AK37" i="18"/>
  <c r="AJ37" i="18"/>
  <c r="V37" i="18"/>
  <c r="T37" i="18"/>
  <c r="L37" i="18" a="1"/>
  <c r="L37" i="18" s="1"/>
  <c r="G37" i="18" a="1"/>
  <c r="G37" i="18" s="1"/>
  <c r="F37" i="18" a="1"/>
  <c r="F37" i="18" s="1"/>
  <c r="AN36" i="18"/>
  <c r="AK36" i="18"/>
  <c r="AJ36" i="18"/>
  <c r="V36" i="18"/>
  <c r="T36" i="18"/>
  <c r="L36" i="18" a="1"/>
  <c r="L36" i="18" s="1"/>
  <c r="G36" i="18" a="1"/>
  <c r="G36" i="18" s="1"/>
  <c r="F36" i="18" a="1"/>
  <c r="F36" i="18" s="1"/>
  <c r="AN35" i="18"/>
  <c r="AK35" i="18"/>
  <c r="AJ35" i="18"/>
  <c r="V35" i="18"/>
  <c r="T35" i="18"/>
  <c r="L35" i="18" a="1"/>
  <c r="L35" i="18" s="1"/>
  <c r="G35" i="18" a="1"/>
  <c r="G35" i="18" s="1"/>
  <c r="F35" i="18" a="1"/>
  <c r="F35" i="18" s="1"/>
  <c r="AN34" i="18"/>
  <c r="AK34" i="18"/>
  <c r="AJ34" i="18"/>
  <c r="V34" i="18"/>
  <c r="T34" i="18"/>
  <c r="L34" i="18" a="1"/>
  <c r="L34" i="18" s="1"/>
  <c r="G34" i="18" a="1"/>
  <c r="G34" i="18" s="1"/>
  <c r="F34" i="18" a="1"/>
  <c r="F34" i="18" s="1"/>
  <c r="AN33" i="18"/>
  <c r="AK33" i="18"/>
  <c r="AJ33" i="18"/>
  <c r="V33" i="18"/>
  <c r="T33" i="18"/>
  <c r="L33" i="18" a="1"/>
  <c r="L33" i="18" s="1"/>
  <c r="G33" i="18" a="1"/>
  <c r="G33" i="18" s="1"/>
  <c r="F33" i="18" a="1"/>
  <c r="F33" i="18" s="1"/>
  <c r="AN32" i="18"/>
  <c r="AK32" i="18"/>
  <c r="AJ32" i="18"/>
  <c r="V32" i="18"/>
  <c r="T32" i="18"/>
  <c r="L32" i="18" a="1"/>
  <c r="L32" i="18" s="1"/>
  <c r="G32" i="18" a="1"/>
  <c r="G32" i="18" s="1"/>
  <c r="F32" i="18" a="1"/>
  <c r="F32" i="18" s="1"/>
  <c r="AN31" i="18"/>
  <c r="AK31" i="18"/>
  <c r="AJ31" i="18"/>
  <c r="V31" i="18"/>
  <c r="T31" i="18"/>
  <c r="L31" i="18" a="1"/>
  <c r="L31" i="18" s="1"/>
  <c r="G31" i="18" a="1"/>
  <c r="G31" i="18" s="1"/>
  <c r="F31" i="18" a="1"/>
  <c r="F31" i="18" s="1"/>
  <c r="AN30" i="18"/>
  <c r="AK30" i="18"/>
  <c r="AJ30" i="18"/>
  <c r="V30" i="18"/>
  <c r="T30" i="18"/>
  <c r="L30" i="18" a="1"/>
  <c r="L30" i="18" s="1"/>
  <c r="G30" i="18" a="1"/>
  <c r="G30" i="18" s="1"/>
  <c r="F30" i="18" a="1"/>
  <c r="F30" i="18" s="1"/>
  <c r="AN29" i="18"/>
  <c r="AK29" i="18"/>
  <c r="AJ29" i="18"/>
  <c r="V29" i="18"/>
  <c r="T29" i="18"/>
  <c r="L29" i="18" a="1"/>
  <c r="L29" i="18" s="1"/>
  <c r="G29" i="18" a="1"/>
  <c r="G29" i="18" s="1"/>
  <c r="F29" i="18" a="1"/>
  <c r="F29" i="18" s="1"/>
  <c r="AN28" i="18"/>
  <c r="AK28" i="18"/>
  <c r="AJ28" i="18"/>
  <c r="V28" i="18"/>
  <c r="T28" i="18"/>
  <c r="L28" i="18" a="1"/>
  <c r="L28" i="18" s="1"/>
  <c r="G28" i="18" a="1"/>
  <c r="G28" i="18" s="1"/>
  <c r="F28" i="18" a="1"/>
  <c r="F28" i="18" s="1"/>
  <c r="AN27" i="18"/>
  <c r="AK27" i="18"/>
  <c r="AJ27" i="18"/>
  <c r="V27" i="18"/>
  <c r="T27" i="18"/>
  <c r="L27" i="18" a="1"/>
  <c r="L27" i="18" s="1"/>
  <c r="G27" i="18" a="1"/>
  <c r="G27" i="18" s="1"/>
  <c r="F27" i="18" a="1"/>
  <c r="F27" i="18" s="1"/>
  <c r="AN26" i="18"/>
  <c r="AK26" i="18"/>
  <c r="AJ26" i="18"/>
  <c r="V26" i="18"/>
  <c r="T26" i="18"/>
  <c r="L26" i="18" a="1"/>
  <c r="L26" i="18" s="1"/>
  <c r="G26" i="18" a="1"/>
  <c r="G26" i="18" s="1"/>
  <c r="F26" i="18" a="1"/>
  <c r="F26" i="18" s="1"/>
  <c r="AN25" i="18"/>
  <c r="AK25" i="18"/>
  <c r="AJ25" i="18"/>
  <c r="V25" i="18"/>
  <c r="T25" i="18"/>
  <c r="L25" i="18" a="1"/>
  <c r="L25" i="18" s="1"/>
  <c r="G25" i="18" a="1"/>
  <c r="G25" i="18" s="1"/>
  <c r="F25" i="18" a="1"/>
  <c r="F25" i="18" s="1"/>
  <c r="AN24" i="18"/>
  <c r="AK24" i="18"/>
  <c r="AJ24" i="18"/>
  <c r="V24" i="18"/>
  <c r="T24" i="18"/>
  <c r="L24" i="18" a="1"/>
  <c r="L24" i="18" s="1"/>
  <c r="G24" i="18" a="1"/>
  <c r="G24" i="18" s="1"/>
  <c r="F24" i="18" a="1"/>
  <c r="F24" i="18" s="1"/>
  <c r="AN23" i="18"/>
  <c r="AK23" i="18"/>
  <c r="AJ23" i="18"/>
  <c r="V23" i="18"/>
  <c r="T23" i="18"/>
  <c r="L23" i="18" a="1"/>
  <c r="L23" i="18" s="1"/>
  <c r="G23" i="18" a="1"/>
  <c r="G23" i="18" s="1"/>
  <c r="F23" i="18" a="1"/>
  <c r="F23" i="18" s="1"/>
  <c r="AN22" i="18"/>
  <c r="AK22" i="18"/>
  <c r="AJ22" i="18"/>
  <c r="V22" i="18"/>
  <c r="T22" i="18"/>
  <c r="L22" i="18" a="1"/>
  <c r="L22" i="18" s="1"/>
  <c r="G22" i="18" a="1"/>
  <c r="G22" i="18" s="1"/>
  <c r="F22" i="18" a="1"/>
  <c r="F22" i="18" s="1"/>
  <c r="AN21" i="18"/>
  <c r="AK21" i="18"/>
  <c r="AJ21" i="18"/>
  <c r="V21" i="18"/>
  <c r="T21" i="18"/>
  <c r="L21" i="18" a="1"/>
  <c r="L21" i="18" s="1"/>
  <c r="G21" i="18" a="1"/>
  <c r="G21" i="18" s="1"/>
  <c r="F21" i="18" a="1"/>
  <c r="F21" i="18" s="1"/>
  <c r="AN20" i="18"/>
  <c r="AK20" i="18"/>
  <c r="AJ20" i="18"/>
  <c r="V20" i="18"/>
  <c r="T20" i="18"/>
  <c r="L20" i="18" a="1"/>
  <c r="L20" i="18" s="1"/>
  <c r="G20" i="18" a="1"/>
  <c r="G20" i="18" s="1"/>
  <c r="F20" i="18" a="1"/>
  <c r="F20" i="18" s="1"/>
  <c r="AN19" i="18"/>
  <c r="AK19" i="18"/>
  <c r="AJ19" i="18"/>
  <c r="V19" i="18"/>
  <c r="T19" i="18"/>
  <c r="L19" i="18" a="1"/>
  <c r="L19" i="18" s="1"/>
  <c r="G19" i="18" a="1"/>
  <c r="G19" i="18" s="1"/>
  <c r="F19" i="18" a="1"/>
  <c r="F19" i="18" s="1"/>
  <c r="AN18" i="18"/>
  <c r="AK18" i="18"/>
  <c r="AJ18" i="18"/>
  <c r="V18" i="18"/>
  <c r="T18" i="18"/>
  <c r="L18" i="18" a="1"/>
  <c r="L18" i="18" s="1"/>
  <c r="G18" i="18" a="1"/>
  <c r="G18" i="18" s="1"/>
  <c r="F18" i="18" a="1"/>
  <c r="F18" i="18" s="1"/>
  <c r="AN17" i="18"/>
  <c r="AK17" i="18"/>
  <c r="AJ17" i="18"/>
  <c r="V17" i="18"/>
  <c r="T17" i="18"/>
  <c r="L17" i="18" a="1"/>
  <c r="L17" i="18" s="1"/>
  <c r="G17" i="18" a="1"/>
  <c r="G17" i="18" s="1"/>
  <c r="F17" i="18" a="1"/>
  <c r="F17" i="18" s="1"/>
  <c r="AN16" i="18"/>
  <c r="AK16" i="18"/>
  <c r="AJ16" i="18"/>
  <c r="V16" i="18"/>
  <c r="T16" i="18"/>
  <c r="L16" i="18" a="1"/>
  <c r="L16" i="18" s="1"/>
  <c r="G16" i="18" a="1"/>
  <c r="G16" i="18" s="1"/>
  <c r="F16" i="18" a="1"/>
  <c r="F16" i="18" s="1"/>
  <c r="AN15" i="18"/>
  <c r="AK15" i="18"/>
  <c r="AJ15" i="18"/>
  <c r="V15" i="18"/>
  <c r="T15" i="18"/>
  <c r="L15" i="18" a="1"/>
  <c r="L15" i="18" s="1"/>
  <c r="G15" i="18" a="1"/>
  <c r="G15" i="18" s="1"/>
  <c r="F15" i="18" a="1"/>
  <c r="F15" i="18" s="1"/>
  <c r="AN14" i="18"/>
  <c r="AK14" i="18"/>
  <c r="AJ14" i="18"/>
  <c r="V14" i="18"/>
  <c r="T14" i="18"/>
  <c r="L14" i="18" a="1"/>
  <c r="L14" i="18" s="1"/>
  <c r="G14" i="18" a="1"/>
  <c r="G14" i="18" s="1"/>
  <c r="F14" i="18" a="1"/>
  <c r="F14" i="18" s="1"/>
  <c r="AN12" i="18"/>
  <c r="AK12" i="18"/>
  <c r="AJ12" i="18"/>
  <c r="V12" i="18"/>
  <c r="T12" i="18"/>
  <c r="L12" i="18" a="1"/>
  <c r="L12" i="18" s="1"/>
  <c r="G12" i="18" a="1"/>
  <c r="G12" i="18" s="1"/>
  <c r="F12" i="18" a="1"/>
  <c r="F12" i="18" s="1"/>
  <c r="AN11" i="18"/>
  <c r="AK11" i="18"/>
  <c r="AJ11" i="18"/>
  <c r="V11" i="18"/>
  <c r="T11" i="18"/>
  <c r="L11" i="18" a="1"/>
  <c r="L11" i="18" s="1"/>
  <c r="G11" i="18" a="1"/>
  <c r="G11" i="18" s="1"/>
  <c r="F11" i="18" a="1"/>
  <c r="F11" i="18" s="1"/>
  <c r="AN56" i="18"/>
  <c r="AK56" i="18"/>
  <c r="AJ56" i="18"/>
  <c r="V56" i="18"/>
  <c r="T56" i="18"/>
  <c r="L56" i="18" a="1"/>
  <c r="L56" i="18" s="1"/>
  <c r="G56" i="18" a="1"/>
  <c r="G56" i="18" s="1"/>
  <c r="F56" i="18" a="1"/>
  <c r="F56" i="18" s="1"/>
  <c r="I56" i="18" s="1" a="1"/>
  <c r="I56" i="18" s="1"/>
  <c r="O56" i="18" s="1"/>
  <c r="AN55" i="18"/>
  <c r="AK55" i="18"/>
  <c r="AJ55" i="18"/>
  <c r="V55" i="18"/>
  <c r="T55" i="18"/>
  <c r="L55" i="18" a="1"/>
  <c r="L55" i="18" s="1"/>
  <c r="G55" i="18" a="1"/>
  <c r="G55" i="18" s="1"/>
  <c r="F55" i="18" a="1"/>
  <c r="F55" i="18" s="1"/>
  <c r="I55" i="18" s="1" a="1"/>
  <c r="I55" i="18" s="1"/>
  <c r="O55" i="18" s="1"/>
  <c r="AN54" i="18"/>
  <c r="AK54" i="18"/>
  <c r="AJ54" i="18"/>
  <c r="V54" i="18"/>
  <c r="T54" i="18"/>
  <c r="L54" i="18" a="1"/>
  <c r="L54" i="18" s="1"/>
  <c r="G54" i="18" a="1"/>
  <c r="G54" i="18" s="1"/>
  <c r="F54" i="18" a="1"/>
  <c r="F54" i="18" s="1"/>
  <c r="AN53" i="18"/>
  <c r="AK53" i="18"/>
  <c r="AJ53" i="18"/>
  <c r="V53" i="18"/>
  <c r="T53" i="18"/>
  <c r="L53" i="18" a="1"/>
  <c r="L53" i="18" s="1"/>
  <c r="G53" i="18" a="1"/>
  <c r="G53" i="18" s="1"/>
  <c r="F53" i="18" a="1"/>
  <c r="F53" i="18" s="1"/>
  <c r="I53" i="18" s="1" a="1"/>
  <c r="I53" i="18" s="1"/>
  <c r="O53" i="18" s="1"/>
  <c r="AN52" i="18"/>
  <c r="AK52" i="18"/>
  <c r="AJ52" i="18"/>
  <c r="V52" i="18"/>
  <c r="T52" i="18"/>
  <c r="L52" i="18" a="1"/>
  <c r="L52" i="18" s="1"/>
  <c r="G52" i="18" a="1"/>
  <c r="G52" i="18" s="1"/>
  <c r="F52" i="18" a="1"/>
  <c r="F52" i="18" s="1"/>
  <c r="I52" i="18" s="1" a="1"/>
  <c r="I52" i="18" s="1"/>
  <c r="O52" i="18" s="1"/>
  <c r="AN51" i="18"/>
  <c r="AK51" i="18"/>
  <c r="AJ51" i="18"/>
  <c r="V51" i="18"/>
  <c r="T51" i="18"/>
  <c r="L51" i="18" a="1"/>
  <c r="L51" i="18" s="1"/>
  <c r="G51" i="18" a="1"/>
  <c r="G51" i="18" s="1"/>
  <c r="F51" i="18" a="1"/>
  <c r="F51" i="18" s="1"/>
  <c r="AN50" i="18"/>
  <c r="AK50" i="18"/>
  <c r="AJ50" i="18"/>
  <c r="V50" i="18"/>
  <c r="T50" i="18"/>
  <c r="L50" i="18" a="1"/>
  <c r="L50" i="18" s="1"/>
  <c r="G50" i="18" a="1"/>
  <c r="G50" i="18" s="1"/>
  <c r="F50" i="18" a="1"/>
  <c r="F50" i="18" s="1"/>
  <c r="I50" i="18" s="1" a="1"/>
  <c r="I50" i="18" s="1"/>
  <c r="O50" i="18" s="1"/>
  <c r="AN49" i="18"/>
  <c r="AK49" i="18"/>
  <c r="AJ49" i="18"/>
  <c r="V49" i="18"/>
  <c r="T49" i="18"/>
  <c r="L49" i="18" a="1"/>
  <c r="L49" i="18" s="1"/>
  <c r="G49" i="18" a="1"/>
  <c r="G49" i="18" s="1"/>
  <c r="F49" i="18" a="1"/>
  <c r="F49" i="18" s="1"/>
  <c r="I49" i="18" s="1" a="1"/>
  <c r="I49" i="18" s="1"/>
  <c r="O49" i="18" s="1"/>
  <c r="AN48" i="18"/>
  <c r="AK48" i="18"/>
  <c r="AJ48" i="18"/>
  <c r="V48" i="18"/>
  <c r="T48" i="18"/>
  <c r="L48" i="18" a="1"/>
  <c r="L48" i="18" s="1"/>
  <c r="G48" i="18" a="1"/>
  <c r="G48" i="18" s="1"/>
  <c r="F48" i="18" a="1"/>
  <c r="F48" i="18" s="1"/>
  <c r="AN47" i="18"/>
  <c r="AK47" i="18"/>
  <c r="AJ47" i="18"/>
  <c r="V47" i="18"/>
  <c r="T47" i="18"/>
  <c r="L47" i="18" a="1"/>
  <c r="L47" i="18" s="1"/>
  <c r="G47" i="18" a="1"/>
  <c r="G47" i="18" s="1"/>
  <c r="F47" i="18" a="1"/>
  <c r="F47" i="18" s="1"/>
  <c r="I47" i="18" s="1" a="1"/>
  <c r="I47" i="18" s="1"/>
  <c r="O47" i="18" s="1"/>
  <c r="AN46" i="18"/>
  <c r="AK46" i="18"/>
  <c r="AJ46" i="18"/>
  <c r="V46" i="18"/>
  <c r="T46" i="18"/>
  <c r="L46" i="18" a="1"/>
  <c r="L46" i="18" s="1"/>
  <c r="G46" i="18" a="1"/>
  <c r="G46" i="18" s="1"/>
  <c r="F46" i="18" a="1"/>
  <c r="F46" i="18" s="1"/>
  <c r="I46" i="18" s="1" a="1"/>
  <c r="I46" i="18" s="1"/>
  <c r="O46" i="18" s="1"/>
  <c r="AN45" i="18"/>
  <c r="AK45" i="18"/>
  <c r="AJ45" i="18"/>
  <c r="V45" i="18"/>
  <c r="T45" i="18"/>
  <c r="L45" i="18" a="1"/>
  <c r="L45" i="18" s="1"/>
  <c r="G45" i="18" a="1"/>
  <c r="G45" i="18" s="1"/>
  <c r="F45" i="18" a="1"/>
  <c r="F45" i="18" s="1"/>
  <c r="AN44" i="18"/>
  <c r="AK44" i="18"/>
  <c r="AJ44" i="18"/>
  <c r="V44" i="18"/>
  <c r="T44" i="18"/>
  <c r="L44" i="18" a="1"/>
  <c r="L44" i="18" s="1"/>
  <c r="G44" i="18" a="1"/>
  <c r="G44" i="18" s="1"/>
  <c r="F44" i="18" a="1"/>
  <c r="F44" i="18" s="1"/>
  <c r="I44" i="18" s="1" a="1"/>
  <c r="I44" i="18" s="1"/>
  <c r="O44" i="18" s="1"/>
  <c r="AN43" i="18"/>
  <c r="AK43" i="18"/>
  <c r="AJ43" i="18"/>
  <c r="V43" i="18"/>
  <c r="T43" i="18"/>
  <c r="L43" i="18" a="1"/>
  <c r="L43" i="18" s="1"/>
  <c r="G43" i="18" a="1"/>
  <c r="G43" i="18" s="1"/>
  <c r="F43" i="18" a="1"/>
  <c r="F43" i="18" s="1"/>
  <c r="I43" i="18" s="1" a="1"/>
  <c r="I43" i="18" s="1"/>
  <c r="O43" i="18" s="1"/>
  <c r="AN42" i="18"/>
  <c r="AK42" i="18"/>
  <c r="AJ42" i="18"/>
  <c r="V42" i="18"/>
  <c r="T42" i="18"/>
  <c r="L42" i="18" a="1"/>
  <c r="L42" i="18" s="1"/>
  <c r="G42" i="18" a="1"/>
  <c r="G42" i="18" s="1"/>
  <c r="F42" i="18" a="1"/>
  <c r="F42" i="18" s="1"/>
  <c r="AN41" i="18"/>
  <c r="AK41" i="18"/>
  <c r="AJ41" i="18"/>
  <c r="V41" i="18"/>
  <c r="T41" i="18"/>
  <c r="L41" i="18" a="1"/>
  <c r="L41" i="18" s="1"/>
  <c r="G41" i="18" a="1"/>
  <c r="G41" i="18" s="1"/>
  <c r="F41" i="18" a="1"/>
  <c r="F41" i="18" s="1"/>
  <c r="AN40" i="18"/>
  <c r="AK40" i="18"/>
  <c r="AJ40" i="18"/>
  <c r="V40" i="18"/>
  <c r="T40" i="18"/>
  <c r="L40" i="18" a="1"/>
  <c r="L40" i="18" s="1"/>
  <c r="G40" i="18" a="1"/>
  <c r="G40" i="18" s="1"/>
  <c r="F40" i="18" a="1"/>
  <c r="F40" i="18" s="1"/>
  <c r="AN39" i="18"/>
  <c r="AK39" i="18"/>
  <c r="AJ39" i="18"/>
  <c r="V39" i="18"/>
  <c r="T39" i="18"/>
  <c r="L39" i="18" a="1"/>
  <c r="L39" i="18" s="1"/>
  <c r="G39" i="18" a="1"/>
  <c r="G39" i="18" s="1"/>
  <c r="F39" i="18" a="1"/>
  <c r="F39" i="18" s="1"/>
  <c r="Q39" i="18" s="1"/>
  <c r="AN71" i="18"/>
  <c r="AK71" i="18"/>
  <c r="AJ71" i="18"/>
  <c r="V71" i="18"/>
  <c r="T71" i="18"/>
  <c r="L71" i="18" a="1"/>
  <c r="L71" i="18" s="1"/>
  <c r="G71" i="18" a="1"/>
  <c r="G71" i="18" s="1"/>
  <c r="F71" i="18" a="1"/>
  <c r="F71" i="18" s="1"/>
  <c r="AN70" i="18"/>
  <c r="AK70" i="18"/>
  <c r="AJ70" i="18"/>
  <c r="V70" i="18"/>
  <c r="T70" i="18"/>
  <c r="L70" i="18" a="1"/>
  <c r="L70" i="18" s="1"/>
  <c r="G70" i="18" a="1"/>
  <c r="G70" i="18" s="1"/>
  <c r="F70" i="18" a="1"/>
  <c r="F70" i="18" s="1"/>
  <c r="AN69" i="18"/>
  <c r="AK69" i="18"/>
  <c r="AJ69" i="18"/>
  <c r="V69" i="18"/>
  <c r="T69" i="18"/>
  <c r="L69" i="18" a="1"/>
  <c r="L69" i="18" s="1"/>
  <c r="G69" i="18" a="1"/>
  <c r="G69" i="18" s="1"/>
  <c r="F69" i="18" a="1"/>
  <c r="F69" i="18" s="1"/>
  <c r="AN68" i="18"/>
  <c r="AK68" i="18"/>
  <c r="AJ68" i="18"/>
  <c r="V68" i="18"/>
  <c r="T68" i="18"/>
  <c r="L68" i="18" a="1"/>
  <c r="L68" i="18" s="1"/>
  <c r="G68" i="18" a="1"/>
  <c r="G68" i="18" s="1"/>
  <c r="F68" i="18" a="1"/>
  <c r="F68" i="18" s="1"/>
  <c r="I68" i="18" s="1" a="1"/>
  <c r="I68" i="18" s="1"/>
  <c r="O68" i="18" s="1"/>
  <c r="AN66" i="18"/>
  <c r="AK66" i="18"/>
  <c r="AJ66" i="18"/>
  <c r="V66" i="18"/>
  <c r="T66" i="18"/>
  <c r="L66" i="18" a="1"/>
  <c r="L66" i="18" s="1"/>
  <c r="G66" i="18" a="1"/>
  <c r="G66" i="18" s="1"/>
  <c r="F66" i="18" a="1"/>
  <c r="F66" i="18" s="1"/>
  <c r="I66" i="18" s="1" a="1"/>
  <c r="I66" i="18" s="1"/>
  <c r="O66" i="18" s="1"/>
  <c r="AN65" i="18"/>
  <c r="AK65" i="18"/>
  <c r="AJ65" i="18"/>
  <c r="V65" i="18"/>
  <c r="T65" i="18"/>
  <c r="L65" i="18" a="1"/>
  <c r="L65" i="18" s="1"/>
  <c r="G65" i="18" a="1"/>
  <c r="G65" i="18" s="1"/>
  <c r="F65" i="18" a="1"/>
  <c r="F65" i="18" s="1"/>
  <c r="AN64" i="18"/>
  <c r="AK64" i="18"/>
  <c r="AJ64" i="18"/>
  <c r="V64" i="18"/>
  <c r="T64" i="18"/>
  <c r="L64" i="18" a="1"/>
  <c r="L64" i="18" s="1"/>
  <c r="G64" i="18" a="1"/>
  <c r="G64" i="18" s="1"/>
  <c r="F64" i="18" a="1"/>
  <c r="F64" i="18" s="1"/>
  <c r="I64" i="18" s="1" a="1"/>
  <c r="I64" i="18" s="1"/>
  <c r="O64" i="18" s="1"/>
  <c r="AN63" i="18"/>
  <c r="AK63" i="18"/>
  <c r="AJ63" i="18"/>
  <c r="V63" i="18"/>
  <c r="T63" i="18"/>
  <c r="L63" i="18" a="1"/>
  <c r="L63" i="18" s="1"/>
  <c r="G63" i="18" a="1"/>
  <c r="G63" i="18" s="1"/>
  <c r="F63" i="18" a="1"/>
  <c r="F63" i="18" s="1"/>
  <c r="I63" i="18" s="1" a="1"/>
  <c r="I63" i="18" s="1"/>
  <c r="O63" i="18" s="1"/>
  <c r="AN62" i="18"/>
  <c r="AK62" i="18"/>
  <c r="AJ62" i="18"/>
  <c r="V62" i="18"/>
  <c r="T62" i="18"/>
  <c r="L62" i="18" a="1"/>
  <c r="L62" i="18" s="1"/>
  <c r="G62" i="18" a="1"/>
  <c r="G62" i="18" s="1"/>
  <c r="F62" i="18" a="1"/>
  <c r="F62" i="18" s="1"/>
  <c r="AN61" i="18"/>
  <c r="AK61" i="18"/>
  <c r="AJ61" i="18"/>
  <c r="V61" i="18"/>
  <c r="T61" i="18"/>
  <c r="L61" i="18" a="1"/>
  <c r="L61" i="18" s="1"/>
  <c r="G61" i="18" a="1"/>
  <c r="G61" i="18" s="1"/>
  <c r="F61" i="18" a="1"/>
  <c r="F61" i="18" s="1"/>
  <c r="I61" i="18" s="1" a="1"/>
  <c r="I61" i="18" s="1"/>
  <c r="O61" i="18" s="1"/>
  <c r="AN60" i="18"/>
  <c r="AK60" i="18"/>
  <c r="AJ60" i="18"/>
  <c r="V60" i="18"/>
  <c r="T60" i="18"/>
  <c r="L60" i="18" a="1"/>
  <c r="L60" i="18" s="1"/>
  <c r="G60" i="18" a="1"/>
  <c r="G60" i="18" s="1"/>
  <c r="F60" i="18" a="1"/>
  <c r="F60" i="18" s="1"/>
  <c r="AN59" i="18"/>
  <c r="AK59" i="18"/>
  <c r="AJ59" i="18"/>
  <c r="V59" i="18"/>
  <c r="T59" i="18"/>
  <c r="L59" i="18" a="1"/>
  <c r="L59" i="18" s="1"/>
  <c r="G59" i="18" a="1"/>
  <c r="G59" i="18" s="1"/>
  <c r="F59" i="18" a="1"/>
  <c r="F59" i="18" s="1"/>
  <c r="AN58" i="18"/>
  <c r="AK58" i="18"/>
  <c r="AJ58" i="18"/>
  <c r="V58" i="18"/>
  <c r="T58" i="18"/>
  <c r="L58" i="18" a="1"/>
  <c r="L58" i="18" s="1"/>
  <c r="G58" i="18" a="1"/>
  <c r="G58" i="18" s="1"/>
  <c r="F58" i="18" a="1"/>
  <c r="F58" i="18" s="1"/>
  <c r="AN57" i="18"/>
  <c r="AK57" i="18"/>
  <c r="AJ57" i="18"/>
  <c r="V57" i="18"/>
  <c r="T57" i="18"/>
  <c r="L57" i="18" a="1"/>
  <c r="L57" i="18" s="1"/>
  <c r="G57" i="18" a="1"/>
  <c r="G57" i="18" s="1"/>
  <c r="F57" i="18" a="1"/>
  <c r="F57" i="18" s="1"/>
  <c r="I57" i="18" s="1" a="1"/>
  <c r="I57" i="18" s="1"/>
  <c r="O57" i="18" s="1"/>
  <c r="AN113" i="18"/>
  <c r="AK113" i="18"/>
  <c r="AJ113" i="18"/>
  <c r="V113" i="18"/>
  <c r="T113" i="18"/>
  <c r="L113" i="18" a="1"/>
  <c r="L113" i="18" s="1"/>
  <c r="G113" i="18" a="1"/>
  <c r="G113" i="18" s="1"/>
  <c r="F113" i="18" a="1"/>
  <c r="F113" i="18" s="1"/>
  <c r="AN112" i="18"/>
  <c r="AK112" i="18"/>
  <c r="AJ112" i="18"/>
  <c r="V112" i="18"/>
  <c r="T112" i="18"/>
  <c r="L112" i="18" a="1"/>
  <c r="L112" i="18" s="1"/>
  <c r="G112" i="18" a="1"/>
  <c r="G112" i="18" s="1"/>
  <c r="F112" i="18" a="1"/>
  <c r="F112" i="18" s="1"/>
  <c r="Q112" i="18" s="1"/>
  <c r="AN111" i="18"/>
  <c r="AK111" i="18"/>
  <c r="AJ111" i="18"/>
  <c r="V111" i="18"/>
  <c r="T111" i="18"/>
  <c r="L111" i="18" a="1"/>
  <c r="L111" i="18" s="1"/>
  <c r="G111" i="18" a="1"/>
  <c r="G111" i="18" s="1"/>
  <c r="F111" i="18" a="1"/>
  <c r="F111" i="18" s="1"/>
  <c r="AN110" i="18"/>
  <c r="AK110" i="18"/>
  <c r="AJ110" i="18"/>
  <c r="V110" i="18"/>
  <c r="T110" i="18"/>
  <c r="L110" i="18" a="1"/>
  <c r="L110" i="18" s="1"/>
  <c r="G110" i="18" a="1"/>
  <c r="G110" i="18" s="1"/>
  <c r="F110" i="18" a="1"/>
  <c r="F110" i="18" s="1"/>
  <c r="AN109" i="18"/>
  <c r="AK109" i="18"/>
  <c r="AJ109" i="18"/>
  <c r="V109" i="18"/>
  <c r="T109" i="18"/>
  <c r="L109" i="18" a="1"/>
  <c r="L109" i="18" s="1"/>
  <c r="G109" i="18" a="1"/>
  <c r="G109" i="18" s="1"/>
  <c r="F109" i="18" a="1"/>
  <c r="F109" i="18" s="1"/>
  <c r="AN108" i="18"/>
  <c r="AK108" i="18"/>
  <c r="AJ108" i="18"/>
  <c r="V108" i="18"/>
  <c r="T108" i="18"/>
  <c r="L108" i="18" a="1"/>
  <c r="L108" i="18" s="1"/>
  <c r="G108" i="18" a="1"/>
  <c r="G108" i="18" s="1"/>
  <c r="F108" i="18" a="1"/>
  <c r="F108" i="18" s="1"/>
  <c r="AN107" i="18"/>
  <c r="AK107" i="18"/>
  <c r="AJ107" i="18"/>
  <c r="V107" i="18"/>
  <c r="T107" i="18"/>
  <c r="L107" i="18" a="1"/>
  <c r="L107" i="18" s="1"/>
  <c r="G107" i="18" a="1"/>
  <c r="G107" i="18" s="1"/>
  <c r="F107" i="18" a="1"/>
  <c r="F107" i="18" s="1"/>
  <c r="Q107" i="18" s="1"/>
  <c r="AN106" i="18"/>
  <c r="AK106" i="18"/>
  <c r="AJ106" i="18"/>
  <c r="V106" i="18"/>
  <c r="T106" i="18"/>
  <c r="L106" i="18" a="1"/>
  <c r="L106" i="18" s="1"/>
  <c r="G106" i="18" a="1"/>
  <c r="G106" i="18" s="1"/>
  <c r="F106" i="18" a="1"/>
  <c r="F106" i="18" s="1"/>
  <c r="Q106" i="18" s="1"/>
  <c r="AN105" i="18"/>
  <c r="AK105" i="18"/>
  <c r="AJ105" i="18"/>
  <c r="V105" i="18"/>
  <c r="T105" i="18"/>
  <c r="L105" i="18" a="1"/>
  <c r="L105" i="18" s="1"/>
  <c r="G105" i="18" a="1"/>
  <c r="G105" i="18" s="1"/>
  <c r="F105" i="18" a="1"/>
  <c r="F105" i="18" s="1"/>
  <c r="AN104" i="18"/>
  <c r="AK104" i="18"/>
  <c r="AJ104" i="18"/>
  <c r="V104" i="18"/>
  <c r="T104" i="18"/>
  <c r="L104" i="18" a="1"/>
  <c r="L104" i="18" s="1"/>
  <c r="G104" i="18" a="1"/>
  <c r="G104" i="18" s="1"/>
  <c r="F104" i="18" a="1"/>
  <c r="F104" i="18" s="1"/>
  <c r="AN103" i="18"/>
  <c r="AK103" i="18"/>
  <c r="AJ103" i="18"/>
  <c r="V103" i="18"/>
  <c r="T103" i="18"/>
  <c r="L103" i="18" a="1"/>
  <c r="L103" i="18" s="1"/>
  <c r="G103" i="18" a="1"/>
  <c r="G103" i="18" s="1"/>
  <c r="F103" i="18" a="1"/>
  <c r="F103" i="18" s="1"/>
  <c r="Q103" i="18" s="1"/>
  <c r="AN102" i="18"/>
  <c r="AK102" i="18"/>
  <c r="AJ102" i="18"/>
  <c r="V102" i="18"/>
  <c r="T102" i="18"/>
  <c r="L102" i="18" a="1"/>
  <c r="L102" i="18" s="1"/>
  <c r="G102" i="18" a="1"/>
  <c r="G102" i="18" s="1"/>
  <c r="F102" i="18" a="1"/>
  <c r="F102" i="18" s="1"/>
  <c r="Q102" i="18" s="1"/>
  <c r="AN101" i="18"/>
  <c r="AK101" i="18"/>
  <c r="AJ101" i="18"/>
  <c r="V101" i="18"/>
  <c r="T101" i="18"/>
  <c r="L101" i="18" a="1"/>
  <c r="L101" i="18" s="1"/>
  <c r="G101" i="18" a="1"/>
  <c r="G101" i="18" s="1"/>
  <c r="F101" i="18" a="1"/>
  <c r="F101" i="18" s="1"/>
  <c r="AN100" i="18"/>
  <c r="AK100" i="18"/>
  <c r="AJ100" i="18"/>
  <c r="V100" i="18"/>
  <c r="T100" i="18"/>
  <c r="L100" i="18" a="1"/>
  <c r="L100" i="18" s="1"/>
  <c r="G100" i="18" a="1"/>
  <c r="G100" i="18" s="1"/>
  <c r="F100" i="18" a="1"/>
  <c r="F100" i="18" s="1"/>
  <c r="AN99" i="18"/>
  <c r="AK99" i="18"/>
  <c r="AJ99" i="18"/>
  <c r="V99" i="18"/>
  <c r="T99" i="18"/>
  <c r="L99" i="18" a="1"/>
  <c r="L99" i="18" s="1"/>
  <c r="G99" i="18" a="1"/>
  <c r="G99" i="18" s="1"/>
  <c r="F99" i="18" a="1"/>
  <c r="F99" i="18" s="1"/>
  <c r="AN98" i="18"/>
  <c r="AK98" i="18"/>
  <c r="AJ98" i="18"/>
  <c r="V98" i="18"/>
  <c r="T98" i="18"/>
  <c r="L98" i="18" a="1"/>
  <c r="L98" i="18" s="1"/>
  <c r="G98" i="18" a="1"/>
  <c r="G98" i="18" s="1"/>
  <c r="F98" i="18" a="1"/>
  <c r="F98" i="18" s="1"/>
  <c r="Q98" i="18" s="1"/>
  <c r="AN97" i="18"/>
  <c r="AK97" i="18"/>
  <c r="AJ97" i="18"/>
  <c r="V97" i="18"/>
  <c r="T97" i="18"/>
  <c r="L97" i="18" a="1"/>
  <c r="L97" i="18" s="1"/>
  <c r="G97" i="18" a="1"/>
  <c r="G97" i="18" s="1"/>
  <c r="F97" i="18" a="1"/>
  <c r="F97" i="18" s="1"/>
  <c r="AN96" i="18"/>
  <c r="AK96" i="18"/>
  <c r="AJ96" i="18"/>
  <c r="V96" i="18"/>
  <c r="T96" i="18"/>
  <c r="L96" i="18" a="1"/>
  <c r="L96" i="18" s="1"/>
  <c r="G96" i="18" a="1"/>
  <c r="G96" i="18" s="1"/>
  <c r="F96" i="18" a="1"/>
  <c r="F96" i="18" s="1"/>
  <c r="AN95" i="18"/>
  <c r="AK95" i="18"/>
  <c r="AJ95" i="18"/>
  <c r="V95" i="18"/>
  <c r="T95" i="18"/>
  <c r="L95" i="18" a="1"/>
  <c r="L95" i="18" s="1"/>
  <c r="G95" i="18" a="1"/>
  <c r="G95" i="18" s="1"/>
  <c r="F95" i="18" a="1"/>
  <c r="F95" i="18" s="1"/>
  <c r="AN94" i="18"/>
  <c r="AK94" i="18"/>
  <c r="AJ94" i="18"/>
  <c r="V94" i="18"/>
  <c r="T94" i="18"/>
  <c r="L94" i="18" a="1"/>
  <c r="L94" i="18" s="1"/>
  <c r="G94" i="18" a="1"/>
  <c r="G94" i="18" s="1"/>
  <c r="F94" i="18" a="1"/>
  <c r="F94" i="18" s="1"/>
  <c r="Q94" i="18" s="1"/>
  <c r="AN93" i="18"/>
  <c r="AK93" i="18"/>
  <c r="AJ93" i="18"/>
  <c r="V93" i="18"/>
  <c r="T93" i="18"/>
  <c r="L93" i="18" a="1"/>
  <c r="L93" i="18" s="1"/>
  <c r="G93" i="18" a="1"/>
  <c r="G93" i="18" s="1"/>
  <c r="F93" i="18" a="1"/>
  <c r="F93" i="18" s="1"/>
  <c r="AN92" i="18"/>
  <c r="AK92" i="18"/>
  <c r="AJ92" i="18"/>
  <c r="V92" i="18"/>
  <c r="T92" i="18"/>
  <c r="L92" i="18" a="1"/>
  <c r="L92" i="18" s="1"/>
  <c r="G92" i="18" a="1"/>
  <c r="G92" i="18" s="1"/>
  <c r="F92" i="18" a="1"/>
  <c r="F92" i="18" s="1"/>
  <c r="AN91" i="18"/>
  <c r="AK91" i="18"/>
  <c r="AJ91" i="18"/>
  <c r="V91" i="18"/>
  <c r="T91" i="18"/>
  <c r="L91" i="18" a="1"/>
  <c r="L91" i="18" s="1"/>
  <c r="G91" i="18" a="1"/>
  <c r="G91" i="18" s="1"/>
  <c r="F91" i="18" a="1"/>
  <c r="F91" i="18" s="1"/>
  <c r="Q91" i="18" s="1"/>
  <c r="AN90" i="18"/>
  <c r="AK90" i="18"/>
  <c r="AJ90" i="18"/>
  <c r="V90" i="18"/>
  <c r="T90" i="18"/>
  <c r="L90" i="18" a="1"/>
  <c r="L90" i="18" s="1"/>
  <c r="G90" i="18" a="1"/>
  <c r="G90" i="18" s="1"/>
  <c r="F90" i="18" a="1"/>
  <c r="F90" i="18" s="1"/>
  <c r="Q90" i="18" s="1"/>
  <c r="AN89" i="18"/>
  <c r="AK89" i="18"/>
  <c r="AJ89" i="18"/>
  <c r="V89" i="18"/>
  <c r="T89" i="18"/>
  <c r="L89" i="18" a="1"/>
  <c r="L89" i="18" s="1"/>
  <c r="G89" i="18" a="1"/>
  <c r="G89" i="18" s="1"/>
  <c r="F89" i="18" a="1"/>
  <c r="F89" i="18" s="1"/>
  <c r="Q89" i="18" s="1"/>
  <c r="AN88" i="18"/>
  <c r="AK88" i="18"/>
  <c r="AJ88" i="18"/>
  <c r="V88" i="18"/>
  <c r="T88" i="18"/>
  <c r="L88" i="18" a="1"/>
  <c r="L88" i="18" s="1"/>
  <c r="G88" i="18" a="1"/>
  <c r="G88" i="18" s="1"/>
  <c r="F88" i="18" a="1"/>
  <c r="F88" i="18" s="1"/>
  <c r="AN87" i="18"/>
  <c r="AK87" i="18"/>
  <c r="AJ87" i="18"/>
  <c r="V87" i="18"/>
  <c r="T87" i="18"/>
  <c r="L87" i="18" a="1"/>
  <c r="L87" i="18" s="1"/>
  <c r="G87" i="18" a="1"/>
  <c r="G87" i="18" s="1"/>
  <c r="F87" i="18" a="1"/>
  <c r="F87" i="18" s="1"/>
  <c r="AN144" i="18"/>
  <c r="AK144" i="18"/>
  <c r="AJ144" i="18"/>
  <c r="V144" i="18"/>
  <c r="T144" i="18"/>
  <c r="L144" i="18" a="1"/>
  <c r="L144" i="18" s="1"/>
  <c r="G144" i="18" a="1"/>
  <c r="G144" i="18" s="1"/>
  <c r="F144" i="18" a="1"/>
  <c r="F144" i="18" s="1"/>
  <c r="AN143" i="18"/>
  <c r="AK143" i="18"/>
  <c r="AJ143" i="18"/>
  <c r="V143" i="18"/>
  <c r="T143" i="18"/>
  <c r="L143" i="18" a="1"/>
  <c r="L143" i="18" s="1"/>
  <c r="G143" i="18" a="1"/>
  <c r="G143" i="18" s="1"/>
  <c r="F143" i="18" a="1"/>
  <c r="F143" i="18" s="1"/>
  <c r="AN142" i="18"/>
  <c r="AK142" i="18"/>
  <c r="AJ142" i="18"/>
  <c r="V142" i="18"/>
  <c r="T142" i="18"/>
  <c r="L142" i="18" a="1"/>
  <c r="L142" i="18" s="1"/>
  <c r="G142" i="18" a="1"/>
  <c r="G142" i="18" s="1"/>
  <c r="F142" i="18" a="1"/>
  <c r="F142" i="18" s="1"/>
  <c r="AN141" i="18"/>
  <c r="AK141" i="18"/>
  <c r="AJ141" i="18"/>
  <c r="V141" i="18"/>
  <c r="T141" i="18"/>
  <c r="L141" i="18" a="1"/>
  <c r="L141" i="18" s="1"/>
  <c r="G141" i="18" a="1"/>
  <c r="G141" i="18" s="1"/>
  <c r="F141" i="18" a="1"/>
  <c r="F141" i="18" s="1"/>
  <c r="AN140" i="18"/>
  <c r="AK140" i="18"/>
  <c r="AJ140" i="18"/>
  <c r="V140" i="18"/>
  <c r="T140" i="18"/>
  <c r="L140" i="18" a="1"/>
  <c r="L140" i="18" s="1"/>
  <c r="G140" i="18" a="1"/>
  <c r="G140" i="18" s="1"/>
  <c r="F140" i="18" a="1"/>
  <c r="F140" i="18" s="1"/>
  <c r="AN139" i="18"/>
  <c r="AK139" i="18"/>
  <c r="AJ139" i="18"/>
  <c r="V139" i="18"/>
  <c r="T139" i="18"/>
  <c r="L139" i="18" a="1"/>
  <c r="L139" i="18" s="1"/>
  <c r="G139" i="18" a="1"/>
  <c r="G139" i="18" s="1"/>
  <c r="F139" i="18" a="1"/>
  <c r="F139" i="18" s="1"/>
  <c r="AN138" i="18"/>
  <c r="AK138" i="18"/>
  <c r="AJ138" i="18"/>
  <c r="V138" i="18"/>
  <c r="T138" i="18"/>
  <c r="L138" i="18" a="1"/>
  <c r="L138" i="18" s="1"/>
  <c r="G138" i="18" a="1"/>
  <c r="G138" i="18" s="1"/>
  <c r="F138" i="18" a="1"/>
  <c r="F138" i="18" s="1"/>
  <c r="AN137" i="18"/>
  <c r="AK137" i="18"/>
  <c r="AJ137" i="18"/>
  <c r="V137" i="18"/>
  <c r="T137" i="18"/>
  <c r="L137" i="18" a="1"/>
  <c r="L137" i="18" s="1"/>
  <c r="G137" i="18" a="1"/>
  <c r="G137" i="18" s="1"/>
  <c r="F137" i="18" a="1"/>
  <c r="F137" i="18" s="1"/>
  <c r="AN136" i="18"/>
  <c r="AK136" i="18"/>
  <c r="AJ136" i="18"/>
  <c r="V136" i="18"/>
  <c r="T136" i="18"/>
  <c r="L136" i="18" a="1"/>
  <c r="L136" i="18" s="1"/>
  <c r="G136" i="18" a="1"/>
  <c r="G136" i="18" s="1"/>
  <c r="F136" i="18" a="1"/>
  <c r="F136" i="18" s="1"/>
  <c r="AN135" i="18"/>
  <c r="AK135" i="18"/>
  <c r="AJ135" i="18"/>
  <c r="V135" i="18"/>
  <c r="T135" i="18"/>
  <c r="L135" i="18" a="1"/>
  <c r="L135" i="18" s="1"/>
  <c r="G135" i="18" a="1"/>
  <c r="G135" i="18" s="1"/>
  <c r="F135" i="18" a="1"/>
  <c r="F135" i="18" s="1"/>
  <c r="AN134" i="18"/>
  <c r="AK134" i="18"/>
  <c r="AJ134" i="18"/>
  <c r="V134" i="18"/>
  <c r="T134" i="18"/>
  <c r="L134" i="18" a="1"/>
  <c r="L134" i="18" s="1"/>
  <c r="G134" i="18" a="1"/>
  <c r="G134" i="18" s="1"/>
  <c r="F134" i="18" a="1"/>
  <c r="F134" i="18" s="1"/>
  <c r="AN133" i="18"/>
  <c r="AK133" i="18"/>
  <c r="AJ133" i="18"/>
  <c r="V133" i="18"/>
  <c r="T133" i="18"/>
  <c r="L133" i="18" a="1"/>
  <c r="L133" i="18" s="1"/>
  <c r="G133" i="18" a="1"/>
  <c r="G133" i="18" s="1"/>
  <c r="F133" i="18" a="1"/>
  <c r="F133" i="18" s="1"/>
  <c r="AN132" i="18"/>
  <c r="AK132" i="18"/>
  <c r="AJ132" i="18"/>
  <c r="V132" i="18"/>
  <c r="T132" i="18"/>
  <c r="L132" i="18" a="1"/>
  <c r="L132" i="18" s="1"/>
  <c r="G132" i="18" a="1"/>
  <c r="G132" i="18" s="1"/>
  <c r="F132" i="18" a="1"/>
  <c r="F132" i="18" s="1"/>
  <c r="AN131" i="18"/>
  <c r="AK131" i="18"/>
  <c r="AJ131" i="18"/>
  <c r="V131" i="18"/>
  <c r="T131" i="18"/>
  <c r="L131" i="18" a="1"/>
  <c r="L131" i="18" s="1"/>
  <c r="G131" i="18" a="1"/>
  <c r="G131" i="18" s="1"/>
  <c r="F131" i="18" a="1"/>
  <c r="F131" i="18" s="1"/>
  <c r="AN130" i="18"/>
  <c r="AK130" i="18"/>
  <c r="AJ130" i="18"/>
  <c r="V130" i="18"/>
  <c r="T130" i="18"/>
  <c r="L130" i="18" a="1"/>
  <c r="L130" i="18" s="1"/>
  <c r="G130" i="18" a="1"/>
  <c r="G130" i="18" s="1"/>
  <c r="F130" i="18" a="1"/>
  <c r="F130" i="18" s="1"/>
  <c r="AN129" i="18"/>
  <c r="AK129" i="18"/>
  <c r="AJ129" i="18"/>
  <c r="V129" i="18"/>
  <c r="T129" i="18"/>
  <c r="L129" i="18" a="1"/>
  <c r="L129" i="18" s="1"/>
  <c r="G129" i="18" a="1"/>
  <c r="G129" i="18" s="1"/>
  <c r="F129" i="18" a="1"/>
  <c r="F129" i="18" s="1"/>
  <c r="AN128" i="18"/>
  <c r="AK128" i="18"/>
  <c r="AJ128" i="18"/>
  <c r="V128" i="18"/>
  <c r="T128" i="18"/>
  <c r="L128" i="18" a="1"/>
  <c r="L128" i="18" s="1"/>
  <c r="G128" i="18" a="1"/>
  <c r="G128" i="18" s="1"/>
  <c r="F128" i="18" a="1"/>
  <c r="F128" i="18" s="1"/>
  <c r="AN127" i="18"/>
  <c r="AK127" i="18"/>
  <c r="AJ127" i="18"/>
  <c r="V127" i="18"/>
  <c r="T127" i="18"/>
  <c r="L127" i="18" a="1"/>
  <c r="L127" i="18" s="1"/>
  <c r="G127" i="18" a="1"/>
  <c r="G127" i="18" s="1"/>
  <c r="F127" i="18" a="1"/>
  <c r="F127" i="18" s="1"/>
  <c r="AN126" i="18"/>
  <c r="AK126" i="18"/>
  <c r="AJ126" i="18"/>
  <c r="V126" i="18"/>
  <c r="T126" i="18"/>
  <c r="L126" i="18" a="1"/>
  <c r="L126" i="18" s="1"/>
  <c r="G126" i="18" a="1"/>
  <c r="G126" i="18" s="1"/>
  <c r="F126" i="18" a="1"/>
  <c r="F126" i="18" s="1"/>
  <c r="AN125" i="18"/>
  <c r="AK125" i="18"/>
  <c r="AJ125" i="18"/>
  <c r="V125" i="18"/>
  <c r="T125" i="18"/>
  <c r="L125" i="18" a="1"/>
  <c r="L125" i="18" s="1"/>
  <c r="G125" i="18" a="1"/>
  <c r="G125" i="18" s="1"/>
  <c r="F125" i="18" a="1"/>
  <c r="F125" i="18" s="1"/>
  <c r="AN124" i="18"/>
  <c r="AK124" i="18"/>
  <c r="AJ124" i="18"/>
  <c r="V124" i="18"/>
  <c r="T124" i="18"/>
  <c r="L124" i="18" a="1"/>
  <c r="L124" i="18" s="1"/>
  <c r="G124" i="18" a="1"/>
  <c r="G124" i="18" s="1"/>
  <c r="F124" i="18" a="1"/>
  <c r="F124" i="18" s="1"/>
  <c r="AN123" i="18"/>
  <c r="AK123" i="18"/>
  <c r="AJ123" i="18"/>
  <c r="V123" i="18"/>
  <c r="T123" i="18"/>
  <c r="L123" i="18" a="1"/>
  <c r="L123" i="18" s="1"/>
  <c r="G123" i="18" a="1"/>
  <c r="G123" i="18" s="1"/>
  <c r="F123" i="18" a="1"/>
  <c r="F123" i="18" s="1"/>
  <c r="AN122" i="18"/>
  <c r="AK122" i="18"/>
  <c r="AJ122" i="18"/>
  <c r="V122" i="18"/>
  <c r="T122" i="18"/>
  <c r="L122" i="18" a="1"/>
  <c r="L122" i="18" s="1"/>
  <c r="G122" i="18" a="1"/>
  <c r="G122" i="18" s="1"/>
  <c r="F122" i="18" a="1"/>
  <c r="F122" i="18" s="1"/>
  <c r="AN121" i="18"/>
  <c r="AK121" i="18"/>
  <c r="AJ121" i="18"/>
  <c r="V121" i="18"/>
  <c r="T121" i="18"/>
  <c r="L121" i="18" a="1"/>
  <c r="L121" i="18" s="1"/>
  <c r="G121" i="18" a="1"/>
  <c r="G121" i="18" s="1"/>
  <c r="F121" i="18" a="1"/>
  <c r="F121" i="18" s="1"/>
  <c r="AN120" i="18"/>
  <c r="AK120" i="18"/>
  <c r="AJ120" i="18"/>
  <c r="V120" i="18"/>
  <c r="T120" i="18"/>
  <c r="L120" i="18" a="1"/>
  <c r="L120" i="18" s="1"/>
  <c r="G120" i="18" a="1"/>
  <c r="G120" i="18" s="1"/>
  <c r="F120" i="18" a="1"/>
  <c r="F120" i="18" s="1"/>
  <c r="AN119" i="18"/>
  <c r="AK119" i="18"/>
  <c r="AJ119" i="18"/>
  <c r="V119" i="18"/>
  <c r="T119" i="18"/>
  <c r="L119" i="18" a="1"/>
  <c r="L119" i="18" s="1"/>
  <c r="G119" i="18" a="1"/>
  <c r="G119" i="18" s="1"/>
  <c r="F119" i="18" a="1"/>
  <c r="F119" i="18" s="1"/>
  <c r="Q119" i="18" s="1"/>
  <c r="AN118" i="18"/>
  <c r="AK118" i="18"/>
  <c r="AJ118" i="18"/>
  <c r="V118" i="18"/>
  <c r="T118" i="18"/>
  <c r="L118" i="18" a="1"/>
  <c r="L118" i="18" s="1"/>
  <c r="G118" i="18" a="1"/>
  <c r="G118" i="18" s="1"/>
  <c r="F118" i="18" a="1"/>
  <c r="F118" i="18" s="1"/>
  <c r="AN117" i="18"/>
  <c r="AK117" i="18"/>
  <c r="AJ117" i="18"/>
  <c r="V117" i="18"/>
  <c r="T117" i="18"/>
  <c r="L117" i="18" a="1"/>
  <c r="L117" i="18" s="1"/>
  <c r="G117" i="18" a="1"/>
  <c r="G117" i="18" s="1"/>
  <c r="F117" i="18" a="1"/>
  <c r="F117" i="18" s="1"/>
  <c r="AN116" i="18"/>
  <c r="AK116" i="18"/>
  <c r="AJ116" i="18"/>
  <c r="V116" i="18"/>
  <c r="T116" i="18"/>
  <c r="L116" i="18" a="1"/>
  <c r="L116" i="18" s="1"/>
  <c r="G116" i="18" a="1"/>
  <c r="G116" i="18" s="1"/>
  <c r="F116" i="18" a="1"/>
  <c r="F116" i="18" s="1"/>
  <c r="AN115" i="18"/>
  <c r="AK115" i="18"/>
  <c r="AJ115" i="18"/>
  <c r="V115" i="18"/>
  <c r="T115" i="18"/>
  <c r="L115" i="18" a="1"/>
  <c r="L115" i="18" s="1"/>
  <c r="G115" i="18" a="1"/>
  <c r="G115" i="18" s="1"/>
  <c r="F115" i="18" a="1"/>
  <c r="F115" i="18" s="1"/>
  <c r="AN114" i="18"/>
  <c r="AK114" i="18"/>
  <c r="AJ114" i="18"/>
  <c r="V114" i="18"/>
  <c r="T114" i="18"/>
  <c r="L114" i="18" a="1"/>
  <c r="L114" i="18" s="1"/>
  <c r="G114" i="18" a="1"/>
  <c r="G114" i="18" s="1"/>
  <c r="F114" i="18" a="1"/>
  <c r="F114" i="18" s="1"/>
  <c r="AN175" i="18"/>
  <c r="AK175" i="18"/>
  <c r="AJ175" i="18"/>
  <c r="V175" i="18"/>
  <c r="T175" i="18"/>
  <c r="L175" i="18" a="1"/>
  <c r="L175" i="18" s="1"/>
  <c r="G175" i="18" a="1"/>
  <c r="G175" i="18" s="1"/>
  <c r="F175" i="18" a="1"/>
  <c r="F175" i="18" s="1"/>
  <c r="AN174" i="18"/>
  <c r="AK174" i="18"/>
  <c r="AJ174" i="18"/>
  <c r="V174" i="18"/>
  <c r="T174" i="18"/>
  <c r="L174" i="18" a="1"/>
  <c r="L174" i="18" s="1"/>
  <c r="G174" i="18" a="1"/>
  <c r="G174" i="18" s="1"/>
  <c r="F174" i="18" a="1"/>
  <c r="F174" i="18" s="1"/>
  <c r="AN173" i="18"/>
  <c r="AK173" i="18"/>
  <c r="AJ173" i="18"/>
  <c r="V173" i="18"/>
  <c r="T173" i="18"/>
  <c r="L173" i="18" a="1"/>
  <c r="L173" i="18" s="1"/>
  <c r="G173" i="18" a="1"/>
  <c r="G173" i="18" s="1"/>
  <c r="F173" i="18" a="1"/>
  <c r="F173" i="18" s="1"/>
  <c r="AN172" i="18"/>
  <c r="AK172" i="18"/>
  <c r="AJ172" i="18"/>
  <c r="V172" i="18"/>
  <c r="T172" i="18"/>
  <c r="L172" i="18" a="1"/>
  <c r="L172" i="18" s="1"/>
  <c r="G172" i="18" a="1"/>
  <c r="G172" i="18" s="1"/>
  <c r="F172" i="18" a="1"/>
  <c r="F172" i="18" s="1"/>
  <c r="AN171" i="18"/>
  <c r="AK171" i="18"/>
  <c r="AJ171" i="18"/>
  <c r="V171" i="18"/>
  <c r="T171" i="18"/>
  <c r="L171" i="18" a="1"/>
  <c r="L171" i="18" s="1"/>
  <c r="G171" i="18" a="1"/>
  <c r="G171" i="18" s="1"/>
  <c r="F171" i="18" a="1"/>
  <c r="F171" i="18" s="1"/>
  <c r="AN170" i="18"/>
  <c r="AK170" i="18"/>
  <c r="AJ170" i="18"/>
  <c r="V170" i="18"/>
  <c r="T170" i="18"/>
  <c r="L170" i="18" a="1"/>
  <c r="L170" i="18" s="1"/>
  <c r="G170" i="18" a="1"/>
  <c r="G170" i="18" s="1"/>
  <c r="F170" i="18" a="1"/>
  <c r="F170" i="18" s="1"/>
  <c r="AN169" i="18"/>
  <c r="AK169" i="18"/>
  <c r="AJ169" i="18"/>
  <c r="V169" i="18"/>
  <c r="T169" i="18"/>
  <c r="L169" i="18" a="1"/>
  <c r="L169" i="18" s="1"/>
  <c r="G169" i="18" a="1"/>
  <c r="G169" i="18" s="1"/>
  <c r="F169" i="18" a="1"/>
  <c r="F169" i="18" s="1"/>
  <c r="AN168" i="18"/>
  <c r="AK168" i="18"/>
  <c r="AJ168" i="18"/>
  <c r="V168" i="18"/>
  <c r="T168" i="18"/>
  <c r="L168" i="18" a="1"/>
  <c r="L168" i="18" s="1"/>
  <c r="G168" i="18" a="1"/>
  <c r="G168" i="18" s="1"/>
  <c r="F168" i="18" a="1"/>
  <c r="F168" i="18" s="1"/>
  <c r="AN167" i="18"/>
  <c r="AK167" i="18"/>
  <c r="AJ167" i="18"/>
  <c r="V167" i="18"/>
  <c r="T167" i="18"/>
  <c r="L167" i="18" a="1"/>
  <c r="L167" i="18" s="1"/>
  <c r="G167" i="18" a="1"/>
  <c r="G167" i="18" s="1"/>
  <c r="F167" i="18" a="1"/>
  <c r="F167" i="18" s="1"/>
  <c r="AN166" i="18"/>
  <c r="AK166" i="18"/>
  <c r="AJ166" i="18"/>
  <c r="V166" i="18"/>
  <c r="T166" i="18"/>
  <c r="L166" i="18" a="1"/>
  <c r="L166" i="18" s="1"/>
  <c r="G166" i="18" a="1"/>
  <c r="G166" i="18" s="1"/>
  <c r="F166" i="18" a="1"/>
  <c r="F166" i="18" s="1"/>
  <c r="AN165" i="18"/>
  <c r="AK165" i="18"/>
  <c r="AJ165" i="18"/>
  <c r="V165" i="18"/>
  <c r="T165" i="18"/>
  <c r="L165" i="18" a="1"/>
  <c r="L165" i="18" s="1"/>
  <c r="G165" i="18" a="1"/>
  <c r="G165" i="18" s="1"/>
  <c r="F165" i="18" a="1"/>
  <c r="F165" i="18" s="1"/>
  <c r="AN164" i="18"/>
  <c r="AK164" i="18"/>
  <c r="AJ164" i="18"/>
  <c r="V164" i="18"/>
  <c r="T164" i="18"/>
  <c r="L164" i="18" a="1"/>
  <c r="L164" i="18" s="1"/>
  <c r="G164" i="18" a="1"/>
  <c r="G164" i="18" s="1"/>
  <c r="F164" i="18" a="1"/>
  <c r="F164" i="18" s="1"/>
  <c r="AN163" i="18"/>
  <c r="AK163" i="18"/>
  <c r="AJ163" i="18"/>
  <c r="V163" i="18"/>
  <c r="T163" i="18"/>
  <c r="L163" i="18" a="1"/>
  <c r="L163" i="18" s="1"/>
  <c r="G163" i="18" a="1"/>
  <c r="G163" i="18" s="1"/>
  <c r="F163" i="18" a="1"/>
  <c r="F163" i="18" s="1"/>
  <c r="AN162" i="18"/>
  <c r="AK162" i="18"/>
  <c r="AJ162" i="18"/>
  <c r="V162" i="18"/>
  <c r="T162" i="18"/>
  <c r="L162" i="18" a="1"/>
  <c r="L162" i="18" s="1"/>
  <c r="G162" i="18" a="1"/>
  <c r="G162" i="18" s="1"/>
  <c r="F162" i="18" a="1"/>
  <c r="F162" i="18" s="1"/>
  <c r="AN161" i="18"/>
  <c r="AK161" i="18"/>
  <c r="AJ161" i="18"/>
  <c r="V161" i="18"/>
  <c r="T161" i="18"/>
  <c r="L161" i="18" a="1"/>
  <c r="L161" i="18" s="1"/>
  <c r="G161" i="18" a="1"/>
  <c r="G161" i="18" s="1"/>
  <c r="F161" i="18" a="1"/>
  <c r="F161" i="18" s="1"/>
  <c r="AN160" i="18"/>
  <c r="AK160" i="18"/>
  <c r="AJ160" i="18"/>
  <c r="V160" i="18"/>
  <c r="T160" i="18"/>
  <c r="L160" i="18" a="1"/>
  <c r="L160" i="18" s="1"/>
  <c r="G160" i="18" a="1"/>
  <c r="G160" i="18" s="1"/>
  <c r="F160" i="18" a="1"/>
  <c r="F160" i="18" s="1"/>
  <c r="AN159" i="18"/>
  <c r="AK159" i="18"/>
  <c r="AJ159" i="18"/>
  <c r="V159" i="18"/>
  <c r="T159" i="18"/>
  <c r="L159" i="18" a="1"/>
  <c r="L159" i="18" s="1"/>
  <c r="G159" i="18" a="1"/>
  <c r="G159" i="18" s="1"/>
  <c r="F159" i="18" a="1"/>
  <c r="F159" i="18" s="1"/>
  <c r="AN158" i="18"/>
  <c r="AK158" i="18"/>
  <c r="AJ158" i="18"/>
  <c r="V158" i="18"/>
  <c r="T158" i="18"/>
  <c r="L158" i="18" a="1"/>
  <c r="L158" i="18" s="1"/>
  <c r="G158" i="18" a="1"/>
  <c r="G158" i="18" s="1"/>
  <c r="F158" i="18" a="1"/>
  <c r="F158" i="18" s="1"/>
  <c r="AN157" i="18"/>
  <c r="AK157" i="18"/>
  <c r="AJ157" i="18"/>
  <c r="V157" i="18"/>
  <c r="T157" i="18"/>
  <c r="L157" i="18" a="1"/>
  <c r="L157" i="18" s="1"/>
  <c r="G157" i="18" a="1"/>
  <c r="G157" i="18" s="1"/>
  <c r="F157" i="18" a="1"/>
  <c r="F157" i="18" s="1"/>
  <c r="AN156" i="18"/>
  <c r="AK156" i="18"/>
  <c r="AJ156" i="18"/>
  <c r="V156" i="18"/>
  <c r="T156" i="18"/>
  <c r="L156" i="18" a="1"/>
  <c r="L156" i="18" s="1"/>
  <c r="G156" i="18" a="1"/>
  <c r="G156" i="18" s="1"/>
  <c r="F156" i="18" a="1"/>
  <c r="F156" i="18" s="1"/>
  <c r="AN155" i="18"/>
  <c r="AK155" i="18"/>
  <c r="AJ155" i="18"/>
  <c r="V155" i="18"/>
  <c r="T155" i="18"/>
  <c r="L155" i="18" a="1"/>
  <c r="L155" i="18" s="1"/>
  <c r="G155" i="18" a="1"/>
  <c r="G155" i="18" s="1"/>
  <c r="F155" i="18" a="1"/>
  <c r="F155" i="18" s="1"/>
  <c r="AN154" i="18"/>
  <c r="AK154" i="18"/>
  <c r="AJ154" i="18"/>
  <c r="V154" i="18"/>
  <c r="T154" i="18"/>
  <c r="L154" i="18" a="1"/>
  <c r="L154" i="18" s="1"/>
  <c r="G154" i="18" a="1"/>
  <c r="G154" i="18" s="1"/>
  <c r="F154" i="18" a="1"/>
  <c r="F154" i="18" s="1"/>
  <c r="AN153" i="18"/>
  <c r="AK153" i="18"/>
  <c r="AJ153" i="18"/>
  <c r="V153" i="18"/>
  <c r="T153" i="18"/>
  <c r="L153" i="18" a="1"/>
  <c r="L153" i="18" s="1"/>
  <c r="G153" i="18" a="1"/>
  <c r="G153" i="18" s="1"/>
  <c r="F153" i="18" a="1"/>
  <c r="F153" i="18" s="1"/>
  <c r="AN152" i="18"/>
  <c r="AK152" i="18"/>
  <c r="AJ152" i="18"/>
  <c r="V152" i="18"/>
  <c r="T152" i="18"/>
  <c r="L152" i="18" a="1"/>
  <c r="L152" i="18" s="1"/>
  <c r="G152" i="18" a="1"/>
  <c r="G152" i="18" s="1"/>
  <c r="F152" i="18" a="1"/>
  <c r="F152" i="18" s="1"/>
  <c r="AN151" i="18"/>
  <c r="AK151" i="18"/>
  <c r="AJ151" i="18"/>
  <c r="V151" i="18"/>
  <c r="T151" i="18"/>
  <c r="L151" i="18" a="1"/>
  <c r="L151" i="18" s="1"/>
  <c r="G151" i="18" a="1"/>
  <c r="G151" i="18" s="1"/>
  <c r="F151" i="18" a="1"/>
  <c r="F151" i="18" s="1"/>
  <c r="AN150" i="18"/>
  <c r="AK150" i="18"/>
  <c r="AJ150" i="18"/>
  <c r="V150" i="18"/>
  <c r="T150" i="18"/>
  <c r="L150" i="18" a="1"/>
  <c r="L150" i="18" s="1"/>
  <c r="G150" i="18" a="1"/>
  <c r="G150" i="18" s="1"/>
  <c r="F150" i="18" a="1"/>
  <c r="F150" i="18" s="1"/>
  <c r="AN149" i="18"/>
  <c r="AK149" i="18"/>
  <c r="AJ149" i="18"/>
  <c r="V149" i="18"/>
  <c r="T149" i="18"/>
  <c r="L149" i="18" a="1"/>
  <c r="L149" i="18" s="1"/>
  <c r="G149" i="18" a="1"/>
  <c r="G149" i="18" s="1"/>
  <c r="F149" i="18" a="1"/>
  <c r="F149" i="18" s="1"/>
  <c r="AN148" i="18"/>
  <c r="AK148" i="18"/>
  <c r="AJ148" i="18"/>
  <c r="V148" i="18"/>
  <c r="T148" i="18"/>
  <c r="L148" i="18" a="1"/>
  <c r="L148" i="18" s="1"/>
  <c r="G148" i="18" a="1"/>
  <c r="G148" i="18" s="1"/>
  <c r="F148" i="18" a="1"/>
  <c r="F148" i="18" s="1"/>
  <c r="AN147" i="18"/>
  <c r="AK147" i="18"/>
  <c r="AJ147" i="18"/>
  <c r="V147" i="18"/>
  <c r="T147" i="18"/>
  <c r="L147" i="18" a="1"/>
  <c r="L147" i="18" s="1"/>
  <c r="G147" i="18" a="1"/>
  <c r="G147" i="18" s="1"/>
  <c r="F147" i="18" a="1"/>
  <c r="F147" i="18" s="1"/>
  <c r="AN146" i="18"/>
  <c r="AK146" i="18"/>
  <c r="AJ146" i="18"/>
  <c r="V146" i="18"/>
  <c r="T146" i="18"/>
  <c r="L146" i="18" a="1"/>
  <c r="L146" i="18" s="1"/>
  <c r="G146" i="18" a="1"/>
  <c r="G146" i="18" s="1"/>
  <c r="F146" i="18" a="1"/>
  <c r="F146" i="18" s="1"/>
  <c r="AN145" i="18"/>
  <c r="AK145" i="18"/>
  <c r="AJ145" i="18"/>
  <c r="V145" i="18"/>
  <c r="T145" i="18"/>
  <c r="L145" i="18" a="1"/>
  <c r="L145" i="18" s="1"/>
  <c r="G145" i="18" a="1"/>
  <c r="G145" i="18" s="1"/>
  <c r="F145" i="18" a="1"/>
  <c r="F145" i="18" s="1"/>
  <c r="AN206" i="18"/>
  <c r="AK206" i="18"/>
  <c r="AJ206" i="18"/>
  <c r="V206" i="18"/>
  <c r="T206" i="18"/>
  <c r="L206" i="18" a="1"/>
  <c r="L206" i="18" s="1"/>
  <c r="G206" i="18" a="1"/>
  <c r="G206" i="18" s="1"/>
  <c r="F206" i="18" a="1"/>
  <c r="F206" i="18" s="1"/>
  <c r="AN205" i="18"/>
  <c r="AK205" i="18"/>
  <c r="AJ205" i="18"/>
  <c r="V205" i="18"/>
  <c r="T205" i="18"/>
  <c r="L205" i="18" a="1"/>
  <c r="L205" i="18" s="1"/>
  <c r="G205" i="18" a="1"/>
  <c r="G205" i="18" s="1"/>
  <c r="F205" i="18" a="1"/>
  <c r="F205" i="18" s="1"/>
  <c r="AN204" i="18"/>
  <c r="AK204" i="18"/>
  <c r="AJ204" i="18"/>
  <c r="V204" i="18"/>
  <c r="T204" i="18"/>
  <c r="L204" i="18" a="1"/>
  <c r="L204" i="18" s="1"/>
  <c r="G204" i="18" a="1"/>
  <c r="G204" i="18" s="1"/>
  <c r="F204" i="18" a="1"/>
  <c r="F204" i="18" s="1"/>
  <c r="AN203" i="18"/>
  <c r="AK203" i="18"/>
  <c r="AJ203" i="18"/>
  <c r="V203" i="18"/>
  <c r="T203" i="18"/>
  <c r="L203" i="18" a="1"/>
  <c r="L203" i="18" s="1"/>
  <c r="G203" i="18" a="1"/>
  <c r="G203" i="18" s="1"/>
  <c r="F203" i="18" a="1"/>
  <c r="F203" i="18" s="1"/>
  <c r="AN202" i="18"/>
  <c r="AK202" i="18"/>
  <c r="AJ202" i="18"/>
  <c r="V202" i="18"/>
  <c r="T202" i="18"/>
  <c r="L202" i="18" a="1"/>
  <c r="L202" i="18" s="1"/>
  <c r="G202" i="18" a="1"/>
  <c r="G202" i="18" s="1"/>
  <c r="F202" i="18" a="1"/>
  <c r="F202" i="18" s="1"/>
  <c r="AN201" i="18"/>
  <c r="AK201" i="18"/>
  <c r="AJ201" i="18"/>
  <c r="V201" i="18"/>
  <c r="T201" i="18"/>
  <c r="L201" i="18" a="1"/>
  <c r="L201" i="18" s="1"/>
  <c r="G201" i="18" a="1"/>
  <c r="G201" i="18" s="1"/>
  <c r="F201" i="18" a="1"/>
  <c r="F201" i="18" s="1"/>
  <c r="AN200" i="18"/>
  <c r="AK200" i="18"/>
  <c r="AJ200" i="18"/>
  <c r="V200" i="18"/>
  <c r="T200" i="18"/>
  <c r="L200" i="18" a="1"/>
  <c r="L200" i="18" s="1"/>
  <c r="G200" i="18" a="1"/>
  <c r="G200" i="18" s="1"/>
  <c r="F200" i="18" a="1"/>
  <c r="F200" i="18" s="1"/>
  <c r="AN199" i="18"/>
  <c r="AK199" i="18"/>
  <c r="AJ199" i="18"/>
  <c r="V199" i="18"/>
  <c r="T199" i="18"/>
  <c r="L199" i="18" a="1"/>
  <c r="L199" i="18" s="1"/>
  <c r="G199" i="18" a="1"/>
  <c r="G199" i="18" s="1"/>
  <c r="F199" i="18" a="1"/>
  <c r="F199" i="18" s="1"/>
  <c r="AN198" i="18"/>
  <c r="AK198" i="18"/>
  <c r="AJ198" i="18"/>
  <c r="V198" i="18"/>
  <c r="T198" i="18"/>
  <c r="L198" i="18" a="1"/>
  <c r="L198" i="18" s="1"/>
  <c r="G198" i="18" a="1"/>
  <c r="G198" i="18" s="1"/>
  <c r="F198" i="18" a="1"/>
  <c r="F198" i="18" s="1"/>
  <c r="AN197" i="18"/>
  <c r="AK197" i="18"/>
  <c r="AJ197" i="18"/>
  <c r="V197" i="18"/>
  <c r="T197" i="18"/>
  <c r="L197" i="18" a="1"/>
  <c r="L197" i="18" s="1"/>
  <c r="G197" i="18" a="1"/>
  <c r="G197" i="18" s="1"/>
  <c r="F197" i="18" a="1"/>
  <c r="F197" i="18" s="1"/>
  <c r="AN196" i="18"/>
  <c r="AK196" i="18"/>
  <c r="AJ196" i="18"/>
  <c r="V196" i="18"/>
  <c r="T196" i="18"/>
  <c r="L196" i="18" a="1"/>
  <c r="L196" i="18" s="1"/>
  <c r="G196" i="18" a="1"/>
  <c r="G196" i="18" s="1"/>
  <c r="F196" i="18" a="1"/>
  <c r="F196" i="18" s="1"/>
  <c r="AN195" i="18"/>
  <c r="AK195" i="18"/>
  <c r="AJ195" i="18"/>
  <c r="V195" i="18"/>
  <c r="T195" i="18"/>
  <c r="L195" i="18" a="1"/>
  <c r="L195" i="18" s="1"/>
  <c r="G195" i="18" a="1"/>
  <c r="G195" i="18" s="1"/>
  <c r="F195" i="18" a="1"/>
  <c r="F195" i="18" s="1"/>
  <c r="AN194" i="18"/>
  <c r="AK194" i="18"/>
  <c r="AJ194" i="18"/>
  <c r="V194" i="18"/>
  <c r="T194" i="18"/>
  <c r="L194" i="18" a="1"/>
  <c r="L194" i="18" s="1"/>
  <c r="G194" i="18" a="1"/>
  <c r="G194" i="18" s="1"/>
  <c r="F194" i="18" a="1"/>
  <c r="F194" i="18" s="1"/>
  <c r="AN193" i="18"/>
  <c r="AK193" i="18"/>
  <c r="AJ193" i="18"/>
  <c r="V193" i="18"/>
  <c r="T193" i="18"/>
  <c r="L193" i="18" a="1"/>
  <c r="L193" i="18" s="1"/>
  <c r="G193" i="18" a="1"/>
  <c r="G193" i="18" s="1"/>
  <c r="F193" i="18" a="1"/>
  <c r="F193" i="18" s="1"/>
  <c r="AN192" i="18"/>
  <c r="AK192" i="18"/>
  <c r="AJ192" i="18"/>
  <c r="V192" i="18"/>
  <c r="T192" i="18"/>
  <c r="L192" i="18" a="1"/>
  <c r="L192" i="18" s="1"/>
  <c r="G192" i="18" a="1"/>
  <c r="G192" i="18" s="1"/>
  <c r="F192" i="18" a="1"/>
  <c r="F192" i="18" s="1"/>
  <c r="AN191" i="18"/>
  <c r="AK191" i="18"/>
  <c r="AJ191" i="18"/>
  <c r="V191" i="18"/>
  <c r="T191" i="18"/>
  <c r="L191" i="18" a="1"/>
  <c r="L191" i="18" s="1"/>
  <c r="G191" i="18" a="1"/>
  <c r="G191" i="18" s="1"/>
  <c r="F191" i="18" a="1"/>
  <c r="F191" i="18" s="1"/>
  <c r="AN190" i="18"/>
  <c r="AK190" i="18"/>
  <c r="AJ190" i="18"/>
  <c r="V190" i="18"/>
  <c r="T190" i="18"/>
  <c r="L190" i="18" a="1"/>
  <c r="L190" i="18" s="1"/>
  <c r="G190" i="18" a="1"/>
  <c r="G190" i="18" s="1"/>
  <c r="F190" i="18" a="1"/>
  <c r="F190" i="18" s="1"/>
  <c r="AN189" i="18"/>
  <c r="AK189" i="18"/>
  <c r="AJ189" i="18"/>
  <c r="V189" i="18"/>
  <c r="T189" i="18"/>
  <c r="L189" i="18" a="1"/>
  <c r="L189" i="18" s="1"/>
  <c r="G189" i="18" a="1"/>
  <c r="G189" i="18" s="1"/>
  <c r="F189" i="18" a="1"/>
  <c r="F189" i="18" s="1"/>
  <c r="AN188" i="18"/>
  <c r="AK188" i="18"/>
  <c r="AJ188" i="18"/>
  <c r="V188" i="18"/>
  <c r="T188" i="18"/>
  <c r="L188" i="18" a="1"/>
  <c r="L188" i="18" s="1"/>
  <c r="G188" i="18" a="1"/>
  <c r="G188" i="18" s="1"/>
  <c r="F188" i="18" a="1"/>
  <c r="F188" i="18" s="1"/>
  <c r="AN187" i="18"/>
  <c r="AK187" i="18"/>
  <c r="AJ187" i="18"/>
  <c r="V187" i="18"/>
  <c r="T187" i="18"/>
  <c r="L187" i="18" a="1"/>
  <c r="L187" i="18" s="1"/>
  <c r="G187" i="18" a="1"/>
  <c r="G187" i="18" s="1"/>
  <c r="F187" i="18" a="1"/>
  <c r="F187" i="18" s="1"/>
  <c r="AN186" i="18"/>
  <c r="AK186" i="18"/>
  <c r="AJ186" i="18"/>
  <c r="V186" i="18"/>
  <c r="T186" i="18"/>
  <c r="L186" i="18" a="1"/>
  <c r="L186" i="18" s="1"/>
  <c r="G186" i="18" a="1"/>
  <c r="G186" i="18" s="1"/>
  <c r="F186" i="18" a="1"/>
  <c r="F186" i="18" s="1"/>
  <c r="AN185" i="18"/>
  <c r="AK185" i="18"/>
  <c r="AJ185" i="18"/>
  <c r="V185" i="18"/>
  <c r="T185" i="18"/>
  <c r="L185" i="18" a="1"/>
  <c r="L185" i="18" s="1"/>
  <c r="G185" i="18" a="1"/>
  <c r="G185" i="18" s="1"/>
  <c r="F185" i="18" a="1"/>
  <c r="F185" i="18" s="1"/>
  <c r="AN184" i="18"/>
  <c r="AK184" i="18"/>
  <c r="AJ184" i="18"/>
  <c r="V184" i="18"/>
  <c r="T184" i="18"/>
  <c r="L184" i="18" a="1"/>
  <c r="L184" i="18" s="1"/>
  <c r="G184" i="18" a="1"/>
  <c r="G184" i="18" s="1"/>
  <c r="F184" i="18" a="1"/>
  <c r="F184" i="18" s="1"/>
  <c r="AN183" i="18"/>
  <c r="AK183" i="18"/>
  <c r="AJ183" i="18"/>
  <c r="V183" i="18"/>
  <c r="T183" i="18"/>
  <c r="L183" i="18" a="1"/>
  <c r="L183" i="18" s="1"/>
  <c r="G183" i="18" a="1"/>
  <c r="G183" i="18" s="1"/>
  <c r="F183" i="18" a="1"/>
  <c r="F183" i="18" s="1"/>
  <c r="AN182" i="18"/>
  <c r="AK182" i="18"/>
  <c r="AJ182" i="18"/>
  <c r="V182" i="18"/>
  <c r="T182" i="18"/>
  <c r="L182" i="18" a="1"/>
  <c r="L182" i="18" s="1"/>
  <c r="G182" i="18" a="1"/>
  <c r="G182" i="18" s="1"/>
  <c r="F182" i="18" a="1"/>
  <c r="F182" i="18" s="1"/>
  <c r="AN181" i="18"/>
  <c r="AK181" i="18"/>
  <c r="AJ181" i="18"/>
  <c r="V181" i="18"/>
  <c r="T181" i="18"/>
  <c r="L181" i="18" a="1"/>
  <c r="L181" i="18" s="1"/>
  <c r="G181" i="18" a="1"/>
  <c r="G181" i="18" s="1"/>
  <c r="F181" i="18" a="1"/>
  <c r="F181" i="18" s="1"/>
  <c r="AN180" i="18"/>
  <c r="AK180" i="18"/>
  <c r="AJ180" i="18"/>
  <c r="V180" i="18"/>
  <c r="T180" i="18"/>
  <c r="L180" i="18" a="1"/>
  <c r="L180" i="18" s="1"/>
  <c r="G180" i="18" a="1"/>
  <c r="G180" i="18" s="1"/>
  <c r="F180" i="18" a="1"/>
  <c r="F180" i="18" s="1"/>
  <c r="AN179" i="18"/>
  <c r="AK179" i="18"/>
  <c r="AJ179" i="18"/>
  <c r="V179" i="18"/>
  <c r="T179" i="18"/>
  <c r="L179" i="18" a="1"/>
  <c r="L179" i="18" s="1"/>
  <c r="G179" i="18" a="1"/>
  <c r="G179" i="18" s="1"/>
  <c r="F179" i="18" a="1"/>
  <c r="F179" i="18" s="1"/>
  <c r="AN178" i="18"/>
  <c r="AK178" i="18"/>
  <c r="AJ178" i="18"/>
  <c r="V178" i="18"/>
  <c r="T178" i="18"/>
  <c r="L178" i="18" a="1"/>
  <c r="L178" i="18" s="1"/>
  <c r="G178" i="18" a="1"/>
  <c r="G178" i="18" s="1"/>
  <c r="F178" i="18" a="1"/>
  <c r="F178" i="18" s="1"/>
  <c r="AN177" i="18"/>
  <c r="AK177" i="18"/>
  <c r="AJ177" i="18"/>
  <c r="V177" i="18"/>
  <c r="T177" i="18"/>
  <c r="L177" i="18" a="1"/>
  <c r="L177" i="18" s="1"/>
  <c r="G177" i="18" a="1"/>
  <c r="G177" i="18" s="1"/>
  <c r="F177" i="18" a="1"/>
  <c r="F177" i="18" s="1"/>
  <c r="AN176" i="18"/>
  <c r="AK176" i="18"/>
  <c r="AJ176" i="18"/>
  <c r="V176" i="18"/>
  <c r="T176" i="18"/>
  <c r="L176" i="18" a="1"/>
  <c r="L176" i="18" s="1"/>
  <c r="G176" i="18" a="1"/>
  <c r="G176" i="18" s="1"/>
  <c r="F176" i="18" a="1"/>
  <c r="F176" i="18" s="1"/>
  <c r="L653" i="18" a="1"/>
  <c r="L653" i="18" s="1"/>
  <c r="L652" i="18" a="1"/>
  <c r="L652" i="18" s="1"/>
  <c r="L651" i="18" a="1"/>
  <c r="L651" i="18" s="1"/>
  <c r="L650" i="18" a="1"/>
  <c r="L650" i="18" s="1"/>
  <c r="L649" i="18" a="1"/>
  <c r="L649" i="18" s="1"/>
  <c r="L648" i="18" a="1"/>
  <c r="L648" i="18" s="1"/>
  <c r="L647" i="18" a="1"/>
  <c r="L647" i="18" s="1"/>
  <c r="L646" i="18" a="1"/>
  <c r="L646" i="18" s="1"/>
  <c r="L645" i="18" a="1"/>
  <c r="L645" i="18" s="1"/>
  <c r="L644" i="18" a="1"/>
  <c r="L644" i="18" s="1"/>
  <c r="L643" i="18" a="1"/>
  <c r="L643" i="18" s="1"/>
  <c r="L642" i="18" a="1"/>
  <c r="L642" i="18" s="1"/>
  <c r="L641" i="18" a="1"/>
  <c r="L641" i="18" s="1"/>
  <c r="L640" i="18" a="1"/>
  <c r="L640" i="18" s="1"/>
  <c r="L639" i="18" a="1"/>
  <c r="L639" i="18" s="1"/>
  <c r="L638" i="18" a="1"/>
  <c r="L638" i="18" s="1"/>
  <c r="L637" i="18" a="1"/>
  <c r="L637" i="18" s="1"/>
  <c r="L636" i="18" a="1"/>
  <c r="L636" i="18" s="1"/>
  <c r="L635" i="18" a="1"/>
  <c r="L635" i="18" s="1"/>
  <c r="L634" i="18" a="1"/>
  <c r="L634" i="18" s="1"/>
  <c r="L633" i="18" a="1"/>
  <c r="L633" i="18" s="1"/>
  <c r="L632" i="18" a="1"/>
  <c r="L632" i="18" s="1"/>
  <c r="L631" i="18" a="1"/>
  <c r="L631" i="18" s="1"/>
  <c r="L630" i="18" a="1"/>
  <c r="L630" i="18" s="1"/>
  <c r="L629" i="18" a="1"/>
  <c r="L629" i="18" s="1"/>
  <c r="L628" i="18" a="1"/>
  <c r="L628" i="18" s="1"/>
  <c r="L627" i="18" a="1"/>
  <c r="L627" i="18" s="1"/>
  <c r="L626" i="18" a="1"/>
  <c r="L626" i="18" s="1"/>
  <c r="L625" i="18" a="1"/>
  <c r="L625" i="18" s="1"/>
  <c r="L624" i="18" a="1"/>
  <c r="L624" i="18" s="1"/>
  <c r="L623" i="18" a="1"/>
  <c r="L623" i="18" s="1"/>
  <c r="L622" i="18" a="1"/>
  <c r="L622" i="18" s="1"/>
  <c r="L621" i="18" a="1"/>
  <c r="L621" i="18" s="1"/>
  <c r="L620" i="18" a="1"/>
  <c r="L620" i="18" s="1"/>
  <c r="L619" i="18" a="1"/>
  <c r="L619" i="18" s="1"/>
  <c r="L618" i="18" a="1"/>
  <c r="L618" i="18" s="1"/>
  <c r="L617" i="18" a="1"/>
  <c r="L617" i="18" s="1"/>
  <c r="L616" i="18" a="1"/>
  <c r="L616" i="18" s="1"/>
  <c r="L615" i="18" a="1"/>
  <c r="L615" i="18" s="1"/>
  <c r="L614" i="18" a="1"/>
  <c r="L614" i="18" s="1"/>
  <c r="L613" i="18" a="1"/>
  <c r="L613" i="18" s="1"/>
  <c r="L612" i="18" a="1"/>
  <c r="L612" i="18" s="1"/>
  <c r="L611" i="18" a="1"/>
  <c r="L611" i="18" s="1"/>
  <c r="L610" i="18" a="1"/>
  <c r="L610" i="18" s="1"/>
  <c r="L609" i="18" a="1"/>
  <c r="L609" i="18" s="1"/>
  <c r="L608" i="18" a="1"/>
  <c r="L608" i="18" s="1"/>
  <c r="L607" i="18" a="1"/>
  <c r="L607" i="18" s="1"/>
  <c r="L606" i="18" a="1"/>
  <c r="L606" i="18" s="1"/>
  <c r="L605" i="18" a="1"/>
  <c r="L605" i="18" s="1"/>
  <c r="L604" i="18" a="1"/>
  <c r="L604" i="18" s="1"/>
  <c r="L603" i="18" a="1"/>
  <c r="L603" i="18" s="1"/>
  <c r="L602" i="18" a="1"/>
  <c r="L602" i="18" s="1"/>
  <c r="L601" i="18" a="1"/>
  <c r="L601" i="18" s="1"/>
  <c r="L600" i="18" a="1"/>
  <c r="L600" i="18" s="1"/>
  <c r="L599" i="18" a="1"/>
  <c r="L599" i="18" s="1"/>
  <c r="L598" i="18" a="1"/>
  <c r="L598" i="18" s="1"/>
  <c r="L597" i="18" a="1"/>
  <c r="L597" i="18" s="1"/>
  <c r="L596" i="18" a="1"/>
  <c r="L596" i="18" s="1"/>
  <c r="L595" i="18" a="1"/>
  <c r="L595" i="18" s="1"/>
  <c r="L594" i="18" a="1"/>
  <c r="L594" i="18" s="1"/>
  <c r="L593" i="18" a="1"/>
  <c r="L593" i="18" s="1"/>
  <c r="L592" i="18" a="1"/>
  <c r="L592" i="18" s="1"/>
  <c r="L591" i="18" a="1"/>
  <c r="L591" i="18" s="1"/>
  <c r="L590" i="18" a="1"/>
  <c r="L590" i="18" s="1"/>
  <c r="L589" i="18" a="1"/>
  <c r="L589" i="18" s="1"/>
  <c r="L588" i="18" a="1"/>
  <c r="L588" i="18" s="1"/>
  <c r="L587" i="18" a="1"/>
  <c r="L587" i="18" s="1"/>
  <c r="L586" i="18" a="1"/>
  <c r="L586" i="18" s="1"/>
  <c r="L585" i="18" a="1"/>
  <c r="L585" i="18" s="1"/>
  <c r="L584" i="18" a="1"/>
  <c r="L584" i="18" s="1"/>
  <c r="L583" i="18" a="1"/>
  <c r="L583" i="18" s="1"/>
  <c r="L582" i="18" a="1"/>
  <c r="L582" i="18" s="1"/>
  <c r="L581" i="18" a="1"/>
  <c r="L581" i="18" s="1"/>
  <c r="L580" i="18" a="1"/>
  <c r="L580" i="18" s="1"/>
  <c r="L579" i="18" a="1"/>
  <c r="L579" i="18" s="1"/>
  <c r="L578" i="18" a="1"/>
  <c r="L578" i="18" s="1"/>
  <c r="L577" i="18" a="1"/>
  <c r="L577" i="18" s="1"/>
  <c r="L576" i="18" a="1"/>
  <c r="L576" i="18" s="1"/>
  <c r="L575" i="18" a="1"/>
  <c r="L575" i="18" s="1"/>
  <c r="L574" i="18" a="1"/>
  <c r="L574" i="18" s="1"/>
  <c r="L573" i="18" a="1"/>
  <c r="L573" i="18" s="1"/>
  <c r="L572" i="18" a="1"/>
  <c r="L572" i="18" s="1"/>
  <c r="L571" i="18" a="1"/>
  <c r="L571" i="18" s="1"/>
  <c r="L570" i="18" a="1"/>
  <c r="L570" i="18" s="1"/>
  <c r="L569" i="18" a="1"/>
  <c r="L569" i="18" s="1"/>
  <c r="L568" i="18" a="1"/>
  <c r="L568" i="18" s="1"/>
  <c r="L567" i="18" a="1"/>
  <c r="L567" i="18" s="1"/>
  <c r="L566" i="18" a="1"/>
  <c r="L566" i="18" s="1"/>
  <c r="L565" i="18" a="1"/>
  <c r="L565" i="18" s="1"/>
  <c r="L564" i="18" a="1"/>
  <c r="L564" i="18" s="1"/>
  <c r="L563" i="18" a="1"/>
  <c r="L563" i="18" s="1"/>
  <c r="L562" i="18" a="1"/>
  <c r="L562" i="18" s="1"/>
  <c r="L561" i="18" a="1"/>
  <c r="L561" i="18" s="1"/>
  <c r="L560" i="18" a="1"/>
  <c r="L560" i="18" s="1"/>
  <c r="L559" i="18" a="1"/>
  <c r="L559" i="18" s="1"/>
  <c r="L558" i="18" a="1"/>
  <c r="L558" i="18" s="1"/>
  <c r="L557" i="18" a="1"/>
  <c r="L557" i="18" s="1"/>
  <c r="L556" i="18" a="1"/>
  <c r="L556" i="18" s="1"/>
  <c r="L555" i="18" a="1"/>
  <c r="L555" i="18" s="1"/>
  <c r="L554" i="18" a="1"/>
  <c r="L554" i="18" s="1"/>
  <c r="L553" i="18" a="1"/>
  <c r="L553" i="18" s="1"/>
  <c r="L552" i="18" a="1"/>
  <c r="L552" i="18" s="1"/>
  <c r="L551" i="18" a="1"/>
  <c r="L551" i="18" s="1"/>
  <c r="L550" i="18" a="1"/>
  <c r="L550" i="18" s="1"/>
  <c r="L549" i="18" a="1"/>
  <c r="L549" i="18" s="1"/>
  <c r="L548" i="18" a="1"/>
  <c r="L548" i="18" s="1"/>
  <c r="L547" i="18" a="1"/>
  <c r="L547" i="18" s="1"/>
  <c r="L546" i="18" a="1"/>
  <c r="L546" i="18" s="1"/>
  <c r="L545" i="18" a="1"/>
  <c r="L545" i="18" s="1"/>
  <c r="L544" i="18" a="1"/>
  <c r="L544" i="18" s="1"/>
  <c r="L543" i="18" a="1"/>
  <c r="L543" i="18" s="1"/>
  <c r="L542" i="18" a="1"/>
  <c r="L542" i="18" s="1"/>
  <c r="L541" i="18" a="1"/>
  <c r="L541" i="18" s="1"/>
  <c r="L540" i="18" a="1"/>
  <c r="L540" i="18" s="1"/>
  <c r="L539" i="18" a="1"/>
  <c r="L539" i="18" s="1"/>
  <c r="L538" i="18" a="1"/>
  <c r="L538" i="18" s="1"/>
  <c r="L537" i="18" a="1"/>
  <c r="L537" i="18" s="1"/>
  <c r="L536" i="18" a="1"/>
  <c r="L536" i="18" s="1"/>
  <c r="L535" i="18" a="1"/>
  <c r="L535" i="18" s="1"/>
  <c r="L534" i="18" a="1"/>
  <c r="L534" i="18" s="1"/>
  <c r="L533" i="18" a="1"/>
  <c r="L533" i="18" s="1"/>
  <c r="L532" i="18" a="1"/>
  <c r="L532" i="18" s="1"/>
  <c r="L531" i="18" a="1"/>
  <c r="L531" i="18" s="1"/>
  <c r="L530" i="18" a="1"/>
  <c r="L530" i="18" s="1"/>
  <c r="L529" i="18" a="1"/>
  <c r="L529" i="18" s="1"/>
  <c r="L528" i="18" a="1"/>
  <c r="L528" i="18" s="1"/>
  <c r="L527" i="18" a="1"/>
  <c r="L527" i="18" s="1"/>
  <c r="L526" i="18" a="1"/>
  <c r="L526" i="18" s="1"/>
  <c r="L525" i="18" a="1"/>
  <c r="L525" i="18" s="1"/>
  <c r="L524" i="18" a="1"/>
  <c r="L524" i="18" s="1"/>
  <c r="L523" i="18" a="1"/>
  <c r="L523" i="18" s="1"/>
  <c r="L522" i="18" a="1"/>
  <c r="L522" i="18" s="1"/>
  <c r="L521" i="18" a="1"/>
  <c r="L521" i="18" s="1"/>
  <c r="L520" i="18" a="1"/>
  <c r="L520" i="18" s="1"/>
  <c r="L519" i="18" a="1"/>
  <c r="L519" i="18" s="1"/>
  <c r="L518" i="18" a="1"/>
  <c r="L518" i="18" s="1"/>
  <c r="L517" i="18" a="1"/>
  <c r="L517" i="18" s="1"/>
  <c r="L516" i="18" a="1"/>
  <c r="L516" i="18" s="1"/>
  <c r="L515" i="18" a="1"/>
  <c r="L515" i="18" s="1"/>
  <c r="L514" i="18" a="1"/>
  <c r="L514" i="18" s="1"/>
  <c r="L513" i="18" a="1"/>
  <c r="L513" i="18" s="1"/>
  <c r="L512" i="18" a="1"/>
  <c r="L512" i="18" s="1"/>
  <c r="L511" i="18" a="1"/>
  <c r="L511" i="18" s="1"/>
  <c r="L510" i="18" a="1"/>
  <c r="L510" i="18" s="1"/>
  <c r="L509" i="18" a="1"/>
  <c r="L509" i="18" s="1"/>
  <c r="L508" i="18" a="1"/>
  <c r="L508" i="18" s="1"/>
  <c r="L507" i="18" a="1"/>
  <c r="L507" i="18" s="1"/>
  <c r="L506" i="18" a="1"/>
  <c r="L506" i="18" s="1"/>
  <c r="L505" i="18" a="1"/>
  <c r="L505" i="18" s="1"/>
  <c r="L504" i="18" a="1"/>
  <c r="L504" i="18" s="1"/>
  <c r="L503" i="18" a="1"/>
  <c r="L503" i="18" s="1"/>
  <c r="L502" i="18" a="1"/>
  <c r="L502" i="18" s="1"/>
  <c r="L501" i="18" a="1"/>
  <c r="L501" i="18" s="1"/>
  <c r="L500" i="18" a="1"/>
  <c r="L500" i="18" s="1"/>
  <c r="L499" i="18" a="1"/>
  <c r="L499" i="18" s="1"/>
  <c r="L498" i="18" a="1"/>
  <c r="L498" i="18" s="1"/>
  <c r="L497" i="18" a="1"/>
  <c r="L497" i="18" s="1"/>
  <c r="L496" i="18" a="1"/>
  <c r="L496" i="18" s="1"/>
  <c r="L495" i="18" a="1"/>
  <c r="L495" i="18" s="1"/>
  <c r="L494" i="18" a="1"/>
  <c r="L494" i="18" s="1"/>
  <c r="L493" i="18" a="1"/>
  <c r="L493" i="18" s="1"/>
  <c r="L492" i="18" a="1"/>
  <c r="L492" i="18" s="1"/>
  <c r="L491" i="18" a="1"/>
  <c r="L491" i="18" s="1"/>
  <c r="L490" i="18" a="1"/>
  <c r="L490" i="18" s="1"/>
  <c r="L489" i="18" a="1"/>
  <c r="L489" i="18" s="1"/>
  <c r="L488" i="18" a="1"/>
  <c r="L488" i="18" s="1"/>
  <c r="L487" i="18" a="1"/>
  <c r="L487" i="18" s="1"/>
  <c r="L486" i="18" a="1"/>
  <c r="L486" i="18" s="1"/>
  <c r="L485" i="18" a="1"/>
  <c r="L485" i="18" s="1"/>
  <c r="L484" i="18" a="1"/>
  <c r="L484" i="18" s="1"/>
  <c r="L483" i="18" a="1"/>
  <c r="L483" i="18" s="1"/>
  <c r="L482" i="18" a="1"/>
  <c r="L482" i="18" s="1"/>
  <c r="L481" i="18" a="1"/>
  <c r="L481" i="18" s="1"/>
  <c r="L480" i="18" a="1"/>
  <c r="L480" i="18" s="1"/>
  <c r="L479" i="18" a="1"/>
  <c r="L479" i="18" s="1"/>
  <c r="L478" i="18" a="1"/>
  <c r="L478" i="18" s="1"/>
  <c r="L477" i="18" a="1"/>
  <c r="L477" i="18" s="1"/>
  <c r="L476" i="18" a="1"/>
  <c r="L476" i="18" s="1"/>
  <c r="L475" i="18" a="1"/>
  <c r="L475" i="18" s="1"/>
  <c r="L474" i="18" a="1"/>
  <c r="L474" i="18" s="1"/>
  <c r="L473" i="18" a="1"/>
  <c r="L473" i="18" s="1"/>
  <c r="L472" i="18" a="1"/>
  <c r="L472" i="18" s="1"/>
  <c r="L471" i="18" a="1"/>
  <c r="L471" i="18" s="1"/>
  <c r="L470" i="18" a="1"/>
  <c r="L470" i="18" s="1"/>
  <c r="L469" i="18" a="1"/>
  <c r="L469" i="18" s="1"/>
  <c r="L468" i="18" a="1"/>
  <c r="L468" i="18" s="1"/>
  <c r="L467" i="18" a="1"/>
  <c r="L467" i="18" s="1"/>
  <c r="L466" i="18" a="1"/>
  <c r="L466" i="18" s="1"/>
  <c r="L465" i="18" a="1"/>
  <c r="L465" i="18" s="1"/>
  <c r="L464" i="18" a="1"/>
  <c r="L464" i="18" s="1"/>
  <c r="L463" i="18" a="1"/>
  <c r="L463" i="18" s="1"/>
  <c r="L462" i="18" a="1"/>
  <c r="L462" i="18" s="1"/>
  <c r="L461" i="18" a="1"/>
  <c r="L461" i="18" s="1"/>
  <c r="L460" i="18" a="1"/>
  <c r="L460" i="18" s="1"/>
  <c r="L459" i="18" a="1"/>
  <c r="L459" i="18" s="1"/>
  <c r="L458" i="18" a="1"/>
  <c r="L458" i="18" s="1"/>
  <c r="L457" i="18" a="1"/>
  <c r="L457" i="18" s="1"/>
  <c r="L456" i="18" a="1"/>
  <c r="L456" i="18" s="1"/>
  <c r="L455" i="18" a="1"/>
  <c r="L455" i="18" s="1"/>
  <c r="L454" i="18" a="1"/>
  <c r="L454" i="18" s="1"/>
  <c r="L453" i="18" a="1"/>
  <c r="L453" i="18" s="1"/>
  <c r="L452" i="18" a="1"/>
  <c r="L452" i="18" s="1"/>
  <c r="L451" i="18" a="1"/>
  <c r="L451" i="18" s="1"/>
  <c r="L450" i="18" a="1"/>
  <c r="L450" i="18" s="1"/>
  <c r="L449" i="18" a="1"/>
  <c r="L449" i="18" s="1"/>
  <c r="L448" i="18" a="1"/>
  <c r="L448" i="18" s="1"/>
  <c r="L447" i="18" a="1"/>
  <c r="L447" i="18" s="1"/>
  <c r="L446" i="18" a="1"/>
  <c r="L446" i="18" s="1"/>
  <c r="L445" i="18" a="1"/>
  <c r="L445" i="18" s="1"/>
  <c r="L444" i="18" a="1"/>
  <c r="L444" i="18" s="1"/>
  <c r="L443" i="18" a="1"/>
  <c r="L443" i="18" s="1"/>
  <c r="L442" i="18" a="1"/>
  <c r="L442" i="18" s="1"/>
  <c r="L441" i="18" a="1"/>
  <c r="L441" i="18" s="1"/>
  <c r="L440" i="18" a="1"/>
  <c r="L440" i="18" s="1"/>
  <c r="L439" i="18" a="1"/>
  <c r="L439" i="18" s="1"/>
  <c r="L438" i="18" a="1"/>
  <c r="L438" i="18" s="1"/>
  <c r="L437" i="18" a="1"/>
  <c r="L437" i="18" s="1"/>
  <c r="L436" i="18" a="1"/>
  <c r="L436" i="18" s="1"/>
  <c r="L435" i="18" a="1"/>
  <c r="L435" i="18" s="1"/>
  <c r="L434" i="18" a="1"/>
  <c r="L434" i="18" s="1"/>
  <c r="L433" i="18" a="1"/>
  <c r="L433" i="18" s="1"/>
  <c r="L432" i="18" a="1"/>
  <c r="L432" i="18" s="1"/>
  <c r="L431" i="18" a="1"/>
  <c r="L431" i="18" s="1"/>
  <c r="L430" i="18" a="1"/>
  <c r="L430" i="18" s="1"/>
  <c r="L429" i="18" a="1"/>
  <c r="L429" i="18" s="1"/>
  <c r="L428" i="18" a="1"/>
  <c r="L428" i="18" s="1"/>
  <c r="L427" i="18" a="1"/>
  <c r="L427" i="18" s="1"/>
  <c r="L426" i="18" a="1"/>
  <c r="L426" i="18" s="1"/>
  <c r="L425" i="18" a="1"/>
  <c r="L425" i="18" s="1"/>
  <c r="L424" i="18" a="1"/>
  <c r="L424" i="18" s="1"/>
  <c r="L423" i="18" a="1"/>
  <c r="L423" i="18" s="1"/>
  <c r="L422" i="18" a="1"/>
  <c r="L422" i="18" s="1"/>
  <c r="L421" i="18" a="1"/>
  <c r="L421" i="18" s="1"/>
  <c r="L420" i="18" a="1"/>
  <c r="L420" i="18" s="1"/>
  <c r="L419" i="18" a="1"/>
  <c r="L419" i="18" s="1"/>
  <c r="L418" i="18" a="1"/>
  <c r="L418" i="18" s="1"/>
  <c r="L417" i="18" a="1"/>
  <c r="L417" i="18" s="1"/>
  <c r="L416" i="18" a="1"/>
  <c r="L416" i="18" s="1"/>
  <c r="L415" i="18" a="1"/>
  <c r="L415" i="18" s="1"/>
  <c r="L414" i="18" a="1"/>
  <c r="L414" i="18" s="1"/>
  <c r="L413" i="18" a="1"/>
  <c r="L413" i="18" s="1"/>
  <c r="L412" i="18" a="1"/>
  <c r="L412" i="18" s="1"/>
  <c r="L411" i="18" a="1"/>
  <c r="L411" i="18" s="1"/>
  <c r="L410" i="18" a="1"/>
  <c r="L410" i="18" s="1"/>
  <c r="L409" i="18" a="1"/>
  <c r="L409" i="18" s="1"/>
  <c r="L408" i="18" a="1"/>
  <c r="L408" i="18" s="1"/>
  <c r="L407" i="18" a="1"/>
  <c r="L407" i="18" s="1"/>
  <c r="L406" i="18" a="1"/>
  <c r="L406" i="18" s="1"/>
  <c r="L405" i="18" a="1"/>
  <c r="L405" i="18" s="1"/>
  <c r="L404" i="18" a="1"/>
  <c r="L404" i="18" s="1"/>
  <c r="L403" i="18" a="1"/>
  <c r="L403" i="18" s="1"/>
  <c r="L402" i="18" a="1"/>
  <c r="L402" i="18" s="1"/>
  <c r="L401" i="18" a="1"/>
  <c r="L401" i="18" s="1"/>
  <c r="L400" i="18" a="1"/>
  <c r="L400" i="18" s="1"/>
  <c r="L399" i="18" a="1"/>
  <c r="L399" i="18" s="1"/>
  <c r="L398" i="18" a="1"/>
  <c r="L398" i="18" s="1"/>
  <c r="L397" i="18" a="1"/>
  <c r="L397" i="18" s="1"/>
  <c r="L396" i="18" a="1"/>
  <c r="L396" i="18" s="1"/>
  <c r="L395" i="18" a="1"/>
  <c r="L395" i="18" s="1"/>
  <c r="L394" i="18" a="1"/>
  <c r="L394" i="18" s="1"/>
  <c r="L393" i="18" a="1"/>
  <c r="L393" i="18" s="1"/>
  <c r="L392" i="18" a="1"/>
  <c r="L392" i="18" s="1"/>
  <c r="L391" i="18" a="1"/>
  <c r="L391" i="18" s="1"/>
  <c r="L390" i="18" a="1"/>
  <c r="L390" i="18" s="1"/>
  <c r="L389" i="18" a="1"/>
  <c r="L389" i="18" s="1"/>
  <c r="L388" i="18" a="1"/>
  <c r="L388" i="18" s="1"/>
  <c r="L387" i="18" a="1"/>
  <c r="L387" i="18" s="1"/>
  <c r="L386" i="18" a="1"/>
  <c r="L386" i="18" s="1"/>
  <c r="L385" i="18" a="1"/>
  <c r="L385" i="18" s="1"/>
  <c r="L384" i="18" a="1"/>
  <c r="L384" i="18" s="1"/>
  <c r="L383" i="18" a="1"/>
  <c r="L383" i="18" s="1"/>
  <c r="L382" i="18" a="1"/>
  <c r="L382" i="18" s="1"/>
  <c r="L381" i="18" a="1"/>
  <c r="L381" i="18" s="1"/>
  <c r="L380" i="18" a="1"/>
  <c r="L380" i="18" s="1"/>
  <c r="L379" i="18" a="1"/>
  <c r="L379" i="18" s="1"/>
  <c r="L378" i="18" a="1"/>
  <c r="L378" i="18" s="1"/>
  <c r="L377" i="18" a="1"/>
  <c r="L377" i="18" s="1"/>
  <c r="L376" i="18" a="1"/>
  <c r="L376" i="18" s="1"/>
  <c r="L375" i="18" a="1"/>
  <c r="L375" i="18" s="1"/>
  <c r="L374" i="18" a="1"/>
  <c r="L374" i="18" s="1"/>
  <c r="L373" i="18" a="1"/>
  <c r="L373" i="18" s="1"/>
  <c r="L372" i="18" a="1"/>
  <c r="L372" i="18" s="1"/>
  <c r="L371" i="18" a="1"/>
  <c r="L371" i="18" s="1"/>
  <c r="L370" i="18" a="1"/>
  <c r="L370" i="18" s="1"/>
  <c r="L369" i="18" a="1"/>
  <c r="L369" i="18" s="1"/>
  <c r="L368" i="18" a="1"/>
  <c r="L368" i="18" s="1"/>
  <c r="L367" i="18" a="1"/>
  <c r="L367" i="18" s="1"/>
  <c r="L366" i="18" a="1"/>
  <c r="L366" i="18" s="1"/>
  <c r="L365" i="18" a="1"/>
  <c r="L365" i="18" s="1"/>
  <c r="L364" i="18" a="1"/>
  <c r="L364" i="18" s="1"/>
  <c r="L363" i="18" a="1"/>
  <c r="L363" i="18" s="1"/>
  <c r="L362" i="18" a="1"/>
  <c r="L362" i="18" s="1"/>
  <c r="L361" i="18" a="1"/>
  <c r="L361" i="18" s="1"/>
  <c r="L360" i="18" a="1"/>
  <c r="L360" i="18" s="1"/>
  <c r="L359" i="18" a="1"/>
  <c r="L359" i="18" s="1"/>
  <c r="L358" i="18" a="1"/>
  <c r="L358" i="18" s="1"/>
  <c r="L357" i="18" a="1"/>
  <c r="L357" i="18" s="1"/>
  <c r="L356" i="18" a="1"/>
  <c r="L356" i="18" s="1"/>
  <c r="L355" i="18" a="1"/>
  <c r="L355" i="18" s="1"/>
  <c r="L354" i="18" a="1"/>
  <c r="L354" i="18" s="1"/>
  <c r="L353" i="18" a="1"/>
  <c r="L353" i="18" s="1"/>
  <c r="L352" i="18" a="1"/>
  <c r="L352" i="18" s="1"/>
  <c r="L351" i="18" a="1"/>
  <c r="L351" i="18" s="1"/>
  <c r="L350" i="18" a="1"/>
  <c r="L350" i="18" s="1"/>
  <c r="L349" i="18" a="1"/>
  <c r="L349" i="18" s="1"/>
  <c r="L348" i="18" a="1"/>
  <c r="L348" i="18" s="1"/>
  <c r="L347" i="18" a="1"/>
  <c r="L347" i="18" s="1"/>
  <c r="L346" i="18" a="1"/>
  <c r="L346" i="18" s="1"/>
  <c r="L345" i="18" a="1"/>
  <c r="L345" i="18" s="1"/>
  <c r="L344" i="18" a="1"/>
  <c r="L344" i="18" s="1"/>
  <c r="L343" i="18" a="1"/>
  <c r="L343" i="18" s="1"/>
  <c r="L342" i="18" a="1"/>
  <c r="L342" i="18" s="1"/>
  <c r="L341" i="18" a="1"/>
  <c r="L341" i="18" s="1"/>
  <c r="L340" i="18" a="1"/>
  <c r="L340" i="18" s="1"/>
  <c r="L339" i="18" a="1"/>
  <c r="L339" i="18" s="1"/>
  <c r="L338" i="18" a="1"/>
  <c r="L338" i="18" s="1"/>
  <c r="L337" i="18" a="1"/>
  <c r="L337" i="18" s="1"/>
  <c r="L336" i="18" a="1"/>
  <c r="L336" i="18" s="1"/>
  <c r="L335" i="18" a="1"/>
  <c r="L335" i="18" s="1"/>
  <c r="L334" i="18" a="1"/>
  <c r="L334" i="18" s="1"/>
  <c r="L333" i="18" a="1"/>
  <c r="L333" i="18" s="1"/>
  <c r="L332" i="18" a="1"/>
  <c r="L332" i="18" s="1"/>
  <c r="L331" i="18" a="1"/>
  <c r="L331" i="18" s="1"/>
  <c r="L330" i="18" a="1"/>
  <c r="L330" i="18" s="1"/>
  <c r="L329" i="18" a="1"/>
  <c r="L329" i="18" s="1"/>
  <c r="L328" i="18" a="1"/>
  <c r="L328" i="18" s="1"/>
  <c r="L327" i="18" a="1"/>
  <c r="L327" i="18" s="1"/>
  <c r="L326" i="18" a="1"/>
  <c r="L326" i="18" s="1"/>
  <c r="L325" i="18" a="1"/>
  <c r="L325" i="18" s="1"/>
  <c r="L324" i="18" a="1"/>
  <c r="L324" i="18" s="1"/>
  <c r="L323" i="18" a="1"/>
  <c r="L323" i="18" s="1"/>
  <c r="L322" i="18" a="1"/>
  <c r="L322" i="18" s="1"/>
  <c r="L321" i="18" a="1"/>
  <c r="L321" i="18" s="1"/>
  <c r="L320" i="18" a="1"/>
  <c r="L320" i="18" s="1"/>
  <c r="L319" i="18" a="1"/>
  <c r="L319" i="18" s="1"/>
  <c r="L318" i="18" a="1"/>
  <c r="L318" i="18" s="1"/>
  <c r="L317" i="18" a="1"/>
  <c r="L317" i="18" s="1"/>
  <c r="L316" i="18" a="1"/>
  <c r="L316" i="18" s="1"/>
  <c r="L315" i="18" a="1"/>
  <c r="L315" i="18" s="1"/>
  <c r="L314" i="18" a="1"/>
  <c r="L314" i="18" s="1"/>
  <c r="L313" i="18" a="1"/>
  <c r="L313" i="18" s="1"/>
  <c r="L312" i="18" a="1"/>
  <c r="L312" i="18" s="1"/>
  <c r="L311" i="18" a="1"/>
  <c r="L311" i="18" s="1"/>
  <c r="L310" i="18" a="1"/>
  <c r="L310" i="18" s="1"/>
  <c r="L309" i="18" a="1"/>
  <c r="L309" i="18" s="1"/>
  <c r="L308" i="18" a="1"/>
  <c r="L308" i="18" s="1"/>
  <c r="L307" i="18" a="1"/>
  <c r="L307" i="18" s="1"/>
  <c r="L306" i="18" a="1"/>
  <c r="L306" i="18" s="1"/>
  <c r="L305" i="18" a="1"/>
  <c r="L305" i="18" s="1"/>
  <c r="L304" i="18" a="1"/>
  <c r="L304" i="18" s="1"/>
  <c r="L303" i="18" a="1"/>
  <c r="L303" i="18" s="1"/>
  <c r="L302" i="18" a="1"/>
  <c r="L302" i="18" s="1"/>
  <c r="L301" i="18" a="1"/>
  <c r="L301" i="18" s="1"/>
  <c r="L300" i="18" a="1"/>
  <c r="L300" i="18" s="1"/>
  <c r="L299" i="18" a="1"/>
  <c r="L299" i="18" s="1"/>
  <c r="L298" i="18" a="1"/>
  <c r="L298" i="18" s="1"/>
  <c r="L297" i="18" a="1"/>
  <c r="L297" i="18" s="1"/>
  <c r="L296" i="18" a="1"/>
  <c r="L296" i="18" s="1"/>
  <c r="L295" i="18" a="1"/>
  <c r="L295" i="18" s="1"/>
  <c r="L294" i="18" a="1"/>
  <c r="L294" i="18" s="1"/>
  <c r="L293" i="18" a="1"/>
  <c r="L293" i="18" s="1"/>
  <c r="L292" i="18" a="1"/>
  <c r="L292" i="18" s="1"/>
  <c r="L291" i="18" a="1"/>
  <c r="L291" i="18" s="1"/>
  <c r="L290" i="18" a="1"/>
  <c r="L290" i="18" s="1"/>
  <c r="L289" i="18" a="1"/>
  <c r="L289" i="18" s="1"/>
  <c r="L288" i="18" a="1"/>
  <c r="L288" i="18" s="1"/>
  <c r="L287" i="18" a="1"/>
  <c r="L287" i="18" s="1"/>
  <c r="L286" i="18" a="1"/>
  <c r="L286" i="18" s="1"/>
  <c r="L285" i="18" a="1"/>
  <c r="L285" i="18" s="1"/>
  <c r="L284" i="18" a="1"/>
  <c r="L284" i="18" s="1"/>
  <c r="L283" i="18" a="1"/>
  <c r="L283" i="18" s="1"/>
  <c r="L282" i="18" a="1"/>
  <c r="L282" i="18" s="1"/>
  <c r="L281" i="18" a="1"/>
  <c r="L281" i="18" s="1"/>
  <c r="L280" i="18" a="1"/>
  <c r="L280" i="18" s="1"/>
  <c r="L279" i="18" a="1"/>
  <c r="L279" i="18" s="1"/>
  <c r="L278" i="18" a="1"/>
  <c r="L278" i="18" s="1"/>
  <c r="L277" i="18" a="1"/>
  <c r="L277" i="18" s="1"/>
  <c r="L276" i="18" a="1"/>
  <c r="L276" i="18" s="1"/>
  <c r="L275" i="18" a="1"/>
  <c r="L275" i="18" s="1"/>
  <c r="L274" i="18" a="1"/>
  <c r="L274" i="18" s="1"/>
  <c r="L273" i="18" a="1"/>
  <c r="L273" i="18" s="1"/>
  <c r="L272" i="18" a="1"/>
  <c r="L272" i="18" s="1"/>
  <c r="L271" i="18" a="1"/>
  <c r="L271" i="18" s="1"/>
  <c r="L270" i="18" a="1"/>
  <c r="L270" i="18" s="1"/>
  <c r="L269" i="18" a="1"/>
  <c r="L269" i="18" s="1"/>
  <c r="L268" i="18" a="1"/>
  <c r="L268" i="18" s="1"/>
  <c r="L267" i="18" a="1"/>
  <c r="L267" i="18" s="1"/>
  <c r="L266" i="18" a="1"/>
  <c r="L266" i="18" s="1"/>
  <c r="L265" i="18" a="1"/>
  <c r="L265" i="18" s="1"/>
  <c r="L264" i="18" a="1"/>
  <c r="L264" i="18" s="1"/>
  <c r="L263" i="18" a="1"/>
  <c r="L263" i="18" s="1"/>
  <c r="L262" i="18" a="1"/>
  <c r="L262" i="18" s="1"/>
  <c r="L261" i="18" a="1"/>
  <c r="L261" i="18" s="1"/>
  <c r="L260" i="18" a="1"/>
  <c r="L260" i="18" s="1"/>
  <c r="L259" i="18" a="1"/>
  <c r="L259" i="18" s="1"/>
  <c r="L258" i="18" a="1"/>
  <c r="L258" i="18" s="1"/>
  <c r="L257" i="18" a="1"/>
  <c r="L257" i="18" s="1"/>
  <c r="L256" i="18" a="1"/>
  <c r="L256" i="18" s="1"/>
  <c r="L255" i="18" a="1"/>
  <c r="L255" i="18" s="1"/>
  <c r="L254" i="18" a="1"/>
  <c r="L254" i="18" s="1"/>
  <c r="L253" i="18" a="1"/>
  <c r="L253" i="18" s="1"/>
  <c r="L252" i="18" a="1"/>
  <c r="L252" i="18" s="1"/>
  <c r="L251" i="18" a="1"/>
  <c r="L251" i="18" s="1"/>
  <c r="L250" i="18" a="1"/>
  <c r="L250" i="18" s="1"/>
  <c r="L249" i="18" a="1"/>
  <c r="L249" i="18" s="1"/>
  <c r="L248" i="18" a="1"/>
  <c r="L248" i="18" s="1"/>
  <c r="L247" i="18" a="1"/>
  <c r="L247" i="18" s="1"/>
  <c r="L246" i="18" a="1"/>
  <c r="L246" i="18" s="1"/>
  <c r="L245" i="18" a="1"/>
  <c r="L245" i="18" s="1"/>
  <c r="L244" i="18" a="1"/>
  <c r="L244" i="18" s="1"/>
  <c r="L243" i="18" a="1"/>
  <c r="L243" i="18" s="1"/>
  <c r="L242" i="18" a="1"/>
  <c r="L242" i="18" s="1"/>
  <c r="L241" i="18" a="1"/>
  <c r="L241" i="18" s="1"/>
  <c r="L240" i="18" a="1"/>
  <c r="L240" i="18" s="1"/>
  <c r="L239" i="18" a="1"/>
  <c r="L239" i="18" s="1"/>
  <c r="L238" i="18" a="1"/>
  <c r="L238" i="18" s="1"/>
  <c r="L237" i="18" a="1"/>
  <c r="L237" i="18" s="1"/>
  <c r="L236" i="18" a="1"/>
  <c r="L236" i="18" s="1"/>
  <c r="L235" i="18" a="1"/>
  <c r="L235" i="18" s="1"/>
  <c r="L234" i="18" a="1"/>
  <c r="L234" i="18" s="1"/>
  <c r="L233" i="18" a="1"/>
  <c r="L233" i="18" s="1"/>
  <c r="L232" i="18" a="1"/>
  <c r="L232" i="18" s="1"/>
  <c r="L231" i="18" a="1"/>
  <c r="L231" i="18" s="1"/>
  <c r="L230" i="18" a="1"/>
  <c r="L230" i="18" s="1"/>
  <c r="L229" i="18" a="1"/>
  <c r="L229" i="18" s="1"/>
  <c r="L228" i="18" a="1"/>
  <c r="L228" i="18" s="1"/>
  <c r="L227" i="18" a="1"/>
  <c r="L227" i="18" s="1"/>
  <c r="L226" i="18" a="1"/>
  <c r="L226" i="18" s="1"/>
  <c r="L225" i="18" a="1"/>
  <c r="L225" i="18" s="1"/>
  <c r="L224" i="18" a="1"/>
  <c r="L224" i="18" s="1"/>
  <c r="L223" i="18" a="1"/>
  <c r="L223" i="18" s="1"/>
  <c r="L222" i="18" a="1"/>
  <c r="L222" i="18" s="1"/>
  <c r="L221" i="18" a="1"/>
  <c r="L221" i="18" s="1"/>
  <c r="L220" i="18" a="1"/>
  <c r="L220" i="18" s="1"/>
  <c r="L219" i="18" a="1"/>
  <c r="L219" i="18" s="1"/>
  <c r="L218" i="18" a="1"/>
  <c r="L218" i="18" s="1"/>
  <c r="L217" i="18" a="1"/>
  <c r="L217" i="18" s="1"/>
  <c r="L216" i="18" a="1"/>
  <c r="L216" i="18" s="1"/>
  <c r="L215" i="18" a="1"/>
  <c r="L215" i="18" s="1"/>
  <c r="L214" i="18" a="1"/>
  <c r="L214" i="18" s="1"/>
  <c r="L213" i="18" a="1"/>
  <c r="L213" i="18" s="1"/>
  <c r="L212" i="18" a="1"/>
  <c r="L212" i="18" s="1"/>
  <c r="L211" i="18" a="1"/>
  <c r="L211" i="18" s="1"/>
  <c r="L210" i="18" a="1"/>
  <c r="L210" i="18" s="1"/>
  <c r="L209" i="18" a="1"/>
  <c r="L209" i="18" s="1"/>
  <c r="L208" i="18" a="1"/>
  <c r="L208" i="18" s="1"/>
  <c r="L207" i="18" a="1"/>
  <c r="L207" i="18" s="1"/>
  <c r="L9" i="18" a="1"/>
  <c r="L9" i="18" s="1"/>
  <c r="L8" i="18" a="1"/>
  <c r="L8" i="18" s="1"/>
  <c r="L7" i="18" a="1"/>
  <c r="L7" i="18" s="1"/>
  <c r="L6" i="18" a="1"/>
  <c r="L6" i="18" s="1"/>
  <c r="L5" i="18" a="1"/>
  <c r="L5" i="18" s="1"/>
  <c r="L4" i="18" a="1"/>
  <c r="L4" i="18" s="1"/>
  <c r="AN653" i="18"/>
  <c r="AK653" i="18"/>
  <c r="AJ653" i="18"/>
  <c r="V653" i="18"/>
  <c r="T653" i="18"/>
  <c r="G653" i="18" a="1"/>
  <c r="G653" i="18" s="1"/>
  <c r="F653" i="18" a="1"/>
  <c r="F653" i="18" s="1"/>
  <c r="AN652" i="18"/>
  <c r="AK652" i="18"/>
  <c r="AJ652" i="18"/>
  <c r="V652" i="18"/>
  <c r="T652" i="18"/>
  <c r="G652" i="18" a="1"/>
  <c r="G652" i="18" s="1"/>
  <c r="F652" i="18" a="1"/>
  <c r="F652" i="18" s="1"/>
  <c r="AN651" i="18"/>
  <c r="AK651" i="18"/>
  <c r="AJ651" i="18"/>
  <c r="V651" i="18"/>
  <c r="T651" i="18"/>
  <c r="G651" i="18" a="1"/>
  <c r="G651" i="18" s="1"/>
  <c r="F651" i="18" a="1"/>
  <c r="F651" i="18" s="1"/>
  <c r="AN650" i="18"/>
  <c r="AK650" i="18"/>
  <c r="AJ650" i="18"/>
  <c r="V650" i="18"/>
  <c r="T650" i="18"/>
  <c r="G650" i="18" a="1"/>
  <c r="G650" i="18" s="1"/>
  <c r="F650" i="18" a="1"/>
  <c r="F650" i="18" s="1"/>
  <c r="AN649" i="18"/>
  <c r="AK649" i="18"/>
  <c r="AJ649" i="18"/>
  <c r="V649" i="18"/>
  <c r="T649" i="18"/>
  <c r="G649" i="18" a="1"/>
  <c r="G649" i="18" s="1"/>
  <c r="F649" i="18" a="1"/>
  <c r="F649" i="18" s="1"/>
  <c r="AN648" i="18"/>
  <c r="AK648" i="18"/>
  <c r="AJ648" i="18"/>
  <c r="V648" i="18"/>
  <c r="T648" i="18"/>
  <c r="G648" i="18" a="1"/>
  <c r="G648" i="18" s="1"/>
  <c r="F648" i="18" a="1"/>
  <c r="F648" i="18" s="1"/>
  <c r="AN647" i="18"/>
  <c r="AK647" i="18"/>
  <c r="AJ647" i="18"/>
  <c r="V647" i="18"/>
  <c r="T647" i="18"/>
  <c r="G647" i="18" a="1"/>
  <c r="G647" i="18" s="1"/>
  <c r="F647" i="18" a="1"/>
  <c r="F647" i="18" s="1"/>
  <c r="AN646" i="18"/>
  <c r="AK646" i="18"/>
  <c r="AJ646" i="18"/>
  <c r="V646" i="18"/>
  <c r="T646" i="18"/>
  <c r="G646" i="18" a="1"/>
  <c r="G646" i="18" s="1"/>
  <c r="F646" i="18" a="1"/>
  <c r="F646" i="18" s="1"/>
  <c r="AN645" i="18"/>
  <c r="AK645" i="18"/>
  <c r="AJ645" i="18"/>
  <c r="V645" i="18"/>
  <c r="T645" i="18"/>
  <c r="G645" i="18" a="1"/>
  <c r="G645" i="18" s="1"/>
  <c r="F645" i="18" a="1"/>
  <c r="F645" i="18" s="1"/>
  <c r="AN644" i="18"/>
  <c r="AK644" i="18"/>
  <c r="AJ644" i="18"/>
  <c r="V644" i="18"/>
  <c r="T644" i="18"/>
  <c r="G644" i="18" a="1"/>
  <c r="G644" i="18" s="1"/>
  <c r="F644" i="18" a="1"/>
  <c r="F644" i="18" s="1"/>
  <c r="AN643" i="18"/>
  <c r="AK643" i="18"/>
  <c r="AJ643" i="18"/>
  <c r="V643" i="18"/>
  <c r="T643" i="18"/>
  <c r="G643" i="18" a="1"/>
  <c r="G643" i="18" s="1"/>
  <c r="F643" i="18" a="1"/>
  <c r="F643" i="18" s="1"/>
  <c r="AN642" i="18"/>
  <c r="AK642" i="18"/>
  <c r="AJ642" i="18"/>
  <c r="V642" i="18"/>
  <c r="T642" i="18"/>
  <c r="G642" i="18" a="1"/>
  <c r="G642" i="18" s="1"/>
  <c r="F642" i="18" a="1"/>
  <c r="F642" i="18" s="1"/>
  <c r="AN641" i="18"/>
  <c r="AK641" i="18"/>
  <c r="AJ641" i="18"/>
  <c r="V641" i="18"/>
  <c r="T641" i="18"/>
  <c r="G641" i="18" a="1"/>
  <c r="G641" i="18" s="1"/>
  <c r="F641" i="18" a="1"/>
  <c r="F641" i="18" s="1"/>
  <c r="AN640" i="18"/>
  <c r="AK640" i="18"/>
  <c r="AJ640" i="18"/>
  <c r="V640" i="18"/>
  <c r="T640" i="18"/>
  <c r="G640" i="18" a="1"/>
  <c r="G640" i="18" s="1"/>
  <c r="F640" i="18" a="1"/>
  <c r="F640" i="18" s="1"/>
  <c r="AN639" i="18"/>
  <c r="AK639" i="18"/>
  <c r="AJ639" i="18"/>
  <c r="V639" i="18"/>
  <c r="T639" i="18"/>
  <c r="G639" i="18" a="1"/>
  <c r="G639" i="18" s="1"/>
  <c r="F639" i="18" a="1"/>
  <c r="F639" i="18" s="1"/>
  <c r="AN638" i="18"/>
  <c r="AK638" i="18"/>
  <c r="AJ638" i="18"/>
  <c r="V638" i="18"/>
  <c r="T638" i="18"/>
  <c r="G638" i="18" a="1"/>
  <c r="G638" i="18" s="1"/>
  <c r="F638" i="18" a="1"/>
  <c r="F638" i="18" s="1"/>
  <c r="AN637" i="18"/>
  <c r="AK637" i="18"/>
  <c r="AJ637" i="18"/>
  <c r="V637" i="18"/>
  <c r="T637" i="18"/>
  <c r="G637" i="18" a="1"/>
  <c r="G637" i="18" s="1"/>
  <c r="F637" i="18" a="1"/>
  <c r="F637" i="18" s="1"/>
  <c r="AN636" i="18"/>
  <c r="AK636" i="18"/>
  <c r="AJ636" i="18"/>
  <c r="V636" i="18"/>
  <c r="T636" i="18"/>
  <c r="G636" i="18" a="1"/>
  <c r="G636" i="18" s="1"/>
  <c r="F636" i="18" a="1"/>
  <c r="F636" i="18" s="1"/>
  <c r="AN635" i="18"/>
  <c r="AK635" i="18"/>
  <c r="AJ635" i="18"/>
  <c r="V635" i="18"/>
  <c r="T635" i="18"/>
  <c r="G635" i="18" a="1"/>
  <c r="G635" i="18" s="1"/>
  <c r="F635" i="18" a="1"/>
  <c r="F635" i="18" s="1"/>
  <c r="AN634" i="18"/>
  <c r="AK634" i="18"/>
  <c r="AJ634" i="18"/>
  <c r="V634" i="18"/>
  <c r="T634" i="18"/>
  <c r="G634" i="18" a="1"/>
  <c r="G634" i="18" s="1"/>
  <c r="F634" i="18" a="1"/>
  <c r="F634" i="18" s="1"/>
  <c r="AN633" i="18"/>
  <c r="AK633" i="18"/>
  <c r="AJ633" i="18"/>
  <c r="V633" i="18"/>
  <c r="T633" i="18"/>
  <c r="G633" i="18" a="1"/>
  <c r="G633" i="18" s="1"/>
  <c r="F633" i="18" a="1"/>
  <c r="F633" i="18" s="1"/>
  <c r="AN632" i="18"/>
  <c r="AK632" i="18"/>
  <c r="AJ632" i="18"/>
  <c r="V632" i="18"/>
  <c r="T632" i="18"/>
  <c r="G632" i="18" a="1"/>
  <c r="G632" i="18" s="1"/>
  <c r="F632" i="18" a="1"/>
  <c r="F632" i="18" s="1"/>
  <c r="AN631" i="18"/>
  <c r="AK631" i="18"/>
  <c r="AJ631" i="18"/>
  <c r="V631" i="18"/>
  <c r="T631" i="18"/>
  <c r="G631" i="18" a="1"/>
  <c r="G631" i="18" s="1"/>
  <c r="F631" i="18" a="1"/>
  <c r="F631" i="18" s="1"/>
  <c r="AN630" i="18"/>
  <c r="AK630" i="18"/>
  <c r="AJ630" i="18"/>
  <c r="V630" i="18"/>
  <c r="T630" i="18"/>
  <c r="G630" i="18" a="1"/>
  <c r="G630" i="18" s="1"/>
  <c r="F630" i="18" a="1"/>
  <c r="F630" i="18" s="1"/>
  <c r="AN629" i="18"/>
  <c r="AK629" i="18"/>
  <c r="AJ629" i="18"/>
  <c r="V629" i="18"/>
  <c r="T629" i="18"/>
  <c r="G629" i="18" a="1"/>
  <c r="G629" i="18" s="1"/>
  <c r="F629" i="18" a="1"/>
  <c r="F629" i="18" s="1"/>
  <c r="AN628" i="18"/>
  <c r="AK628" i="18"/>
  <c r="AJ628" i="18"/>
  <c r="V628" i="18"/>
  <c r="T628" i="18"/>
  <c r="G628" i="18" a="1"/>
  <c r="G628" i="18" s="1"/>
  <c r="F628" i="18" a="1"/>
  <c r="F628" i="18" s="1"/>
  <c r="AN627" i="18"/>
  <c r="AK627" i="18"/>
  <c r="AJ627" i="18"/>
  <c r="V627" i="18"/>
  <c r="T627" i="18"/>
  <c r="G627" i="18" a="1"/>
  <c r="G627" i="18" s="1"/>
  <c r="F627" i="18" a="1"/>
  <c r="F627" i="18" s="1"/>
  <c r="AN626" i="18"/>
  <c r="AK626" i="18"/>
  <c r="AJ626" i="18"/>
  <c r="V626" i="18"/>
  <c r="T626" i="18"/>
  <c r="G626" i="18" a="1"/>
  <c r="G626" i="18" s="1"/>
  <c r="F626" i="18" a="1"/>
  <c r="F626" i="18" s="1"/>
  <c r="AN625" i="18"/>
  <c r="AK625" i="18"/>
  <c r="AJ625" i="18"/>
  <c r="V625" i="18"/>
  <c r="T625" i="18"/>
  <c r="G625" i="18" a="1"/>
  <c r="G625" i="18" s="1"/>
  <c r="F625" i="18" a="1"/>
  <c r="F625" i="18" s="1"/>
  <c r="AN624" i="18"/>
  <c r="AK624" i="18"/>
  <c r="AJ624" i="18"/>
  <c r="V624" i="18"/>
  <c r="T624" i="18"/>
  <c r="G624" i="18" a="1"/>
  <c r="G624" i="18" s="1"/>
  <c r="F624" i="18" a="1"/>
  <c r="F624" i="18" s="1"/>
  <c r="AN623" i="18"/>
  <c r="AK623" i="18"/>
  <c r="AJ623" i="18"/>
  <c r="V623" i="18"/>
  <c r="T623" i="18"/>
  <c r="G623" i="18" a="1"/>
  <c r="G623" i="18" s="1"/>
  <c r="F623" i="18" a="1"/>
  <c r="F623" i="18" s="1"/>
  <c r="AN622" i="18"/>
  <c r="AK622" i="18"/>
  <c r="AJ622" i="18"/>
  <c r="V622" i="18"/>
  <c r="T622" i="18"/>
  <c r="G622" i="18" a="1"/>
  <c r="G622" i="18" s="1"/>
  <c r="F622" i="18" a="1"/>
  <c r="F622" i="18" s="1"/>
  <c r="AN621" i="18"/>
  <c r="AK621" i="18"/>
  <c r="AJ621" i="18"/>
  <c r="V621" i="18"/>
  <c r="T621" i="18"/>
  <c r="G621" i="18" a="1"/>
  <c r="G621" i="18" s="1"/>
  <c r="F621" i="18" a="1"/>
  <c r="F621" i="18" s="1"/>
  <c r="AN620" i="18"/>
  <c r="AK620" i="18"/>
  <c r="AJ620" i="18"/>
  <c r="V620" i="18"/>
  <c r="T620" i="18"/>
  <c r="G620" i="18" a="1"/>
  <c r="G620" i="18" s="1"/>
  <c r="F620" i="18" a="1"/>
  <c r="F620" i="18" s="1"/>
  <c r="AN619" i="18"/>
  <c r="AK619" i="18"/>
  <c r="AJ619" i="18"/>
  <c r="V619" i="18"/>
  <c r="T619" i="18"/>
  <c r="G619" i="18" a="1"/>
  <c r="G619" i="18" s="1"/>
  <c r="F619" i="18" a="1"/>
  <c r="F619" i="18" s="1"/>
  <c r="AN618" i="18"/>
  <c r="AK618" i="18"/>
  <c r="AJ618" i="18"/>
  <c r="V618" i="18"/>
  <c r="T618" i="18"/>
  <c r="G618" i="18" a="1"/>
  <c r="G618" i="18" s="1"/>
  <c r="F618" i="18" a="1"/>
  <c r="F618" i="18" s="1"/>
  <c r="AN617" i="18"/>
  <c r="AK617" i="18"/>
  <c r="AJ617" i="18"/>
  <c r="V617" i="18"/>
  <c r="T617" i="18"/>
  <c r="G617" i="18" a="1"/>
  <c r="G617" i="18" s="1"/>
  <c r="F617" i="18" a="1"/>
  <c r="F617" i="18" s="1"/>
  <c r="AN616" i="18"/>
  <c r="AK616" i="18"/>
  <c r="AJ616" i="18"/>
  <c r="V616" i="18"/>
  <c r="T616" i="18"/>
  <c r="G616" i="18" a="1"/>
  <c r="G616" i="18" s="1"/>
  <c r="F616" i="18" a="1"/>
  <c r="F616" i="18" s="1"/>
  <c r="AN615" i="18"/>
  <c r="AK615" i="18"/>
  <c r="AJ615" i="18"/>
  <c r="V615" i="18"/>
  <c r="T615" i="18"/>
  <c r="G615" i="18" a="1"/>
  <c r="G615" i="18" s="1"/>
  <c r="F615" i="18" a="1"/>
  <c r="F615" i="18" s="1"/>
  <c r="AN614" i="18"/>
  <c r="AK614" i="18"/>
  <c r="AJ614" i="18"/>
  <c r="V614" i="18"/>
  <c r="T614" i="18"/>
  <c r="G614" i="18" a="1"/>
  <c r="G614" i="18" s="1"/>
  <c r="F614" i="18" a="1"/>
  <c r="F614" i="18" s="1"/>
  <c r="AN613" i="18"/>
  <c r="AK613" i="18"/>
  <c r="AJ613" i="18"/>
  <c r="V613" i="18"/>
  <c r="T613" i="18"/>
  <c r="G613" i="18" a="1"/>
  <c r="G613" i="18" s="1"/>
  <c r="F613" i="18" a="1"/>
  <c r="F613" i="18" s="1"/>
  <c r="AN612" i="18"/>
  <c r="AK612" i="18"/>
  <c r="AJ612" i="18"/>
  <c r="V612" i="18"/>
  <c r="T612" i="18"/>
  <c r="G612" i="18" a="1"/>
  <c r="G612" i="18" s="1"/>
  <c r="F612" i="18" a="1"/>
  <c r="F612" i="18" s="1"/>
  <c r="AN611" i="18"/>
  <c r="AK611" i="18"/>
  <c r="AJ611" i="18"/>
  <c r="V611" i="18"/>
  <c r="T611" i="18"/>
  <c r="G611" i="18" a="1"/>
  <c r="G611" i="18" s="1"/>
  <c r="F611" i="18" a="1"/>
  <c r="F611" i="18" s="1"/>
  <c r="AN610" i="18"/>
  <c r="AK610" i="18"/>
  <c r="AJ610" i="18"/>
  <c r="V610" i="18"/>
  <c r="T610" i="18"/>
  <c r="G610" i="18" a="1"/>
  <c r="G610" i="18" s="1"/>
  <c r="F610" i="18" a="1"/>
  <c r="F610" i="18" s="1"/>
  <c r="AN609" i="18"/>
  <c r="AK609" i="18"/>
  <c r="AJ609" i="18"/>
  <c r="V609" i="18"/>
  <c r="T609" i="18"/>
  <c r="G609" i="18" a="1"/>
  <c r="G609" i="18" s="1"/>
  <c r="F609" i="18" a="1"/>
  <c r="F609" i="18" s="1"/>
  <c r="AN608" i="18"/>
  <c r="AK608" i="18"/>
  <c r="AJ608" i="18"/>
  <c r="V608" i="18"/>
  <c r="T608" i="18"/>
  <c r="G608" i="18" a="1"/>
  <c r="G608" i="18" s="1"/>
  <c r="F608" i="18" a="1"/>
  <c r="F608" i="18" s="1"/>
  <c r="AN607" i="18"/>
  <c r="AK607" i="18"/>
  <c r="AJ607" i="18"/>
  <c r="V607" i="18"/>
  <c r="T607" i="18"/>
  <c r="G607" i="18" a="1"/>
  <c r="G607" i="18" s="1"/>
  <c r="F607" i="18" a="1"/>
  <c r="F607" i="18" s="1"/>
  <c r="AN606" i="18"/>
  <c r="AK606" i="18"/>
  <c r="AJ606" i="18"/>
  <c r="V606" i="18"/>
  <c r="T606" i="18"/>
  <c r="G606" i="18" a="1"/>
  <c r="G606" i="18" s="1"/>
  <c r="F606" i="18" a="1"/>
  <c r="F606" i="18" s="1"/>
  <c r="AN605" i="18"/>
  <c r="AK605" i="18"/>
  <c r="AJ605" i="18"/>
  <c r="V605" i="18"/>
  <c r="T605" i="18"/>
  <c r="G605" i="18" a="1"/>
  <c r="G605" i="18" s="1"/>
  <c r="F605" i="18" a="1"/>
  <c r="F605" i="18" s="1"/>
  <c r="AN604" i="18"/>
  <c r="AK604" i="18"/>
  <c r="AJ604" i="18"/>
  <c r="V604" i="18"/>
  <c r="T604" i="18"/>
  <c r="G604" i="18" a="1"/>
  <c r="G604" i="18" s="1"/>
  <c r="F604" i="18" a="1"/>
  <c r="F604" i="18" s="1"/>
  <c r="AN603" i="18"/>
  <c r="AK603" i="18"/>
  <c r="AJ603" i="18"/>
  <c r="V603" i="18"/>
  <c r="T603" i="18"/>
  <c r="G603" i="18" a="1"/>
  <c r="G603" i="18" s="1"/>
  <c r="F603" i="18" a="1"/>
  <c r="F603" i="18" s="1"/>
  <c r="AN602" i="18"/>
  <c r="AK602" i="18"/>
  <c r="AJ602" i="18"/>
  <c r="V602" i="18"/>
  <c r="T602" i="18"/>
  <c r="G602" i="18" a="1"/>
  <c r="G602" i="18" s="1"/>
  <c r="F602" i="18" a="1"/>
  <c r="F602" i="18" s="1"/>
  <c r="AN601" i="18"/>
  <c r="AK601" i="18"/>
  <c r="AJ601" i="18"/>
  <c r="V601" i="18"/>
  <c r="T601" i="18"/>
  <c r="G601" i="18" a="1"/>
  <c r="G601" i="18" s="1"/>
  <c r="F601" i="18" a="1"/>
  <c r="F601" i="18" s="1"/>
  <c r="AN600" i="18"/>
  <c r="AK600" i="18"/>
  <c r="AJ600" i="18"/>
  <c r="V600" i="18"/>
  <c r="T600" i="18"/>
  <c r="G600" i="18" a="1"/>
  <c r="G600" i="18" s="1"/>
  <c r="F600" i="18" a="1"/>
  <c r="F600" i="18" s="1"/>
  <c r="AN599" i="18"/>
  <c r="AK599" i="18"/>
  <c r="AJ599" i="18"/>
  <c r="V599" i="18"/>
  <c r="T599" i="18"/>
  <c r="G599" i="18" a="1"/>
  <c r="G599" i="18" s="1"/>
  <c r="F599" i="18" a="1"/>
  <c r="F599" i="18" s="1"/>
  <c r="AN598" i="18"/>
  <c r="AK598" i="18"/>
  <c r="AJ598" i="18"/>
  <c r="V598" i="18"/>
  <c r="T598" i="18"/>
  <c r="G598" i="18" a="1"/>
  <c r="G598" i="18" s="1"/>
  <c r="F598" i="18" a="1"/>
  <c r="F598" i="18" s="1"/>
  <c r="AN597" i="18"/>
  <c r="AK597" i="18"/>
  <c r="AJ597" i="18"/>
  <c r="V597" i="18"/>
  <c r="T597" i="18"/>
  <c r="G597" i="18" a="1"/>
  <c r="G597" i="18" s="1"/>
  <c r="F597" i="18" a="1"/>
  <c r="F597" i="18" s="1"/>
  <c r="AN596" i="18"/>
  <c r="AK596" i="18"/>
  <c r="AJ596" i="18"/>
  <c r="V596" i="18"/>
  <c r="T596" i="18"/>
  <c r="G596" i="18" a="1"/>
  <c r="G596" i="18" s="1"/>
  <c r="F596" i="18" a="1"/>
  <c r="F596" i="18" s="1"/>
  <c r="AN595" i="18"/>
  <c r="AK595" i="18"/>
  <c r="AJ595" i="18"/>
  <c r="V595" i="18"/>
  <c r="T595" i="18"/>
  <c r="G595" i="18" a="1"/>
  <c r="G595" i="18" s="1"/>
  <c r="F595" i="18" a="1"/>
  <c r="F595" i="18" s="1"/>
  <c r="AN594" i="18"/>
  <c r="AK594" i="18"/>
  <c r="AJ594" i="18"/>
  <c r="V594" i="18"/>
  <c r="T594" i="18"/>
  <c r="G594" i="18" a="1"/>
  <c r="G594" i="18" s="1"/>
  <c r="F594" i="18" a="1"/>
  <c r="F594" i="18" s="1"/>
  <c r="AN593" i="18"/>
  <c r="AK593" i="18"/>
  <c r="AJ593" i="18"/>
  <c r="V593" i="18"/>
  <c r="T593" i="18"/>
  <c r="G593" i="18" a="1"/>
  <c r="G593" i="18" s="1"/>
  <c r="F593" i="18" a="1"/>
  <c r="F593" i="18" s="1"/>
  <c r="AN592" i="18"/>
  <c r="AK592" i="18"/>
  <c r="AJ592" i="18"/>
  <c r="V592" i="18"/>
  <c r="T592" i="18"/>
  <c r="G592" i="18" a="1"/>
  <c r="G592" i="18" s="1"/>
  <c r="F592" i="18" a="1"/>
  <c r="F592" i="18" s="1"/>
  <c r="AN591" i="18"/>
  <c r="AK591" i="18"/>
  <c r="AJ591" i="18"/>
  <c r="V591" i="18"/>
  <c r="T591" i="18"/>
  <c r="G591" i="18" a="1"/>
  <c r="G591" i="18" s="1"/>
  <c r="F591" i="18" a="1"/>
  <c r="F591" i="18" s="1"/>
  <c r="AN590" i="18"/>
  <c r="AK590" i="18"/>
  <c r="AJ590" i="18"/>
  <c r="V590" i="18"/>
  <c r="T590" i="18"/>
  <c r="G590" i="18" a="1"/>
  <c r="G590" i="18" s="1"/>
  <c r="F590" i="18" a="1"/>
  <c r="F590" i="18" s="1"/>
  <c r="AN589" i="18"/>
  <c r="AK589" i="18"/>
  <c r="AJ589" i="18"/>
  <c r="V589" i="18"/>
  <c r="T589" i="18"/>
  <c r="G589" i="18" a="1"/>
  <c r="G589" i="18" s="1"/>
  <c r="F589" i="18" a="1"/>
  <c r="F589" i="18" s="1"/>
  <c r="AN588" i="18"/>
  <c r="AK588" i="18"/>
  <c r="AJ588" i="18"/>
  <c r="V588" i="18"/>
  <c r="T588" i="18"/>
  <c r="G588" i="18" a="1"/>
  <c r="G588" i="18" s="1"/>
  <c r="F588" i="18" a="1"/>
  <c r="F588" i="18" s="1"/>
  <c r="AN587" i="18"/>
  <c r="AK587" i="18"/>
  <c r="AJ587" i="18"/>
  <c r="V587" i="18"/>
  <c r="T587" i="18"/>
  <c r="G587" i="18" a="1"/>
  <c r="G587" i="18" s="1"/>
  <c r="F587" i="18" a="1"/>
  <c r="F587" i="18" s="1"/>
  <c r="AN586" i="18"/>
  <c r="AK586" i="18"/>
  <c r="AJ586" i="18"/>
  <c r="V586" i="18"/>
  <c r="T586" i="18"/>
  <c r="G586" i="18" a="1"/>
  <c r="G586" i="18" s="1"/>
  <c r="F586" i="18" a="1"/>
  <c r="F586" i="18" s="1"/>
  <c r="AN585" i="18"/>
  <c r="AK585" i="18"/>
  <c r="AJ585" i="18"/>
  <c r="V585" i="18"/>
  <c r="T585" i="18"/>
  <c r="G585" i="18" a="1"/>
  <c r="G585" i="18" s="1"/>
  <c r="F585" i="18" a="1"/>
  <c r="F585" i="18" s="1"/>
  <c r="AN584" i="18"/>
  <c r="AK584" i="18"/>
  <c r="AJ584" i="18"/>
  <c r="V584" i="18"/>
  <c r="T584" i="18"/>
  <c r="G584" i="18" a="1"/>
  <c r="G584" i="18" s="1"/>
  <c r="F584" i="18" a="1"/>
  <c r="F584" i="18" s="1"/>
  <c r="AN583" i="18"/>
  <c r="AK583" i="18"/>
  <c r="AJ583" i="18"/>
  <c r="V583" i="18"/>
  <c r="T583" i="18"/>
  <c r="G583" i="18" a="1"/>
  <c r="G583" i="18" s="1"/>
  <c r="F583" i="18" a="1"/>
  <c r="F583" i="18" s="1"/>
  <c r="AN582" i="18"/>
  <c r="AK582" i="18"/>
  <c r="AJ582" i="18"/>
  <c r="V582" i="18"/>
  <c r="T582" i="18"/>
  <c r="G582" i="18" a="1"/>
  <c r="G582" i="18" s="1"/>
  <c r="F582" i="18" a="1"/>
  <c r="F582" i="18" s="1"/>
  <c r="AN581" i="18"/>
  <c r="AK581" i="18"/>
  <c r="AJ581" i="18"/>
  <c r="V581" i="18"/>
  <c r="T581" i="18"/>
  <c r="G581" i="18" a="1"/>
  <c r="G581" i="18" s="1"/>
  <c r="F581" i="18" a="1"/>
  <c r="F581" i="18" s="1"/>
  <c r="AN580" i="18"/>
  <c r="AK580" i="18"/>
  <c r="AJ580" i="18"/>
  <c r="V580" i="18"/>
  <c r="T580" i="18"/>
  <c r="G580" i="18" a="1"/>
  <c r="G580" i="18" s="1"/>
  <c r="F580" i="18" a="1"/>
  <c r="F580" i="18" s="1"/>
  <c r="AN579" i="18"/>
  <c r="AK579" i="18"/>
  <c r="AJ579" i="18"/>
  <c r="V579" i="18"/>
  <c r="T579" i="18"/>
  <c r="G579" i="18" a="1"/>
  <c r="G579" i="18" s="1"/>
  <c r="F579" i="18" a="1"/>
  <c r="F579" i="18" s="1"/>
  <c r="AN578" i="18"/>
  <c r="AK578" i="18"/>
  <c r="AJ578" i="18"/>
  <c r="V578" i="18"/>
  <c r="T578" i="18"/>
  <c r="G578" i="18" a="1"/>
  <c r="G578" i="18" s="1"/>
  <c r="F578" i="18" a="1"/>
  <c r="F578" i="18" s="1"/>
  <c r="AN577" i="18"/>
  <c r="AK577" i="18"/>
  <c r="AJ577" i="18"/>
  <c r="V577" i="18"/>
  <c r="T577" i="18"/>
  <c r="G577" i="18" a="1"/>
  <c r="G577" i="18" s="1"/>
  <c r="F577" i="18" a="1"/>
  <c r="F577" i="18" s="1"/>
  <c r="AN576" i="18"/>
  <c r="AK576" i="18"/>
  <c r="AJ576" i="18"/>
  <c r="V576" i="18"/>
  <c r="T576" i="18"/>
  <c r="G576" i="18" a="1"/>
  <c r="G576" i="18" s="1"/>
  <c r="F576" i="18" a="1"/>
  <c r="F576" i="18" s="1"/>
  <c r="AN575" i="18"/>
  <c r="AK575" i="18"/>
  <c r="AJ575" i="18"/>
  <c r="V575" i="18"/>
  <c r="T575" i="18"/>
  <c r="G575" i="18" a="1"/>
  <c r="G575" i="18" s="1"/>
  <c r="F575" i="18" a="1"/>
  <c r="F575" i="18" s="1"/>
  <c r="AN574" i="18"/>
  <c r="AK574" i="18"/>
  <c r="AJ574" i="18"/>
  <c r="V574" i="18"/>
  <c r="T574" i="18"/>
  <c r="G574" i="18" a="1"/>
  <c r="G574" i="18" s="1"/>
  <c r="F574" i="18" a="1"/>
  <c r="F574" i="18" s="1"/>
  <c r="AN573" i="18"/>
  <c r="AK573" i="18"/>
  <c r="AJ573" i="18"/>
  <c r="V573" i="18"/>
  <c r="T573" i="18"/>
  <c r="G573" i="18" a="1"/>
  <c r="G573" i="18" s="1"/>
  <c r="F573" i="18" a="1"/>
  <c r="F573" i="18" s="1"/>
  <c r="AN572" i="18"/>
  <c r="AK572" i="18"/>
  <c r="AJ572" i="18"/>
  <c r="V572" i="18"/>
  <c r="T572" i="18"/>
  <c r="G572" i="18" a="1"/>
  <c r="G572" i="18" s="1"/>
  <c r="F572" i="18" a="1"/>
  <c r="F572" i="18" s="1"/>
  <c r="AN571" i="18"/>
  <c r="AK571" i="18"/>
  <c r="AJ571" i="18"/>
  <c r="V571" i="18"/>
  <c r="T571" i="18"/>
  <c r="G571" i="18" a="1"/>
  <c r="G571" i="18" s="1"/>
  <c r="F571" i="18" a="1"/>
  <c r="F571" i="18" s="1"/>
  <c r="AN570" i="18"/>
  <c r="AK570" i="18"/>
  <c r="AJ570" i="18"/>
  <c r="V570" i="18"/>
  <c r="T570" i="18"/>
  <c r="G570" i="18" a="1"/>
  <c r="G570" i="18" s="1"/>
  <c r="F570" i="18" a="1"/>
  <c r="F570" i="18" s="1"/>
  <c r="AN569" i="18"/>
  <c r="AK569" i="18"/>
  <c r="AJ569" i="18"/>
  <c r="V569" i="18"/>
  <c r="T569" i="18"/>
  <c r="G569" i="18" a="1"/>
  <c r="G569" i="18" s="1"/>
  <c r="F569" i="18" a="1"/>
  <c r="F569" i="18" s="1"/>
  <c r="AN568" i="18"/>
  <c r="AK568" i="18"/>
  <c r="AJ568" i="18"/>
  <c r="V568" i="18"/>
  <c r="T568" i="18"/>
  <c r="G568" i="18" a="1"/>
  <c r="G568" i="18" s="1"/>
  <c r="F568" i="18" a="1"/>
  <c r="F568" i="18" s="1"/>
  <c r="AN567" i="18"/>
  <c r="AK567" i="18"/>
  <c r="AJ567" i="18"/>
  <c r="V567" i="18"/>
  <c r="T567" i="18"/>
  <c r="G567" i="18" a="1"/>
  <c r="G567" i="18" s="1"/>
  <c r="F567" i="18" a="1"/>
  <c r="F567" i="18" s="1"/>
  <c r="AN566" i="18"/>
  <c r="AK566" i="18"/>
  <c r="AJ566" i="18"/>
  <c r="V566" i="18"/>
  <c r="T566" i="18"/>
  <c r="G566" i="18" a="1"/>
  <c r="G566" i="18" s="1"/>
  <c r="F566" i="18" a="1"/>
  <c r="F566" i="18" s="1"/>
  <c r="AN565" i="18"/>
  <c r="AK565" i="18"/>
  <c r="AJ565" i="18"/>
  <c r="V565" i="18"/>
  <c r="T565" i="18"/>
  <c r="G565" i="18" a="1"/>
  <c r="G565" i="18" s="1"/>
  <c r="F565" i="18" a="1"/>
  <c r="F565" i="18" s="1"/>
  <c r="AN564" i="18"/>
  <c r="AK564" i="18"/>
  <c r="AJ564" i="18"/>
  <c r="V564" i="18"/>
  <c r="T564" i="18"/>
  <c r="G564" i="18" a="1"/>
  <c r="G564" i="18" s="1"/>
  <c r="F564" i="18" a="1"/>
  <c r="F564" i="18" s="1"/>
  <c r="AN563" i="18"/>
  <c r="AK563" i="18"/>
  <c r="AJ563" i="18"/>
  <c r="V563" i="18"/>
  <c r="T563" i="18"/>
  <c r="G563" i="18" a="1"/>
  <c r="G563" i="18" s="1"/>
  <c r="F563" i="18" a="1"/>
  <c r="F563" i="18" s="1"/>
  <c r="AN562" i="18"/>
  <c r="AK562" i="18"/>
  <c r="AJ562" i="18"/>
  <c r="V562" i="18"/>
  <c r="T562" i="18"/>
  <c r="G562" i="18" a="1"/>
  <c r="G562" i="18" s="1"/>
  <c r="F562" i="18" a="1"/>
  <c r="F562" i="18" s="1"/>
  <c r="AN561" i="18"/>
  <c r="AK561" i="18"/>
  <c r="AJ561" i="18"/>
  <c r="V561" i="18"/>
  <c r="T561" i="18"/>
  <c r="G561" i="18" a="1"/>
  <c r="G561" i="18" s="1"/>
  <c r="F561" i="18" a="1"/>
  <c r="F561" i="18" s="1"/>
  <c r="AN560" i="18"/>
  <c r="AK560" i="18"/>
  <c r="AJ560" i="18"/>
  <c r="V560" i="18"/>
  <c r="T560" i="18"/>
  <c r="G560" i="18" a="1"/>
  <c r="G560" i="18" s="1"/>
  <c r="F560" i="18" a="1"/>
  <c r="F560" i="18" s="1"/>
  <c r="AN559" i="18"/>
  <c r="AK559" i="18"/>
  <c r="AJ559" i="18"/>
  <c r="V559" i="18"/>
  <c r="T559" i="18"/>
  <c r="G559" i="18" a="1"/>
  <c r="G559" i="18" s="1"/>
  <c r="F559" i="18" a="1"/>
  <c r="F559" i="18" s="1"/>
  <c r="AN558" i="18"/>
  <c r="AK558" i="18"/>
  <c r="AJ558" i="18"/>
  <c r="V558" i="18"/>
  <c r="T558" i="18"/>
  <c r="G558" i="18" a="1"/>
  <c r="G558" i="18" s="1"/>
  <c r="F558" i="18" a="1"/>
  <c r="F558" i="18" s="1"/>
  <c r="AN557" i="18"/>
  <c r="AK557" i="18"/>
  <c r="AJ557" i="18"/>
  <c r="V557" i="18"/>
  <c r="T557" i="18"/>
  <c r="G557" i="18" a="1"/>
  <c r="G557" i="18" s="1"/>
  <c r="F557" i="18" a="1"/>
  <c r="F557" i="18" s="1"/>
  <c r="AN556" i="18"/>
  <c r="AK556" i="18"/>
  <c r="AJ556" i="18"/>
  <c r="V556" i="18"/>
  <c r="T556" i="18"/>
  <c r="G556" i="18" a="1"/>
  <c r="G556" i="18" s="1"/>
  <c r="F556" i="18" a="1"/>
  <c r="F556" i="18" s="1"/>
  <c r="AN555" i="18"/>
  <c r="AK555" i="18"/>
  <c r="AJ555" i="18"/>
  <c r="V555" i="18"/>
  <c r="T555" i="18"/>
  <c r="G555" i="18" a="1"/>
  <c r="G555" i="18" s="1"/>
  <c r="F555" i="18" a="1"/>
  <c r="F555" i="18" s="1"/>
  <c r="AN554" i="18"/>
  <c r="AK554" i="18"/>
  <c r="AJ554" i="18"/>
  <c r="V554" i="18"/>
  <c r="T554" i="18"/>
  <c r="G554" i="18" a="1"/>
  <c r="G554" i="18" s="1"/>
  <c r="F554" i="18" a="1"/>
  <c r="F554" i="18" s="1"/>
  <c r="AN553" i="18"/>
  <c r="AK553" i="18"/>
  <c r="AJ553" i="18"/>
  <c r="V553" i="18"/>
  <c r="T553" i="18"/>
  <c r="G553" i="18" a="1"/>
  <c r="G553" i="18" s="1"/>
  <c r="F553" i="18" a="1"/>
  <c r="F553" i="18" s="1"/>
  <c r="AN552" i="18"/>
  <c r="AK552" i="18"/>
  <c r="AJ552" i="18"/>
  <c r="V552" i="18"/>
  <c r="T552" i="18"/>
  <c r="G552" i="18" a="1"/>
  <c r="G552" i="18" s="1"/>
  <c r="F552" i="18" a="1"/>
  <c r="F552" i="18" s="1"/>
  <c r="AN551" i="18"/>
  <c r="AK551" i="18"/>
  <c r="AJ551" i="18"/>
  <c r="V551" i="18"/>
  <c r="T551" i="18"/>
  <c r="G551" i="18" a="1"/>
  <c r="G551" i="18" s="1"/>
  <c r="F551" i="18" a="1"/>
  <c r="F551" i="18" s="1"/>
  <c r="AN550" i="18"/>
  <c r="AK550" i="18"/>
  <c r="AJ550" i="18"/>
  <c r="V550" i="18"/>
  <c r="T550" i="18"/>
  <c r="G550" i="18" a="1"/>
  <c r="G550" i="18" s="1"/>
  <c r="F550" i="18" a="1"/>
  <c r="F550" i="18" s="1"/>
  <c r="AN549" i="18"/>
  <c r="AK549" i="18"/>
  <c r="AJ549" i="18"/>
  <c r="V549" i="18"/>
  <c r="T549" i="18"/>
  <c r="G549" i="18" a="1"/>
  <c r="G549" i="18" s="1"/>
  <c r="F549" i="18" a="1"/>
  <c r="F549" i="18" s="1"/>
  <c r="AN548" i="18"/>
  <c r="AK548" i="18"/>
  <c r="AJ548" i="18"/>
  <c r="V548" i="18"/>
  <c r="T548" i="18"/>
  <c r="G548" i="18" a="1"/>
  <c r="G548" i="18" s="1"/>
  <c r="F548" i="18" a="1"/>
  <c r="F548" i="18" s="1"/>
  <c r="AN547" i="18"/>
  <c r="AK547" i="18"/>
  <c r="AJ547" i="18"/>
  <c r="V547" i="18"/>
  <c r="T547" i="18"/>
  <c r="G547" i="18" a="1"/>
  <c r="G547" i="18" s="1"/>
  <c r="F547" i="18" a="1"/>
  <c r="F547" i="18" s="1"/>
  <c r="AN546" i="18"/>
  <c r="AK546" i="18"/>
  <c r="AJ546" i="18"/>
  <c r="V546" i="18"/>
  <c r="T546" i="18"/>
  <c r="G546" i="18" a="1"/>
  <c r="G546" i="18" s="1"/>
  <c r="F546" i="18" a="1"/>
  <c r="F546" i="18" s="1"/>
  <c r="AN545" i="18"/>
  <c r="AK545" i="18"/>
  <c r="AJ545" i="18"/>
  <c r="V545" i="18"/>
  <c r="T545" i="18"/>
  <c r="G545" i="18" a="1"/>
  <c r="G545" i="18" s="1"/>
  <c r="F545" i="18" a="1"/>
  <c r="F545" i="18" s="1"/>
  <c r="AN544" i="18"/>
  <c r="AK544" i="18"/>
  <c r="AJ544" i="18"/>
  <c r="V544" i="18"/>
  <c r="T544" i="18"/>
  <c r="G544" i="18" a="1"/>
  <c r="G544" i="18" s="1"/>
  <c r="F544" i="18" a="1"/>
  <c r="F544" i="18" s="1"/>
  <c r="AN543" i="18"/>
  <c r="AK543" i="18"/>
  <c r="AJ543" i="18"/>
  <c r="V543" i="18"/>
  <c r="T543" i="18"/>
  <c r="G543" i="18" a="1"/>
  <c r="G543" i="18" s="1"/>
  <c r="F543" i="18" a="1"/>
  <c r="F543" i="18" s="1"/>
  <c r="AN542" i="18"/>
  <c r="AK542" i="18"/>
  <c r="AJ542" i="18"/>
  <c r="V542" i="18"/>
  <c r="T542" i="18"/>
  <c r="G542" i="18" a="1"/>
  <c r="G542" i="18" s="1"/>
  <c r="F542" i="18" a="1"/>
  <c r="F542" i="18" s="1"/>
  <c r="AN541" i="18"/>
  <c r="AK541" i="18"/>
  <c r="AJ541" i="18"/>
  <c r="V541" i="18"/>
  <c r="T541" i="18"/>
  <c r="G541" i="18" a="1"/>
  <c r="G541" i="18" s="1"/>
  <c r="F541" i="18" a="1"/>
  <c r="F541" i="18" s="1"/>
  <c r="AN540" i="18"/>
  <c r="AK540" i="18"/>
  <c r="AJ540" i="18"/>
  <c r="V540" i="18"/>
  <c r="T540" i="18"/>
  <c r="G540" i="18" a="1"/>
  <c r="G540" i="18" s="1"/>
  <c r="F540" i="18" a="1"/>
  <c r="F540" i="18" s="1"/>
  <c r="AN539" i="18"/>
  <c r="AK539" i="18"/>
  <c r="AJ539" i="18"/>
  <c r="V539" i="18"/>
  <c r="T539" i="18"/>
  <c r="G539" i="18" a="1"/>
  <c r="G539" i="18" s="1"/>
  <c r="F539" i="18" a="1"/>
  <c r="F539" i="18" s="1"/>
  <c r="AN538" i="18"/>
  <c r="AK538" i="18"/>
  <c r="AJ538" i="18"/>
  <c r="V538" i="18"/>
  <c r="T538" i="18"/>
  <c r="G538" i="18" a="1"/>
  <c r="G538" i="18" s="1"/>
  <c r="F538" i="18" a="1"/>
  <c r="F538" i="18" s="1"/>
  <c r="AN537" i="18"/>
  <c r="AK537" i="18"/>
  <c r="AJ537" i="18"/>
  <c r="V537" i="18"/>
  <c r="T537" i="18"/>
  <c r="G537" i="18" a="1"/>
  <c r="G537" i="18" s="1"/>
  <c r="F537" i="18" a="1"/>
  <c r="F537" i="18" s="1"/>
  <c r="AN536" i="18"/>
  <c r="AK536" i="18"/>
  <c r="AJ536" i="18"/>
  <c r="V536" i="18"/>
  <c r="T536" i="18"/>
  <c r="G536" i="18" a="1"/>
  <c r="G536" i="18" s="1"/>
  <c r="F536" i="18" a="1"/>
  <c r="F536" i="18" s="1"/>
  <c r="AN535" i="18"/>
  <c r="AK535" i="18"/>
  <c r="AJ535" i="18"/>
  <c r="V535" i="18"/>
  <c r="T535" i="18"/>
  <c r="G535" i="18" a="1"/>
  <c r="G535" i="18" s="1"/>
  <c r="F535" i="18" a="1"/>
  <c r="F535" i="18" s="1"/>
  <c r="AN534" i="18"/>
  <c r="AK534" i="18"/>
  <c r="AJ534" i="18"/>
  <c r="V534" i="18"/>
  <c r="T534" i="18"/>
  <c r="G534" i="18" a="1"/>
  <c r="G534" i="18" s="1"/>
  <c r="F534" i="18" a="1"/>
  <c r="F534" i="18" s="1"/>
  <c r="AN533" i="18"/>
  <c r="AK533" i="18"/>
  <c r="AJ533" i="18"/>
  <c r="V533" i="18"/>
  <c r="T533" i="18"/>
  <c r="G533" i="18" a="1"/>
  <c r="G533" i="18" s="1"/>
  <c r="F533" i="18" a="1"/>
  <c r="F533" i="18" s="1"/>
  <c r="AN532" i="18"/>
  <c r="AK532" i="18"/>
  <c r="AJ532" i="18"/>
  <c r="V532" i="18"/>
  <c r="T532" i="18"/>
  <c r="G532" i="18" a="1"/>
  <c r="G532" i="18" s="1"/>
  <c r="F532" i="18" a="1"/>
  <c r="F532" i="18" s="1"/>
  <c r="AN531" i="18"/>
  <c r="AK531" i="18"/>
  <c r="AJ531" i="18"/>
  <c r="V531" i="18"/>
  <c r="T531" i="18"/>
  <c r="G531" i="18" a="1"/>
  <c r="G531" i="18" s="1"/>
  <c r="F531" i="18" a="1"/>
  <c r="F531" i="18" s="1"/>
  <c r="AN530" i="18"/>
  <c r="AK530" i="18"/>
  <c r="AJ530" i="18"/>
  <c r="V530" i="18"/>
  <c r="T530" i="18"/>
  <c r="G530" i="18" a="1"/>
  <c r="G530" i="18" s="1"/>
  <c r="F530" i="18" a="1"/>
  <c r="F530" i="18" s="1"/>
  <c r="AN529" i="18"/>
  <c r="AK529" i="18"/>
  <c r="AJ529" i="18"/>
  <c r="V529" i="18"/>
  <c r="T529" i="18"/>
  <c r="G529" i="18" a="1"/>
  <c r="G529" i="18" s="1"/>
  <c r="F529" i="18" a="1"/>
  <c r="F529" i="18" s="1"/>
  <c r="AN528" i="18"/>
  <c r="AK528" i="18"/>
  <c r="AJ528" i="18"/>
  <c r="V528" i="18"/>
  <c r="T528" i="18"/>
  <c r="G528" i="18" a="1"/>
  <c r="G528" i="18" s="1"/>
  <c r="F528" i="18" a="1"/>
  <c r="F528" i="18" s="1"/>
  <c r="AN527" i="18"/>
  <c r="AK527" i="18"/>
  <c r="AJ527" i="18"/>
  <c r="V527" i="18"/>
  <c r="T527" i="18"/>
  <c r="G527" i="18" a="1"/>
  <c r="G527" i="18" s="1"/>
  <c r="F527" i="18" a="1"/>
  <c r="F527" i="18" s="1"/>
  <c r="AN526" i="18"/>
  <c r="AK526" i="18"/>
  <c r="AJ526" i="18"/>
  <c r="V526" i="18"/>
  <c r="T526" i="18"/>
  <c r="G526" i="18" a="1"/>
  <c r="G526" i="18" s="1"/>
  <c r="F526" i="18" a="1"/>
  <c r="F526" i="18" s="1"/>
  <c r="AN525" i="18"/>
  <c r="AK525" i="18"/>
  <c r="AJ525" i="18"/>
  <c r="V525" i="18"/>
  <c r="T525" i="18"/>
  <c r="G525" i="18" a="1"/>
  <c r="G525" i="18" s="1"/>
  <c r="F525" i="18" a="1"/>
  <c r="F525" i="18" s="1"/>
  <c r="AN524" i="18"/>
  <c r="AK524" i="18"/>
  <c r="AJ524" i="18"/>
  <c r="V524" i="18"/>
  <c r="T524" i="18"/>
  <c r="G524" i="18" a="1"/>
  <c r="G524" i="18" s="1"/>
  <c r="F524" i="18" a="1"/>
  <c r="F524" i="18" s="1"/>
  <c r="AN523" i="18"/>
  <c r="AK523" i="18"/>
  <c r="AJ523" i="18"/>
  <c r="V523" i="18"/>
  <c r="T523" i="18"/>
  <c r="G523" i="18" a="1"/>
  <c r="G523" i="18" s="1"/>
  <c r="F523" i="18" a="1"/>
  <c r="F523" i="18" s="1"/>
  <c r="AN522" i="18"/>
  <c r="AK522" i="18"/>
  <c r="AJ522" i="18"/>
  <c r="V522" i="18"/>
  <c r="T522" i="18"/>
  <c r="G522" i="18" a="1"/>
  <c r="G522" i="18" s="1"/>
  <c r="F522" i="18" a="1"/>
  <c r="F522" i="18" s="1"/>
  <c r="AN521" i="18"/>
  <c r="AK521" i="18"/>
  <c r="AJ521" i="18"/>
  <c r="V521" i="18"/>
  <c r="T521" i="18"/>
  <c r="G521" i="18" a="1"/>
  <c r="G521" i="18" s="1"/>
  <c r="F521" i="18" a="1"/>
  <c r="F521" i="18" s="1"/>
  <c r="AN520" i="18"/>
  <c r="AK520" i="18"/>
  <c r="AJ520" i="18"/>
  <c r="V520" i="18"/>
  <c r="T520" i="18"/>
  <c r="G520" i="18" a="1"/>
  <c r="G520" i="18" s="1"/>
  <c r="F520" i="18" a="1"/>
  <c r="F520" i="18" s="1"/>
  <c r="AN519" i="18"/>
  <c r="AK519" i="18"/>
  <c r="AJ519" i="18"/>
  <c r="V519" i="18"/>
  <c r="T519" i="18"/>
  <c r="G519" i="18" a="1"/>
  <c r="G519" i="18" s="1"/>
  <c r="F519" i="18" a="1"/>
  <c r="F519" i="18" s="1"/>
  <c r="AN518" i="18"/>
  <c r="AK518" i="18"/>
  <c r="AJ518" i="18"/>
  <c r="V518" i="18"/>
  <c r="T518" i="18"/>
  <c r="G518" i="18" a="1"/>
  <c r="G518" i="18" s="1"/>
  <c r="F518" i="18" a="1"/>
  <c r="F518" i="18" s="1"/>
  <c r="AN517" i="18"/>
  <c r="AK517" i="18"/>
  <c r="AJ517" i="18"/>
  <c r="V517" i="18"/>
  <c r="T517" i="18"/>
  <c r="G517" i="18" a="1"/>
  <c r="G517" i="18" s="1"/>
  <c r="F517" i="18" a="1"/>
  <c r="F517" i="18" s="1"/>
  <c r="AN516" i="18"/>
  <c r="AK516" i="18"/>
  <c r="AJ516" i="18"/>
  <c r="V516" i="18"/>
  <c r="T516" i="18"/>
  <c r="G516" i="18" a="1"/>
  <c r="G516" i="18" s="1"/>
  <c r="F516" i="18" a="1"/>
  <c r="F516" i="18" s="1"/>
  <c r="AN515" i="18"/>
  <c r="AK515" i="18"/>
  <c r="AJ515" i="18"/>
  <c r="V515" i="18"/>
  <c r="T515" i="18"/>
  <c r="G515" i="18" a="1"/>
  <c r="G515" i="18" s="1"/>
  <c r="F515" i="18" a="1"/>
  <c r="F515" i="18" s="1"/>
  <c r="AN514" i="18"/>
  <c r="AK514" i="18"/>
  <c r="AJ514" i="18"/>
  <c r="V514" i="18"/>
  <c r="T514" i="18"/>
  <c r="G514" i="18" a="1"/>
  <c r="G514" i="18" s="1"/>
  <c r="F514" i="18" a="1"/>
  <c r="F514" i="18" s="1"/>
  <c r="AN513" i="18"/>
  <c r="AK513" i="18"/>
  <c r="AJ513" i="18"/>
  <c r="V513" i="18"/>
  <c r="T513" i="18"/>
  <c r="G513" i="18" a="1"/>
  <c r="G513" i="18" s="1"/>
  <c r="F513" i="18" a="1"/>
  <c r="F513" i="18" s="1"/>
  <c r="AN512" i="18"/>
  <c r="AK512" i="18"/>
  <c r="AJ512" i="18"/>
  <c r="V512" i="18"/>
  <c r="T512" i="18"/>
  <c r="G512" i="18" a="1"/>
  <c r="G512" i="18" s="1"/>
  <c r="F512" i="18" a="1"/>
  <c r="F512" i="18" s="1"/>
  <c r="AN511" i="18"/>
  <c r="AK511" i="18"/>
  <c r="AJ511" i="18"/>
  <c r="V511" i="18"/>
  <c r="T511" i="18"/>
  <c r="G511" i="18" a="1"/>
  <c r="G511" i="18" s="1"/>
  <c r="F511" i="18" a="1"/>
  <c r="F511" i="18" s="1"/>
  <c r="AN510" i="18"/>
  <c r="AK510" i="18"/>
  <c r="AJ510" i="18"/>
  <c r="V510" i="18"/>
  <c r="T510" i="18"/>
  <c r="G510" i="18" a="1"/>
  <c r="G510" i="18" s="1"/>
  <c r="F510" i="18" a="1"/>
  <c r="F510" i="18" s="1"/>
  <c r="AN509" i="18"/>
  <c r="AK509" i="18"/>
  <c r="AJ509" i="18"/>
  <c r="V509" i="18"/>
  <c r="T509" i="18"/>
  <c r="G509" i="18" a="1"/>
  <c r="G509" i="18" s="1"/>
  <c r="F509" i="18" a="1"/>
  <c r="F509" i="18" s="1"/>
  <c r="AN508" i="18"/>
  <c r="AK508" i="18"/>
  <c r="AJ508" i="18"/>
  <c r="V508" i="18"/>
  <c r="T508" i="18"/>
  <c r="G508" i="18" a="1"/>
  <c r="G508" i="18" s="1"/>
  <c r="F508" i="18" a="1"/>
  <c r="F508" i="18" s="1"/>
  <c r="AN507" i="18"/>
  <c r="AK507" i="18"/>
  <c r="AJ507" i="18"/>
  <c r="V507" i="18"/>
  <c r="T507" i="18"/>
  <c r="G507" i="18" a="1"/>
  <c r="G507" i="18" s="1"/>
  <c r="F507" i="18" a="1"/>
  <c r="F507" i="18" s="1"/>
  <c r="AN506" i="18"/>
  <c r="AK506" i="18"/>
  <c r="AJ506" i="18"/>
  <c r="V506" i="18"/>
  <c r="T506" i="18"/>
  <c r="G506" i="18" a="1"/>
  <c r="G506" i="18" s="1"/>
  <c r="F506" i="18" a="1"/>
  <c r="F506" i="18" s="1"/>
  <c r="AN505" i="18"/>
  <c r="AK505" i="18"/>
  <c r="AJ505" i="18"/>
  <c r="V505" i="18"/>
  <c r="T505" i="18"/>
  <c r="G505" i="18" a="1"/>
  <c r="G505" i="18" s="1"/>
  <c r="F505" i="18" a="1"/>
  <c r="F505" i="18" s="1"/>
  <c r="AN504" i="18"/>
  <c r="AK504" i="18"/>
  <c r="AJ504" i="18"/>
  <c r="V504" i="18"/>
  <c r="T504" i="18"/>
  <c r="G504" i="18" a="1"/>
  <c r="G504" i="18" s="1"/>
  <c r="F504" i="18" a="1"/>
  <c r="F504" i="18" s="1"/>
  <c r="AN503" i="18"/>
  <c r="AK503" i="18"/>
  <c r="AJ503" i="18"/>
  <c r="V503" i="18"/>
  <c r="T503" i="18"/>
  <c r="G503" i="18" a="1"/>
  <c r="G503" i="18" s="1"/>
  <c r="F503" i="18" a="1"/>
  <c r="F503" i="18" s="1"/>
  <c r="AN502" i="18"/>
  <c r="AK502" i="18"/>
  <c r="AJ502" i="18"/>
  <c r="V502" i="18"/>
  <c r="T502" i="18"/>
  <c r="G502" i="18" a="1"/>
  <c r="G502" i="18" s="1"/>
  <c r="F502" i="18" a="1"/>
  <c r="F502" i="18" s="1"/>
  <c r="AN501" i="18"/>
  <c r="AK501" i="18"/>
  <c r="AJ501" i="18"/>
  <c r="V501" i="18"/>
  <c r="T501" i="18"/>
  <c r="G501" i="18" a="1"/>
  <c r="G501" i="18" s="1"/>
  <c r="F501" i="18" a="1"/>
  <c r="F501" i="18" s="1"/>
  <c r="AN500" i="18"/>
  <c r="AK500" i="18"/>
  <c r="AJ500" i="18"/>
  <c r="V500" i="18"/>
  <c r="T500" i="18"/>
  <c r="G500" i="18" a="1"/>
  <c r="G500" i="18" s="1"/>
  <c r="F500" i="18" a="1"/>
  <c r="F500" i="18" s="1"/>
  <c r="AN499" i="18"/>
  <c r="AK499" i="18"/>
  <c r="AJ499" i="18"/>
  <c r="V499" i="18"/>
  <c r="T499" i="18"/>
  <c r="G499" i="18" a="1"/>
  <c r="G499" i="18" s="1"/>
  <c r="F499" i="18" a="1"/>
  <c r="F499" i="18" s="1"/>
  <c r="AN498" i="18"/>
  <c r="AK498" i="18"/>
  <c r="AJ498" i="18"/>
  <c r="V498" i="18"/>
  <c r="T498" i="18"/>
  <c r="G498" i="18" a="1"/>
  <c r="G498" i="18" s="1"/>
  <c r="F498" i="18" a="1"/>
  <c r="F498" i="18" s="1"/>
  <c r="AN497" i="18"/>
  <c r="AK497" i="18"/>
  <c r="AJ497" i="18"/>
  <c r="V497" i="18"/>
  <c r="T497" i="18"/>
  <c r="G497" i="18" a="1"/>
  <c r="G497" i="18" s="1"/>
  <c r="F497" i="18" a="1"/>
  <c r="F497" i="18" s="1"/>
  <c r="AN496" i="18"/>
  <c r="AK496" i="18"/>
  <c r="AJ496" i="18"/>
  <c r="V496" i="18"/>
  <c r="T496" i="18"/>
  <c r="G496" i="18" a="1"/>
  <c r="G496" i="18" s="1"/>
  <c r="F496" i="18" a="1"/>
  <c r="F496" i="18" s="1"/>
  <c r="AN495" i="18"/>
  <c r="AK495" i="18"/>
  <c r="AJ495" i="18"/>
  <c r="V495" i="18"/>
  <c r="T495" i="18"/>
  <c r="G495" i="18" a="1"/>
  <c r="G495" i="18" s="1"/>
  <c r="F495" i="18" a="1"/>
  <c r="F495" i="18" s="1"/>
  <c r="AN494" i="18"/>
  <c r="AK494" i="18"/>
  <c r="AJ494" i="18"/>
  <c r="V494" i="18"/>
  <c r="T494" i="18"/>
  <c r="G494" i="18" a="1"/>
  <c r="G494" i="18" s="1"/>
  <c r="F494" i="18" a="1"/>
  <c r="F494" i="18" s="1"/>
  <c r="AN493" i="18"/>
  <c r="AK493" i="18"/>
  <c r="AJ493" i="18"/>
  <c r="V493" i="18"/>
  <c r="T493" i="18"/>
  <c r="G493" i="18" a="1"/>
  <c r="G493" i="18" s="1"/>
  <c r="F493" i="18" a="1"/>
  <c r="F493" i="18" s="1"/>
  <c r="AN492" i="18"/>
  <c r="AK492" i="18"/>
  <c r="AJ492" i="18"/>
  <c r="V492" i="18"/>
  <c r="T492" i="18"/>
  <c r="G492" i="18" a="1"/>
  <c r="G492" i="18" s="1"/>
  <c r="F492" i="18" a="1"/>
  <c r="F492" i="18" s="1"/>
  <c r="AN491" i="18"/>
  <c r="AK491" i="18"/>
  <c r="AJ491" i="18"/>
  <c r="V491" i="18"/>
  <c r="T491" i="18"/>
  <c r="G491" i="18" a="1"/>
  <c r="G491" i="18" s="1"/>
  <c r="F491" i="18" a="1"/>
  <c r="F491" i="18" s="1"/>
  <c r="AN490" i="18"/>
  <c r="AK490" i="18"/>
  <c r="AJ490" i="18"/>
  <c r="V490" i="18"/>
  <c r="T490" i="18"/>
  <c r="G490" i="18" a="1"/>
  <c r="G490" i="18" s="1"/>
  <c r="F490" i="18" a="1"/>
  <c r="F490" i="18" s="1"/>
  <c r="AN489" i="18"/>
  <c r="AK489" i="18"/>
  <c r="AJ489" i="18"/>
  <c r="V489" i="18"/>
  <c r="T489" i="18"/>
  <c r="G489" i="18" a="1"/>
  <c r="G489" i="18" s="1"/>
  <c r="F489" i="18" a="1"/>
  <c r="F489" i="18" s="1"/>
  <c r="AN488" i="18"/>
  <c r="AK488" i="18"/>
  <c r="AJ488" i="18"/>
  <c r="V488" i="18"/>
  <c r="T488" i="18"/>
  <c r="G488" i="18" a="1"/>
  <c r="G488" i="18" s="1"/>
  <c r="F488" i="18" a="1"/>
  <c r="F488" i="18" s="1"/>
  <c r="AN487" i="18"/>
  <c r="AK487" i="18"/>
  <c r="AJ487" i="18"/>
  <c r="V487" i="18"/>
  <c r="T487" i="18"/>
  <c r="G487" i="18" a="1"/>
  <c r="G487" i="18" s="1"/>
  <c r="F487" i="18" a="1"/>
  <c r="F487" i="18" s="1"/>
  <c r="AN486" i="18"/>
  <c r="AK486" i="18"/>
  <c r="AJ486" i="18"/>
  <c r="V486" i="18"/>
  <c r="T486" i="18"/>
  <c r="G486" i="18" a="1"/>
  <c r="G486" i="18" s="1"/>
  <c r="F486" i="18" a="1"/>
  <c r="F486" i="18" s="1"/>
  <c r="AN485" i="18"/>
  <c r="AK485" i="18"/>
  <c r="AJ485" i="18"/>
  <c r="V485" i="18"/>
  <c r="T485" i="18"/>
  <c r="G485" i="18" a="1"/>
  <c r="G485" i="18" s="1"/>
  <c r="F485" i="18" a="1"/>
  <c r="F485" i="18" s="1"/>
  <c r="AN484" i="18"/>
  <c r="AK484" i="18"/>
  <c r="AJ484" i="18"/>
  <c r="V484" i="18"/>
  <c r="T484" i="18"/>
  <c r="G484" i="18" a="1"/>
  <c r="G484" i="18" s="1"/>
  <c r="F484" i="18" a="1"/>
  <c r="F484" i="18" s="1"/>
  <c r="AN483" i="18"/>
  <c r="AK483" i="18"/>
  <c r="AJ483" i="18"/>
  <c r="V483" i="18"/>
  <c r="T483" i="18"/>
  <c r="G483" i="18" a="1"/>
  <c r="G483" i="18" s="1"/>
  <c r="F483" i="18" a="1"/>
  <c r="F483" i="18" s="1"/>
  <c r="AN482" i="18"/>
  <c r="AK482" i="18"/>
  <c r="AJ482" i="18"/>
  <c r="V482" i="18"/>
  <c r="T482" i="18"/>
  <c r="G482" i="18" a="1"/>
  <c r="G482" i="18" s="1"/>
  <c r="F482" i="18" a="1"/>
  <c r="F482" i="18" s="1"/>
  <c r="AN481" i="18"/>
  <c r="AK481" i="18"/>
  <c r="AJ481" i="18"/>
  <c r="V481" i="18"/>
  <c r="T481" i="18"/>
  <c r="G481" i="18" a="1"/>
  <c r="G481" i="18" s="1"/>
  <c r="F481" i="18" a="1"/>
  <c r="F481" i="18" s="1"/>
  <c r="AN480" i="18"/>
  <c r="AK480" i="18"/>
  <c r="AJ480" i="18"/>
  <c r="V480" i="18"/>
  <c r="T480" i="18"/>
  <c r="G480" i="18" a="1"/>
  <c r="G480" i="18" s="1"/>
  <c r="F480" i="18" a="1"/>
  <c r="F480" i="18" s="1"/>
  <c r="AN479" i="18"/>
  <c r="AK479" i="18"/>
  <c r="AJ479" i="18"/>
  <c r="V479" i="18"/>
  <c r="T479" i="18"/>
  <c r="G479" i="18" a="1"/>
  <c r="G479" i="18" s="1"/>
  <c r="F479" i="18" a="1"/>
  <c r="F479" i="18" s="1"/>
  <c r="AN478" i="18"/>
  <c r="AK478" i="18"/>
  <c r="AJ478" i="18"/>
  <c r="V478" i="18"/>
  <c r="T478" i="18"/>
  <c r="G478" i="18" a="1"/>
  <c r="G478" i="18" s="1"/>
  <c r="F478" i="18" a="1"/>
  <c r="F478" i="18" s="1"/>
  <c r="AN477" i="18"/>
  <c r="AK477" i="18"/>
  <c r="AJ477" i="18"/>
  <c r="V477" i="18"/>
  <c r="T477" i="18"/>
  <c r="G477" i="18" a="1"/>
  <c r="G477" i="18" s="1"/>
  <c r="F477" i="18" a="1"/>
  <c r="F477" i="18" s="1"/>
  <c r="AN476" i="18"/>
  <c r="AK476" i="18"/>
  <c r="AJ476" i="18"/>
  <c r="V476" i="18"/>
  <c r="T476" i="18"/>
  <c r="G476" i="18" a="1"/>
  <c r="G476" i="18" s="1"/>
  <c r="F476" i="18" a="1"/>
  <c r="F476" i="18" s="1"/>
  <c r="AN475" i="18"/>
  <c r="AK475" i="18"/>
  <c r="AJ475" i="18"/>
  <c r="V475" i="18"/>
  <c r="T475" i="18"/>
  <c r="G475" i="18" a="1"/>
  <c r="G475" i="18" s="1"/>
  <c r="F475" i="18" a="1"/>
  <c r="F475" i="18" s="1"/>
  <c r="AN474" i="18"/>
  <c r="AK474" i="18"/>
  <c r="AJ474" i="18"/>
  <c r="V474" i="18"/>
  <c r="T474" i="18"/>
  <c r="G474" i="18" a="1"/>
  <c r="G474" i="18" s="1"/>
  <c r="F474" i="18" a="1"/>
  <c r="F474" i="18" s="1"/>
  <c r="AN473" i="18"/>
  <c r="AK473" i="18"/>
  <c r="AJ473" i="18"/>
  <c r="V473" i="18"/>
  <c r="T473" i="18"/>
  <c r="G473" i="18" a="1"/>
  <c r="G473" i="18" s="1"/>
  <c r="F473" i="18" a="1"/>
  <c r="F473" i="18" s="1"/>
  <c r="AN472" i="18"/>
  <c r="AK472" i="18"/>
  <c r="AJ472" i="18"/>
  <c r="V472" i="18"/>
  <c r="T472" i="18"/>
  <c r="G472" i="18" a="1"/>
  <c r="G472" i="18" s="1"/>
  <c r="F472" i="18" a="1"/>
  <c r="F472" i="18" s="1"/>
  <c r="AN471" i="18"/>
  <c r="AK471" i="18"/>
  <c r="AJ471" i="18"/>
  <c r="V471" i="18"/>
  <c r="T471" i="18"/>
  <c r="G471" i="18" a="1"/>
  <c r="G471" i="18" s="1"/>
  <c r="F471" i="18" a="1"/>
  <c r="F471" i="18" s="1"/>
  <c r="AN470" i="18"/>
  <c r="AK470" i="18"/>
  <c r="AJ470" i="18"/>
  <c r="V470" i="18"/>
  <c r="T470" i="18"/>
  <c r="G470" i="18" a="1"/>
  <c r="G470" i="18" s="1"/>
  <c r="F470" i="18" a="1"/>
  <c r="F470" i="18" s="1"/>
  <c r="AN469" i="18"/>
  <c r="AK469" i="18"/>
  <c r="AJ469" i="18"/>
  <c r="V469" i="18"/>
  <c r="T469" i="18"/>
  <c r="G469" i="18" a="1"/>
  <c r="G469" i="18" s="1"/>
  <c r="F469" i="18" a="1"/>
  <c r="F469" i="18" s="1"/>
  <c r="AN468" i="18"/>
  <c r="AK468" i="18"/>
  <c r="AJ468" i="18"/>
  <c r="V468" i="18"/>
  <c r="T468" i="18"/>
  <c r="G468" i="18" a="1"/>
  <c r="G468" i="18" s="1"/>
  <c r="F468" i="18" a="1"/>
  <c r="F468" i="18" s="1"/>
  <c r="AN467" i="18"/>
  <c r="AK467" i="18"/>
  <c r="AJ467" i="18"/>
  <c r="V467" i="18"/>
  <c r="T467" i="18"/>
  <c r="G467" i="18" a="1"/>
  <c r="G467" i="18" s="1"/>
  <c r="F467" i="18" a="1"/>
  <c r="F467" i="18" s="1"/>
  <c r="AN466" i="18"/>
  <c r="AK466" i="18"/>
  <c r="AJ466" i="18"/>
  <c r="V466" i="18"/>
  <c r="T466" i="18"/>
  <c r="G466" i="18" a="1"/>
  <c r="G466" i="18" s="1"/>
  <c r="F466" i="18" a="1"/>
  <c r="F466" i="18" s="1"/>
  <c r="AN465" i="18"/>
  <c r="AK465" i="18"/>
  <c r="AJ465" i="18"/>
  <c r="V465" i="18"/>
  <c r="T465" i="18"/>
  <c r="G465" i="18" a="1"/>
  <c r="G465" i="18" s="1"/>
  <c r="F465" i="18" a="1"/>
  <c r="F465" i="18" s="1"/>
  <c r="AN464" i="18"/>
  <c r="AK464" i="18"/>
  <c r="AJ464" i="18"/>
  <c r="V464" i="18"/>
  <c r="T464" i="18"/>
  <c r="G464" i="18" a="1"/>
  <c r="G464" i="18" s="1"/>
  <c r="F464" i="18" a="1"/>
  <c r="F464" i="18" s="1"/>
  <c r="AN463" i="18"/>
  <c r="AK463" i="18"/>
  <c r="AJ463" i="18"/>
  <c r="V463" i="18"/>
  <c r="T463" i="18"/>
  <c r="G463" i="18" a="1"/>
  <c r="G463" i="18" s="1"/>
  <c r="F463" i="18" a="1"/>
  <c r="F463" i="18" s="1"/>
  <c r="AN462" i="18"/>
  <c r="AK462" i="18"/>
  <c r="AJ462" i="18"/>
  <c r="V462" i="18"/>
  <c r="T462" i="18"/>
  <c r="G462" i="18" a="1"/>
  <c r="G462" i="18" s="1"/>
  <c r="F462" i="18" a="1"/>
  <c r="F462" i="18" s="1"/>
  <c r="AN461" i="18"/>
  <c r="AK461" i="18"/>
  <c r="AJ461" i="18"/>
  <c r="V461" i="18"/>
  <c r="T461" i="18"/>
  <c r="G461" i="18" a="1"/>
  <c r="G461" i="18" s="1"/>
  <c r="F461" i="18" a="1"/>
  <c r="F461" i="18" s="1"/>
  <c r="AN460" i="18"/>
  <c r="AK460" i="18"/>
  <c r="AJ460" i="18"/>
  <c r="V460" i="18"/>
  <c r="T460" i="18"/>
  <c r="G460" i="18" a="1"/>
  <c r="G460" i="18" s="1"/>
  <c r="F460" i="18" a="1"/>
  <c r="F460" i="18" s="1"/>
  <c r="AN459" i="18"/>
  <c r="AK459" i="18"/>
  <c r="AJ459" i="18"/>
  <c r="V459" i="18"/>
  <c r="T459" i="18"/>
  <c r="G459" i="18" a="1"/>
  <c r="G459" i="18" s="1"/>
  <c r="F459" i="18" a="1"/>
  <c r="F459" i="18" s="1"/>
  <c r="AN458" i="18"/>
  <c r="AK458" i="18"/>
  <c r="AJ458" i="18"/>
  <c r="V458" i="18"/>
  <c r="T458" i="18"/>
  <c r="G458" i="18" a="1"/>
  <c r="G458" i="18" s="1"/>
  <c r="F458" i="18" a="1"/>
  <c r="F458" i="18" s="1"/>
  <c r="AN457" i="18"/>
  <c r="AK457" i="18"/>
  <c r="AJ457" i="18"/>
  <c r="V457" i="18"/>
  <c r="T457" i="18"/>
  <c r="G457" i="18" a="1"/>
  <c r="G457" i="18" s="1"/>
  <c r="F457" i="18" a="1"/>
  <c r="F457" i="18" s="1"/>
  <c r="AN456" i="18"/>
  <c r="AK456" i="18"/>
  <c r="AJ456" i="18"/>
  <c r="V456" i="18"/>
  <c r="T456" i="18"/>
  <c r="G456" i="18" a="1"/>
  <c r="G456" i="18" s="1"/>
  <c r="F456" i="18" a="1"/>
  <c r="F456" i="18" s="1"/>
  <c r="AN455" i="18"/>
  <c r="AK455" i="18"/>
  <c r="AJ455" i="18"/>
  <c r="V455" i="18"/>
  <c r="T455" i="18"/>
  <c r="G455" i="18" a="1"/>
  <c r="G455" i="18" s="1"/>
  <c r="F455" i="18" a="1"/>
  <c r="F455" i="18" s="1"/>
  <c r="AN454" i="18"/>
  <c r="AK454" i="18"/>
  <c r="AJ454" i="18"/>
  <c r="V454" i="18"/>
  <c r="T454" i="18"/>
  <c r="G454" i="18" a="1"/>
  <c r="G454" i="18" s="1"/>
  <c r="F454" i="18" a="1"/>
  <c r="F454" i="18" s="1"/>
  <c r="AN453" i="18"/>
  <c r="AK453" i="18"/>
  <c r="AJ453" i="18"/>
  <c r="V453" i="18"/>
  <c r="T453" i="18"/>
  <c r="G453" i="18" a="1"/>
  <c r="G453" i="18" s="1"/>
  <c r="F453" i="18" a="1"/>
  <c r="F453" i="18" s="1"/>
  <c r="AN452" i="18"/>
  <c r="AK452" i="18"/>
  <c r="AJ452" i="18"/>
  <c r="V452" i="18"/>
  <c r="T452" i="18"/>
  <c r="G452" i="18" a="1"/>
  <c r="G452" i="18" s="1"/>
  <c r="F452" i="18" a="1"/>
  <c r="F452" i="18" s="1"/>
  <c r="AN451" i="18"/>
  <c r="AK451" i="18"/>
  <c r="AJ451" i="18"/>
  <c r="V451" i="18"/>
  <c r="T451" i="18"/>
  <c r="G451" i="18" a="1"/>
  <c r="G451" i="18" s="1"/>
  <c r="F451" i="18" a="1"/>
  <c r="F451" i="18" s="1"/>
  <c r="AN450" i="18"/>
  <c r="AK450" i="18"/>
  <c r="AJ450" i="18"/>
  <c r="V450" i="18"/>
  <c r="T450" i="18"/>
  <c r="G450" i="18" a="1"/>
  <c r="G450" i="18" s="1"/>
  <c r="F450" i="18" a="1"/>
  <c r="F450" i="18" s="1"/>
  <c r="AN449" i="18"/>
  <c r="AK449" i="18"/>
  <c r="AJ449" i="18"/>
  <c r="V449" i="18"/>
  <c r="T449" i="18"/>
  <c r="G449" i="18" a="1"/>
  <c r="G449" i="18" s="1"/>
  <c r="F449" i="18" a="1"/>
  <c r="F449" i="18" s="1"/>
  <c r="AN448" i="18"/>
  <c r="AK448" i="18"/>
  <c r="AJ448" i="18"/>
  <c r="V448" i="18"/>
  <c r="T448" i="18"/>
  <c r="G448" i="18" a="1"/>
  <c r="G448" i="18" s="1"/>
  <c r="F448" i="18" a="1"/>
  <c r="F448" i="18" s="1"/>
  <c r="AN447" i="18"/>
  <c r="AK447" i="18"/>
  <c r="AJ447" i="18"/>
  <c r="V447" i="18"/>
  <c r="T447" i="18"/>
  <c r="G447" i="18" a="1"/>
  <c r="G447" i="18" s="1"/>
  <c r="F447" i="18" a="1"/>
  <c r="F447" i="18" s="1"/>
  <c r="AN446" i="18"/>
  <c r="AK446" i="18"/>
  <c r="AJ446" i="18"/>
  <c r="V446" i="18"/>
  <c r="T446" i="18"/>
  <c r="G446" i="18" a="1"/>
  <c r="G446" i="18" s="1"/>
  <c r="F446" i="18" a="1"/>
  <c r="F446" i="18" s="1"/>
  <c r="AN445" i="18"/>
  <c r="AK445" i="18"/>
  <c r="AJ445" i="18"/>
  <c r="V445" i="18"/>
  <c r="T445" i="18"/>
  <c r="G445" i="18" a="1"/>
  <c r="G445" i="18" s="1"/>
  <c r="F445" i="18" a="1"/>
  <c r="F445" i="18" s="1"/>
  <c r="AN444" i="18"/>
  <c r="AK444" i="18"/>
  <c r="AJ444" i="18"/>
  <c r="V444" i="18"/>
  <c r="T444" i="18"/>
  <c r="G444" i="18" a="1"/>
  <c r="G444" i="18" s="1"/>
  <c r="F444" i="18" a="1"/>
  <c r="F444" i="18" s="1"/>
  <c r="AN443" i="18"/>
  <c r="AK443" i="18"/>
  <c r="AJ443" i="18"/>
  <c r="V443" i="18"/>
  <c r="T443" i="18"/>
  <c r="G443" i="18" a="1"/>
  <c r="G443" i="18" s="1"/>
  <c r="F443" i="18" a="1"/>
  <c r="F443" i="18" s="1"/>
  <c r="AN442" i="18"/>
  <c r="AK442" i="18"/>
  <c r="AJ442" i="18"/>
  <c r="V442" i="18"/>
  <c r="T442" i="18"/>
  <c r="G442" i="18" a="1"/>
  <c r="G442" i="18" s="1"/>
  <c r="F442" i="18" a="1"/>
  <c r="F442" i="18" s="1"/>
  <c r="AN441" i="18"/>
  <c r="AK441" i="18"/>
  <c r="AJ441" i="18"/>
  <c r="V441" i="18"/>
  <c r="T441" i="18"/>
  <c r="G441" i="18" a="1"/>
  <c r="G441" i="18" s="1"/>
  <c r="F441" i="18" a="1"/>
  <c r="F441" i="18" s="1"/>
  <c r="AN440" i="18"/>
  <c r="AK440" i="18"/>
  <c r="AJ440" i="18"/>
  <c r="V440" i="18"/>
  <c r="T440" i="18"/>
  <c r="G440" i="18" a="1"/>
  <c r="G440" i="18" s="1"/>
  <c r="F440" i="18" a="1"/>
  <c r="F440" i="18" s="1"/>
  <c r="AN439" i="18"/>
  <c r="AK439" i="18"/>
  <c r="AJ439" i="18"/>
  <c r="V439" i="18"/>
  <c r="T439" i="18"/>
  <c r="G439" i="18" a="1"/>
  <c r="G439" i="18" s="1"/>
  <c r="F439" i="18" a="1"/>
  <c r="F439" i="18" s="1"/>
  <c r="AN438" i="18"/>
  <c r="AK438" i="18"/>
  <c r="AJ438" i="18"/>
  <c r="V438" i="18"/>
  <c r="T438" i="18"/>
  <c r="G438" i="18" a="1"/>
  <c r="G438" i="18" s="1"/>
  <c r="F438" i="18" a="1"/>
  <c r="F438" i="18" s="1"/>
  <c r="AN437" i="18"/>
  <c r="AK437" i="18"/>
  <c r="AJ437" i="18"/>
  <c r="V437" i="18"/>
  <c r="T437" i="18"/>
  <c r="G437" i="18" a="1"/>
  <c r="G437" i="18" s="1"/>
  <c r="F437" i="18" a="1"/>
  <c r="F437" i="18" s="1"/>
  <c r="AN436" i="18"/>
  <c r="AK436" i="18"/>
  <c r="AJ436" i="18"/>
  <c r="V436" i="18"/>
  <c r="T436" i="18"/>
  <c r="G436" i="18" a="1"/>
  <c r="G436" i="18" s="1"/>
  <c r="F436" i="18" a="1"/>
  <c r="F436" i="18" s="1"/>
  <c r="AN435" i="18"/>
  <c r="AK435" i="18"/>
  <c r="AJ435" i="18"/>
  <c r="V435" i="18"/>
  <c r="T435" i="18"/>
  <c r="G435" i="18" a="1"/>
  <c r="G435" i="18" s="1"/>
  <c r="F435" i="18" a="1"/>
  <c r="F435" i="18" s="1"/>
  <c r="AN434" i="18"/>
  <c r="AK434" i="18"/>
  <c r="AJ434" i="18"/>
  <c r="V434" i="18"/>
  <c r="T434" i="18"/>
  <c r="G434" i="18" a="1"/>
  <c r="G434" i="18" s="1"/>
  <c r="F434" i="18" a="1"/>
  <c r="F434" i="18" s="1"/>
  <c r="AN433" i="18"/>
  <c r="AK433" i="18"/>
  <c r="AJ433" i="18"/>
  <c r="V433" i="18"/>
  <c r="T433" i="18"/>
  <c r="G433" i="18" a="1"/>
  <c r="G433" i="18" s="1"/>
  <c r="F433" i="18" a="1"/>
  <c r="F433" i="18" s="1"/>
  <c r="AN432" i="18"/>
  <c r="AK432" i="18"/>
  <c r="AJ432" i="18"/>
  <c r="V432" i="18"/>
  <c r="T432" i="18"/>
  <c r="G432" i="18" a="1"/>
  <c r="G432" i="18" s="1"/>
  <c r="F432" i="18" a="1"/>
  <c r="F432" i="18" s="1"/>
  <c r="AN431" i="18"/>
  <c r="AK431" i="18"/>
  <c r="AJ431" i="18"/>
  <c r="V431" i="18"/>
  <c r="T431" i="18"/>
  <c r="G431" i="18" a="1"/>
  <c r="G431" i="18" s="1"/>
  <c r="F431" i="18" a="1"/>
  <c r="F431" i="18" s="1"/>
  <c r="AN430" i="18"/>
  <c r="AK430" i="18"/>
  <c r="AJ430" i="18"/>
  <c r="V430" i="18"/>
  <c r="T430" i="18"/>
  <c r="G430" i="18" a="1"/>
  <c r="G430" i="18" s="1"/>
  <c r="F430" i="18" a="1"/>
  <c r="F430" i="18" s="1"/>
  <c r="AN429" i="18"/>
  <c r="AK429" i="18"/>
  <c r="AJ429" i="18"/>
  <c r="V429" i="18"/>
  <c r="T429" i="18"/>
  <c r="G429" i="18" a="1"/>
  <c r="G429" i="18" s="1"/>
  <c r="F429" i="18" a="1"/>
  <c r="F429" i="18" s="1"/>
  <c r="AN428" i="18"/>
  <c r="AK428" i="18"/>
  <c r="AJ428" i="18"/>
  <c r="V428" i="18"/>
  <c r="T428" i="18"/>
  <c r="G428" i="18" a="1"/>
  <c r="G428" i="18" s="1"/>
  <c r="F428" i="18" a="1"/>
  <c r="F428" i="18" s="1"/>
  <c r="AN427" i="18"/>
  <c r="AK427" i="18"/>
  <c r="AJ427" i="18"/>
  <c r="V427" i="18"/>
  <c r="T427" i="18"/>
  <c r="G427" i="18" a="1"/>
  <c r="G427" i="18" s="1"/>
  <c r="F427" i="18" a="1"/>
  <c r="F427" i="18" s="1"/>
  <c r="AN426" i="18"/>
  <c r="AK426" i="18"/>
  <c r="AJ426" i="18"/>
  <c r="V426" i="18"/>
  <c r="T426" i="18"/>
  <c r="G426" i="18" a="1"/>
  <c r="G426" i="18" s="1"/>
  <c r="F426" i="18" a="1"/>
  <c r="F426" i="18" s="1"/>
  <c r="AN425" i="18"/>
  <c r="AK425" i="18"/>
  <c r="AJ425" i="18"/>
  <c r="V425" i="18"/>
  <c r="T425" i="18"/>
  <c r="G425" i="18" a="1"/>
  <c r="G425" i="18" s="1"/>
  <c r="F425" i="18" a="1"/>
  <c r="F425" i="18" s="1"/>
  <c r="AN424" i="18"/>
  <c r="AK424" i="18"/>
  <c r="AJ424" i="18"/>
  <c r="V424" i="18"/>
  <c r="T424" i="18"/>
  <c r="G424" i="18" a="1"/>
  <c r="G424" i="18" s="1"/>
  <c r="F424" i="18" a="1"/>
  <c r="F424" i="18" s="1"/>
  <c r="AN423" i="18"/>
  <c r="AK423" i="18"/>
  <c r="AJ423" i="18"/>
  <c r="V423" i="18"/>
  <c r="T423" i="18"/>
  <c r="G423" i="18" a="1"/>
  <c r="G423" i="18" s="1"/>
  <c r="F423" i="18" a="1"/>
  <c r="F423" i="18" s="1"/>
  <c r="AN422" i="18"/>
  <c r="AK422" i="18"/>
  <c r="AJ422" i="18"/>
  <c r="V422" i="18"/>
  <c r="T422" i="18"/>
  <c r="G422" i="18" a="1"/>
  <c r="G422" i="18" s="1"/>
  <c r="F422" i="18" a="1"/>
  <c r="F422" i="18" s="1"/>
  <c r="AN421" i="18"/>
  <c r="AK421" i="18"/>
  <c r="AJ421" i="18"/>
  <c r="V421" i="18"/>
  <c r="T421" i="18"/>
  <c r="G421" i="18" a="1"/>
  <c r="G421" i="18" s="1"/>
  <c r="F421" i="18" a="1"/>
  <c r="F421" i="18" s="1"/>
  <c r="AN420" i="18"/>
  <c r="AK420" i="18"/>
  <c r="AJ420" i="18"/>
  <c r="V420" i="18"/>
  <c r="T420" i="18"/>
  <c r="G420" i="18" a="1"/>
  <c r="G420" i="18" s="1"/>
  <c r="F420" i="18" a="1"/>
  <c r="F420" i="18" s="1"/>
  <c r="AN419" i="18"/>
  <c r="AK419" i="18"/>
  <c r="AJ419" i="18"/>
  <c r="V419" i="18"/>
  <c r="T419" i="18"/>
  <c r="G419" i="18" a="1"/>
  <c r="G419" i="18" s="1"/>
  <c r="F419" i="18" a="1"/>
  <c r="F419" i="18" s="1"/>
  <c r="AN418" i="18"/>
  <c r="AK418" i="18"/>
  <c r="AJ418" i="18"/>
  <c r="V418" i="18"/>
  <c r="T418" i="18"/>
  <c r="G418" i="18" a="1"/>
  <c r="G418" i="18" s="1"/>
  <c r="F418" i="18" a="1"/>
  <c r="F418" i="18" s="1"/>
  <c r="AN417" i="18"/>
  <c r="AK417" i="18"/>
  <c r="AJ417" i="18"/>
  <c r="V417" i="18"/>
  <c r="T417" i="18"/>
  <c r="G417" i="18" a="1"/>
  <c r="G417" i="18" s="1"/>
  <c r="F417" i="18" a="1"/>
  <c r="F417" i="18" s="1"/>
  <c r="AN416" i="18"/>
  <c r="AK416" i="18"/>
  <c r="AJ416" i="18"/>
  <c r="V416" i="18"/>
  <c r="T416" i="18"/>
  <c r="G416" i="18" a="1"/>
  <c r="G416" i="18" s="1"/>
  <c r="F416" i="18" a="1"/>
  <c r="F416" i="18" s="1"/>
  <c r="AN415" i="18"/>
  <c r="AK415" i="18"/>
  <c r="AJ415" i="18"/>
  <c r="V415" i="18"/>
  <c r="T415" i="18"/>
  <c r="G415" i="18" a="1"/>
  <c r="G415" i="18" s="1"/>
  <c r="F415" i="18" a="1"/>
  <c r="F415" i="18" s="1"/>
  <c r="AN414" i="18"/>
  <c r="AK414" i="18"/>
  <c r="AJ414" i="18"/>
  <c r="V414" i="18"/>
  <c r="T414" i="18"/>
  <c r="G414" i="18" a="1"/>
  <c r="G414" i="18" s="1"/>
  <c r="F414" i="18" a="1"/>
  <c r="F414" i="18" s="1"/>
  <c r="AN413" i="18"/>
  <c r="AK413" i="18"/>
  <c r="AJ413" i="18"/>
  <c r="V413" i="18"/>
  <c r="T413" i="18"/>
  <c r="G413" i="18" a="1"/>
  <c r="G413" i="18" s="1"/>
  <c r="F413" i="18" a="1"/>
  <c r="F413" i="18" s="1"/>
  <c r="AN412" i="18"/>
  <c r="AK412" i="18"/>
  <c r="AJ412" i="18"/>
  <c r="V412" i="18"/>
  <c r="T412" i="18"/>
  <c r="G412" i="18" a="1"/>
  <c r="G412" i="18" s="1"/>
  <c r="F412" i="18" a="1"/>
  <c r="F412" i="18" s="1"/>
  <c r="AN411" i="18"/>
  <c r="AK411" i="18"/>
  <c r="AJ411" i="18"/>
  <c r="V411" i="18"/>
  <c r="T411" i="18"/>
  <c r="G411" i="18" a="1"/>
  <c r="G411" i="18" s="1"/>
  <c r="F411" i="18" a="1"/>
  <c r="F411" i="18" s="1"/>
  <c r="AN410" i="18"/>
  <c r="AK410" i="18"/>
  <c r="AJ410" i="18"/>
  <c r="V410" i="18"/>
  <c r="T410" i="18"/>
  <c r="G410" i="18" a="1"/>
  <c r="G410" i="18" s="1"/>
  <c r="F410" i="18" a="1"/>
  <c r="F410" i="18" s="1"/>
  <c r="AN409" i="18"/>
  <c r="AK409" i="18"/>
  <c r="AJ409" i="18"/>
  <c r="V409" i="18"/>
  <c r="T409" i="18"/>
  <c r="G409" i="18" a="1"/>
  <c r="G409" i="18" s="1"/>
  <c r="F409" i="18" a="1"/>
  <c r="F409" i="18" s="1"/>
  <c r="AN408" i="18"/>
  <c r="AK408" i="18"/>
  <c r="AJ408" i="18"/>
  <c r="V408" i="18"/>
  <c r="T408" i="18"/>
  <c r="G408" i="18" a="1"/>
  <c r="G408" i="18" s="1"/>
  <c r="F408" i="18" a="1"/>
  <c r="F408" i="18" s="1"/>
  <c r="AN407" i="18"/>
  <c r="AK407" i="18"/>
  <c r="AJ407" i="18"/>
  <c r="V407" i="18"/>
  <c r="T407" i="18"/>
  <c r="G407" i="18" a="1"/>
  <c r="G407" i="18" s="1"/>
  <c r="F407" i="18" a="1"/>
  <c r="F407" i="18" s="1"/>
  <c r="AN406" i="18"/>
  <c r="AK406" i="18"/>
  <c r="AJ406" i="18"/>
  <c r="V406" i="18"/>
  <c r="T406" i="18"/>
  <c r="G406" i="18" a="1"/>
  <c r="G406" i="18" s="1"/>
  <c r="F406" i="18" a="1"/>
  <c r="F406" i="18" s="1"/>
  <c r="AN405" i="18"/>
  <c r="AK405" i="18"/>
  <c r="AJ405" i="18"/>
  <c r="V405" i="18"/>
  <c r="T405" i="18"/>
  <c r="G405" i="18" a="1"/>
  <c r="G405" i="18" s="1"/>
  <c r="F405" i="18" a="1"/>
  <c r="F405" i="18" s="1"/>
  <c r="AN404" i="18"/>
  <c r="AK404" i="18"/>
  <c r="AJ404" i="18"/>
  <c r="V404" i="18"/>
  <c r="T404" i="18"/>
  <c r="G404" i="18" a="1"/>
  <c r="G404" i="18" s="1"/>
  <c r="F404" i="18" a="1"/>
  <c r="F404" i="18" s="1"/>
  <c r="AN403" i="18"/>
  <c r="AK403" i="18"/>
  <c r="AJ403" i="18"/>
  <c r="V403" i="18"/>
  <c r="T403" i="18"/>
  <c r="G403" i="18" a="1"/>
  <c r="G403" i="18" s="1"/>
  <c r="F403" i="18" a="1"/>
  <c r="F403" i="18" s="1"/>
  <c r="AN402" i="18"/>
  <c r="AK402" i="18"/>
  <c r="AJ402" i="18"/>
  <c r="V402" i="18"/>
  <c r="T402" i="18"/>
  <c r="G402" i="18" a="1"/>
  <c r="G402" i="18" s="1"/>
  <c r="F402" i="18" a="1"/>
  <c r="F402" i="18" s="1"/>
  <c r="AN401" i="18"/>
  <c r="AK401" i="18"/>
  <c r="AJ401" i="18"/>
  <c r="V401" i="18"/>
  <c r="T401" i="18"/>
  <c r="G401" i="18" a="1"/>
  <c r="G401" i="18" s="1"/>
  <c r="F401" i="18" a="1"/>
  <c r="F401" i="18" s="1"/>
  <c r="AN400" i="18"/>
  <c r="AK400" i="18"/>
  <c r="AJ400" i="18"/>
  <c r="V400" i="18"/>
  <c r="T400" i="18"/>
  <c r="G400" i="18" a="1"/>
  <c r="G400" i="18" s="1"/>
  <c r="F400" i="18" a="1"/>
  <c r="F400" i="18" s="1"/>
  <c r="AN399" i="18"/>
  <c r="AK399" i="18"/>
  <c r="AJ399" i="18"/>
  <c r="V399" i="18"/>
  <c r="T399" i="18"/>
  <c r="G399" i="18" a="1"/>
  <c r="G399" i="18" s="1"/>
  <c r="F399" i="18" a="1"/>
  <c r="F399" i="18" s="1"/>
  <c r="AN398" i="18"/>
  <c r="AK398" i="18"/>
  <c r="AJ398" i="18"/>
  <c r="V398" i="18"/>
  <c r="T398" i="18"/>
  <c r="G398" i="18" a="1"/>
  <c r="G398" i="18" s="1"/>
  <c r="F398" i="18" a="1"/>
  <c r="F398" i="18" s="1"/>
  <c r="AN397" i="18"/>
  <c r="AK397" i="18"/>
  <c r="AJ397" i="18"/>
  <c r="V397" i="18"/>
  <c r="T397" i="18"/>
  <c r="G397" i="18" a="1"/>
  <c r="G397" i="18" s="1"/>
  <c r="F397" i="18" a="1"/>
  <c r="F397" i="18" s="1"/>
  <c r="AN396" i="18"/>
  <c r="AK396" i="18"/>
  <c r="AJ396" i="18"/>
  <c r="V396" i="18"/>
  <c r="T396" i="18"/>
  <c r="G396" i="18" a="1"/>
  <c r="G396" i="18" s="1"/>
  <c r="F396" i="18" a="1"/>
  <c r="F396" i="18" s="1"/>
  <c r="AN395" i="18"/>
  <c r="AK395" i="18"/>
  <c r="AJ395" i="18"/>
  <c r="V395" i="18"/>
  <c r="T395" i="18"/>
  <c r="G395" i="18" a="1"/>
  <c r="G395" i="18" s="1"/>
  <c r="F395" i="18" a="1"/>
  <c r="F395" i="18" s="1"/>
  <c r="AN394" i="18"/>
  <c r="AK394" i="18"/>
  <c r="AJ394" i="18"/>
  <c r="V394" i="18"/>
  <c r="T394" i="18"/>
  <c r="G394" i="18" a="1"/>
  <c r="G394" i="18" s="1"/>
  <c r="F394" i="18" a="1"/>
  <c r="F394" i="18" s="1"/>
  <c r="AN393" i="18"/>
  <c r="AK393" i="18"/>
  <c r="AJ393" i="18"/>
  <c r="V393" i="18"/>
  <c r="T393" i="18"/>
  <c r="G393" i="18" a="1"/>
  <c r="G393" i="18" s="1"/>
  <c r="F393" i="18" a="1"/>
  <c r="F393" i="18" s="1"/>
  <c r="AN392" i="18"/>
  <c r="AK392" i="18"/>
  <c r="AJ392" i="18"/>
  <c r="V392" i="18"/>
  <c r="T392" i="18"/>
  <c r="G392" i="18" a="1"/>
  <c r="G392" i="18" s="1"/>
  <c r="F392" i="18" a="1"/>
  <c r="F392" i="18" s="1"/>
  <c r="AN391" i="18"/>
  <c r="AK391" i="18"/>
  <c r="AJ391" i="18"/>
  <c r="V391" i="18"/>
  <c r="T391" i="18"/>
  <c r="G391" i="18" a="1"/>
  <c r="G391" i="18" s="1"/>
  <c r="F391" i="18" a="1"/>
  <c r="F391" i="18" s="1"/>
  <c r="AN390" i="18"/>
  <c r="AK390" i="18"/>
  <c r="AJ390" i="18"/>
  <c r="V390" i="18"/>
  <c r="T390" i="18"/>
  <c r="G390" i="18" a="1"/>
  <c r="G390" i="18" s="1"/>
  <c r="F390" i="18" a="1"/>
  <c r="F390" i="18" s="1"/>
  <c r="AN389" i="18"/>
  <c r="AK389" i="18"/>
  <c r="AJ389" i="18"/>
  <c r="V389" i="18"/>
  <c r="T389" i="18"/>
  <c r="G389" i="18" a="1"/>
  <c r="G389" i="18" s="1"/>
  <c r="F389" i="18" a="1"/>
  <c r="F389" i="18" s="1"/>
  <c r="AN388" i="18"/>
  <c r="AK388" i="18"/>
  <c r="AJ388" i="18"/>
  <c r="V388" i="18"/>
  <c r="T388" i="18"/>
  <c r="G388" i="18" a="1"/>
  <c r="G388" i="18" s="1"/>
  <c r="F388" i="18" a="1"/>
  <c r="F388" i="18" s="1"/>
  <c r="AN387" i="18"/>
  <c r="AK387" i="18"/>
  <c r="AJ387" i="18"/>
  <c r="V387" i="18"/>
  <c r="T387" i="18"/>
  <c r="G387" i="18" a="1"/>
  <c r="G387" i="18" s="1"/>
  <c r="F387" i="18" a="1"/>
  <c r="F387" i="18" s="1"/>
  <c r="AN386" i="18"/>
  <c r="AK386" i="18"/>
  <c r="AJ386" i="18"/>
  <c r="V386" i="18"/>
  <c r="T386" i="18"/>
  <c r="G386" i="18" a="1"/>
  <c r="G386" i="18" s="1"/>
  <c r="F386" i="18" a="1"/>
  <c r="F386" i="18" s="1"/>
  <c r="AN385" i="18"/>
  <c r="AK385" i="18"/>
  <c r="AJ385" i="18"/>
  <c r="V385" i="18"/>
  <c r="T385" i="18"/>
  <c r="G385" i="18" a="1"/>
  <c r="G385" i="18" s="1"/>
  <c r="F385" i="18" a="1"/>
  <c r="F385" i="18" s="1"/>
  <c r="AN384" i="18"/>
  <c r="AK384" i="18"/>
  <c r="AJ384" i="18"/>
  <c r="V384" i="18"/>
  <c r="T384" i="18"/>
  <c r="G384" i="18" a="1"/>
  <c r="G384" i="18" s="1"/>
  <c r="F384" i="18" a="1"/>
  <c r="F384" i="18" s="1"/>
  <c r="AN383" i="18"/>
  <c r="AK383" i="18"/>
  <c r="AJ383" i="18"/>
  <c r="V383" i="18"/>
  <c r="T383" i="18"/>
  <c r="G383" i="18" a="1"/>
  <c r="G383" i="18" s="1"/>
  <c r="F383" i="18" a="1"/>
  <c r="F383" i="18" s="1"/>
  <c r="AN382" i="18"/>
  <c r="AK382" i="18"/>
  <c r="AJ382" i="18"/>
  <c r="V382" i="18"/>
  <c r="T382" i="18"/>
  <c r="G382" i="18" a="1"/>
  <c r="G382" i="18" s="1"/>
  <c r="F382" i="18" a="1"/>
  <c r="F382" i="18" s="1"/>
  <c r="AN381" i="18"/>
  <c r="AK381" i="18"/>
  <c r="AJ381" i="18"/>
  <c r="V381" i="18"/>
  <c r="T381" i="18"/>
  <c r="G381" i="18" a="1"/>
  <c r="G381" i="18" s="1"/>
  <c r="F381" i="18" a="1"/>
  <c r="F381" i="18" s="1"/>
  <c r="AN380" i="18"/>
  <c r="AK380" i="18"/>
  <c r="AJ380" i="18"/>
  <c r="V380" i="18"/>
  <c r="T380" i="18"/>
  <c r="G380" i="18" a="1"/>
  <c r="G380" i="18" s="1"/>
  <c r="F380" i="18" a="1"/>
  <c r="F380" i="18" s="1"/>
  <c r="AN379" i="18"/>
  <c r="AK379" i="18"/>
  <c r="AJ379" i="18"/>
  <c r="V379" i="18"/>
  <c r="T379" i="18"/>
  <c r="G379" i="18" a="1"/>
  <c r="G379" i="18" s="1"/>
  <c r="F379" i="18" a="1"/>
  <c r="F379" i="18" s="1"/>
  <c r="AN378" i="18"/>
  <c r="AK378" i="18"/>
  <c r="AJ378" i="18"/>
  <c r="V378" i="18"/>
  <c r="T378" i="18"/>
  <c r="G378" i="18" a="1"/>
  <c r="G378" i="18" s="1"/>
  <c r="F378" i="18" a="1"/>
  <c r="F378" i="18" s="1"/>
  <c r="AN377" i="18"/>
  <c r="AK377" i="18"/>
  <c r="AJ377" i="18"/>
  <c r="V377" i="18"/>
  <c r="T377" i="18"/>
  <c r="G377" i="18" a="1"/>
  <c r="G377" i="18" s="1"/>
  <c r="F377" i="18" a="1"/>
  <c r="F377" i="18" s="1"/>
  <c r="AN376" i="18"/>
  <c r="AK376" i="18"/>
  <c r="AJ376" i="18"/>
  <c r="V376" i="18"/>
  <c r="T376" i="18"/>
  <c r="G376" i="18" a="1"/>
  <c r="G376" i="18" s="1"/>
  <c r="F376" i="18" a="1"/>
  <c r="F376" i="18" s="1"/>
  <c r="AN375" i="18"/>
  <c r="AK375" i="18"/>
  <c r="AJ375" i="18"/>
  <c r="V375" i="18"/>
  <c r="T375" i="18"/>
  <c r="G375" i="18" a="1"/>
  <c r="G375" i="18" s="1"/>
  <c r="F375" i="18" a="1"/>
  <c r="F375" i="18" s="1"/>
  <c r="AN374" i="18"/>
  <c r="AK374" i="18"/>
  <c r="AJ374" i="18"/>
  <c r="V374" i="18"/>
  <c r="T374" i="18"/>
  <c r="G374" i="18" a="1"/>
  <c r="G374" i="18" s="1"/>
  <c r="F374" i="18" a="1"/>
  <c r="F374" i="18" s="1"/>
  <c r="AN373" i="18"/>
  <c r="AK373" i="18"/>
  <c r="AJ373" i="18"/>
  <c r="V373" i="18"/>
  <c r="T373" i="18"/>
  <c r="G373" i="18" a="1"/>
  <c r="G373" i="18" s="1"/>
  <c r="F373" i="18" a="1"/>
  <c r="F373" i="18" s="1"/>
  <c r="AN372" i="18"/>
  <c r="AK372" i="18"/>
  <c r="AJ372" i="18"/>
  <c r="V372" i="18"/>
  <c r="T372" i="18"/>
  <c r="G372" i="18" a="1"/>
  <c r="G372" i="18" s="1"/>
  <c r="F372" i="18" a="1"/>
  <c r="F372" i="18" s="1"/>
  <c r="AN371" i="18"/>
  <c r="AK371" i="18"/>
  <c r="AJ371" i="18"/>
  <c r="V371" i="18"/>
  <c r="T371" i="18"/>
  <c r="G371" i="18" a="1"/>
  <c r="G371" i="18" s="1"/>
  <c r="F371" i="18" a="1"/>
  <c r="F371" i="18" s="1"/>
  <c r="AN370" i="18"/>
  <c r="AK370" i="18"/>
  <c r="AJ370" i="18"/>
  <c r="V370" i="18"/>
  <c r="T370" i="18"/>
  <c r="G370" i="18" a="1"/>
  <c r="G370" i="18" s="1"/>
  <c r="F370" i="18" a="1"/>
  <c r="F370" i="18" s="1"/>
  <c r="AN369" i="18"/>
  <c r="AK369" i="18"/>
  <c r="AJ369" i="18"/>
  <c r="V369" i="18"/>
  <c r="T369" i="18"/>
  <c r="G369" i="18" a="1"/>
  <c r="G369" i="18" s="1"/>
  <c r="F369" i="18" a="1"/>
  <c r="F369" i="18" s="1"/>
  <c r="AN368" i="18"/>
  <c r="AK368" i="18"/>
  <c r="AJ368" i="18"/>
  <c r="V368" i="18"/>
  <c r="T368" i="18"/>
  <c r="G368" i="18" a="1"/>
  <c r="G368" i="18" s="1"/>
  <c r="F368" i="18" a="1"/>
  <c r="F368" i="18" s="1"/>
  <c r="AN367" i="18"/>
  <c r="AK367" i="18"/>
  <c r="AJ367" i="18"/>
  <c r="V367" i="18"/>
  <c r="T367" i="18"/>
  <c r="G367" i="18" a="1"/>
  <c r="G367" i="18" s="1"/>
  <c r="F367" i="18" a="1"/>
  <c r="F367" i="18" s="1"/>
  <c r="AN366" i="18"/>
  <c r="AK366" i="18"/>
  <c r="AJ366" i="18"/>
  <c r="V366" i="18"/>
  <c r="T366" i="18"/>
  <c r="G366" i="18" a="1"/>
  <c r="G366" i="18" s="1"/>
  <c r="F366" i="18" a="1"/>
  <c r="F366" i="18" s="1"/>
  <c r="AN365" i="18"/>
  <c r="AK365" i="18"/>
  <c r="AJ365" i="18"/>
  <c r="V365" i="18"/>
  <c r="T365" i="18"/>
  <c r="G365" i="18" a="1"/>
  <c r="G365" i="18" s="1"/>
  <c r="F365" i="18" a="1"/>
  <c r="F365" i="18" s="1"/>
  <c r="AN364" i="18"/>
  <c r="AK364" i="18"/>
  <c r="AJ364" i="18"/>
  <c r="V364" i="18"/>
  <c r="T364" i="18"/>
  <c r="G364" i="18" a="1"/>
  <c r="G364" i="18" s="1"/>
  <c r="F364" i="18" a="1"/>
  <c r="F364" i="18" s="1"/>
  <c r="AN363" i="18"/>
  <c r="AK363" i="18"/>
  <c r="AJ363" i="18"/>
  <c r="V363" i="18"/>
  <c r="T363" i="18"/>
  <c r="G363" i="18" a="1"/>
  <c r="G363" i="18" s="1"/>
  <c r="F363" i="18" a="1"/>
  <c r="F363" i="18" s="1"/>
  <c r="AN362" i="18"/>
  <c r="AK362" i="18"/>
  <c r="AJ362" i="18"/>
  <c r="V362" i="18"/>
  <c r="T362" i="18"/>
  <c r="G362" i="18" a="1"/>
  <c r="G362" i="18" s="1"/>
  <c r="F362" i="18" a="1"/>
  <c r="F362" i="18" s="1"/>
  <c r="AN361" i="18"/>
  <c r="AK361" i="18"/>
  <c r="AJ361" i="18"/>
  <c r="V361" i="18"/>
  <c r="T361" i="18"/>
  <c r="G361" i="18" a="1"/>
  <c r="G361" i="18" s="1"/>
  <c r="F361" i="18" a="1"/>
  <c r="F361" i="18" s="1"/>
  <c r="AN360" i="18"/>
  <c r="AK360" i="18"/>
  <c r="AJ360" i="18"/>
  <c r="V360" i="18"/>
  <c r="T360" i="18"/>
  <c r="G360" i="18" a="1"/>
  <c r="G360" i="18" s="1"/>
  <c r="F360" i="18" a="1"/>
  <c r="F360" i="18" s="1"/>
  <c r="AN359" i="18"/>
  <c r="AK359" i="18"/>
  <c r="AJ359" i="18"/>
  <c r="V359" i="18"/>
  <c r="T359" i="18"/>
  <c r="G359" i="18" a="1"/>
  <c r="G359" i="18" s="1"/>
  <c r="F359" i="18" a="1"/>
  <c r="F359" i="18" s="1"/>
  <c r="AN358" i="18"/>
  <c r="AK358" i="18"/>
  <c r="AJ358" i="18"/>
  <c r="V358" i="18"/>
  <c r="T358" i="18"/>
  <c r="G358" i="18" a="1"/>
  <c r="G358" i="18" s="1"/>
  <c r="F358" i="18" a="1"/>
  <c r="F358" i="18" s="1"/>
  <c r="AN357" i="18"/>
  <c r="AK357" i="18"/>
  <c r="AJ357" i="18"/>
  <c r="V357" i="18"/>
  <c r="T357" i="18"/>
  <c r="G357" i="18" a="1"/>
  <c r="G357" i="18" s="1"/>
  <c r="F357" i="18" a="1"/>
  <c r="F357" i="18" s="1"/>
  <c r="AN356" i="18"/>
  <c r="AK356" i="18"/>
  <c r="AJ356" i="18"/>
  <c r="V356" i="18"/>
  <c r="T356" i="18"/>
  <c r="G356" i="18" a="1"/>
  <c r="G356" i="18" s="1"/>
  <c r="F356" i="18" a="1"/>
  <c r="F356" i="18" s="1"/>
  <c r="AN355" i="18"/>
  <c r="AK355" i="18"/>
  <c r="AJ355" i="18"/>
  <c r="V355" i="18"/>
  <c r="T355" i="18"/>
  <c r="G355" i="18" a="1"/>
  <c r="G355" i="18" s="1"/>
  <c r="F355" i="18" a="1"/>
  <c r="F355" i="18" s="1"/>
  <c r="AN354" i="18"/>
  <c r="AK354" i="18"/>
  <c r="AJ354" i="18"/>
  <c r="V354" i="18"/>
  <c r="T354" i="18"/>
  <c r="G354" i="18" a="1"/>
  <c r="G354" i="18" s="1"/>
  <c r="F354" i="18" a="1"/>
  <c r="F354" i="18" s="1"/>
  <c r="AN353" i="18"/>
  <c r="AK353" i="18"/>
  <c r="AJ353" i="18"/>
  <c r="V353" i="18"/>
  <c r="T353" i="18"/>
  <c r="G353" i="18" a="1"/>
  <c r="G353" i="18" s="1"/>
  <c r="F353" i="18" a="1"/>
  <c r="F353" i="18" s="1"/>
  <c r="AN352" i="18"/>
  <c r="AK352" i="18"/>
  <c r="AJ352" i="18"/>
  <c r="V352" i="18"/>
  <c r="T352" i="18"/>
  <c r="G352" i="18" a="1"/>
  <c r="G352" i="18" s="1"/>
  <c r="F352" i="18" a="1"/>
  <c r="F352" i="18" s="1"/>
  <c r="AN351" i="18"/>
  <c r="AK351" i="18"/>
  <c r="AJ351" i="18"/>
  <c r="V351" i="18"/>
  <c r="T351" i="18"/>
  <c r="G351" i="18" a="1"/>
  <c r="G351" i="18" s="1"/>
  <c r="F351" i="18" a="1"/>
  <c r="F351" i="18" s="1"/>
  <c r="AN350" i="18"/>
  <c r="AK350" i="18"/>
  <c r="AJ350" i="18"/>
  <c r="V350" i="18"/>
  <c r="T350" i="18"/>
  <c r="G350" i="18" a="1"/>
  <c r="G350" i="18" s="1"/>
  <c r="F350" i="18" a="1"/>
  <c r="F350" i="18" s="1"/>
  <c r="AN349" i="18"/>
  <c r="AK349" i="18"/>
  <c r="AJ349" i="18"/>
  <c r="V349" i="18"/>
  <c r="T349" i="18"/>
  <c r="G349" i="18" a="1"/>
  <c r="G349" i="18" s="1"/>
  <c r="F349" i="18" a="1"/>
  <c r="F349" i="18" s="1"/>
  <c r="AN348" i="18"/>
  <c r="AK348" i="18"/>
  <c r="AJ348" i="18"/>
  <c r="V348" i="18"/>
  <c r="T348" i="18"/>
  <c r="G348" i="18" a="1"/>
  <c r="G348" i="18" s="1"/>
  <c r="F348" i="18" a="1"/>
  <c r="F348" i="18" s="1"/>
  <c r="AN347" i="18"/>
  <c r="AK347" i="18"/>
  <c r="AJ347" i="18"/>
  <c r="V347" i="18"/>
  <c r="T347" i="18"/>
  <c r="G347" i="18" a="1"/>
  <c r="G347" i="18" s="1"/>
  <c r="F347" i="18" a="1"/>
  <c r="F347" i="18" s="1"/>
  <c r="AN346" i="18"/>
  <c r="AK346" i="18"/>
  <c r="AJ346" i="18"/>
  <c r="V346" i="18"/>
  <c r="T346" i="18"/>
  <c r="G346" i="18" a="1"/>
  <c r="G346" i="18" s="1"/>
  <c r="F346" i="18" a="1"/>
  <c r="F346" i="18" s="1"/>
  <c r="AN345" i="18"/>
  <c r="AK345" i="18"/>
  <c r="AJ345" i="18"/>
  <c r="V345" i="18"/>
  <c r="T345" i="18"/>
  <c r="G345" i="18" a="1"/>
  <c r="G345" i="18" s="1"/>
  <c r="F345" i="18" a="1"/>
  <c r="F345" i="18" s="1"/>
  <c r="AN344" i="18"/>
  <c r="AK344" i="18"/>
  <c r="AJ344" i="18"/>
  <c r="V344" i="18"/>
  <c r="T344" i="18"/>
  <c r="G344" i="18" a="1"/>
  <c r="G344" i="18" s="1"/>
  <c r="F344" i="18" a="1"/>
  <c r="F344" i="18" s="1"/>
  <c r="AN343" i="18"/>
  <c r="AK343" i="18"/>
  <c r="AJ343" i="18"/>
  <c r="V343" i="18"/>
  <c r="T343" i="18"/>
  <c r="G343" i="18" a="1"/>
  <c r="G343" i="18" s="1"/>
  <c r="F343" i="18" a="1"/>
  <c r="F343" i="18" s="1"/>
  <c r="AN342" i="18"/>
  <c r="AK342" i="18"/>
  <c r="AJ342" i="18"/>
  <c r="V342" i="18"/>
  <c r="T342" i="18"/>
  <c r="G342" i="18" a="1"/>
  <c r="G342" i="18" s="1"/>
  <c r="F342" i="18" a="1"/>
  <c r="F342" i="18" s="1"/>
  <c r="AN341" i="18"/>
  <c r="AK341" i="18"/>
  <c r="AJ341" i="18"/>
  <c r="V341" i="18"/>
  <c r="T341" i="18"/>
  <c r="G341" i="18" a="1"/>
  <c r="G341" i="18" s="1"/>
  <c r="F341" i="18" a="1"/>
  <c r="F341" i="18" s="1"/>
  <c r="AN340" i="18"/>
  <c r="AK340" i="18"/>
  <c r="AJ340" i="18"/>
  <c r="V340" i="18"/>
  <c r="T340" i="18"/>
  <c r="G340" i="18" a="1"/>
  <c r="G340" i="18" s="1"/>
  <c r="F340" i="18" a="1"/>
  <c r="F340" i="18" s="1"/>
  <c r="AN339" i="18"/>
  <c r="AK339" i="18"/>
  <c r="AJ339" i="18"/>
  <c r="V339" i="18"/>
  <c r="T339" i="18"/>
  <c r="G339" i="18" a="1"/>
  <c r="G339" i="18" s="1"/>
  <c r="F339" i="18" a="1"/>
  <c r="F339" i="18" s="1"/>
  <c r="AN338" i="18"/>
  <c r="AK338" i="18"/>
  <c r="AJ338" i="18"/>
  <c r="V338" i="18"/>
  <c r="T338" i="18"/>
  <c r="G338" i="18" a="1"/>
  <c r="G338" i="18" s="1"/>
  <c r="F338" i="18" a="1"/>
  <c r="F338" i="18" s="1"/>
  <c r="AN337" i="18"/>
  <c r="AK337" i="18"/>
  <c r="AJ337" i="18"/>
  <c r="V337" i="18"/>
  <c r="T337" i="18"/>
  <c r="G337" i="18" a="1"/>
  <c r="G337" i="18" s="1"/>
  <c r="F337" i="18" a="1"/>
  <c r="F337" i="18" s="1"/>
  <c r="AN336" i="18"/>
  <c r="AK336" i="18"/>
  <c r="AJ336" i="18"/>
  <c r="V336" i="18"/>
  <c r="T336" i="18"/>
  <c r="G336" i="18" a="1"/>
  <c r="G336" i="18" s="1"/>
  <c r="F336" i="18" a="1"/>
  <c r="F336" i="18" s="1"/>
  <c r="AN335" i="18"/>
  <c r="AK335" i="18"/>
  <c r="AJ335" i="18"/>
  <c r="V335" i="18"/>
  <c r="T335" i="18"/>
  <c r="G335" i="18" a="1"/>
  <c r="G335" i="18" s="1"/>
  <c r="F335" i="18" a="1"/>
  <c r="F335" i="18" s="1"/>
  <c r="AN334" i="18"/>
  <c r="AK334" i="18"/>
  <c r="AJ334" i="18"/>
  <c r="V334" i="18"/>
  <c r="T334" i="18"/>
  <c r="G334" i="18" a="1"/>
  <c r="G334" i="18" s="1"/>
  <c r="F334" i="18" a="1"/>
  <c r="F334" i="18" s="1"/>
  <c r="AN333" i="18"/>
  <c r="AK333" i="18"/>
  <c r="AJ333" i="18"/>
  <c r="V333" i="18"/>
  <c r="T333" i="18"/>
  <c r="G333" i="18" a="1"/>
  <c r="G333" i="18" s="1"/>
  <c r="F333" i="18" a="1"/>
  <c r="F333" i="18" s="1"/>
  <c r="AN332" i="18"/>
  <c r="AK332" i="18"/>
  <c r="AJ332" i="18"/>
  <c r="V332" i="18"/>
  <c r="T332" i="18"/>
  <c r="G332" i="18" a="1"/>
  <c r="G332" i="18" s="1"/>
  <c r="F332" i="18" a="1"/>
  <c r="F332" i="18" s="1"/>
  <c r="AN331" i="18"/>
  <c r="AK331" i="18"/>
  <c r="AJ331" i="18"/>
  <c r="V331" i="18"/>
  <c r="T331" i="18"/>
  <c r="G331" i="18" a="1"/>
  <c r="G331" i="18" s="1"/>
  <c r="F331" i="18" a="1"/>
  <c r="F331" i="18" s="1"/>
  <c r="AN330" i="18"/>
  <c r="AK330" i="18"/>
  <c r="AJ330" i="18"/>
  <c r="V330" i="18"/>
  <c r="T330" i="18"/>
  <c r="G330" i="18" a="1"/>
  <c r="G330" i="18" s="1"/>
  <c r="F330" i="18" a="1"/>
  <c r="F330" i="18" s="1"/>
  <c r="AN329" i="18"/>
  <c r="AK329" i="18"/>
  <c r="AJ329" i="18"/>
  <c r="V329" i="18"/>
  <c r="T329" i="18"/>
  <c r="G329" i="18" a="1"/>
  <c r="G329" i="18" s="1"/>
  <c r="F329" i="18" a="1"/>
  <c r="F329" i="18" s="1"/>
  <c r="AN328" i="18"/>
  <c r="AK328" i="18"/>
  <c r="AJ328" i="18"/>
  <c r="V328" i="18"/>
  <c r="T328" i="18"/>
  <c r="G328" i="18" a="1"/>
  <c r="G328" i="18" s="1"/>
  <c r="F328" i="18" a="1"/>
  <c r="F328" i="18" s="1"/>
  <c r="AN327" i="18"/>
  <c r="AK327" i="18"/>
  <c r="AJ327" i="18"/>
  <c r="V327" i="18"/>
  <c r="T327" i="18"/>
  <c r="G327" i="18" a="1"/>
  <c r="G327" i="18" s="1"/>
  <c r="F327" i="18" a="1"/>
  <c r="F327" i="18" s="1"/>
  <c r="AN326" i="18"/>
  <c r="AK326" i="18"/>
  <c r="AJ326" i="18"/>
  <c r="V326" i="18"/>
  <c r="T326" i="18"/>
  <c r="G326" i="18" a="1"/>
  <c r="G326" i="18" s="1"/>
  <c r="F326" i="18" a="1"/>
  <c r="F326" i="18" s="1"/>
  <c r="AN325" i="18"/>
  <c r="AK325" i="18"/>
  <c r="AJ325" i="18"/>
  <c r="V325" i="18"/>
  <c r="T325" i="18"/>
  <c r="G325" i="18" a="1"/>
  <c r="G325" i="18" s="1"/>
  <c r="F325" i="18" a="1"/>
  <c r="F325" i="18" s="1"/>
  <c r="AN324" i="18"/>
  <c r="AK324" i="18"/>
  <c r="AJ324" i="18"/>
  <c r="V324" i="18"/>
  <c r="T324" i="18"/>
  <c r="G324" i="18" a="1"/>
  <c r="G324" i="18" s="1"/>
  <c r="F324" i="18" a="1"/>
  <c r="F324" i="18" s="1"/>
  <c r="AN323" i="18"/>
  <c r="AK323" i="18"/>
  <c r="AJ323" i="18"/>
  <c r="V323" i="18"/>
  <c r="T323" i="18"/>
  <c r="G323" i="18" a="1"/>
  <c r="G323" i="18" s="1"/>
  <c r="F323" i="18" a="1"/>
  <c r="F323" i="18" s="1"/>
  <c r="AN322" i="18"/>
  <c r="AK322" i="18"/>
  <c r="AJ322" i="18"/>
  <c r="V322" i="18"/>
  <c r="T322" i="18"/>
  <c r="G322" i="18" a="1"/>
  <c r="G322" i="18" s="1"/>
  <c r="F322" i="18" a="1"/>
  <c r="F322" i="18" s="1"/>
  <c r="AN321" i="18"/>
  <c r="AK321" i="18"/>
  <c r="AJ321" i="18"/>
  <c r="V321" i="18"/>
  <c r="T321" i="18"/>
  <c r="G321" i="18" a="1"/>
  <c r="G321" i="18" s="1"/>
  <c r="F321" i="18" a="1"/>
  <c r="F321" i="18" s="1"/>
  <c r="AN320" i="18"/>
  <c r="AK320" i="18"/>
  <c r="AJ320" i="18"/>
  <c r="V320" i="18"/>
  <c r="T320" i="18"/>
  <c r="G320" i="18" a="1"/>
  <c r="G320" i="18" s="1"/>
  <c r="F320" i="18" a="1"/>
  <c r="F320" i="18" s="1"/>
  <c r="AN319" i="18"/>
  <c r="AK319" i="18"/>
  <c r="AJ319" i="18"/>
  <c r="V319" i="18"/>
  <c r="T319" i="18"/>
  <c r="G319" i="18" a="1"/>
  <c r="G319" i="18" s="1"/>
  <c r="F319" i="18" a="1"/>
  <c r="F319" i="18" s="1"/>
  <c r="AN318" i="18"/>
  <c r="AK318" i="18"/>
  <c r="AJ318" i="18"/>
  <c r="V318" i="18"/>
  <c r="T318" i="18"/>
  <c r="G318" i="18" a="1"/>
  <c r="G318" i="18" s="1"/>
  <c r="F318" i="18" a="1"/>
  <c r="F318" i="18" s="1"/>
  <c r="AN317" i="18"/>
  <c r="AK317" i="18"/>
  <c r="AJ317" i="18"/>
  <c r="V317" i="18"/>
  <c r="T317" i="18"/>
  <c r="G317" i="18" a="1"/>
  <c r="G317" i="18" s="1"/>
  <c r="F317" i="18" a="1"/>
  <c r="F317" i="18" s="1"/>
  <c r="AN316" i="18"/>
  <c r="AK316" i="18"/>
  <c r="AJ316" i="18"/>
  <c r="V316" i="18"/>
  <c r="T316" i="18"/>
  <c r="G316" i="18" a="1"/>
  <c r="G316" i="18" s="1"/>
  <c r="F316" i="18" a="1"/>
  <c r="F316" i="18" s="1"/>
  <c r="AN315" i="18"/>
  <c r="AK315" i="18"/>
  <c r="AJ315" i="18"/>
  <c r="V315" i="18"/>
  <c r="T315" i="18"/>
  <c r="G315" i="18" a="1"/>
  <c r="G315" i="18" s="1"/>
  <c r="F315" i="18" a="1"/>
  <c r="F315" i="18" s="1"/>
  <c r="AN314" i="18"/>
  <c r="AK314" i="18"/>
  <c r="AJ314" i="18"/>
  <c r="V314" i="18"/>
  <c r="T314" i="18"/>
  <c r="G314" i="18" a="1"/>
  <c r="G314" i="18" s="1"/>
  <c r="F314" i="18" a="1"/>
  <c r="F314" i="18" s="1"/>
  <c r="AN313" i="18"/>
  <c r="AK313" i="18"/>
  <c r="AJ313" i="18"/>
  <c r="V313" i="18"/>
  <c r="T313" i="18"/>
  <c r="G313" i="18" a="1"/>
  <c r="G313" i="18" s="1"/>
  <c r="F313" i="18" a="1"/>
  <c r="F313" i="18" s="1"/>
  <c r="AN312" i="18"/>
  <c r="AK312" i="18"/>
  <c r="AJ312" i="18"/>
  <c r="V312" i="18"/>
  <c r="T312" i="18"/>
  <c r="G312" i="18" a="1"/>
  <c r="G312" i="18" s="1"/>
  <c r="F312" i="18" a="1"/>
  <c r="F312" i="18" s="1"/>
  <c r="AN311" i="18"/>
  <c r="AK311" i="18"/>
  <c r="AJ311" i="18"/>
  <c r="V311" i="18"/>
  <c r="T311" i="18"/>
  <c r="G311" i="18" a="1"/>
  <c r="G311" i="18" s="1"/>
  <c r="F311" i="18" a="1"/>
  <c r="F311" i="18" s="1"/>
  <c r="AN310" i="18"/>
  <c r="AK310" i="18"/>
  <c r="AJ310" i="18"/>
  <c r="V310" i="18"/>
  <c r="T310" i="18"/>
  <c r="G310" i="18" a="1"/>
  <c r="G310" i="18" s="1"/>
  <c r="F310" i="18" a="1"/>
  <c r="F310" i="18" s="1"/>
  <c r="AN309" i="18"/>
  <c r="AK309" i="18"/>
  <c r="AJ309" i="18"/>
  <c r="V309" i="18"/>
  <c r="T309" i="18"/>
  <c r="G309" i="18" a="1"/>
  <c r="G309" i="18" s="1"/>
  <c r="F309" i="18" a="1"/>
  <c r="F309" i="18" s="1"/>
  <c r="AN308" i="18"/>
  <c r="AK308" i="18"/>
  <c r="AJ308" i="18"/>
  <c r="V308" i="18"/>
  <c r="T308" i="18"/>
  <c r="G308" i="18" a="1"/>
  <c r="G308" i="18" s="1"/>
  <c r="F308" i="18" a="1"/>
  <c r="F308" i="18" s="1"/>
  <c r="AN307" i="18"/>
  <c r="AK307" i="18"/>
  <c r="AJ307" i="18"/>
  <c r="V307" i="18"/>
  <c r="T307" i="18"/>
  <c r="G307" i="18" a="1"/>
  <c r="G307" i="18" s="1"/>
  <c r="F307" i="18" a="1"/>
  <c r="F307" i="18" s="1"/>
  <c r="AN306" i="18"/>
  <c r="AK306" i="18"/>
  <c r="AJ306" i="18"/>
  <c r="V306" i="18"/>
  <c r="T306" i="18"/>
  <c r="G306" i="18" a="1"/>
  <c r="G306" i="18" s="1"/>
  <c r="F306" i="18" a="1"/>
  <c r="F306" i="18" s="1"/>
  <c r="AN305" i="18"/>
  <c r="AK305" i="18"/>
  <c r="AJ305" i="18"/>
  <c r="V305" i="18"/>
  <c r="T305" i="18"/>
  <c r="G305" i="18" a="1"/>
  <c r="G305" i="18" s="1"/>
  <c r="F305" i="18" a="1"/>
  <c r="F305" i="18" s="1"/>
  <c r="AN304" i="18"/>
  <c r="AK304" i="18"/>
  <c r="AJ304" i="18"/>
  <c r="V304" i="18"/>
  <c r="T304" i="18"/>
  <c r="G304" i="18" a="1"/>
  <c r="G304" i="18" s="1"/>
  <c r="F304" i="18" a="1"/>
  <c r="F304" i="18" s="1"/>
  <c r="AN303" i="18"/>
  <c r="AK303" i="18"/>
  <c r="AJ303" i="18"/>
  <c r="V303" i="18"/>
  <c r="T303" i="18"/>
  <c r="G303" i="18" a="1"/>
  <c r="G303" i="18" s="1"/>
  <c r="F303" i="18" a="1"/>
  <c r="F303" i="18" s="1"/>
  <c r="AN302" i="18"/>
  <c r="AK302" i="18"/>
  <c r="AJ302" i="18"/>
  <c r="V302" i="18"/>
  <c r="T302" i="18"/>
  <c r="G302" i="18" a="1"/>
  <c r="G302" i="18" s="1"/>
  <c r="F302" i="18" a="1"/>
  <c r="F302" i="18" s="1"/>
  <c r="AN301" i="18"/>
  <c r="AK301" i="18"/>
  <c r="AJ301" i="18"/>
  <c r="V301" i="18"/>
  <c r="T301" i="18"/>
  <c r="G301" i="18" a="1"/>
  <c r="G301" i="18" s="1"/>
  <c r="F301" i="18" a="1"/>
  <c r="F301" i="18" s="1"/>
  <c r="AN300" i="18"/>
  <c r="AK300" i="18"/>
  <c r="AJ300" i="18"/>
  <c r="V300" i="18"/>
  <c r="T300" i="18"/>
  <c r="G300" i="18" a="1"/>
  <c r="G300" i="18" s="1"/>
  <c r="F300" i="18" a="1"/>
  <c r="F300" i="18" s="1"/>
  <c r="AN299" i="18"/>
  <c r="AK299" i="18"/>
  <c r="AJ299" i="18"/>
  <c r="V299" i="18"/>
  <c r="T299" i="18"/>
  <c r="G299" i="18" a="1"/>
  <c r="G299" i="18" s="1"/>
  <c r="F299" i="18" a="1"/>
  <c r="F299" i="18" s="1"/>
  <c r="AN298" i="18"/>
  <c r="AK298" i="18"/>
  <c r="AJ298" i="18"/>
  <c r="V298" i="18"/>
  <c r="T298" i="18"/>
  <c r="G298" i="18" a="1"/>
  <c r="G298" i="18" s="1"/>
  <c r="F298" i="18" a="1"/>
  <c r="F298" i="18" s="1"/>
  <c r="AN297" i="18"/>
  <c r="AK297" i="18"/>
  <c r="AJ297" i="18"/>
  <c r="V297" i="18"/>
  <c r="T297" i="18"/>
  <c r="G297" i="18" a="1"/>
  <c r="G297" i="18" s="1"/>
  <c r="F297" i="18" a="1"/>
  <c r="F297" i="18" s="1"/>
  <c r="AN296" i="18"/>
  <c r="AK296" i="18"/>
  <c r="AJ296" i="18"/>
  <c r="V296" i="18"/>
  <c r="T296" i="18"/>
  <c r="G296" i="18" a="1"/>
  <c r="G296" i="18" s="1"/>
  <c r="F296" i="18" a="1"/>
  <c r="F296" i="18" s="1"/>
  <c r="AN295" i="18"/>
  <c r="AK295" i="18"/>
  <c r="AJ295" i="18"/>
  <c r="V295" i="18"/>
  <c r="T295" i="18"/>
  <c r="G295" i="18" a="1"/>
  <c r="G295" i="18" s="1"/>
  <c r="F295" i="18" a="1"/>
  <c r="F295" i="18" s="1"/>
  <c r="AN294" i="18"/>
  <c r="AK294" i="18"/>
  <c r="AJ294" i="18"/>
  <c r="V294" i="18"/>
  <c r="T294" i="18"/>
  <c r="G294" i="18" a="1"/>
  <c r="G294" i="18" s="1"/>
  <c r="F294" i="18" a="1"/>
  <c r="F294" i="18" s="1"/>
  <c r="AN293" i="18"/>
  <c r="AK293" i="18"/>
  <c r="AJ293" i="18"/>
  <c r="V293" i="18"/>
  <c r="T293" i="18"/>
  <c r="G293" i="18" a="1"/>
  <c r="G293" i="18" s="1"/>
  <c r="F293" i="18" a="1"/>
  <c r="F293" i="18" s="1"/>
  <c r="AN292" i="18"/>
  <c r="AK292" i="18"/>
  <c r="AJ292" i="18"/>
  <c r="V292" i="18"/>
  <c r="T292" i="18"/>
  <c r="G292" i="18" a="1"/>
  <c r="G292" i="18" s="1"/>
  <c r="F292" i="18" a="1"/>
  <c r="F292" i="18" s="1"/>
  <c r="AN291" i="18"/>
  <c r="AK291" i="18"/>
  <c r="AJ291" i="18"/>
  <c r="V291" i="18"/>
  <c r="T291" i="18"/>
  <c r="G291" i="18" a="1"/>
  <c r="G291" i="18" s="1"/>
  <c r="F291" i="18" a="1"/>
  <c r="F291" i="18" s="1"/>
  <c r="AN290" i="18"/>
  <c r="AK290" i="18"/>
  <c r="AJ290" i="18"/>
  <c r="V290" i="18"/>
  <c r="T290" i="18"/>
  <c r="G290" i="18" a="1"/>
  <c r="G290" i="18" s="1"/>
  <c r="F290" i="18" a="1"/>
  <c r="F290" i="18" s="1"/>
  <c r="AN289" i="18"/>
  <c r="AK289" i="18"/>
  <c r="AJ289" i="18"/>
  <c r="V289" i="18"/>
  <c r="T289" i="18"/>
  <c r="G289" i="18" a="1"/>
  <c r="G289" i="18" s="1"/>
  <c r="F289" i="18" a="1"/>
  <c r="F289" i="18" s="1"/>
  <c r="AN288" i="18"/>
  <c r="AK288" i="18"/>
  <c r="AJ288" i="18"/>
  <c r="V288" i="18"/>
  <c r="T288" i="18"/>
  <c r="G288" i="18" a="1"/>
  <c r="G288" i="18" s="1"/>
  <c r="F288" i="18" a="1"/>
  <c r="F288" i="18" s="1"/>
  <c r="AN287" i="18"/>
  <c r="AK287" i="18"/>
  <c r="AJ287" i="18"/>
  <c r="V287" i="18"/>
  <c r="T287" i="18"/>
  <c r="G287" i="18" a="1"/>
  <c r="G287" i="18" s="1"/>
  <c r="F287" i="18" a="1"/>
  <c r="F287" i="18" s="1"/>
  <c r="AN286" i="18"/>
  <c r="AK286" i="18"/>
  <c r="AJ286" i="18"/>
  <c r="V286" i="18"/>
  <c r="T286" i="18"/>
  <c r="G286" i="18" a="1"/>
  <c r="G286" i="18" s="1"/>
  <c r="F286" i="18" a="1"/>
  <c r="F286" i="18" s="1"/>
  <c r="AN285" i="18"/>
  <c r="AK285" i="18"/>
  <c r="AJ285" i="18"/>
  <c r="V285" i="18"/>
  <c r="T285" i="18"/>
  <c r="G285" i="18" a="1"/>
  <c r="G285" i="18" s="1"/>
  <c r="F285" i="18" a="1"/>
  <c r="F285" i="18" s="1"/>
  <c r="AN284" i="18"/>
  <c r="AK284" i="18"/>
  <c r="AJ284" i="18"/>
  <c r="V284" i="18"/>
  <c r="T284" i="18"/>
  <c r="G284" i="18" a="1"/>
  <c r="G284" i="18" s="1"/>
  <c r="F284" i="18" a="1"/>
  <c r="F284" i="18" s="1"/>
  <c r="AN283" i="18"/>
  <c r="AK283" i="18"/>
  <c r="AJ283" i="18"/>
  <c r="V283" i="18"/>
  <c r="T283" i="18"/>
  <c r="G283" i="18" a="1"/>
  <c r="G283" i="18" s="1"/>
  <c r="F283" i="18" a="1"/>
  <c r="F283" i="18" s="1"/>
  <c r="AN282" i="18"/>
  <c r="AK282" i="18"/>
  <c r="AJ282" i="18"/>
  <c r="V282" i="18"/>
  <c r="T282" i="18"/>
  <c r="G282" i="18" a="1"/>
  <c r="G282" i="18" s="1"/>
  <c r="F282" i="18" a="1"/>
  <c r="F282" i="18" s="1"/>
  <c r="AN281" i="18"/>
  <c r="AK281" i="18"/>
  <c r="AJ281" i="18"/>
  <c r="V281" i="18"/>
  <c r="T281" i="18"/>
  <c r="G281" i="18" a="1"/>
  <c r="G281" i="18" s="1"/>
  <c r="F281" i="18" a="1"/>
  <c r="F281" i="18" s="1"/>
  <c r="AN280" i="18"/>
  <c r="AK280" i="18"/>
  <c r="AJ280" i="18"/>
  <c r="V280" i="18"/>
  <c r="T280" i="18"/>
  <c r="G280" i="18" a="1"/>
  <c r="G280" i="18" s="1"/>
  <c r="F280" i="18" a="1"/>
  <c r="F280" i="18" s="1"/>
  <c r="AN279" i="18"/>
  <c r="AK279" i="18"/>
  <c r="AJ279" i="18"/>
  <c r="V279" i="18"/>
  <c r="T279" i="18"/>
  <c r="G279" i="18" a="1"/>
  <c r="G279" i="18" s="1"/>
  <c r="F279" i="18" a="1"/>
  <c r="F279" i="18" s="1"/>
  <c r="AN278" i="18"/>
  <c r="AK278" i="18"/>
  <c r="AJ278" i="18"/>
  <c r="V278" i="18"/>
  <c r="T278" i="18"/>
  <c r="G278" i="18" a="1"/>
  <c r="G278" i="18" s="1"/>
  <c r="F278" i="18" a="1"/>
  <c r="F278" i="18" s="1"/>
  <c r="AN277" i="18"/>
  <c r="AK277" i="18"/>
  <c r="AJ277" i="18"/>
  <c r="V277" i="18"/>
  <c r="T277" i="18"/>
  <c r="G277" i="18" a="1"/>
  <c r="G277" i="18" s="1"/>
  <c r="F277" i="18" a="1"/>
  <c r="F277" i="18" s="1"/>
  <c r="AN276" i="18"/>
  <c r="AK276" i="18"/>
  <c r="AJ276" i="18"/>
  <c r="V276" i="18"/>
  <c r="T276" i="18"/>
  <c r="G276" i="18" a="1"/>
  <c r="G276" i="18" s="1"/>
  <c r="F276" i="18" a="1"/>
  <c r="F276" i="18" s="1"/>
  <c r="AN275" i="18"/>
  <c r="AK275" i="18"/>
  <c r="AJ275" i="18"/>
  <c r="V275" i="18"/>
  <c r="T275" i="18"/>
  <c r="G275" i="18" a="1"/>
  <c r="G275" i="18" s="1"/>
  <c r="F275" i="18" a="1"/>
  <c r="F275" i="18" s="1"/>
  <c r="AN274" i="18"/>
  <c r="AK274" i="18"/>
  <c r="AJ274" i="18"/>
  <c r="V274" i="18"/>
  <c r="T274" i="18"/>
  <c r="G274" i="18" a="1"/>
  <c r="G274" i="18" s="1"/>
  <c r="F274" i="18" a="1"/>
  <c r="F274" i="18" s="1"/>
  <c r="AN273" i="18"/>
  <c r="AK273" i="18"/>
  <c r="AJ273" i="18"/>
  <c r="V273" i="18"/>
  <c r="T273" i="18"/>
  <c r="G273" i="18" a="1"/>
  <c r="G273" i="18" s="1"/>
  <c r="F273" i="18" a="1"/>
  <c r="F273" i="18" s="1"/>
  <c r="AN272" i="18"/>
  <c r="AK272" i="18"/>
  <c r="AJ272" i="18"/>
  <c r="V272" i="18"/>
  <c r="T272" i="18"/>
  <c r="G272" i="18" a="1"/>
  <c r="G272" i="18" s="1"/>
  <c r="F272" i="18" a="1"/>
  <c r="F272" i="18" s="1"/>
  <c r="AN271" i="18"/>
  <c r="AK271" i="18"/>
  <c r="AJ271" i="18"/>
  <c r="V271" i="18"/>
  <c r="T271" i="18"/>
  <c r="G271" i="18" a="1"/>
  <c r="G271" i="18" s="1"/>
  <c r="F271" i="18" a="1"/>
  <c r="F271" i="18" s="1"/>
  <c r="AN270" i="18"/>
  <c r="AK270" i="18"/>
  <c r="AJ270" i="18"/>
  <c r="V270" i="18"/>
  <c r="T270" i="18"/>
  <c r="G270" i="18" a="1"/>
  <c r="G270" i="18" s="1"/>
  <c r="F270" i="18" a="1"/>
  <c r="F270" i="18" s="1"/>
  <c r="AN269" i="18"/>
  <c r="AK269" i="18"/>
  <c r="AJ269" i="18"/>
  <c r="V269" i="18"/>
  <c r="T269" i="18"/>
  <c r="G269" i="18" a="1"/>
  <c r="G269" i="18" s="1"/>
  <c r="F269" i="18" a="1"/>
  <c r="F269" i="18" s="1"/>
  <c r="AN268" i="18"/>
  <c r="AK268" i="18"/>
  <c r="AJ268" i="18"/>
  <c r="V268" i="18"/>
  <c r="T268" i="18"/>
  <c r="G268" i="18" a="1"/>
  <c r="G268" i="18" s="1"/>
  <c r="F268" i="18" a="1"/>
  <c r="F268" i="18" s="1"/>
  <c r="AN267" i="18"/>
  <c r="AK267" i="18"/>
  <c r="AJ267" i="18"/>
  <c r="V267" i="18"/>
  <c r="T267" i="18"/>
  <c r="G267" i="18" a="1"/>
  <c r="G267" i="18" s="1"/>
  <c r="F267" i="18" a="1"/>
  <c r="F267" i="18" s="1"/>
  <c r="AN266" i="18"/>
  <c r="AK266" i="18"/>
  <c r="AJ266" i="18"/>
  <c r="V266" i="18"/>
  <c r="T266" i="18"/>
  <c r="G266" i="18" a="1"/>
  <c r="G266" i="18" s="1"/>
  <c r="F266" i="18" a="1"/>
  <c r="F266" i="18" s="1"/>
  <c r="AN265" i="18"/>
  <c r="AK265" i="18"/>
  <c r="AJ265" i="18"/>
  <c r="V265" i="18"/>
  <c r="T265" i="18"/>
  <c r="G265" i="18" a="1"/>
  <c r="G265" i="18" s="1"/>
  <c r="F265" i="18" a="1"/>
  <c r="F265" i="18" s="1"/>
  <c r="AN264" i="18"/>
  <c r="AK264" i="18"/>
  <c r="AJ264" i="18"/>
  <c r="V264" i="18"/>
  <c r="T264" i="18"/>
  <c r="G264" i="18" a="1"/>
  <c r="G264" i="18" s="1"/>
  <c r="F264" i="18" a="1"/>
  <c r="F264" i="18" s="1"/>
  <c r="AN263" i="18"/>
  <c r="AK263" i="18"/>
  <c r="AJ263" i="18"/>
  <c r="V263" i="18"/>
  <c r="T263" i="18"/>
  <c r="G263" i="18" a="1"/>
  <c r="G263" i="18" s="1"/>
  <c r="F263" i="18" a="1"/>
  <c r="F263" i="18" s="1"/>
  <c r="AN262" i="18"/>
  <c r="AK262" i="18"/>
  <c r="AJ262" i="18"/>
  <c r="V262" i="18"/>
  <c r="T262" i="18"/>
  <c r="G262" i="18" a="1"/>
  <c r="G262" i="18" s="1"/>
  <c r="F262" i="18" a="1"/>
  <c r="F262" i="18" s="1"/>
  <c r="AN261" i="18"/>
  <c r="AK261" i="18"/>
  <c r="AJ261" i="18"/>
  <c r="V261" i="18"/>
  <c r="T261" i="18"/>
  <c r="G261" i="18" a="1"/>
  <c r="G261" i="18" s="1"/>
  <c r="F261" i="18" a="1"/>
  <c r="F261" i="18" s="1"/>
  <c r="AN260" i="18"/>
  <c r="AK260" i="18"/>
  <c r="AJ260" i="18"/>
  <c r="V260" i="18"/>
  <c r="T260" i="18"/>
  <c r="G260" i="18" a="1"/>
  <c r="G260" i="18" s="1"/>
  <c r="F260" i="18" a="1"/>
  <c r="F260" i="18" s="1"/>
  <c r="AN259" i="18"/>
  <c r="AK259" i="18"/>
  <c r="AJ259" i="18"/>
  <c r="V259" i="18"/>
  <c r="T259" i="18"/>
  <c r="G259" i="18" a="1"/>
  <c r="G259" i="18" s="1"/>
  <c r="F259" i="18" a="1"/>
  <c r="F259" i="18" s="1"/>
  <c r="AN258" i="18"/>
  <c r="AK258" i="18"/>
  <c r="AJ258" i="18"/>
  <c r="V258" i="18"/>
  <c r="T258" i="18"/>
  <c r="G258" i="18" a="1"/>
  <c r="G258" i="18" s="1"/>
  <c r="F258" i="18" a="1"/>
  <c r="F258" i="18" s="1"/>
  <c r="AN257" i="18"/>
  <c r="AK257" i="18"/>
  <c r="AJ257" i="18"/>
  <c r="V257" i="18"/>
  <c r="T257" i="18"/>
  <c r="G257" i="18" a="1"/>
  <c r="G257" i="18" s="1"/>
  <c r="F257" i="18" a="1"/>
  <c r="F257" i="18" s="1"/>
  <c r="AN256" i="18"/>
  <c r="AK256" i="18"/>
  <c r="AJ256" i="18"/>
  <c r="V256" i="18"/>
  <c r="T256" i="18"/>
  <c r="G256" i="18" a="1"/>
  <c r="G256" i="18" s="1"/>
  <c r="F256" i="18" a="1"/>
  <c r="F256" i="18" s="1"/>
  <c r="AN255" i="18"/>
  <c r="AK255" i="18"/>
  <c r="AJ255" i="18"/>
  <c r="V255" i="18"/>
  <c r="T255" i="18"/>
  <c r="G255" i="18" a="1"/>
  <c r="G255" i="18" s="1"/>
  <c r="F255" i="18" a="1"/>
  <c r="F255" i="18" s="1"/>
  <c r="AN254" i="18"/>
  <c r="AK254" i="18"/>
  <c r="AJ254" i="18"/>
  <c r="V254" i="18"/>
  <c r="T254" i="18"/>
  <c r="G254" i="18" a="1"/>
  <c r="G254" i="18" s="1"/>
  <c r="F254" i="18" a="1"/>
  <c r="F254" i="18" s="1"/>
  <c r="AN253" i="18"/>
  <c r="AK253" i="18"/>
  <c r="AJ253" i="18"/>
  <c r="V253" i="18"/>
  <c r="T253" i="18"/>
  <c r="G253" i="18" a="1"/>
  <c r="G253" i="18" s="1"/>
  <c r="F253" i="18" a="1"/>
  <c r="F253" i="18" s="1"/>
  <c r="AN252" i="18"/>
  <c r="AK252" i="18"/>
  <c r="AJ252" i="18"/>
  <c r="V252" i="18"/>
  <c r="T252" i="18"/>
  <c r="G252" i="18" a="1"/>
  <c r="G252" i="18" s="1"/>
  <c r="F252" i="18" a="1"/>
  <c r="F252" i="18" s="1"/>
  <c r="AN251" i="18"/>
  <c r="AK251" i="18"/>
  <c r="AJ251" i="18"/>
  <c r="V251" i="18"/>
  <c r="T251" i="18"/>
  <c r="G251" i="18" a="1"/>
  <c r="G251" i="18" s="1"/>
  <c r="F251" i="18" a="1"/>
  <c r="F251" i="18" s="1"/>
  <c r="AN250" i="18"/>
  <c r="AK250" i="18"/>
  <c r="AJ250" i="18"/>
  <c r="V250" i="18"/>
  <c r="T250" i="18"/>
  <c r="G250" i="18" a="1"/>
  <c r="G250" i="18" s="1"/>
  <c r="F250" i="18" a="1"/>
  <c r="F250" i="18" s="1"/>
  <c r="AN249" i="18"/>
  <c r="AK249" i="18"/>
  <c r="AJ249" i="18"/>
  <c r="V249" i="18"/>
  <c r="T249" i="18"/>
  <c r="G249" i="18" a="1"/>
  <c r="G249" i="18" s="1"/>
  <c r="F249" i="18" a="1"/>
  <c r="F249" i="18" s="1"/>
  <c r="AN248" i="18"/>
  <c r="AK248" i="18"/>
  <c r="AJ248" i="18"/>
  <c r="V248" i="18"/>
  <c r="T248" i="18"/>
  <c r="G248" i="18" a="1"/>
  <c r="G248" i="18" s="1"/>
  <c r="F248" i="18" a="1"/>
  <c r="F248" i="18" s="1"/>
  <c r="AN247" i="18"/>
  <c r="AK247" i="18"/>
  <c r="AJ247" i="18"/>
  <c r="V247" i="18"/>
  <c r="T247" i="18"/>
  <c r="G247" i="18" a="1"/>
  <c r="G247" i="18" s="1"/>
  <c r="F247" i="18" a="1"/>
  <c r="F247" i="18" s="1"/>
  <c r="AN246" i="18"/>
  <c r="AK246" i="18"/>
  <c r="AJ246" i="18"/>
  <c r="V246" i="18"/>
  <c r="T246" i="18"/>
  <c r="G246" i="18" a="1"/>
  <c r="G246" i="18" s="1"/>
  <c r="F246" i="18" a="1"/>
  <c r="F246" i="18" s="1"/>
  <c r="AN245" i="18"/>
  <c r="AK245" i="18"/>
  <c r="AJ245" i="18"/>
  <c r="V245" i="18"/>
  <c r="T245" i="18"/>
  <c r="G245" i="18" a="1"/>
  <c r="G245" i="18" s="1"/>
  <c r="F245" i="18" a="1"/>
  <c r="F245" i="18" s="1"/>
  <c r="AN244" i="18"/>
  <c r="AK244" i="18"/>
  <c r="AJ244" i="18"/>
  <c r="V244" i="18"/>
  <c r="T244" i="18"/>
  <c r="G244" i="18" a="1"/>
  <c r="G244" i="18" s="1"/>
  <c r="F244" i="18" a="1"/>
  <c r="F244" i="18" s="1"/>
  <c r="AN243" i="18"/>
  <c r="AK243" i="18"/>
  <c r="AJ243" i="18"/>
  <c r="V243" i="18"/>
  <c r="T243" i="18"/>
  <c r="G243" i="18" a="1"/>
  <c r="G243" i="18" s="1"/>
  <c r="F243" i="18" a="1"/>
  <c r="F243" i="18" s="1"/>
  <c r="AN242" i="18"/>
  <c r="AK242" i="18"/>
  <c r="AJ242" i="18"/>
  <c r="V242" i="18"/>
  <c r="T242" i="18"/>
  <c r="G242" i="18" a="1"/>
  <c r="G242" i="18" s="1"/>
  <c r="F242" i="18" a="1"/>
  <c r="F242" i="18" s="1"/>
  <c r="AN241" i="18"/>
  <c r="AK241" i="18"/>
  <c r="AJ241" i="18"/>
  <c r="V241" i="18"/>
  <c r="T241" i="18"/>
  <c r="G241" i="18" a="1"/>
  <c r="G241" i="18" s="1"/>
  <c r="F241" i="18" a="1"/>
  <c r="F241" i="18" s="1"/>
  <c r="AN240" i="18"/>
  <c r="AK240" i="18"/>
  <c r="AJ240" i="18"/>
  <c r="V240" i="18"/>
  <c r="T240" i="18"/>
  <c r="G240" i="18" a="1"/>
  <c r="G240" i="18" s="1"/>
  <c r="F240" i="18" a="1"/>
  <c r="F240" i="18" s="1"/>
  <c r="AN239" i="18"/>
  <c r="AK239" i="18"/>
  <c r="AJ239" i="18"/>
  <c r="V239" i="18"/>
  <c r="T239" i="18"/>
  <c r="G239" i="18" a="1"/>
  <c r="G239" i="18" s="1"/>
  <c r="F239" i="18" a="1"/>
  <c r="F239" i="18" s="1"/>
  <c r="AN238" i="18"/>
  <c r="AK238" i="18"/>
  <c r="AJ238" i="18"/>
  <c r="V238" i="18"/>
  <c r="T238" i="18"/>
  <c r="G238" i="18" a="1"/>
  <c r="G238" i="18" s="1"/>
  <c r="F238" i="18" a="1"/>
  <c r="F238" i="18" s="1"/>
  <c r="AN237" i="18"/>
  <c r="AK237" i="18"/>
  <c r="AJ237" i="18"/>
  <c r="V237" i="18"/>
  <c r="T237" i="18"/>
  <c r="G237" i="18" a="1"/>
  <c r="G237" i="18" s="1"/>
  <c r="F237" i="18" a="1"/>
  <c r="F237" i="18" s="1"/>
  <c r="AN236" i="18"/>
  <c r="AK236" i="18"/>
  <c r="AJ236" i="18"/>
  <c r="V236" i="18"/>
  <c r="T236" i="18"/>
  <c r="G236" i="18" a="1"/>
  <c r="G236" i="18" s="1"/>
  <c r="F236" i="18" a="1"/>
  <c r="F236" i="18" s="1"/>
  <c r="AN235" i="18"/>
  <c r="AK235" i="18"/>
  <c r="AJ235" i="18"/>
  <c r="V235" i="18"/>
  <c r="T235" i="18"/>
  <c r="G235" i="18" a="1"/>
  <c r="G235" i="18" s="1"/>
  <c r="F235" i="18" a="1"/>
  <c r="F235" i="18" s="1"/>
  <c r="AN234" i="18"/>
  <c r="AK234" i="18"/>
  <c r="AJ234" i="18"/>
  <c r="V234" i="18"/>
  <c r="T234" i="18"/>
  <c r="G234" i="18" a="1"/>
  <c r="G234" i="18" s="1"/>
  <c r="F234" i="18" a="1"/>
  <c r="F234" i="18" s="1"/>
  <c r="AN233" i="18"/>
  <c r="AK233" i="18"/>
  <c r="AJ233" i="18"/>
  <c r="V233" i="18"/>
  <c r="T233" i="18"/>
  <c r="G233" i="18" a="1"/>
  <c r="G233" i="18" s="1"/>
  <c r="F233" i="18" a="1"/>
  <c r="F233" i="18" s="1"/>
  <c r="AN232" i="18"/>
  <c r="AK232" i="18"/>
  <c r="AJ232" i="18"/>
  <c r="V232" i="18"/>
  <c r="T232" i="18"/>
  <c r="G232" i="18" a="1"/>
  <c r="G232" i="18" s="1"/>
  <c r="F232" i="18" a="1"/>
  <c r="F232" i="18" s="1"/>
  <c r="AN231" i="18"/>
  <c r="AK231" i="18"/>
  <c r="AJ231" i="18"/>
  <c r="V231" i="18"/>
  <c r="T231" i="18"/>
  <c r="G231" i="18" a="1"/>
  <c r="G231" i="18" s="1"/>
  <c r="F231" i="18" a="1"/>
  <c r="F231" i="18" s="1"/>
  <c r="AN230" i="18"/>
  <c r="AK230" i="18"/>
  <c r="AJ230" i="18"/>
  <c r="V230" i="18"/>
  <c r="T230" i="18"/>
  <c r="G230" i="18" a="1"/>
  <c r="G230" i="18" s="1"/>
  <c r="F230" i="18" a="1"/>
  <c r="F230" i="18" s="1"/>
  <c r="AN229" i="18"/>
  <c r="AK229" i="18"/>
  <c r="AJ229" i="18"/>
  <c r="V229" i="18"/>
  <c r="T229" i="18"/>
  <c r="G229" i="18" a="1"/>
  <c r="G229" i="18" s="1"/>
  <c r="F229" i="18" a="1"/>
  <c r="F229" i="18" s="1"/>
  <c r="AN228" i="18"/>
  <c r="AK228" i="18"/>
  <c r="AJ228" i="18"/>
  <c r="V228" i="18"/>
  <c r="T228" i="18"/>
  <c r="G228" i="18" a="1"/>
  <c r="G228" i="18" s="1"/>
  <c r="F228" i="18" a="1"/>
  <c r="F228" i="18" s="1"/>
  <c r="AN227" i="18"/>
  <c r="AK227" i="18"/>
  <c r="AJ227" i="18"/>
  <c r="V227" i="18"/>
  <c r="T227" i="18"/>
  <c r="G227" i="18" a="1"/>
  <c r="G227" i="18" s="1"/>
  <c r="F227" i="18" a="1"/>
  <c r="F227" i="18" s="1"/>
  <c r="AN226" i="18"/>
  <c r="AK226" i="18"/>
  <c r="AJ226" i="18"/>
  <c r="V226" i="18"/>
  <c r="T226" i="18"/>
  <c r="G226" i="18" a="1"/>
  <c r="G226" i="18" s="1"/>
  <c r="F226" i="18" a="1"/>
  <c r="F226" i="18" s="1"/>
  <c r="AN225" i="18"/>
  <c r="AK225" i="18"/>
  <c r="AJ225" i="18"/>
  <c r="V225" i="18"/>
  <c r="T225" i="18"/>
  <c r="G225" i="18" a="1"/>
  <c r="G225" i="18" s="1"/>
  <c r="F225" i="18" a="1"/>
  <c r="F225" i="18" s="1"/>
  <c r="AN224" i="18"/>
  <c r="AK224" i="18"/>
  <c r="AJ224" i="18"/>
  <c r="V224" i="18"/>
  <c r="T224" i="18"/>
  <c r="G224" i="18" a="1"/>
  <c r="G224" i="18" s="1"/>
  <c r="F224" i="18" a="1"/>
  <c r="F224" i="18" s="1"/>
  <c r="AN223" i="18"/>
  <c r="AK223" i="18"/>
  <c r="AJ223" i="18"/>
  <c r="V223" i="18"/>
  <c r="T223" i="18"/>
  <c r="G223" i="18" a="1"/>
  <c r="G223" i="18" s="1"/>
  <c r="F223" i="18" a="1"/>
  <c r="F223" i="18" s="1"/>
  <c r="AN222" i="18"/>
  <c r="AK222" i="18"/>
  <c r="AJ222" i="18"/>
  <c r="V222" i="18"/>
  <c r="T222" i="18"/>
  <c r="G222" i="18" a="1"/>
  <c r="G222" i="18" s="1"/>
  <c r="F222" i="18" a="1"/>
  <c r="F222" i="18" s="1"/>
  <c r="AN221" i="18"/>
  <c r="AK221" i="18"/>
  <c r="AJ221" i="18"/>
  <c r="V221" i="18"/>
  <c r="T221" i="18"/>
  <c r="G221" i="18" a="1"/>
  <c r="G221" i="18" s="1"/>
  <c r="F221" i="18" a="1"/>
  <c r="F221" i="18" s="1"/>
  <c r="AN220" i="18"/>
  <c r="AK220" i="18"/>
  <c r="AJ220" i="18"/>
  <c r="V220" i="18"/>
  <c r="T220" i="18"/>
  <c r="G220" i="18" a="1"/>
  <c r="G220" i="18" s="1"/>
  <c r="F220" i="18" a="1"/>
  <c r="F220" i="18" s="1"/>
  <c r="AN219" i="18"/>
  <c r="AK219" i="18"/>
  <c r="AJ219" i="18"/>
  <c r="V219" i="18"/>
  <c r="T219" i="18"/>
  <c r="G219" i="18" a="1"/>
  <c r="G219" i="18" s="1"/>
  <c r="F219" i="18" a="1"/>
  <c r="F219" i="18" s="1"/>
  <c r="AN218" i="18"/>
  <c r="AK218" i="18"/>
  <c r="AJ218" i="18"/>
  <c r="V218" i="18"/>
  <c r="T218" i="18"/>
  <c r="G218" i="18" a="1"/>
  <c r="G218" i="18" s="1"/>
  <c r="F218" i="18" a="1"/>
  <c r="F218" i="18" s="1"/>
  <c r="AN217" i="18"/>
  <c r="AK217" i="18"/>
  <c r="AJ217" i="18"/>
  <c r="V217" i="18"/>
  <c r="T217" i="18"/>
  <c r="G217" i="18" a="1"/>
  <c r="G217" i="18" s="1"/>
  <c r="F217" i="18" a="1"/>
  <c r="F217" i="18" s="1"/>
  <c r="AN216" i="18"/>
  <c r="AK216" i="18"/>
  <c r="AJ216" i="18"/>
  <c r="V216" i="18"/>
  <c r="T216" i="18"/>
  <c r="G216" i="18" a="1"/>
  <c r="G216" i="18" s="1"/>
  <c r="F216" i="18" a="1"/>
  <c r="F216" i="18" s="1"/>
  <c r="AN215" i="18"/>
  <c r="AK215" i="18"/>
  <c r="AJ215" i="18"/>
  <c r="V215" i="18"/>
  <c r="T215" i="18"/>
  <c r="G215" i="18" a="1"/>
  <c r="G215" i="18" s="1"/>
  <c r="F215" i="18" a="1"/>
  <c r="F215" i="18" s="1"/>
  <c r="AN214" i="18"/>
  <c r="AK214" i="18"/>
  <c r="AJ214" i="18"/>
  <c r="V214" i="18"/>
  <c r="T214" i="18"/>
  <c r="G214" i="18" a="1"/>
  <c r="G214" i="18" s="1"/>
  <c r="F214" i="18" a="1"/>
  <c r="F214" i="18" s="1"/>
  <c r="AN213" i="18"/>
  <c r="AK213" i="18"/>
  <c r="AJ213" i="18"/>
  <c r="V213" i="18"/>
  <c r="T213" i="18"/>
  <c r="G213" i="18" a="1"/>
  <c r="G213" i="18" s="1"/>
  <c r="F213" i="18" a="1"/>
  <c r="F213" i="18" s="1"/>
  <c r="AN212" i="18"/>
  <c r="AK212" i="18"/>
  <c r="AJ212" i="18"/>
  <c r="V212" i="18"/>
  <c r="T212" i="18"/>
  <c r="G212" i="18" a="1"/>
  <c r="G212" i="18" s="1"/>
  <c r="F212" i="18" a="1"/>
  <c r="F212" i="18" s="1"/>
  <c r="AN211" i="18"/>
  <c r="AK211" i="18"/>
  <c r="AJ211" i="18"/>
  <c r="V211" i="18"/>
  <c r="T211" i="18"/>
  <c r="G211" i="18" a="1"/>
  <c r="G211" i="18" s="1"/>
  <c r="F211" i="18" a="1"/>
  <c r="F211" i="18" s="1"/>
  <c r="AN210" i="18"/>
  <c r="AK210" i="18"/>
  <c r="AJ210" i="18"/>
  <c r="V210" i="18"/>
  <c r="T210" i="18"/>
  <c r="G210" i="18" a="1"/>
  <c r="G210" i="18" s="1"/>
  <c r="F210" i="18" a="1"/>
  <c r="F210" i="18" s="1"/>
  <c r="AN209" i="18"/>
  <c r="AK209" i="18"/>
  <c r="AJ209" i="18"/>
  <c r="V209" i="18"/>
  <c r="T209" i="18"/>
  <c r="G209" i="18" a="1"/>
  <c r="G209" i="18" s="1"/>
  <c r="F209" i="18" a="1"/>
  <c r="F209" i="18" s="1"/>
  <c r="AN208" i="18"/>
  <c r="AK208" i="18"/>
  <c r="AJ208" i="18"/>
  <c r="V208" i="18"/>
  <c r="T208" i="18"/>
  <c r="G208" i="18" a="1"/>
  <c r="G208" i="18" s="1"/>
  <c r="F208" i="18" a="1"/>
  <c r="F208" i="18" s="1"/>
  <c r="AN207" i="18"/>
  <c r="AK207" i="18"/>
  <c r="AJ207" i="18"/>
  <c r="V207" i="18"/>
  <c r="T207" i="18"/>
  <c r="G207" i="18" a="1"/>
  <c r="G207" i="18" s="1"/>
  <c r="F207" i="18" a="1"/>
  <c r="F207" i="18" s="1"/>
  <c r="AN9" i="18"/>
  <c r="AK9" i="18"/>
  <c r="AJ9" i="18"/>
  <c r="V9" i="18"/>
  <c r="T9" i="18"/>
  <c r="G9" i="18" a="1"/>
  <c r="G9" i="18" s="1"/>
  <c r="F9" i="18" a="1"/>
  <c r="F9" i="18" s="1"/>
  <c r="AN8" i="18"/>
  <c r="AK8" i="18"/>
  <c r="AJ8" i="18"/>
  <c r="V8" i="18"/>
  <c r="T8" i="18"/>
  <c r="G8" i="18" a="1"/>
  <c r="G8" i="18" s="1"/>
  <c r="F8" i="18" a="1"/>
  <c r="F8" i="18" s="1"/>
  <c r="AN7" i="18"/>
  <c r="AK7" i="18"/>
  <c r="AJ7" i="18"/>
  <c r="V7" i="18"/>
  <c r="T7" i="18"/>
  <c r="G7" i="18" a="1"/>
  <c r="G7" i="18" s="1"/>
  <c r="F7" i="18" a="1"/>
  <c r="F7" i="18" s="1"/>
  <c r="AN6" i="18"/>
  <c r="AK6" i="18"/>
  <c r="AJ6" i="18"/>
  <c r="V6" i="18"/>
  <c r="T6" i="18"/>
  <c r="G6" i="18" a="1"/>
  <c r="G6" i="18" s="1"/>
  <c r="F6" i="18" a="1"/>
  <c r="F6" i="18" s="1"/>
  <c r="I6" i="18" s="1" a="1"/>
  <c r="I6" i="18" s="1"/>
  <c r="AN5" i="18"/>
  <c r="AK5" i="18"/>
  <c r="AJ5" i="18"/>
  <c r="V5" i="18"/>
  <c r="T5" i="18"/>
  <c r="G5" i="18" a="1"/>
  <c r="G5" i="18" s="1"/>
  <c r="F5" i="18" a="1"/>
  <c r="F5" i="18" s="1"/>
  <c r="AN4" i="18"/>
  <c r="AK4" i="18"/>
  <c r="AJ4" i="18"/>
  <c r="AL2" i="18"/>
  <c r="Y2" i="18"/>
  <c r="Z2" i="18"/>
  <c r="AA2" i="18"/>
  <c r="AB2" i="18"/>
  <c r="AP2" i="18"/>
  <c r="W2" i="18"/>
  <c r="U2" i="18"/>
  <c r="S2" i="18"/>
  <c r="R2" i="18"/>
  <c r="F4" i="18" a="1"/>
  <c r="F4" i="18" s="1"/>
  <c r="G4" i="18" a="1"/>
  <c r="G4" i="18" s="1"/>
  <c r="V4" i="18"/>
  <c r="T4" i="18"/>
  <c r="N33" i="22"/>
  <c r="P33" i="22" s="1"/>
  <c r="O33" i="22"/>
  <c r="N34" i="22"/>
  <c r="P34" i="22" s="1"/>
  <c r="O34" i="22"/>
  <c r="N35" i="22"/>
  <c r="P35" i="22" s="1"/>
  <c r="O35" i="22"/>
  <c r="N32" i="22"/>
  <c r="P32" i="22" s="1"/>
  <c r="O32" i="22"/>
  <c r="AC79" i="18" l="1" a="1"/>
  <c r="AC79" i="18" s="1"/>
  <c r="AD79" i="18" s="1"/>
  <c r="Q75" i="18"/>
  <c r="O75" i="18"/>
  <c r="AC75" i="18" s="1" a="1"/>
  <c r="AC75" i="18" s="1"/>
  <c r="AD75" i="18" s="1"/>
  <c r="Q77" i="18"/>
  <c r="O77" i="18"/>
  <c r="AC77" i="18" s="1" a="1"/>
  <c r="AC77" i="18" s="1"/>
  <c r="AD77" i="18" s="1"/>
  <c r="I12" i="18" a="1"/>
  <c r="I12" i="18" s="1"/>
  <c r="O12" i="18" s="1"/>
  <c r="P12" i="18" s="1"/>
  <c r="I16" i="18" a="1"/>
  <c r="I16" i="18" s="1"/>
  <c r="O16" i="18" s="1"/>
  <c r="P16" i="18" s="1"/>
  <c r="I19" i="18" a="1"/>
  <c r="I19" i="18" s="1"/>
  <c r="O19" i="18" s="1"/>
  <c r="P19" i="18" s="1"/>
  <c r="I22" i="18" a="1"/>
  <c r="I22" i="18" s="1"/>
  <c r="O22" i="18" s="1"/>
  <c r="P22" i="18" s="1"/>
  <c r="I25" i="18" a="1"/>
  <c r="I25" i="18" s="1"/>
  <c r="O25" i="18" s="1"/>
  <c r="P25" i="18" s="1"/>
  <c r="Q67" i="18"/>
  <c r="O67" i="18"/>
  <c r="AC67" i="18" s="1" a="1"/>
  <c r="AC67" i="18" s="1"/>
  <c r="AD67" i="18" s="1"/>
  <c r="Q72" i="18"/>
  <c r="O72" i="18"/>
  <c r="AC72" i="18" s="1" a="1"/>
  <c r="AC72" i="18" s="1"/>
  <c r="AD72" i="18" s="1"/>
  <c r="Q82" i="18"/>
  <c r="O82" i="18"/>
  <c r="AC82" i="18" s="1" a="1"/>
  <c r="AC82" i="18" s="1"/>
  <c r="AD82" i="18" s="1"/>
  <c r="Q76" i="18"/>
  <c r="O76" i="18"/>
  <c r="AC76" i="18" s="1" a="1"/>
  <c r="AC76" i="18" s="1"/>
  <c r="AD76" i="18" s="1"/>
  <c r="Q78" i="18"/>
  <c r="O78" i="18"/>
  <c r="Q83" i="18"/>
  <c r="O83" i="18"/>
  <c r="Q84" i="18"/>
  <c r="O84" i="18"/>
  <c r="I14" i="18" a="1"/>
  <c r="I14" i="18" s="1"/>
  <c r="O14" i="18" s="1"/>
  <c r="P14" i="18" s="1"/>
  <c r="I17" i="18" a="1"/>
  <c r="I17" i="18" s="1"/>
  <c r="O17" i="18" s="1"/>
  <c r="P17" i="18" s="1"/>
  <c r="I20" i="18" a="1"/>
  <c r="I20" i="18" s="1"/>
  <c r="O20" i="18" s="1"/>
  <c r="P20" i="18" s="1"/>
  <c r="I23" i="18" a="1"/>
  <c r="I23" i="18" s="1"/>
  <c r="O23" i="18" s="1"/>
  <c r="P23" i="18" s="1"/>
  <c r="I60" i="18" a="1"/>
  <c r="I60" i="18" s="1"/>
  <c r="O60" i="18" s="1"/>
  <c r="I13" i="18" a="1"/>
  <c r="I13" i="18" s="1"/>
  <c r="O13" i="18" s="1"/>
  <c r="P13" i="18" s="1"/>
  <c r="I58" i="18" a="1"/>
  <c r="I58" i="18" s="1"/>
  <c r="O58" i="18" s="1"/>
  <c r="I11" i="18" a="1"/>
  <c r="I11" i="18" s="1"/>
  <c r="Q11" i="18" s="1"/>
  <c r="I59" i="18" a="1"/>
  <c r="I59" i="18" s="1"/>
  <c r="I62" i="18" a="1"/>
  <c r="I62" i="18" s="1"/>
  <c r="I65" i="18" a="1"/>
  <c r="I65" i="18" s="1"/>
  <c r="I69" i="18" a="1"/>
  <c r="I69" i="18" s="1"/>
  <c r="I42" i="18" a="1"/>
  <c r="I42" i="18" s="1"/>
  <c r="I45" i="18" a="1"/>
  <c r="I45" i="18" s="1"/>
  <c r="I48" i="18" a="1"/>
  <c r="I48" i="18" s="1"/>
  <c r="I51" i="18" a="1"/>
  <c r="I51" i="18" s="1"/>
  <c r="I54" i="18" a="1"/>
  <c r="I54" i="18" s="1"/>
  <c r="O54" i="18" s="1"/>
  <c r="I15" i="18" a="1"/>
  <c r="I15" i="18" s="1"/>
  <c r="I18" i="18" a="1"/>
  <c r="I18" i="18" s="1"/>
  <c r="O18" i="18" s="1"/>
  <c r="P18" i="18" s="1"/>
  <c r="I21" i="18" a="1"/>
  <c r="I21" i="18" s="1"/>
  <c r="O21" i="18" s="1"/>
  <c r="P21" i="18" s="1"/>
  <c r="I24" i="18" a="1"/>
  <c r="I24" i="18" s="1"/>
  <c r="I5" i="18" a="1"/>
  <c r="I5" i="18" s="1"/>
  <c r="O5" i="18" s="1"/>
  <c r="P5" i="18" s="1"/>
  <c r="I4" i="18" a="1"/>
  <c r="I4" i="18" s="1"/>
  <c r="I87" i="18" a="1"/>
  <c r="I87" i="18" s="1"/>
  <c r="Q27" i="18"/>
  <c r="Q38" i="18"/>
  <c r="AG81" i="18" a="1"/>
  <c r="AG81" i="18" s="1"/>
  <c r="AH81" i="18" s="1"/>
  <c r="AG75" i="18" a="1"/>
  <c r="AG75" i="18" s="1"/>
  <c r="AH75" i="18" s="1"/>
  <c r="AG74" i="18" a="1"/>
  <c r="AG74" i="18" s="1"/>
  <c r="AH74" i="18" s="1"/>
  <c r="AG86" i="18" a="1"/>
  <c r="AG86" i="18" s="1"/>
  <c r="AH86" i="18" s="1"/>
  <c r="AG77" i="18" a="1"/>
  <c r="AG77" i="18" s="1"/>
  <c r="AH77" i="18" s="1"/>
  <c r="AG80" i="18" a="1"/>
  <c r="AG80" i="18" s="1"/>
  <c r="AH80" i="18" s="1"/>
  <c r="AG73" i="18" a="1"/>
  <c r="AG73" i="18" s="1"/>
  <c r="AH73" i="18" s="1"/>
  <c r="AG85" i="18" a="1"/>
  <c r="AG85" i="18" s="1"/>
  <c r="AH85" i="18" s="1"/>
  <c r="Z15" i="18" a="1"/>
  <c r="Z15" i="18" s="1"/>
  <c r="Z85" i="18" a="1"/>
  <c r="Z85" i="18" s="1"/>
  <c r="Z81" i="18" a="1"/>
  <c r="Z81" i="18" s="1"/>
  <c r="Z75" i="18" a="1"/>
  <c r="Z75" i="18" s="1"/>
  <c r="Z73" i="18" a="1"/>
  <c r="Z73" i="18" s="1"/>
  <c r="Z76" i="18" a="1"/>
  <c r="Z76" i="18" s="1"/>
  <c r="Z72" i="18" a="1"/>
  <c r="Z72" i="18" s="1"/>
  <c r="Z86" i="18" a="1"/>
  <c r="Z86" i="18" s="1"/>
  <c r="Z84" i="18" a="1"/>
  <c r="Z84" i="18" s="1"/>
  <c r="Z80" i="18" a="1"/>
  <c r="Z80" i="18" s="1"/>
  <c r="Z79" i="18" a="1"/>
  <c r="Z79" i="18" s="1"/>
  <c r="Z77" i="18" a="1"/>
  <c r="Z77" i="18" s="1"/>
  <c r="Z67" i="18" a="1"/>
  <c r="Z67" i="18" s="1"/>
  <c r="Z83" i="18" a="1"/>
  <c r="Z83" i="18" s="1"/>
  <c r="Z82" i="18" a="1"/>
  <c r="Z82" i="18" s="1"/>
  <c r="Z74" i="18" a="1"/>
  <c r="Z74" i="18" s="1"/>
  <c r="Z78" i="18" a="1"/>
  <c r="Z78" i="18" s="1"/>
  <c r="R16" i="18" a="1"/>
  <c r="R16" i="18" s="1"/>
  <c r="R86" i="18" a="1"/>
  <c r="R86" i="18" s="1"/>
  <c r="R85" i="18" a="1"/>
  <c r="R85" i="18" s="1"/>
  <c r="R84" i="18" a="1"/>
  <c r="R84" i="18" s="1"/>
  <c r="R80" i="18" a="1"/>
  <c r="R80" i="18" s="1"/>
  <c r="R77" i="18" a="1"/>
  <c r="R77" i="18" s="1"/>
  <c r="R73" i="18" a="1"/>
  <c r="R73" i="18" s="1"/>
  <c r="R72" i="18" a="1"/>
  <c r="R72" i="18" s="1"/>
  <c r="R67" i="18" a="1"/>
  <c r="R67" i="18" s="1"/>
  <c r="R79" i="18" a="1"/>
  <c r="R79" i="18" s="1"/>
  <c r="R78" i="18" a="1"/>
  <c r="R78" i="18" s="1"/>
  <c r="R74" i="18" a="1"/>
  <c r="R74" i="18" s="1"/>
  <c r="R83" i="18" a="1"/>
  <c r="R83" i="18" s="1"/>
  <c r="R81" i="18" a="1"/>
  <c r="R81" i="18" s="1"/>
  <c r="R82" i="18" a="1"/>
  <c r="R82" i="18" s="1"/>
  <c r="R75" i="18" a="1"/>
  <c r="R75" i="18" s="1"/>
  <c r="R76" i="18" a="1"/>
  <c r="R76" i="18" s="1"/>
  <c r="AP86" i="18" a="1"/>
  <c r="AP86" i="18" s="1"/>
  <c r="AP80" i="18" a="1"/>
  <c r="AP80" i="18" s="1"/>
  <c r="AP74" i="18" a="1"/>
  <c r="AP74" i="18" s="1"/>
  <c r="AP78" i="18" a="1"/>
  <c r="AP78" i="18" s="1"/>
  <c r="AP85" i="18" a="1"/>
  <c r="AP85" i="18" s="1"/>
  <c r="AP81" i="18" a="1"/>
  <c r="AP81" i="18" s="1"/>
  <c r="AP84" i="18" a="1"/>
  <c r="AP84" i="18" s="1"/>
  <c r="AP77" i="18" a="1"/>
  <c r="AP77" i="18" s="1"/>
  <c r="AP67" i="18" a="1"/>
  <c r="AP67" i="18" s="1"/>
  <c r="AP79" i="18" a="1"/>
  <c r="AP79" i="18" s="1"/>
  <c r="AP75" i="18" a="1"/>
  <c r="AP75" i="18" s="1"/>
  <c r="AP72" i="18" a="1"/>
  <c r="AP72" i="18" s="1"/>
  <c r="AP82" i="18" a="1"/>
  <c r="AP82" i="18" s="1"/>
  <c r="AP76" i="18" a="1"/>
  <c r="AP76" i="18" s="1"/>
  <c r="AP73" i="18" a="1"/>
  <c r="AP73" i="18" s="1"/>
  <c r="AP83" i="18" a="1"/>
  <c r="AP83" i="18" s="1"/>
  <c r="Y16" i="18" a="1"/>
  <c r="Y16" i="18" s="1"/>
  <c r="Y83" i="18" a="1"/>
  <c r="Y83" i="18" s="1"/>
  <c r="Y78" i="18" a="1"/>
  <c r="Y78" i="18" s="1"/>
  <c r="Y74" i="18" a="1"/>
  <c r="Y74" i="18" s="1"/>
  <c r="Y73" i="18" a="1"/>
  <c r="Y73" i="18" s="1"/>
  <c r="Y85" i="18" a="1"/>
  <c r="Y85" i="18" s="1"/>
  <c r="Y81" i="18" a="1"/>
  <c r="Y81" i="18" s="1"/>
  <c r="Y84" i="18" a="1"/>
  <c r="Y84" i="18" s="1"/>
  <c r="Y80" i="18" a="1"/>
  <c r="Y80" i="18" s="1"/>
  <c r="Y77" i="18" a="1"/>
  <c r="Y77" i="18" s="1"/>
  <c r="Y75" i="18" a="1"/>
  <c r="Y75" i="18" s="1"/>
  <c r="Y72" i="18" a="1"/>
  <c r="Y72" i="18" s="1"/>
  <c r="Y67" i="18" a="1"/>
  <c r="Y67" i="18" s="1"/>
  <c r="Y86" i="18" a="1"/>
  <c r="Y86" i="18" s="1"/>
  <c r="Y79" i="18" a="1"/>
  <c r="Y79" i="18" s="1"/>
  <c r="Y76" i="18" a="1"/>
  <c r="Y76" i="18" s="1"/>
  <c r="Y82" i="18" a="1"/>
  <c r="Y82" i="18" s="1"/>
  <c r="AA14" i="18" a="1"/>
  <c r="AA14" i="18" s="1"/>
  <c r="AA86" i="18" a="1"/>
  <c r="AA86" i="18" s="1"/>
  <c r="AA84" i="18" a="1"/>
  <c r="AA84" i="18" s="1"/>
  <c r="AA82" i="18" a="1"/>
  <c r="AA82" i="18" s="1"/>
  <c r="AA80" i="18" a="1"/>
  <c r="AA80" i="18" s="1"/>
  <c r="AA79" i="18" a="1"/>
  <c r="AA79" i="18" s="1"/>
  <c r="AA77" i="18" a="1"/>
  <c r="AA77" i="18" s="1"/>
  <c r="AA72" i="18" a="1"/>
  <c r="AA72" i="18" s="1"/>
  <c r="AA67" i="18" a="1"/>
  <c r="AA67" i="18" s="1"/>
  <c r="AA78" i="18" a="1"/>
  <c r="AA78" i="18" s="1"/>
  <c r="AA74" i="18" a="1"/>
  <c r="AA74" i="18" s="1"/>
  <c r="AA85" i="18" a="1"/>
  <c r="AA85" i="18" s="1"/>
  <c r="AA75" i="18" a="1"/>
  <c r="AA75" i="18" s="1"/>
  <c r="AA73" i="18" a="1"/>
  <c r="AA73" i="18" s="1"/>
  <c r="AA83" i="18" a="1"/>
  <c r="AA83" i="18" s="1"/>
  <c r="AA76" i="18" a="1"/>
  <c r="AA76" i="18" s="1"/>
  <c r="AA81" i="18" a="1"/>
  <c r="AA81" i="18" s="1"/>
  <c r="W14" i="18" a="1"/>
  <c r="W14" i="18" s="1"/>
  <c r="X14" i="18" s="1"/>
  <c r="W86" i="18" a="1"/>
  <c r="W86" i="18" s="1"/>
  <c r="X86" i="18" s="1"/>
  <c r="W80" i="18" a="1"/>
  <c r="W80" i="18" s="1"/>
  <c r="X80" i="18" s="1"/>
  <c r="W79" i="18" a="1"/>
  <c r="W79" i="18" s="1"/>
  <c r="X79" i="18" s="1"/>
  <c r="W77" i="18" a="1"/>
  <c r="W77" i="18" s="1"/>
  <c r="X77" i="18" s="1"/>
  <c r="W67" i="18" a="1"/>
  <c r="W67" i="18" s="1"/>
  <c r="X67" i="18" s="1"/>
  <c r="W78" i="18" a="1"/>
  <c r="W78" i="18" s="1"/>
  <c r="X78" i="18" s="1"/>
  <c r="W74" i="18" a="1"/>
  <c r="W74" i="18" s="1"/>
  <c r="X74" i="18" s="1"/>
  <c r="W83" i="18" a="1"/>
  <c r="W83" i="18" s="1"/>
  <c r="X83" i="18" s="1"/>
  <c r="W82" i="18" a="1"/>
  <c r="W82" i="18" s="1"/>
  <c r="X82" i="18" s="1"/>
  <c r="W81" i="18" a="1"/>
  <c r="W81" i="18" s="1"/>
  <c r="X81" i="18" s="1"/>
  <c r="W84" i="18" a="1"/>
  <c r="W84" i="18" s="1"/>
  <c r="X84" i="18" s="1"/>
  <c r="W85" i="18" a="1"/>
  <c r="W85" i="18" s="1"/>
  <c r="X85" i="18" s="1"/>
  <c r="W75" i="18" a="1"/>
  <c r="W75" i="18" s="1"/>
  <c r="X75" i="18" s="1"/>
  <c r="W72" i="18" a="1"/>
  <c r="W72" i="18" s="1"/>
  <c r="X72" i="18" s="1"/>
  <c r="W76" i="18" a="1"/>
  <c r="W76" i="18" s="1"/>
  <c r="X76" i="18" s="1"/>
  <c r="W73" i="18" a="1"/>
  <c r="W73" i="18" s="1"/>
  <c r="X73" i="18" s="1"/>
  <c r="S14" i="18" a="1"/>
  <c r="S14" i="18" s="1"/>
  <c r="S83" i="18" a="1"/>
  <c r="S83" i="18" s="1"/>
  <c r="S82" i="18" a="1"/>
  <c r="S82" i="18" s="1"/>
  <c r="S78" i="18" a="1"/>
  <c r="S78" i="18" s="1"/>
  <c r="S74" i="18" a="1"/>
  <c r="S74" i="18" s="1"/>
  <c r="S81" i="18" a="1"/>
  <c r="S81" i="18" s="1"/>
  <c r="S80" i="18" a="1"/>
  <c r="S80" i="18" s="1"/>
  <c r="S77" i="18" a="1"/>
  <c r="S77" i="18" s="1"/>
  <c r="S67" i="18" a="1"/>
  <c r="S67" i="18" s="1"/>
  <c r="S86" i="18" a="1"/>
  <c r="S86" i="18" s="1"/>
  <c r="S85" i="18" a="1"/>
  <c r="S85" i="18" s="1"/>
  <c r="S84" i="18" a="1"/>
  <c r="S84" i="18" s="1"/>
  <c r="S79" i="18" a="1"/>
  <c r="S79" i="18" s="1"/>
  <c r="S75" i="18" a="1"/>
  <c r="S75" i="18" s="1"/>
  <c r="S72" i="18" a="1"/>
  <c r="S72" i="18" s="1"/>
  <c r="S76" i="18" a="1"/>
  <c r="S76" i="18" s="1"/>
  <c r="S73" i="18" a="1"/>
  <c r="S73" i="18" s="1"/>
  <c r="AB18" i="18" a="1"/>
  <c r="AB18" i="18" s="1"/>
  <c r="AB78" i="18" a="1"/>
  <c r="AB78" i="18" s="1"/>
  <c r="AB75" i="18" a="1"/>
  <c r="AB75" i="18" s="1"/>
  <c r="AB73" i="18" a="1"/>
  <c r="AB73" i="18" s="1"/>
  <c r="AB83" i="18" a="1"/>
  <c r="AB83" i="18" s="1"/>
  <c r="AB81" i="18" a="1"/>
  <c r="AB81" i="18" s="1"/>
  <c r="AB76" i="18" a="1"/>
  <c r="AB76" i="18" s="1"/>
  <c r="AB72" i="18" a="1"/>
  <c r="AB72" i="18" s="1"/>
  <c r="AB86" i="18" a="1"/>
  <c r="AB86" i="18" s="1"/>
  <c r="AB82" i="18" a="1"/>
  <c r="AB82" i="18" s="1"/>
  <c r="AB74" i="18" a="1"/>
  <c r="AB74" i="18" s="1"/>
  <c r="AB84" i="18" a="1"/>
  <c r="AB84" i="18" s="1"/>
  <c r="AB85" i="18" a="1"/>
  <c r="AB85" i="18" s="1"/>
  <c r="AB80" i="18" a="1"/>
  <c r="AB80" i="18" s="1"/>
  <c r="AB79" i="18" a="1"/>
  <c r="AB79" i="18" s="1"/>
  <c r="AB77" i="18" a="1"/>
  <c r="AB77" i="18" s="1"/>
  <c r="AB67" i="18" a="1"/>
  <c r="AB67" i="18" s="1"/>
  <c r="AL22" i="18" a="1"/>
  <c r="AL22" i="18" s="1"/>
  <c r="AL85" i="18" a="1"/>
  <c r="AL85" i="18" s="1"/>
  <c r="AL83" i="18" a="1"/>
  <c r="AL83" i="18" s="1"/>
  <c r="AL75" i="18" a="1"/>
  <c r="AL75" i="18" s="1"/>
  <c r="AL73" i="18" a="1"/>
  <c r="AL73" i="18" s="1"/>
  <c r="AL77" i="18" a="1"/>
  <c r="AL77" i="18" s="1"/>
  <c r="AL76" i="18" a="1"/>
  <c r="AL76" i="18" s="1"/>
  <c r="AL72" i="18" a="1"/>
  <c r="AL72" i="18" s="1"/>
  <c r="AL67" i="18" a="1"/>
  <c r="AL67" i="18" s="1"/>
  <c r="AL86" i="18" a="1"/>
  <c r="AL86" i="18" s="1"/>
  <c r="AL84" i="18" a="1"/>
  <c r="AL84" i="18" s="1"/>
  <c r="AL82" i="18" a="1"/>
  <c r="AL82" i="18" s="1"/>
  <c r="AL79" i="18" a="1"/>
  <c r="AL79" i="18" s="1"/>
  <c r="AL74" i="18" a="1"/>
  <c r="AL74" i="18" s="1"/>
  <c r="AL81" i="18" a="1"/>
  <c r="AL81" i="18" s="1"/>
  <c r="AL80" i="18" a="1"/>
  <c r="AL80" i="18" s="1"/>
  <c r="AL78" i="18" a="1"/>
  <c r="AL78" i="18" s="1"/>
  <c r="Q118" i="18"/>
  <c r="Q93" i="18"/>
  <c r="Q97" i="18"/>
  <c r="Q101" i="18"/>
  <c r="Q105" i="18"/>
  <c r="Q37" i="18"/>
  <c r="Q115" i="18"/>
  <c r="Q36" i="18"/>
  <c r="Q88" i="18"/>
  <c r="Q92" i="18"/>
  <c r="Q35" i="18"/>
  <c r="Q44" i="18"/>
  <c r="Q50" i="18"/>
  <c r="Q52" i="18"/>
  <c r="Q53" i="18"/>
  <c r="Q43" i="18"/>
  <c r="Q47" i="18"/>
  <c r="Q49" i="18"/>
  <c r="Q56" i="18"/>
  <c r="Q60" i="18"/>
  <c r="Q68" i="18"/>
  <c r="Q64" i="18"/>
  <c r="Q71" i="18"/>
  <c r="Q58" i="18"/>
  <c r="Q61" i="18"/>
  <c r="Q66" i="18"/>
  <c r="Q70" i="18"/>
  <c r="AC32" i="18" a="1"/>
  <c r="AC32" i="18" s="1"/>
  <c r="AD32" i="18" s="1"/>
  <c r="Q46" i="18"/>
  <c r="Q55" i="18"/>
  <c r="Q63" i="18"/>
  <c r="Q40" i="18"/>
  <c r="AG38" i="18" a="1"/>
  <c r="AG38" i="18" s="1"/>
  <c r="AH38" i="18" s="1"/>
  <c r="Q57" i="18"/>
  <c r="Q41" i="18"/>
  <c r="Q54" i="18"/>
  <c r="Q25" i="18"/>
  <c r="Q18" i="18"/>
  <c r="Q22" i="18"/>
  <c r="Q17" i="18"/>
  <c r="Q19" i="18"/>
  <c r="Q26" i="18"/>
  <c r="Q34" i="18"/>
  <c r="Q33" i="18"/>
  <c r="Q32" i="18"/>
  <c r="Q29" i="18"/>
  <c r="Q16" i="18"/>
  <c r="Q20" i="18"/>
  <c r="Q28" i="18"/>
  <c r="Q23" i="18"/>
  <c r="Q31" i="18"/>
  <c r="Q30" i="18"/>
  <c r="Q14" i="18"/>
  <c r="Q12" i="18"/>
  <c r="Q13" i="18"/>
  <c r="AC33" i="18" a="1"/>
  <c r="AC33" i="18" s="1"/>
  <c r="AD33" i="18" s="1"/>
  <c r="Q6" i="18"/>
  <c r="AG70" i="18" a="1"/>
  <c r="AG70" i="18" s="1"/>
  <c r="AH70" i="18" s="1"/>
  <c r="AC96" i="18" a="1"/>
  <c r="AC96" i="18" s="1"/>
  <c r="AD96" i="18" s="1"/>
  <c r="Q5" i="18"/>
  <c r="AG39" i="18" a="1"/>
  <c r="AG39" i="18" s="1"/>
  <c r="AH39" i="18" s="1"/>
  <c r="AC22" i="18" a="1"/>
  <c r="AC22" i="18" s="1"/>
  <c r="AD22" i="18" s="1"/>
  <c r="AC40" i="18" a="1"/>
  <c r="AC40" i="18" s="1"/>
  <c r="AD40" i="18" s="1"/>
  <c r="AG26" i="18" a="1"/>
  <c r="AG26" i="18" s="1"/>
  <c r="AH26" i="18" s="1"/>
  <c r="AS1" i="25"/>
  <c r="AC206" i="18" a="1"/>
  <c r="AC206" i="18" s="1"/>
  <c r="AD206" i="18" s="1"/>
  <c r="AC50" i="18" a="1"/>
  <c r="AC50" i="18" s="1"/>
  <c r="AD50" i="18" s="1"/>
  <c r="K1" i="25"/>
  <c r="AU2" i="25" a="1"/>
  <c r="AU2" i="25" s="1"/>
  <c r="AG13" i="18" a="1"/>
  <c r="AG13" i="18" s="1"/>
  <c r="AH13" i="18" s="1"/>
  <c r="AC23" i="18" a="1"/>
  <c r="AC23" i="18" s="1"/>
  <c r="AD23" i="18" s="1"/>
  <c r="AC27" i="18" a="1"/>
  <c r="AC27" i="18" s="1"/>
  <c r="AD27" i="18" s="1"/>
  <c r="AC35" i="18" a="1"/>
  <c r="AC35" i="18" s="1"/>
  <c r="AD35" i="18" s="1"/>
  <c r="AC37" i="18" a="1"/>
  <c r="AC37" i="18" s="1"/>
  <c r="AD37" i="18" s="1"/>
  <c r="AR2" i="25" a="1"/>
  <c r="AR2" i="25" s="1"/>
  <c r="AG44" i="18" a="1"/>
  <c r="AG44" i="18" s="1"/>
  <c r="AH44" i="18" s="1"/>
  <c r="AC14" i="18" a="1"/>
  <c r="AC14" i="18" s="1"/>
  <c r="AD14" i="18" s="1"/>
  <c r="AG31" i="18" a="1"/>
  <c r="AG31" i="18" s="1"/>
  <c r="AH31" i="18" s="1"/>
  <c r="Y13" i="18" a="1"/>
  <c r="Y13" i="18" s="1"/>
  <c r="AC13" i="18" a="1"/>
  <c r="AC13" i="18" s="1"/>
  <c r="AD13" i="18" s="1"/>
  <c r="M1" i="25"/>
  <c r="AN2" i="25" a="1"/>
  <c r="AN2" i="25" s="1"/>
  <c r="AC134" i="18" a="1"/>
  <c r="AC134" i="18" s="1"/>
  <c r="AD134" i="18" s="1"/>
  <c r="Z13" i="18" a="1"/>
  <c r="Z13" i="18" s="1"/>
  <c r="AL13" i="18" a="1"/>
  <c r="AL13" i="18" s="1"/>
  <c r="AG27" i="18" a="1"/>
  <c r="AG27" i="18" s="1"/>
  <c r="AH27" i="18" s="1"/>
  <c r="AG35" i="18" a="1"/>
  <c r="AG35" i="18" s="1"/>
  <c r="AH35" i="18" s="1"/>
  <c r="C1" i="25"/>
  <c r="O1" i="25"/>
  <c r="AW1" i="25"/>
  <c r="R13" i="18" a="1"/>
  <c r="R13" i="18" s="1"/>
  <c r="AG187" i="18" a="1"/>
  <c r="AG187" i="18" s="1"/>
  <c r="AH187" i="18" s="1"/>
  <c r="AG54" i="18" a="1"/>
  <c r="AG54" i="18" s="1"/>
  <c r="AH54" i="18" s="1"/>
  <c r="AG56" i="18" a="1"/>
  <c r="AG56" i="18" s="1"/>
  <c r="AH56" i="18" s="1"/>
  <c r="D1" i="25"/>
  <c r="R1" i="25"/>
  <c r="AA13" i="18" a="1"/>
  <c r="AA13" i="18" s="1"/>
  <c r="T1" i="25"/>
  <c r="S13" i="18" a="1"/>
  <c r="S13" i="18" s="1"/>
  <c r="W13" i="18" a="1"/>
  <c r="W13" i="18" s="1"/>
  <c r="X13" i="18" s="1"/>
  <c r="AP13" i="18" a="1"/>
  <c r="AP13" i="18" s="1"/>
  <c r="AG33" i="18" a="1"/>
  <c r="AG33" i="18" s="1"/>
  <c r="AH33" i="18" s="1"/>
  <c r="U1" i="25"/>
  <c r="AQ2" i="25" a="1"/>
  <c r="AQ2" i="25" s="1"/>
  <c r="AB13" i="18" a="1"/>
  <c r="AB13" i="18" s="1"/>
  <c r="J2" i="25" a="1"/>
  <c r="J2" i="25" s="1"/>
  <c r="L2" i="25" a="1"/>
  <c r="L2" i="25" s="1"/>
  <c r="AC11" i="18" a="1"/>
  <c r="AC11" i="18" s="1"/>
  <c r="AD11" i="18" s="1"/>
  <c r="AG12" i="18" a="1"/>
  <c r="AG12" i="18" s="1"/>
  <c r="AH12" i="18" s="1"/>
  <c r="AM2" i="25" a="1"/>
  <c r="AM2" i="25" s="1"/>
  <c r="AG16" i="18" a="1"/>
  <c r="AG16" i="18" s="1"/>
  <c r="AH16" i="18" s="1"/>
  <c r="AG104" i="18" a="1"/>
  <c r="AG104" i="18" s="1"/>
  <c r="AH104" i="18" s="1"/>
  <c r="AG63" i="18" a="1"/>
  <c r="AG63" i="18" s="1"/>
  <c r="AH63" i="18" s="1"/>
  <c r="AG49" i="18" a="1"/>
  <c r="AG49" i="18" s="1"/>
  <c r="AH49" i="18" s="1"/>
  <c r="AG23" i="18" a="1"/>
  <c r="AG23" i="18" s="1"/>
  <c r="AH23" i="18" s="1"/>
  <c r="AG37" i="18" a="1"/>
  <c r="AG37" i="18" s="1"/>
  <c r="AH37" i="18" s="1"/>
  <c r="AG170" i="18" a="1"/>
  <c r="AG170" i="18" s="1"/>
  <c r="AH170" i="18" s="1"/>
  <c r="AG100" i="18" a="1"/>
  <c r="AG100" i="18" s="1"/>
  <c r="AH100" i="18" s="1"/>
  <c r="AG109" i="18" a="1"/>
  <c r="AG109" i="18" s="1"/>
  <c r="AH109" i="18" s="1"/>
  <c r="AC30" i="18" a="1"/>
  <c r="AC30" i="18" s="1"/>
  <c r="AD30" i="18" s="1"/>
  <c r="AG47" i="18" a="1"/>
  <c r="AG47" i="18" s="1"/>
  <c r="AH47" i="18" s="1"/>
  <c r="AG28" i="18" a="1"/>
  <c r="AG28" i="18" s="1"/>
  <c r="AH28" i="18" s="1"/>
  <c r="AG29" i="18" a="1"/>
  <c r="AG29" i="18" s="1"/>
  <c r="AH29" i="18" s="1"/>
  <c r="AG103" i="18" a="1"/>
  <c r="AG103" i="18" s="1"/>
  <c r="AH103" i="18" s="1"/>
  <c r="AC16" i="18" a="1"/>
  <c r="AC16" i="18" s="1"/>
  <c r="AD16" i="18" s="1"/>
  <c r="AG20" i="18" a="1"/>
  <c r="AG20" i="18" s="1"/>
  <c r="AH20" i="18" s="1"/>
  <c r="AG61" i="18" a="1"/>
  <c r="AG61" i="18" s="1"/>
  <c r="AH61" i="18" s="1"/>
  <c r="AG55" i="18" a="1"/>
  <c r="AG55" i="18" s="1"/>
  <c r="AH55" i="18" s="1"/>
  <c r="AG17" i="18" a="1"/>
  <c r="AG17" i="18" s="1"/>
  <c r="AH17" i="18" s="1"/>
  <c r="AG60" i="18" a="1"/>
  <c r="AG60" i="18" s="1"/>
  <c r="AH60" i="18" s="1"/>
  <c r="AG66" i="18" a="1"/>
  <c r="AG66" i="18" s="1"/>
  <c r="AH66" i="18" s="1"/>
  <c r="AC188" i="18" a="1"/>
  <c r="AC188" i="18" s="1"/>
  <c r="AD188" i="18" s="1"/>
  <c r="AG164" i="18" a="1"/>
  <c r="AG164" i="18" s="1"/>
  <c r="AH164" i="18" s="1"/>
  <c r="AG101" i="18" a="1"/>
  <c r="AG101" i="18" s="1"/>
  <c r="AH101" i="18" s="1"/>
  <c r="AG108" i="18" a="1"/>
  <c r="AG108" i="18" s="1"/>
  <c r="AH108" i="18" s="1"/>
  <c r="AC71" i="18" a="1"/>
  <c r="AC71" i="18" s="1"/>
  <c r="AD71" i="18" s="1"/>
  <c r="AC47" i="18" a="1"/>
  <c r="AC47" i="18" s="1"/>
  <c r="AD47" i="18" s="1"/>
  <c r="AC53" i="18" a="1"/>
  <c r="AC53" i="18" s="1"/>
  <c r="AD53" i="18" s="1"/>
  <c r="R11" i="18" a="1"/>
  <c r="R11" i="18" s="1"/>
  <c r="AA12" i="18" a="1"/>
  <c r="AA12" i="18" s="1"/>
  <c r="Y14" i="18" a="1"/>
  <c r="Y14" i="18" s="1"/>
  <c r="AL15" i="18" a="1"/>
  <c r="AL15" i="18" s="1"/>
  <c r="S37" i="18" a="1"/>
  <c r="S37" i="18" s="1"/>
  <c r="S38" i="18" a="1"/>
  <c r="S38" i="18" s="1"/>
  <c r="S30" i="18" a="1"/>
  <c r="S30" i="18" s="1"/>
  <c r="S22" i="18" a="1"/>
  <c r="S22" i="18" s="1"/>
  <c r="S31" i="18" a="1"/>
  <c r="S31" i="18" s="1"/>
  <c r="S32" i="18" a="1"/>
  <c r="S32" i="18" s="1"/>
  <c r="S24" i="18" a="1"/>
  <c r="S24" i="18" s="1"/>
  <c r="S33" i="18" a="1"/>
  <c r="S33" i="18" s="1"/>
  <c r="S34" i="18" a="1"/>
  <c r="S34" i="18" s="1"/>
  <c r="S26" i="18" a="1"/>
  <c r="S26" i="18" s="1"/>
  <c r="S36" i="18" a="1"/>
  <c r="S36" i="18" s="1"/>
  <c r="S19" i="18" a="1"/>
  <c r="S19" i="18" s="1"/>
  <c r="S35" i="18" a="1"/>
  <c r="S35" i="18" s="1"/>
  <c r="S28" i="18" a="1"/>
  <c r="S28" i="18" s="1"/>
  <c r="S16" i="18" a="1"/>
  <c r="S16" i="18" s="1"/>
  <c r="S27" i="18" a="1"/>
  <c r="S27" i="18" s="1"/>
  <c r="S25" i="18" a="1"/>
  <c r="S25" i="18" s="1"/>
  <c r="S17" i="18" a="1"/>
  <c r="S17" i="18" s="1"/>
  <c r="S20" i="18" a="1"/>
  <c r="S20" i="18" s="1"/>
  <c r="S23" i="18" a="1"/>
  <c r="S23" i="18" s="1"/>
  <c r="S18" i="18" a="1"/>
  <c r="S18" i="18" s="1"/>
  <c r="AA11" i="18" a="1"/>
  <c r="AA11" i="18" s="1"/>
  <c r="AL20" i="18" a="1"/>
  <c r="AL20" i="18" s="1"/>
  <c r="Y32" i="18" a="1"/>
  <c r="Y32" i="18" s="1"/>
  <c r="Y33" i="18" a="1"/>
  <c r="Y33" i="18" s="1"/>
  <c r="Y25" i="18" a="1"/>
  <c r="Y25" i="18" s="1"/>
  <c r="Y34" i="18" a="1"/>
  <c r="Y34" i="18" s="1"/>
  <c r="Y35" i="18" a="1"/>
  <c r="Y35" i="18" s="1"/>
  <c r="Y27" i="18" a="1"/>
  <c r="Y27" i="18" s="1"/>
  <c r="Y36" i="18" a="1"/>
  <c r="Y36" i="18" s="1"/>
  <c r="Y28" i="18" a="1"/>
  <c r="Y28" i="18" s="1"/>
  <c r="Y37" i="18" a="1"/>
  <c r="Y37" i="18" s="1"/>
  <c r="Y29" i="18" a="1"/>
  <c r="Y29" i="18" s="1"/>
  <c r="Y21" i="18" a="1"/>
  <c r="Y21" i="18" s="1"/>
  <c r="Y31" i="18" a="1"/>
  <c r="Y31" i="18" s="1"/>
  <c r="Y30" i="18" a="1"/>
  <c r="Y30" i="18" s="1"/>
  <c r="Y24" i="18" a="1"/>
  <c r="Y24" i="18" s="1"/>
  <c r="Y19" i="18" a="1"/>
  <c r="Y19" i="18" s="1"/>
  <c r="Y17" i="18" a="1"/>
  <c r="Y17" i="18" s="1"/>
  <c r="Y22" i="18" a="1"/>
  <c r="Y22" i="18" s="1"/>
  <c r="Y18" i="18" a="1"/>
  <c r="Y18" i="18" s="1"/>
  <c r="Y26" i="18" a="1"/>
  <c r="Y26" i="18" s="1"/>
  <c r="Y20" i="18" a="1"/>
  <c r="Y20" i="18" s="1"/>
  <c r="Y15" i="18" a="1"/>
  <c r="Y15" i="18" s="1"/>
  <c r="Y23" i="18" a="1"/>
  <c r="Y23" i="18" s="1"/>
  <c r="AL34" i="18" a="1"/>
  <c r="AL34" i="18" s="1"/>
  <c r="AL35" i="18" a="1"/>
  <c r="AL35" i="18" s="1"/>
  <c r="AL27" i="18" a="1"/>
  <c r="AL27" i="18" s="1"/>
  <c r="AL19" i="18" a="1"/>
  <c r="AL19" i="18" s="1"/>
  <c r="AL36" i="18" a="1"/>
  <c r="AL36" i="18" s="1"/>
  <c r="AL28" i="18" a="1"/>
  <c r="AL28" i="18" s="1"/>
  <c r="AL37" i="18" a="1"/>
  <c r="AL37" i="18" s="1"/>
  <c r="AL29" i="18" a="1"/>
  <c r="AL29" i="18" s="1"/>
  <c r="AL38" i="18" a="1"/>
  <c r="AL38" i="18" s="1"/>
  <c r="AL30" i="18" a="1"/>
  <c r="AL30" i="18" s="1"/>
  <c r="AL31" i="18" a="1"/>
  <c r="AL31" i="18" s="1"/>
  <c r="AL23" i="18" a="1"/>
  <c r="AL23" i="18" s="1"/>
  <c r="AL33" i="18" a="1"/>
  <c r="AL33" i="18" s="1"/>
  <c r="AL12" i="18" a="1"/>
  <c r="AL12" i="18" s="1"/>
  <c r="AL18" i="18" a="1"/>
  <c r="AL18" i="18" s="1"/>
  <c r="AL26" i="18" a="1"/>
  <c r="AL26" i="18" s="1"/>
  <c r="AL24" i="18" a="1"/>
  <c r="AL24" i="18" s="1"/>
  <c r="AL16" i="18" a="1"/>
  <c r="AL16" i="18" s="1"/>
  <c r="AL21" i="18" a="1"/>
  <c r="AL21" i="18" s="1"/>
  <c r="AL32" i="18" a="1"/>
  <c r="AL32" i="18" s="1"/>
  <c r="AL25" i="18" a="1"/>
  <c r="AL25" i="18" s="1"/>
  <c r="AL17" i="18" a="1"/>
  <c r="AL17" i="18" s="1"/>
  <c r="AG163" i="18" a="1"/>
  <c r="AG163" i="18" s="1"/>
  <c r="AH163" i="18" s="1"/>
  <c r="S11" i="18" a="1"/>
  <c r="S11" i="18" s="1"/>
  <c r="W11" i="18" a="1"/>
  <c r="W11" i="18" s="1"/>
  <c r="X11" i="18" s="1"/>
  <c r="AB11" i="18" a="1"/>
  <c r="AB11" i="18" s="1"/>
  <c r="Z14" i="18" a="1"/>
  <c r="Z14" i="18" s="1"/>
  <c r="W25" i="18" a="1"/>
  <c r="W25" i="18" s="1"/>
  <c r="X25" i="18" s="1"/>
  <c r="AP35" i="18" a="1"/>
  <c r="AP35" i="18" s="1"/>
  <c r="Y38" i="18" a="1"/>
  <c r="Y38" i="18" s="1"/>
  <c r="R35" i="18" a="1"/>
  <c r="R35" i="18" s="1"/>
  <c r="R36" i="18" a="1"/>
  <c r="R36" i="18" s="1"/>
  <c r="R28" i="18" a="1"/>
  <c r="R28" i="18" s="1"/>
  <c r="R20" i="18" a="1"/>
  <c r="R20" i="18" s="1"/>
  <c r="R37" i="18" a="1"/>
  <c r="R37" i="18" s="1"/>
  <c r="R29" i="18" a="1"/>
  <c r="R29" i="18" s="1"/>
  <c r="R38" i="18" a="1"/>
  <c r="R38" i="18" s="1"/>
  <c r="R30" i="18" a="1"/>
  <c r="R30" i="18" s="1"/>
  <c r="R31" i="18" a="1"/>
  <c r="R31" i="18" s="1"/>
  <c r="R32" i="18" a="1"/>
  <c r="R32" i="18" s="1"/>
  <c r="R24" i="18" a="1"/>
  <c r="R24" i="18" s="1"/>
  <c r="R34" i="18" a="1"/>
  <c r="R34" i="18" s="1"/>
  <c r="R23" i="18" a="1"/>
  <c r="R23" i="18" s="1"/>
  <c r="R18" i="18" a="1"/>
  <c r="R18" i="18" s="1"/>
  <c r="R14" i="18" a="1"/>
  <c r="R14" i="18" s="1"/>
  <c r="R19" i="18" a="1"/>
  <c r="R19" i="18" s="1"/>
  <c r="R33" i="18" a="1"/>
  <c r="R33" i="18" s="1"/>
  <c r="R26" i="18" a="1"/>
  <c r="R26" i="18" s="1"/>
  <c r="R25" i="18" a="1"/>
  <c r="R25" i="18" s="1"/>
  <c r="R22" i="18" a="1"/>
  <c r="R22" i="18" s="1"/>
  <c r="R21" i="18" a="1"/>
  <c r="R21" i="18" s="1"/>
  <c r="AG140" i="18" a="1"/>
  <c r="AG140" i="18" s="1"/>
  <c r="AH140" i="18" s="1"/>
  <c r="AG57" i="18" a="1"/>
  <c r="AG57" i="18" s="1"/>
  <c r="AH57" i="18" s="1"/>
  <c r="AG40" i="18" a="1"/>
  <c r="AG40" i="18" s="1"/>
  <c r="AH40" i="18" s="1"/>
  <c r="R12" i="18" a="1"/>
  <c r="R12" i="18" s="1"/>
  <c r="W12" i="18" a="1"/>
  <c r="W12" i="18" s="1"/>
  <c r="X12" i="18" s="1"/>
  <c r="AC12" i="18" a="1"/>
  <c r="AC12" i="18" s="1"/>
  <c r="AD12" i="18" s="1"/>
  <c r="AG14" i="18" a="1"/>
  <c r="AG14" i="18" s="1"/>
  <c r="AH14" i="18" s="1"/>
  <c r="R27" i="18" a="1"/>
  <c r="R27" i="18" s="1"/>
  <c r="W35" i="18" a="1"/>
  <c r="W35" i="18" s="1"/>
  <c r="X35" i="18" s="1"/>
  <c r="W15" i="18" a="1"/>
  <c r="W15" i="18" s="1"/>
  <c r="X15" i="18" s="1"/>
  <c r="AG19" i="18" a="1"/>
  <c r="AG19" i="18" s="1"/>
  <c r="AH19" i="18" s="1"/>
  <c r="AB40" i="18" a="1"/>
  <c r="AB40" i="18" s="1"/>
  <c r="AB38" i="18" a="1"/>
  <c r="AB38" i="18" s="1"/>
  <c r="AB30" i="18" a="1"/>
  <c r="AB30" i="18" s="1"/>
  <c r="AB31" i="18" a="1"/>
  <c r="AB31" i="18" s="1"/>
  <c r="AB23" i="18" a="1"/>
  <c r="AB23" i="18" s="1"/>
  <c r="AB32" i="18" a="1"/>
  <c r="AB32" i="18" s="1"/>
  <c r="AB33" i="18" a="1"/>
  <c r="AB33" i="18" s="1"/>
  <c r="AB25" i="18" a="1"/>
  <c r="AB25" i="18" s="1"/>
  <c r="AB34" i="18" a="1"/>
  <c r="AB34" i="18" s="1"/>
  <c r="AB26" i="18" a="1"/>
  <c r="AB26" i="18" s="1"/>
  <c r="AB35" i="18" a="1"/>
  <c r="AB35" i="18" s="1"/>
  <c r="AB27" i="18" a="1"/>
  <c r="AB27" i="18" s="1"/>
  <c r="AB19" i="18" a="1"/>
  <c r="AB19" i="18" s="1"/>
  <c r="AB37" i="18" a="1"/>
  <c r="AB37" i="18" s="1"/>
  <c r="AB22" i="18" a="1"/>
  <c r="AB22" i="18" s="1"/>
  <c r="AB21" i="18" a="1"/>
  <c r="AB21" i="18" s="1"/>
  <c r="AB20" i="18" a="1"/>
  <c r="AB20" i="18" s="1"/>
  <c r="AB16" i="18" a="1"/>
  <c r="AB16" i="18" s="1"/>
  <c r="AB28" i="18" a="1"/>
  <c r="AB28" i="18" s="1"/>
  <c r="AB36" i="18" a="1"/>
  <c r="AB36" i="18" s="1"/>
  <c r="AB17" i="18" a="1"/>
  <c r="AB17" i="18" s="1"/>
  <c r="AB24" i="18" a="1"/>
  <c r="AB24" i="18" s="1"/>
  <c r="AB29" i="18" a="1"/>
  <c r="AB29" i="18" s="1"/>
  <c r="AB12" i="18" a="1"/>
  <c r="AB12" i="18" s="1"/>
  <c r="AB15" i="18" a="1"/>
  <c r="AB15" i="18" s="1"/>
  <c r="AC197" i="18" a="1"/>
  <c r="AC197" i="18" s="1"/>
  <c r="AD197" i="18" s="1"/>
  <c r="AC39" i="18" a="1"/>
  <c r="AC39" i="18" s="1"/>
  <c r="AD39" i="18" s="1"/>
  <c r="AG11" i="18" a="1"/>
  <c r="AG11" i="18" s="1"/>
  <c r="AH11" i="18" s="1"/>
  <c r="Y11" i="18" a="1"/>
  <c r="Y11" i="18" s="1"/>
  <c r="AL11" i="18" a="1"/>
  <c r="AL11" i="18" s="1"/>
  <c r="S12" i="18" a="1"/>
  <c r="S12" i="18" s="1"/>
  <c r="Y12" i="18" a="1"/>
  <c r="Y12" i="18" s="1"/>
  <c r="AP12" i="18" a="1"/>
  <c r="AP12" i="18" s="1"/>
  <c r="AB14" i="18" a="1"/>
  <c r="AB14" i="18" s="1"/>
  <c r="R15" i="18" a="1"/>
  <c r="R15" i="18" s="1"/>
  <c r="AC17" i="18" a="1"/>
  <c r="AC17" i="18" s="1"/>
  <c r="AD17" i="18" s="1"/>
  <c r="S21" i="18" a="1"/>
  <c r="S21" i="18" s="1"/>
  <c r="AP37" i="18" a="1"/>
  <c r="AP37" i="18" s="1"/>
  <c r="AP29" i="18" a="1"/>
  <c r="AP29" i="18" s="1"/>
  <c r="AP38" i="18" a="1"/>
  <c r="AP38" i="18" s="1"/>
  <c r="AP30" i="18" a="1"/>
  <c r="AP30" i="18" s="1"/>
  <c r="AP22" i="18" a="1"/>
  <c r="AP22" i="18" s="1"/>
  <c r="AP31" i="18" a="1"/>
  <c r="AP31" i="18" s="1"/>
  <c r="AP32" i="18" a="1"/>
  <c r="AP32" i="18" s="1"/>
  <c r="AP24" i="18" a="1"/>
  <c r="AP24" i="18" s="1"/>
  <c r="AP33" i="18" a="1"/>
  <c r="AP33" i="18" s="1"/>
  <c r="AP25" i="18" a="1"/>
  <c r="AP25" i="18" s="1"/>
  <c r="AP34" i="18" a="1"/>
  <c r="AP34" i="18" s="1"/>
  <c r="AP26" i="18" a="1"/>
  <c r="AP26" i="18" s="1"/>
  <c r="AP36" i="18" a="1"/>
  <c r="AP36" i="18" s="1"/>
  <c r="AP23" i="18" a="1"/>
  <c r="AP23" i="18" s="1"/>
  <c r="AP19" i="18" a="1"/>
  <c r="AP19" i="18" s="1"/>
  <c r="AP15" i="18" a="1"/>
  <c r="AP15" i="18" s="1"/>
  <c r="AP28" i="18" a="1"/>
  <c r="AP28" i="18" s="1"/>
  <c r="AP16" i="18" a="1"/>
  <c r="AP16" i="18" s="1"/>
  <c r="AP21" i="18" a="1"/>
  <c r="AP21" i="18" s="1"/>
  <c r="AP27" i="18" a="1"/>
  <c r="AP27" i="18" s="1"/>
  <c r="AP20" i="18" a="1"/>
  <c r="AP20" i="18" s="1"/>
  <c r="AP17" i="18" a="1"/>
  <c r="AP17" i="18" s="1"/>
  <c r="AP11" i="18" a="1"/>
  <c r="AP11" i="18" s="1"/>
  <c r="AP18" i="18" a="1"/>
  <c r="AP18" i="18" s="1"/>
  <c r="AP14" i="18" a="1"/>
  <c r="AP14" i="18" s="1"/>
  <c r="AA42" i="18" a="1"/>
  <c r="AA42" i="18" s="1"/>
  <c r="AA36" i="18" a="1"/>
  <c r="AA36" i="18" s="1"/>
  <c r="AA37" i="18" a="1"/>
  <c r="AA37" i="18" s="1"/>
  <c r="AA29" i="18" a="1"/>
  <c r="AA29" i="18" s="1"/>
  <c r="AA21" i="18" a="1"/>
  <c r="AA21" i="18" s="1"/>
  <c r="AA38" i="18" a="1"/>
  <c r="AA38" i="18" s="1"/>
  <c r="AA30" i="18" a="1"/>
  <c r="AA30" i="18" s="1"/>
  <c r="AA31" i="18" a="1"/>
  <c r="AA31" i="18" s="1"/>
  <c r="AA23" i="18" a="1"/>
  <c r="AA23" i="18" s="1"/>
  <c r="AA32" i="18" a="1"/>
  <c r="AA32" i="18" s="1"/>
  <c r="AA33" i="18" a="1"/>
  <c r="AA33" i="18" s="1"/>
  <c r="AA25" i="18" a="1"/>
  <c r="AA25" i="18" s="1"/>
  <c r="AA35" i="18" a="1"/>
  <c r="AA35" i="18" s="1"/>
  <c r="AA34" i="18" a="1"/>
  <c r="AA34" i="18" s="1"/>
  <c r="AA18" i="18" a="1"/>
  <c r="AA18" i="18" s="1"/>
  <c r="AA22" i="18" a="1"/>
  <c r="AA22" i="18" s="1"/>
  <c r="AA15" i="18" a="1"/>
  <c r="AA15" i="18" s="1"/>
  <c r="AA26" i="18" a="1"/>
  <c r="AA26" i="18" s="1"/>
  <c r="AA20" i="18" a="1"/>
  <c r="AA20" i="18" s="1"/>
  <c r="AA16" i="18" a="1"/>
  <c r="AA16" i="18" s="1"/>
  <c r="AA28" i="18" a="1"/>
  <c r="AA28" i="18" s="1"/>
  <c r="AA27" i="18" a="1"/>
  <c r="AA27" i="18" s="1"/>
  <c r="AA24" i="18" a="1"/>
  <c r="AA24" i="18" s="1"/>
  <c r="AA19" i="18" a="1"/>
  <c r="AA19" i="18" s="1"/>
  <c r="AA17" i="18" a="1"/>
  <c r="AA17" i="18" s="1"/>
  <c r="AC95" i="18" a="1"/>
  <c r="AC95" i="18" s="1"/>
  <c r="AD95" i="18" s="1"/>
  <c r="AG46" i="18" a="1"/>
  <c r="AG46" i="18" s="1"/>
  <c r="AH46" i="18" s="1"/>
  <c r="AC55" i="18" a="1"/>
  <c r="AC55" i="18" s="1"/>
  <c r="AD55" i="18" s="1"/>
  <c r="S15" i="18" a="1"/>
  <c r="S15" i="18" s="1"/>
  <c r="AC18" i="18" a="1"/>
  <c r="AC18" i="18" s="1"/>
  <c r="AD18" i="18" s="1"/>
  <c r="S29" i="18" a="1"/>
  <c r="S29" i="18" s="1"/>
  <c r="W45" i="18" a="1"/>
  <c r="W45" i="18" s="1"/>
  <c r="X45" i="18" s="1"/>
  <c r="W37" i="18" a="1"/>
  <c r="W37" i="18" s="1"/>
  <c r="X37" i="18" s="1"/>
  <c r="W38" i="18" a="1"/>
  <c r="W38" i="18" s="1"/>
  <c r="X38" i="18" s="1"/>
  <c r="W30" i="18" a="1"/>
  <c r="W30" i="18" s="1"/>
  <c r="X30" i="18" s="1"/>
  <c r="W22" i="18" a="1"/>
  <c r="W22" i="18" s="1"/>
  <c r="X22" i="18" s="1"/>
  <c r="W31" i="18" a="1"/>
  <c r="W31" i="18" s="1"/>
  <c r="X31" i="18" s="1"/>
  <c r="W32" i="18" a="1"/>
  <c r="W32" i="18" s="1"/>
  <c r="X32" i="18" s="1"/>
  <c r="W24" i="18" a="1"/>
  <c r="W24" i="18" s="1"/>
  <c r="X24" i="18" s="1"/>
  <c r="W33" i="18" a="1"/>
  <c r="W33" i="18" s="1"/>
  <c r="X33" i="18" s="1"/>
  <c r="W34" i="18" a="1"/>
  <c r="W34" i="18" s="1"/>
  <c r="X34" i="18" s="1"/>
  <c r="W26" i="18" a="1"/>
  <c r="W26" i="18" s="1"/>
  <c r="X26" i="18" s="1"/>
  <c r="W36" i="18" a="1"/>
  <c r="W36" i="18" s="1"/>
  <c r="X36" i="18" s="1"/>
  <c r="W27" i="18" a="1"/>
  <c r="W27" i="18" s="1"/>
  <c r="X27" i="18" s="1"/>
  <c r="W29" i="18" a="1"/>
  <c r="W29" i="18" s="1"/>
  <c r="X29" i="18" s="1"/>
  <c r="W23" i="18" a="1"/>
  <c r="W23" i="18" s="1"/>
  <c r="X23" i="18" s="1"/>
  <c r="W16" i="18" a="1"/>
  <c r="W16" i="18" s="1"/>
  <c r="X16" i="18" s="1"/>
  <c r="W19" i="18" a="1"/>
  <c r="W19" i="18" s="1"/>
  <c r="X19" i="18" s="1"/>
  <c r="W17" i="18" a="1"/>
  <c r="W17" i="18" s="1"/>
  <c r="X17" i="18" s="1"/>
  <c r="W28" i="18" a="1"/>
  <c r="W28" i="18" s="1"/>
  <c r="X28" i="18" s="1"/>
  <c r="W21" i="18" a="1"/>
  <c r="W21" i="18" s="1"/>
  <c r="X21" i="18" s="1"/>
  <c r="W20" i="18" a="1"/>
  <c r="W20" i="18" s="1"/>
  <c r="X20" i="18" s="1"/>
  <c r="W18" i="18" a="1"/>
  <c r="W18" i="18" s="1"/>
  <c r="X18" i="18" s="1"/>
  <c r="Z34" i="18" a="1"/>
  <c r="Z34" i="18" s="1"/>
  <c r="Z35" i="18" a="1"/>
  <c r="Z35" i="18" s="1"/>
  <c r="Z27" i="18" a="1"/>
  <c r="Z27" i="18" s="1"/>
  <c r="Z19" i="18" a="1"/>
  <c r="Z19" i="18" s="1"/>
  <c r="Z36" i="18" a="1"/>
  <c r="Z36" i="18" s="1"/>
  <c r="Z28" i="18" a="1"/>
  <c r="Z28" i="18" s="1"/>
  <c r="Z37" i="18" a="1"/>
  <c r="Z37" i="18" s="1"/>
  <c r="Z29" i="18" a="1"/>
  <c r="Z29" i="18" s="1"/>
  <c r="Z38" i="18" a="1"/>
  <c r="Z38" i="18" s="1"/>
  <c r="Z30" i="18" a="1"/>
  <c r="Z30" i="18" s="1"/>
  <c r="Z31" i="18" a="1"/>
  <c r="Z31" i="18" s="1"/>
  <c r="Z23" i="18" a="1"/>
  <c r="Z23" i="18" s="1"/>
  <c r="Z33" i="18" a="1"/>
  <c r="Z33" i="18" s="1"/>
  <c r="Z12" i="18" a="1"/>
  <c r="Z12" i="18" s="1"/>
  <c r="Z18" i="18" a="1"/>
  <c r="Z18" i="18" s="1"/>
  <c r="Z25" i="18" a="1"/>
  <c r="Z25" i="18" s="1"/>
  <c r="Z22" i="18" a="1"/>
  <c r="Z22" i="18" s="1"/>
  <c r="Z21" i="18" a="1"/>
  <c r="Z21" i="18" s="1"/>
  <c r="Z20" i="18" a="1"/>
  <c r="Z20" i="18" s="1"/>
  <c r="Z26" i="18" a="1"/>
  <c r="Z26" i="18" s="1"/>
  <c r="Z16" i="18" a="1"/>
  <c r="Z16" i="18" s="1"/>
  <c r="Z32" i="18" a="1"/>
  <c r="Z32" i="18" s="1"/>
  <c r="Z17" i="18" a="1"/>
  <c r="Z17" i="18" s="1"/>
  <c r="AC117" i="18" a="1"/>
  <c r="AC117" i="18" s="1"/>
  <c r="AD117" i="18" s="1"/>
  <c r="AC49" i="18" a="1"/>
  <c r="AC49" i="18" s="1"/>
  <c r="AD49" i="18" s="1"/>
  <c r="AC54" i="18" a="1"/>
  <c r="AC54" i="18" s="1"/>
  <c r="AD54" i="18" s="1"/>
  <c r="Z11" i="18" a="1"/>
  <c r="Z11" i="18" s="1"/>
  <c r="AL14" i="18" a="1"/>
  <c r="AL14" i="18" s="1"/>
  <c r="R17" i="18" a="1"/>
  <c r="R17" i="18" s="1"/>
  <c r="Z24" i="18" a="1"/>
  <c r="Z24" i="18" s="1"/>
  <c r="AG18" i="18" a="1"/>
  <c r="AG18" i="18" s="1"/>
  <c r="AH18" i="18" s="1"/>
  <c r="AC20" i="18" a="1"/>
  <c r="AC20" i="18" s="1"/>
  <c r="AD20" i="18" s="1"/>
  <c r="AC28" i="18" a="1"/>
  <c r="AC28" i="18" s="1"/>
  <c r="AD28" i="18" s="1"/>
  <c r="AG30" i="18" a="1"/>
  <c r="AG30" i="18" s="1"/>
  <c r="AH30" i="18" s="1"/>
  <c r="AC34" i="18" a="1"/>
  <c r="AC34" i="18" s="1"/>
  <c r="AD34" i="18" s="1"/>
  <c r="AC38" i="18" a="1"/>
  <c r="AC38" i="18" s="1"/>
  <c r="AD38" i="18" s="1"/>
  <c r="AG22" i="18" a="1"/>
  <c r="AG22" i="18" s="1"/>
  <c r="AH22" i="18" s="1"/>
  <c r="AC26" i="18" a="1"/>
  <c r="AC26" i="18" s="1"/>
  <c r="AD26" i="18" s="1"/>
  <c r="AC36" i="18" a="1"/>
  <c r="AC36" i="18" s="1"/>
  <c r="AD36" i="18" s="1"/>
  <c r="AC29" i="18" a="1"/>
  <c r="AC29" i="18" s="1"/>
  <c r="AD29" i="18" s="1"/>
  <c r="AC31" i="18" a="1"/>
  <c r="AC31" i="18" s="1"/>
  <c r="AD31" i="18" s="1"/>
  <c r="AG36" i="18" a="1"/>
  <c r="AG36" i="18" s="1"/>
  <c r="AH36" i="18" s="1"/>
  <c r="AG34" i="18" a="1"/>
  <c r="AG34" i="18" s="1"/>
  <c r="AH34" i="18" s="1"/>
  <c r="AG32" i="18" a="1"/>
  <c r="AG32" i="18" s="1"/>
  <c r="AH32" i="18" s="1"/>
  <c r="W39" i="18" a="1"/>
  <c r="W39" i="18" s="1"/>
  <c r="X39" i="18" s="1"/>
  <c r="AP39" i="18" a="1"/>
  <c r="AP39" i="18" s="1"/>
  <c r="AA62" i="18" a="1"/>
  <c r="AA62" i="18" s="1"/>
  <c r="AA54" i="18" a="1"/>
  <c r="AA54" i="18" s="1"/>
  <c r="AA51" i="18" a="1"/>
  <c r="AA51" i="18" s="1"/>
  <c r="AA45" i="18" a="1"/>
  <c r="AA45" i="18" s="1"/>
  <c r="AA55" i="18" a="1"/>
  <c r="AA55" i="18" s="1"/>
  <c r="AA56" i="18" a="1"/>
  <c r="AA56" i="18" s="1"/>
  <c r="AA47" i="18" a="1"/>
  <c r="AA47" i="18" s="1"/>
  <c r="AA52" i="18" a="1"/>
  <c r="AA52" i="18" s="1"/>
  <c r="AA48" i="18" a="1"/>
  <c r="AA48" i="18" s="1"/>
  <c r="AA49" i="18" a="1"/>
  <c r="AA49" i="18" s="1"/>
  <c r="AA39" i="18" a="1"/>
  <c r="AA39" i="18" s="1"/>
  <c r="AA40" i="18" a="1"/>
  <c r="AA40" i="18" s="1"/>
  <c r="AA43" i="18" a="1"/>
  <c r="AA43" i="18" s="1"/>
  <c r="AA41" i="18" a="1"/>
  <c r="AA41" i="18" s="1"/>
  <c r="AA44" i="18" a="1"/>
  <c r="AA44" i="18" s="1"/>
  <c r="AA50" i="18" a="1"/>
  <c r="AA50" i="18" s="1"/>
  <c r="AA53" i="18" a="1"/>
  <c r="AA53" i="18" s="1"/>
  <c r="AG181" i="18" a="1"/>
  <c r="AG181" i="18" s="1"/>
  <c r="AH181" i="18" s="1"/>
  <c r="AC152" i="18" a="1"/>
  <c r="AC152" i="18" s="1"/>
  <c r="AD152" i="18" s="1"/>
  <c r="AG173" i="18" a="1"/>
  <c r="AG173" i="18" s="1"/>
  <c r="AH173" i="18" s="1"/>
  <c r="AG119" i="18" a="1"/>
  <c r="AG119" i="18" s="1"/>
  <c r="AH119" i="18" s="1"/>
  <c r="Z65" i="18" a="1"/>
  <c r="Z65" i="18" s="1"/>
  <c r="Z49" i="18" a="1"/>
  <c r="Z49" i="18" s="1"/>
  <c r="Z53" i="18" a="1"/>
  <c r="Z53" i="18" s="1"/>
  <c r="Z50" i="18" a="1"/>
  <c r="Z50" i="18" s="1"/>
  <c r="Z54" i="18" a="1"/>
  <c r="Z54" i="18" s="1"/>
  <c r="Z51" i="18" a="1"/>
  <c r="Z51" i="18" s="1"/>
  <c r="Z45" i="18" a="1"/>
  <c r="Z45" i="18" s="1"/>
  <c r="Z55" i="18" a="1"/>
  <c r="Z55" i="18" s="1"/>
  <c r="Z56" i="18" a="1"/>
  <c r="Z56" i="18" s="1"/>
  <c r="Z47" i="18" a="1"/>
  <c r="Z47" i="18" s="1"/>
  <c r="Z52" i="18" a="1"/>
  <c r="Z52" i="18" s="1"/>
  <c r="Z48" i="18" a="1"/>
  <c r="Z48" i="18" s="1"/>
  <c r="Z46" i="18" a="1"/>
  <c r="Z46" i="18" s="1"/>
  <c r="Z42" i="18" a="1"/>
  <c r="Z42" i="18" s="1"/>
  <c r="Z39" i="18" a="1"/>
  <c r="Z39" i="18" s="1"/>
  <c r="Z40" i="18" a="1"/>
  <c r="Z40" i="18" s="1"/>
  <c r="Z44" i="18" a="1"/>
  <c r="Z44" i="18" s="1"/>
  <c r="Z43" i="18" a="1"/>
  <c r="Z43" i="18" s="1"/>
  <c r="Z41" i="18" a="1"/>
  <c r="Z41" i="18" s="1"/>
  <c r="R53" i="18" a="1"/>
  <c r="R53" i="18" s="1"/>
  <c r="R50" i="18" a="1"/>
  <c r="R50" i="18" s="1"/>
  <c r="R44" i="18" a="1"/>
  <c r="R44" i="18" s="1"/>
  <c r="R54" i="18" a="1"/>
  <c r="R54" i="18" s="1"/>
  <c r="R51" i="18" a="1"/>
  <c r="R51" i="18" s="1"/>
  <c r="R55" i="18" a="1"/>
  <c r="R55" i="18" s="1"/>
  <c r="R46" i="18" a="1"/>
  <c r="R46" i="18" s="1"/>
  <c r="R56" i="18" a="1"/>
  <c r="R56" i="18" s="1"/>
  <c r="R52" i="18" a="1"/>
  <c r="R52" i="18" s="1"/>
  <c r="R48" i="18" a="1"/>
  <c r="R48" i="18" s="1"/>
  <c r="R42" i="18" a="1"/>
  <c r="R42" i="18" s="1"/>
  <c r="R47" i="18" a="1"/>
  <c r="R47" i="18" s="1"/>
  <c r="R39" i="18" a="1"/>
  <c r="R39" i="18" s="1"/>
  <c r="R40" i="18" a="1"/>
  <c r="R40" i="18" s="1"/>
  <c r="R43" i="18" a="1"/>
  <c r="R43" i="18" s="1"/>
  <c r="R41" i="18" a="1"/>
  <c r="R41" i="18" s="1"/>
  <c r="R49" i="18" a="1"/>
  <c r="R49" i="18" s="1"/>
  <c r="R45" i="18" a="1"/>
  <c r="R45" i="18" s="1"/>
  <c r="Y64" i="18" a="1"/>
  <c r="Y64" i="18" s="1"/>
  <c r="Y49" i="18" a="1"/>
  <c r="Y49" i="18" s="1"/>
  <c r="Y53" i="18" a="1"/>
  <c r="Y53" i="18" s="1"/>
  <c r="Y50" i="18" a="1"/>
  <c r="Y50" i="18" s="1"/>
  <c r="Y54" i="18" a="1"/>
  <c r="Y54" i="18" s="1"/>
  <c r="Y51" i="18" a="1"/>
  <c r="Y51" i="18" s="1"/>
  <c r="Y45" i="18" a="1"/>
  <c r="Y45" i="18" s="1"/>
  <c r="Y55" i="18" a="1"/>
  <c r="Y55" i="18" s="1"/>
  <c r="Y56" i="18" a="1"/>
  <c r="Y56" i="18" s="1"/>
  <c r="Y47" i="18" a="1"/>
  <c r="Y47" i="18" s="1"/>
  <c r="Y52" i="18" a="1"/>
  <c r="Y52" i="18" s="1"/>
  <c r="Y48" i="18" a="1"/>
  <c r="Y48" i="18" s="1"/>
  <c r="Y46" i="18" a="1"/>
  <c r="Y46" i="18" s="1"/>
  <c r="Y42" i="18" a="1"/>
  <c r="Y42" i="18" s="1"/>
  <c r="Y39" i="18" a="1"/>
  <c r="Y39" i="18" s="1"/>
  <c r="Y44" i="18" a="1"/>
  <c r="Y44" i="18" s="1"/>
  <c r="Y40" i="18" a="1"/>
  <c r="Y40" i="18" s="1"/>
  <c r="Y43" i="18" a="1"/>
  <c r="Y43" i="18" s="1"/>
  <c r="Y41" i="18" a="1"/>
  <c r="Y41" i="18" s="1"/>
  <c r="AC116" i="18" a="1"/>
  <c r="AC116" i="18" s="1"/>
  <c r="AD116" i="18" s="1"/>
  <c r="AA46" i="18" a="1"/>
  <c r="AA46" i="18" s="1"/>
  <c r="S57" i="18" a="1"/>
  <c r="S57" i="18" s="1"/>
  <c r="S55" i="18" a="1"/>
  <c r="S55" i="18" s="1"/>
  <c r="S46" i="18" a="1"/>
  <c r="S46" i="18" s="1"/>
  <c r="S56" i="18" a="1"/>
  <c r="S56" i="18" s="1"/>
  <c r="S52" i="18" a="1"/>
  <c r="S52" i="18" s="1"/>
  <c r="S48" i="18" a="1"/>
  <c r="S48" i="18" s="1"/>
  <c r="S49" i="18" a="1"/>
  <c r="S49" i="18" s="1"/>
  <c r="S53" i="18" a="1"/>
  <c r="S53" i="18" s="1"/>
  <c r="S50" i="18" a="1"/>
  <c r="S50" i="18" s="1"/>
  <c r="S54" i="18" a="1"/>
  <c r="S54" i="18" s="1"/>
  <c r="S47" i="18" a="1"/>
  <c r="S47" i="18" s="1"/>
  <c r="S40" i="18" a="1"/>
  <c r="S40" i="18" s="1"/>
  <c r="S43" i="18" a="1"/>
  <c r="S43" i="18" s="1"/>
  <c r="S41" i="18" a="1"/>
  <c r="S41" i="18" s="1"/>
  <c r="S45" i="18" a="1"/>
  <c r="S45" i="18" s="1"/>
  <c r="S44" i="18" a="1"/>
  <c r="S44" i="18" s="1"/>
  <c r="S51" i="18" a="1"/>
  <c r="S51" i="18" s="1"/>
  <c r="S42" i="18" a="1"/>
  <c r="S42" i="18" s="1"/>
  <c r="AG194" i="18" a="1"/>
  <c r="AG194" i="18" s="1"/>
  <c r="AH194" i="18" s="1"/>
  <c r="S39" i="18" a="1"/>
  <c r="S39" i="18" s="1"/>
  <c r="AG41" i="18" a="1"/>
  <c r="AG41" i="18" s="1"/>
  <c r="AH41" i="18" s="1"/>
  <c r="AG43" i="18" a="1"/>
  <c r="AG43" i="18" s="1"/>
  <c r="AH43" i="18" s="1"/>
  <c r="AL49" i="18" a="1"/>
  <c r="AL49" i="18" s="1"/>
  <c r="AL53" i="18" a="1"/>
  <c r="AL53" i="18" s="1"/>
  <c r="AL50" i="18" a="1"/>
  <c r="AL50" i="18" s="1"/>
  <c r="AL54" i="18" a="1"/>
  <c r="AL54" i="18" s="1"/>
  <c r="AL51" i="18" a="1"/>
  <c r="AL51" i="18" s="1"/>
  <c r="AL45" i="18" a="1"/>
  <c r="AL45" i="18" s="1"/>
  <c r="AL55" i="18" a="1"/>
  <c r="AL55" i="18" s="1"/>
  <c r="AL56" i="18" a="1"/>
  <c r="AL56" i="18" s="1"/>
  <c r="AL47" i="18" a="1"/>
  <c r="AL47" i="18" s="1"/>
  <c r="AL52" i="18" a="1"/>
  <c r="AL52" i="18" s="1"/>
  <c r="AL48" i="18" a="1"/>
  <c r="AL48" i="18" s="1"/>
  <c r="AL42" i="18" a="1"/>
  <c r="AL42" i="18" s="1"/>
  <c r="AL44" i="18" a="1"/>
  <c r="AL44" i="18" s="1"/>
  <c r="AL39" i="18" a="1"/>
  <c r="AL39" i="18" s="1"/>
  <c r="AL40" i="18" a="1"/>
  <c r="AL40" i="18" s="1"/>
  <c r="AL43" i="18" a="1"/>
  <c r="AL43" i="18" s="1"/>
  <c r="AL41" i="18" a="1"/>
  <c r="AL41" i="18" s="1"/>
  <c r="AL46" i="18" a="1"/>
  <c r="AL46" i="18" s="1"/>
  <c r="AC127" i="18" a="1"/>
  <c r="AC127" i="18" s="1"/>
  <c r="AD127" i="18" s="1"/>
  <c r="AP55" i="18" a="1"/>
  <c r="AP55" i="18" s="1"/>
  <c r="AP46" i="18" a="1"/>
  <c r="AP46" i="18" s="1"/>
  <c r="AP56" i="18" a="1"/>
  <c r="AP56" i="18" s="1"/>
  <c r="AP52" i="18" a="1"/>
  <c r="AP52" i="18" s="1"/>
  <c r="AP48" i="18" a="1"/>
  <c r="AP48" i="18" s="1"/>
  <c r="AP49" i="18" a="1"/>
  <c r="AP49" i="18" s="1"/>
  <c r="AP53" i="18" a="1"/>
  <c r="AP53" i="18" s="1"/>
  <c r="AP50" i="18" a="1"/>
  <c r="AP50" i="18" s="1"/>
  <c r="AP44" i="18" a="1"/>
  <c r="AP44" i="18" s="1"/>
  <c r="AP45" i="18" a="1"/>
  <c r="AP45" i="18" s="1"/>
  <c r="AP40" i="18" a="1"/>
  <c r="AP40" i="18" s="1"/>
  <c r="AP43" i="18" a="1"/>
  <c r="AP43" i="18" s="1"/>
  <c r="AP41" i="18" a="1"/>
  <c r="AP41" i="18" s="1"/>
  <c r="AP51" i="18" a="1"/>
  <c r="AP51" i="18" s="1"/>
  <c r="AP57" i="18" a="1"/>
  <c r="AP57" i="18" s="1"/>
  <c r="AP47" i="18" a="1"/>
  <c r="AP47" i="18" s="1"/>
  <c r="AP54" i="18" a="1"/>
  <c r="AP54" i="18" s="1"/>
  <c r="AP42" i="18" a="1"/>
  <c r="AP42" i="18" s="1"/>
  <c r="AB56" i="18" a="1"/>
  <c r="AB56" i="18" s="1"/>
  <c r="AB47" i="18" a="1"/>
  <c r="AB47" i="18" s="1"/>
  <c r="AB52" i="18" a="1"/>
  <c r="AB52" i="18" s="1"/>
  <c r="AB48" i="18" a="1"/>
  <c r="AB48" i="18" s="1"/>
  <c r="AB49" i="18" a="1"/>
  <c r="AB49" i="18" s="1"/>
  <c r="AB53" i="18" a="1"/>
  <c r="AB53" i="18" s="1"/>
  <c r="AB50" i="18" a="1"/>
  <c r="AB50" i="18" s="1"/>
  <c r="AB54" i="18" a="1"/>
  <c r="AB54" i="18" s="1"/>
  <c r="AB51" i="18" a="1"/>
  <c r="AB51" i="18" s="1"/>
  <c r="AB45" i="18" a="1"/>
  <c r="AB45" i="18" s="1"/>
  <c r="AB43" i="18" a="1"/>
  <c r="AB43" i="18" s="1"/>
  <c r="AB41" i="18" a="1"/>
  <c r="AB41" i="18" s="1"/>
  <c r="AB55" i="18" a="1"/>
  <c r="AB55" i="18" s="1"/>
  <c r="AB44" i="18" a="1"/>
  <c r="AB44" i="18" s="1"/>
  <c r="AB57" i="18" a="1"/>
  <c r="AB57" i="18" s="1"/>
  <c r="AB42" i="18" a="1"/>
  <c r="AB42" i="18" s="1"/>
  <c r="AB46" i="18" a="1"/>
  <c r="AB46" i="18" s="1"/>
  <c r="AB39" i="18" a="1"/>
  <c r="AB39" i="18" s="1"/>
  <c r="W55" i="18" a="1"/>
  <c r="W55" i="18" s="1"/>
  <c r="X55" i="18" s="1"/>
  <c r="W46" i="18" a="1"/>
  <c r="W46" i="18" s="1"/>
  <c r="X46" i="18" s="1"/>
  <c r="W56" i="18" a="1"/>
  <c r="W56" i="18" s="1"/>
  <c r="X56" i="18" s="1"/>
  <c r="W52" i="18" a="1"/>
  <c r="W52" i="18" s="1"/>
  <c r="X52" i="18" s="1"/>
  <c r="W48" i="18" a="1"/>
  <c r="W48" i="18" s="1"/>
  <c r="X48" i="18" s="1"/>
  <c r="W49" i="18" a="1"/>
  <c r="W49" i="18" s="1"/>
  <c r="X49" i="18" s="1"/>
  <c r="W53" i="18" a="1"/>
  <c r="W53" i="18" s="1"/>
  <c r="X53" i="18" s="1"/>
  <c r="W50" i="18" a="1"/>
  <c r="W50" i="18" s="1"/>
  <c r="X50" i="18" s="1"/>
  <c r="W44" i="18" a="1"/>
  <c r="W44" i="18" s="1"/>
  <c r="X44" i="18" s="1"/>
  <c r="W40" i="18" a="1"/>
  <c r="W40" i="18" s="1"/>
  <c r="X40" i="18" s="1"/>
  <c r="W43" i="18" a="1"/>
  <c r="W43" i="18" s="1"/>
  <c r="X43" i="18" s="1"/>
  <c r="W41" i="18" a="1"/>
  <c r="W41" i="18" s="1"/>
  <c r="X41" i="18" s="1"/>
  <c r="W51" i="18" a="1"/>
  <c r="W51" i="18" s="1"/>
  <c r="X51" i="18" s="1"/>
  <c r="W47" i="18" a="1"/>
  <c r="W47" i="18" s="1"/>
  <c r="X47" i="18" s="1"/>
  <c r="W54" i="18" a="1"/>
  <c r="W54" i="18" s="1"/>
  <c r="X54" i="18" s="1"/>
  <c r="W42" i="18" a="1"/>
  <c r="W42" i="18" s="1"/>
  <c r="X42" i="18" s="1"/>
  <c r="AC41" i="18" a="1"/>
  <c r="AC41" i="18" s="1"/>
  <c r="AD41" i="18" s="1"/>
  <c r="AC43" i="18" a="1"/>
  <c r="AC43" i="18" s="1"/>
  <c r="AD43" i="18" s="1"/>
  <c r="AG52" i="18" a="1"/>
  <c r="AG52" i="18" s="1"/>
  <c r="AH52" i="18" s="1"/>
  <c r="AC46" i="18" a="1"/>
  <c r="AC46" i="18" s="1"/>
  <c r="AD46" i="18" s="1"/>
  <c r="AG142" i="18" a="1"/>
  <c r="AG142" i="18" s="1"/>
  <c r="AH142" i="18" s="1"/>
  <c r="AG94" i="18" a="1"/>
  <c r="AG94" i="18" s="1"/>
  <c r="AH94" i="18" s="1"/>
  <c r="AG58" i="18" a="1"/>
  <c r="AG58" i="18" s="1"/>
  <c r="AH58" i="18" s="1"/>
  <c r="AC93" i="18" a="1"/>
  <c r="AC93" i="18" s="1"/>
  <c r="AD93" i="18" s="1"/>
  <c r="AC112" i="18" a="1"/>
  <c r="AC112" i="18" s="1"/>
  <c r="AD112" i="18" s="1"/>
  <c r="AC63" i="18" a="1"/>
  <c r="AC63" i="18" s="1"/>
  <c r="AD63" i="18" s="1"/>
  <c r="AG141" i="18" a="1"/>
  <c r="AG141" i="18" s="1"/>
  <c r="AH141" i="18" s="1"/>
  <c r="AG144" i="18" a="1"/>
  <c r="AG144" i="18" s="1"/>
  <c r="AH144" i="18" s="1"/>
  <c r="AC88" i="18" a="1"/>
  <c r="AC88" i="18" s="1"/>
  <c r="AD88" i="18" s="1"/>
  <c r="AC44" i="18" a="1"/>
  <c r="AC44" i="18" s="1"/>
  <c r="AD44" i="18" s="1"/>
  <c r="AG97" i="18" a="1"/>
  <c r="AG97" i="18" s="1"/>
  <c r="AH97" i="18" s="1"/>
  <c r="AC68" i="18" a="1"/>
  <c r="AC68" i="18" s="1"/>
  <c r="AD68" i="18" s="1"/>
  <c r="AG71" i="18" a="1"/>
  <c r="AG71" i="18" s="1"/>
  <c r="AH71" i="18" s="1"/>
  <c r="AC52" i="18" a="1"/>
  <c r="AC52" i="18" s="1"/>
  <c r="AD52" i="18" s="1"/>
  <c r="AG50" i="18" a="1"/>
  <c r="AG50" i="18" s="1"/>
  <c r="AH50" i="18" s="1"/>
  <c r="AG53" i="18" a="1"/>
  <c r="AG53" i="18" s="1"/>
  <c r="AH53" i="18" s="1"/>
  <c r="AC56" i="18" a="1"/>
  <c r="AC56" i="18" s="1"/>
  <c r="AD56" i="18" s="1"/>
  <c r="R125" i="18" a="1"/>
  <c r="R125" i="18" s="1"/>
  <c r="R65" i="18" a="1"/>
  <c r="R65" i="18" s="1"/>
  <c r="R68" i="18" a="1"/>
  <c r="R68" i="18" s="1"/>
  <c r="R69" i="18" a="1"/>
  <c r="R69" i="18" s="1"/>
  <c r="R71" i="18" a="1"/>
  <c r="R71" i="18" s="1"/>
  <c r="R63" i="18" a="1"/>
  <c r="R63" i="18" s="1"/>
  <c r="R57" i="18" a="1"/>
  <c r="R57" i="18" s="1"/>
  <c r="R58" i="18" a="1"/>
  <c r="R58" i="18" s="1"/>
  <c r="R70" i="18" a="1"/>
  <c r="R70" i="18" s="1"/>
  <c r="R66" i="18" a="1"/>
  <c r="R66" i="18" s="1"/>
  <c r="R64" i="18" a="1"/>
  <c r="R64" i="18" s="1"/>
  <c r="R59" i="18" a="1"/>
  <c r="R59" i="18" s="1"/>
  <c r="R60" i="18" a="1"/>
  <c r="R60" i="18" s="1"/>
  <c r="W63" i="18" a="1"/>
  <c r="W63" i="18" s="1"/>
  <c r="X63" i="18" s="1"/>
  <c r="S65" i="18" a="1"/>
  <c r="S65" i="18" s="1"/>
  <c r="AC171" i="18" a="1"/>
  <c r="AC171" i="18" s="1"/>
  <c r="AD171" i="18" s="1"/>
  <c r="AG92" i="18" a="1"/>
  <c r="AG92" i="18" s="1"/>
  <c r="AH92" i="18" s="1"/>
  <c r="AC58" i="18" a="1"/>
  <c r="AC58" i="18" s="1"/>
  <c r="AD58" i="18" s="1"/>
  <c r="AA63" i="18" a="1"/>
  <c r="AA63" i="18" s="1"/>
  <c r="AP63" i="18" a="1"/>
  <c r="AP63" i="18" s="1"/>
  <c r="S66" i="18" a="1"/>
  <c r="S66" i="18" s="1"/>
  <c r="S70" i="18" a="1"/>
  <c r="S70" i="18" s="1"/>
  <c r="S71" i="18" a="1"/>
  <c r="S71" i="18" s="1"/>
  <c r="S58" i="18" a="1"/>
  <c r="S58" i="18" s="1"/>
  <c r="S69" i="18" a="1"/>
  <c r="S69" i="18" s="1"/>
  <c r="S64" i="18" a="1"/>
  <c r="S64" i="18" s="1"/>
  <c r="S59" i="18" a="1"/>
  <c r="S59" i="18" s="1"/>
  <c r="S60" i="18" a="1"/>
  <c r="S60" i="18" s="1"/>
  <c r="S68" i="18" a="1"/>
  <c r="S68" i="18" s="1"/>
  <c r="S61" i="18" a="1"/>
  <c r="S61" i="18" s="1"/>
  <c r="S62" i="18" a="1"/>
  <c r="S62" i="18" s="1"/>
  <c r="AL116" i="18" a="1"/>
  <c r="AL116" i="18" s="1"/>
  <c r="AL71" i="18" a="1"/>
  <c r="AL71" i="18" s="1"/>
  <c r="AL68" i="18" a="1"/>
  <c r="AL68" i="18" s="1"/>
  <c r="AL62" i="18" a="1"/>
  <c r="AL62" i="18" s="1"/>
  <c r="AL69" i="18" a="1"/>
  <c r="AL69" i="18" s="1"/>
  <c r="AL63" i="18" a="1"/>
  <c r="AL63" i="18" s="1"/>
  <c r="AL65" i="18" a="1"/>
  <c r="AL65" i="18" s="1"/>
  <c r="AL57" i="18" a="1"/>
  <c r="AL57" i="18" s="1"/>
  <c r="AL70" i="18" a="1"/>
  <c r="AL70" i="18" s="1"/>
  <c r="AL58" i="18" a="1"/>
  <c r="AL58" i="18" s="1"/>
  <c r="AL64" i="18" a="1"/>
  <c r="AL64" i="18" s="1"/>
  <c r="AL59" i="18" a="1"/>
  <c r="AL59" i="18" s="1"/>
  <c r="AG147" i="18" a="1"/>
  <c r="AG147" i="18" s="1"/>
  <c r="AH147" i="18" s="1"/>
  <c r="AC161" i="18" a="1"/>
  <c r="AC161" i="18" s="1"/>
  <c r="AD161" i="18" s="1"/>
  <c r="AG121" i="18" a="1"/>
  <c r="AG121" i="18" s="1"/>
  <c r="AH121" i="18" s="1"/>
  <c r="AB58" i="18" a="1"/>
  <c r="AB58" i="18" s="1"/>
  <c r="AL66" i="18" a="1"/>
  <c r="AL66" i="18" s="1"/>
  <c r="Y68" i="18" a="1"/>
  <c r="Y68" i="18" s="1"/>
  <c r="AG154" i="18" a="1"/>
  <c r="AG154" i="18" s="1"/>
  <c r="AH154" i="18" s="1"/>
  <c r="AL60" i="18" a="1"/>
  <c r="AL60" i="18" s="1"/>
  <c r="AL61" i="18" a="1"/>
  <c r="AL61" i="18" s="1"/>
  <c r="AP89" i="18" a="1"/>
  <c r="AP89" i="18" s="1"/>
  <c r="AP66" i="18" a="1"/>
  <c r="AP66" i="18" s="1"/>
  <c r="AP69" i="18" a="1"/>
  <c r="AP69" i="18" s="1"/>
  <c r="AP70" i="18" a="1"/>
  <c r="AP70" i="18" s="1"/>
  <c r="AP71" i="18" a="1"/>
  <c r="AP71" i="18" s="1"/>
  <c r="AP65" i="18" a="1"/>
  <c r="AP65" i="18" s="1"/>
  <c r="AP58" i="18" a="1"/>
  <c r="AP58" i="18" s="1"/>
  <c r="AP64" i="18" a="1"/>
  <c r="AP64" i="18" s="1"/>
  <c r="AP59" i="18" a="1"/>
  <c r="AP59" i="18" s="1"/>
  <c r="AP68" i="18" a="1"/>
  <c r="AP68" i="18" s="1"/>
  <c r="AP60" i="18" a="1"/>
  <c r="AP60" i="18" s="1"/>
  <c r="AP61" i="18" a="1"/>
  <c r="AP61" i="18" s="1"/>
  <c r="AP62" i="18" a="1"/>
  <c r="AP62" i="18" s="1"/>
  <c r="AC124" i="18" a="1"/>
  <c r="AC124" i="18" s="1"/>
  <c r="AD124" i="18" s="1"/>
  <c r="Z60" i="18" a="1"/>
  <c r="Z60" i="18" s="1"/>
  <c r="AC61" i="18" a="1"/>
  <c r="AC61" i="18" s="1"/>
  <c r="AD61" i="18" s="1"/>
  <c r="Z61" i="18" a="1"/>
  <c r="Z61" i="18" s="1"/>
  <c r="AG64" i="18" a="1"/>
  <c r="AG64" i="18" s="1"/>
  <c r="AH64" i="18" s="1"/>
  <c r="AC70" i="18" a="1"/>
  <c r="AC70" i="18" s="1"/>
  <c r="AD70" i="18" s="1"/>
  <c r="W89" i="18" a="1"/>
  <c r="W89" i="18" s="1"/>
  <c r="X89" i="18" s="1"/>
  <c r="W66" i="18" a="1"/>
  <c r="W66" i="18" s="1"/>
  <c r="X66" i="18" s="1"/>
  <c r="W69" i="18" a="1"/>
  <c r="W69" i="18" s="1"/>
  <c r="X69" i="18" s="1"/>
  <c r="W70" i="18" a="1"/>
  <c r="W70" i="18" s="1"/>
  <c r="X70" i="18" s="1"/>
  <c r="W71" i="18" a="1"/>
  <c r="W71" i="18" s="1"/>
  <c r="X71" i="18" s="1"/>
  <c r="W68" i="18" a="1"/>
  <c r="W68" i="18" s="1"/>
  <c r="X68" i="18" s="1"/>
  <c r="W58" i="18" a="1"/>
  <c r="W58" i="18" s="1"/>
  <c r="X58" i="18" s="1"/>
  <c r="W65" i="18" a="1"/>
  <c r="W65" i="18" s="1"/>
  <c r="X65" i="18" s="1"/>
  <c r="W64" i="18" a="1"/>
  <c r="W64" i="18" s="1"/>
  <c r="X64" i="18" s="1"/>
  <c r="W59" i="18" a="1"/>
  <c r="W59" i="18" s="1"/>
  <c r="X59" i="18" s="1"/>
  <c r="W60" i="18" a="1"/>
  <c r="W60" i="18" s="1"/>
  <c r="X60" i="18" s="1"/>
  <c r="W61" i="18" a="1"/>
  <c r="W61" i="18" s="1"/>
  <c r="X61" i="18" s="1"/>
  <c r="W62" i="18" a="1"/>
  <c r="W62" i="18" s="1"/>
  <c r="X62" i="18" s="1"/>
  <c r="AB87" i="18" a="1"/>
  <c r="AB87" i="18" s="1"/>
  <c r="AB68" i="18" a="1"/>
  <c r="AB68" i="18" s="1"/>
  <c r="AB70" i="18" a="1"/>
  <c r="AB70" i="18" s="1"/>
  <c r="AB71" i="18" a="1"/>
  <c r="AB71" i="18" s="1"/>
  <c r="AB66" i="18" a="1"/>
  <c r="AB66" i="18" s="1"/>
  <c r="AB64" i="18" a="1"/>
  <c r="AB64" i="18" s="1"/>
  <c r="AB69" i="18" a="1"/>
  <c r="AB69" i="18" s="1"/>
  <c r="AB59" i="18" a="1"/>
  <c r="AB59" i="18" s="1"/>
  <c r="AB60" i="18" a="1"/>
  <c r="AB60" i="18" s="1"/>
  <c r="AB65" i="18" a="1"/>
  <c r="AB65" i="18" s="1"/>
  <c r="AB61" i="18" a="1"/>
  <c r="AB61" i="18" s="1"/>
  <c r="AB62" i="18" a="1"/>
  <c r="AB62" i="18" s="1"/>
  <c r="AB63" i="18" a="1"/>
  <c r="AB63" i="18" s="1"/>
  <c r="AC119" i="18" a="1"/>
  <c r="AC119" i="18" s="1"/>
  <c r="AD119" i="18" s="1"/>
  <c r="AG139" i="18" a="1"/>
  <c r="AG139" i="18" s="1"/>
  <c r="AH139" i="18" s="1"/>
  <c r="AG143" i="18" a="1"/>
  <c r="AG143" i="18" s="1"/>
  <c r="AH143" i="18" s="1"/>
  <c r="AC104" i="18" a="1"/>
  <c r="AC104" i="18" s="1"/>
  <c r="AD104" i="18" s="1"/>
  <c r="W57" i="18" a="1"/>
  <c r="W57" i="18" s="1"/>
  <c r="X57" i="18" s="1"/>
  <c r="AC60" i="18" a="1"/>
  <c r="AC60" i="18" s="1"/>
  <c r="AD60" i="18" s="1"/>
  <c r="S63" i="18" a="1"/>
  <c r="S63" i="18" s="1"/>
  <c r="AC64" i="18" a="1"/>
  <c r="AC64" i="18" s="1"/>
  <c r="AD64" i="18" s="1"/>
  <c r="AC66" i="18" a="1"/>
  <c r="AC66" i="18" s="1"/>
  <c r="AD66" i="18" s="1"/>
  <c r="Y92" i="18" a="1"/>
  <c r="Y92" i="18" s="1"/>
  <c r="Y69" i="18" a="1"/>
  <c r="Y69" i="18" s="1"/>
  <c r="Y70" i="18" a="1"/>
  <c r="Y70" i="18" s="1"/>
  <c r="Y65" i="18" a="1"/>
  <c r="Y65" i="18" s="1"/>
  <c r="Y66" i="18" a="1"/>
  <c r="Y66" i="18" s="1"/>
  <c r="Y60" i="18" a="1"/>
  <c r="Y60" i="18" s="1"/>
  <c r="Y61" i="18" a="1"/>
  <c r="Y61" i="18" s="1"/>
  <c r="Y71" i="18" a="1"/>
  <c r="Y71" i="18" s="1"/>
  <c r="Y62" i="18" a="1"/>
  <c r="Y62" i="18" s="1"/>
  <c r="Y63" i="18" a="1"/>
  <c r="Y63" i="18" s="1"/>
  <c r="Y57" i="18" a="1"/>
  <c r="Y57" i="18" s="1"/>
  <c r="Y58" i="18" a="1"/>
  <c r="Y58" i="18" s="1"/>
  <c r="AA94" i="18" a="1"/>
  <c r="AA94" i="18" s="1"/>
  <c r="AA66" i="18" a="1"/>
  <c r="AA66" i="18" s="1"/>
  <c r="AA69" i="18" a="1"/>
  <c r="AA69" i="18" s="1"/>
  <c r="AA70" i="18" a="1"/>
  <c r="AA70" i="18" s="1"/>
  <c r="AA71" i="18" a="1"/>
  <c r="AA71" i="18" s="1"/>
  <c r="AA57" i="18" a="1"/>
  <c r="AA57" i="18" s="1"/>
  <c r="AA58" i="18" a="1"/>
  <c r="AA58" i="18" s="1"/>
  <c r="AA64" i="18" a="1"/>
  <c r="AA64" i="18" s="1"/>
  <c r="AA59" i="18" a="1"/>
  <c r="AA59" i="18" s="1"/>
  <c r="AA60" i="18" a="1"/>
  <c r="AA60" i="18" s="1"/>
  <c r="AA68" i="18" a="1"/>
  <c r="AA68" i="18" s="1"/>
  <c r="AA65" i="18" a="1"/>
  <c r="AA65" i="18" s="1"/>
  <c r="AA61" i="18" a="1"/>
  <c r="AA61" i="18" s="1"/>
  <c r="AG134" i="18" a="1"/>
  <c r="AG134" i="18" s="1"/>
  <c r="AH134" i="18" s="1"/>
  <c r="Y59" i="18" a="1"/>
  <c r="Y59" i="18" s="1"/>
  <c r="R62" i="18" a="1"/>
  <c r="R62" i="18" s="1"/>
  <c r="AG68" i="18" a="1"/>
  <c r="AG68" i="18" s="1"/>
  <c r="AH68" i="18" s="1"/>
  <c r="Z71" i="18" a="1"/>
  <c r="Z71" i="18" s="1"/>
  <c r="Z68" i="18" a="1"/>
  <c r="Z68" i="18" s="1"/>
  <c r="Z62" i="18" a="1"/>
  <c r="Z62" i="18" s="1"/>
  <c r="Z63" i="18" a="1"/>
  <c r="Z63" i="18" s="1"/>
  <c r="Z69" i="18" a="1"/>
  <c r="Z69" i="18" s="1"/>
  <c r="Z66" i="18" a="1"/>
  <c r="Z66" i="18" s="1"/>
  <c r="Z57" i="18" a="1"/>
  <c r="Z57" i="18" s="1"/>
  <c r="Z58" i="18" a="1"/>
  <c r="Z58" i="18" s="1"/>
  <c r="Z70" i="18" a="1"/>
  <c r="Z70" i="18" s="1"/>
  <c r="Z64" i="18" a="1"/>
  <c r="Z64" i="18" s="1"/>
  <c r="Z59" i="18" a="1"/>
  <c r="Z59" i="18" s="1"/>
  <c r="AG179" i="18" a="1"/>
  <c r="AG179" i="18" s="1"/>
  <c r="AH179" i="18" s="1"/>
  <c r="AG88" i="18" a="1"/>
  <c r="AG88" i="18" s="1"/>
  <c r="AH88" i="18" s="1"/>
  <c r="AC89" i="18" a="1"/>
  <c r="AC89" i="18" s="1"/>
  <c r="AD89" i="18" s="1"/>
  <c r="AG89" i="18" a="1"/>
  <c r="AG89" i="18" s="1"/>
  <c r="AH89" i="18" s="1"/>
  <c r="AC57" i="18" a="1"/>
  <c r="AC57" i="18" s="1"/>
  <c r="AD57" i="18" s="1"/>
  <c r="R61" i="18" a="1"/>
  <c r="R61" i="18" s="1"/>
  <c r="AG95" i="18" a="1"/>
  <c r="AG95" i="18" s="1"/>
  <c r="AH95" i="18" s="1"/>
  <c r="AG96" i="18" a="1"/>
  <c r="AG96" i="18" s="1"/>
  <c r="AH96" i="18" s="1"/>
  <c r="AG112" i="18" a="1"/>
  <c r="AG112" i="18" s="1"/>
  <c r="AH112" i="18" s="1"/>
  <c r="AG113" i="18" a="1"/>
  <c r="AG113" i="18" s="1"/>
  <c r="AH113" i="18" s="1"/>
  <c r="AG90" i="18" a="1"/>
  <c r="AG90" i="18" s="1"/>
  <c r="AH90" i="18" s="1"/>
  <c r="AG111" i="18" a="1"/>
  <c r="AG111" i="18" s="1"/>
  <c r="AH111" i="18" s="1"/>
  <c r="AC101" i="18" a="1"/>
  <c r="AC101" i="18" s="1"/>
  <c r="AD101" i="18" s="1"/>
  <c r="AC102" i="18" a="1"/>
  <c r="AC102" i="18" s="1"/>
  <c r="AD102" i="18" s="1"/>
  <c r="AC103" i="18" a="1"/>
  <c r="AC103" i="18" s="1"/>
  <c r="AD103" i="18" s="1"/>
  <c r="AC107" i="18" a="1"/>
  <c r="AC107" i="18" s="1"/>
  <c r="AD107" i="18" s="1"/>
  <c r="AC108" i="18" a="1"/>
  <c r="AC108" i="18" s="1"/>
  <c r="AD108" i="18" s="1"/>
  <c r="AC109" i="18" a="1"/>
  <c r="AC109" i="18" s="1"/>
  <c r="AD109" i="18" s="1"/>
  <c r="AC110" i="18" a="1"/>
  <c r="AC110" i="18" s="1"/>
  <c r="AD110" i="18" s="1"/>
  <c r="AG106" i="18" a="1"/>
  <c r="AG106" i="18" s="1"/>
  <c r="AH106" i="18" s="1"/>
  <c r="AC106" i="18" a="1"/>
  <c r="AC106" i="18" s="1"/>
  <c r="AD106" i="18" s="1"/>
  <c r="AC153" i="18" a="1"/>
  <c r="AC153" i="18" s="1"/>
  <c r="AD153" i="18" s="1"/>
  <c r="AG157" i="18" a="1"/>
  <c r="AG157" i="18" s="1"/>
  <c r="AH157" i="18" s="1"/>
  <c r="AC90" i="18" a="1"/>
  <c r="AC90" i="18" s="1"/>
  <c r="AD90" i="18" s="1"/>
  <c r="AL121" i="18" a="1"/>
  <c r="AL121" i="18" s="1"/>
  <c r="AL109" i="18" a="1"/>
  <c r="AL109" i="18" s="1"/>
  <c r="AL101" i="18" a="1"/>
  <c r="AL101" i="18" s="1"/>
  <c r="AL110" i="18" a="1"/>
  <c r="AL110" i="18" s="1"/>
  <c r="AL102" i="18" a="1"/>
  <c r="AL102" i="18" s="1"/>
  <c r="AL111" i="18" a="1"/>
  <c r="AL111" i="18" s="1"/>
  <c r="AL103" i="18" a="1"/>
  <c r="AL103" i="18" s="1"/>
  <c r="AL95" i="18" a="1"/>
  <c r="AL95" i="18" s="1"/>
  <c r="AL112" i="18" a="1"/>
  <c r="AL112" i="18" s="1"/>
  <c r="AL104" i="18" a="1"/>
  <c r="AL104" i="18" s="1"/>
  <c r="AL96" i="18" a="1"/>
  <c r="AL96" i="18" s="1"/>
  <c r="AL113" i="18" a="1"/>
  <c r="AL113" i="18" s="1"/>
  <c r="AL105" i="18" a="1"/>
  <c r="AL105" i="18" s="1"/>
  <c r="AL97" i="18" a="1"/>
  <c r="AL97" i="18" s="1"/>
  <c r="AL106" i="18" a="1"/>
  <c r="AL106" i="18" s="1"/>
  <c r="AL98" i="18" a="1"/>
  <c r="AL98" i="18" s="1"/>
  <c r="AL107" i="18" a="1"/>
  <c r="AL107" i="18" s="1"/>
  <c r="AL99" i="18" a="1"/>
  <c r="AL99" i="18" s="1"/>
  <c r="AL87" i="18" a="1"/>
  <c r="AL87" i="18" s="1"/>
  <c r="AL88" i="18" a="1"/>
  <c r="AL88" i="18" s="1"/>
  <c r="AL100" i="18" a="1"/>
  <c r="AL100" i="18" s="1"/>
  <c r="AL89" i="18" a="1"/>
  <c r="AL89" i="18" s="1"/>
  <c r="AL90" i="18" a="1"/>
  <c r="AL90" i="18" s="1"/>
  <c r="AL139" i="18" a="1"/>
  <c r="AL139" i="18" s="1"/>
  <c r="AL94" i="18" a="1"/>
  <c r="AL94" i="18" s="1"/>
  <c r="AL91" i="18" a="1"/>
  <c r="AL91" i="18" s="1"/>
  <c r="AL92" i="18" a="1"/>
  <c r="AL92" i="18" s="1"/>
  <c r="AL93" i="18" a="1"/>
  <c r="AL93" i="18" s="1"/>
  <c r="AC174" i="18" a="1"/>
  <c r="AC174" i="18" s="1"/>
  <c r="AD174" i="18" s="1"/>
  <c r="AL108" i="18" a="1"/>
  <c r="AL108" i="18" s="1"/>
  <c r="S123" i="18" a="1"/>
  <c r="S123" i="18" s="1"/>
  <c r="S112" i="18" a="1"/>
  <c r="S112" i="18" s="1"/>
  <c r="S104" i="18" a="1"/>
  <c r="S104" i="18" s="1"/>
  <c r="S113" i="18" a="1"/>
  <c r="S113" i="18" s="1"/>
  <c r="S105" i="18" a="1"/>
  <c r="S105" i="18" s="1"/>
  <c r="S97" i="18" a="1"/>
  <c r="S97" i="18" s="1"/>
  <c r="S106" i="18" a="1"/>
  <c r="S106" i="18" s="1"/>
  <c r="S98" i="18" a="1"/>
  <c r="S98" i="18" s="1"/>
  <c r="S107" i="18" a="1"/>
  <c r="S107" i="18" s="1"/>
  <c r="S99" i="18" a="1"/>
  <c r="S99" i="18" s="1"/>
  <c r="S108" i="18" a="1"/>
  <c r="S108" i="18" s="1"/>
  <c r="S100" i="18" a="1"/>
  <c r="S100" i="18" s="1"/>
  <c r="S109" i="18" a="1"/>
  <c r="S109" i="18" s="1"/>
  <c r="S101" i="18" a="1"/>
  <c r="S101" i="18" s="1"/>
  <c r="S110" i="18" a="1"/>
  <c r="S110" i="18" s="1"/>
  <c r="S102" i="18" a="1"/>
  <c r="S102" i="18" s="1"/>
  <c r="S90" i="18" a="1"/>
  <c r="S90" i="18" s="1"/>
  <c r="S111" i="18" a="1"/>
  <c r="S111" i="18" s="1"/>
  <c r="S103" i="18" a="1"/>
  <c r="S103" i="18" s="1"/>
  <c r="S91" i="18" a="1"/>
  <c r="S91" i="18" s="1"/>
  <c r="S96" i="18" a="1"/>
  <c r="S96" i="18" s="1"/>
  <c r="S92" i="18" a="1"/>
  <c r="S92" i="18" s="1"/>
  <c r="S93" i="18" a="1"/>
  <c r="S93" i="18" s="1"/>
  <c r="S95" i="18" a="1"/>
  <c r="S95" i="18" s="1"/>
  <c r="S94" i="18" a="1"/>
  <c r="S94" i="18" s="1"/>
  <c r="S87" i="18" a="1"/>
  <c r="S87" i="18" s="1"/>
  <c r="S88" i="18" a="1"/>
  <c r="S88" i="18" s="1"/>
  <c r="AG148" i="18" a="1"/>
  <c r="AG148" i="18" s="1"/>
  <c r="AH148" i="18" s="1"/>
  <c r="R87" i="18" a="1"/>
  <c r="R87" i="18" s="1"/>
  <c r="AP122" i="18" a="1"/>
  <c r="AP122" i="18" s="1"/>
  <c r="AP112" i="18" a="1"/>
  <c r="AP112" i="18" s="1"/>
  <c r="AP104" i="18" a="1"/>
  <c r="AP104" i="18" s="1"/>
  <c r="AP113" i="18" a="1"/>
  <c r="AP113" i="18" s="1"/>
  <c r="AP105" i="18" a="1"/>
  <c r="AP105" i="18" s="1"/>
  <c r="AP97" i="18" a="1"/>
  <c r="AP97" i="18" s="1"/>
  <c r="AP106" i="18" a="1"/>
  <c r="AP106" i="18" s="1"/>
  <c r="AP98" i="18" a="1"/>
  <c r="AP98" i="18" s="1"/>
  <c r="AP107" i="18" a="1"/>
  <c r="AP107" i="18" s="1"/>
  <c r="AP99" i="18" a="1"/>
  <c r="AP99" i="18" s="1"/>
  <c r="AP108" i="18" a="1"/>
  <c r="AP108" i="18" s="1"/>
  <c r="AP100" i="18" a="1"/>
  <c r="AP100" i="18" s="1"/>
  <c r="AP109" i="18" a="1"/>
  <c r="AP109" i="18" s="1"/>
  <c r="AP101" i="18" a="1"/>
  <c r="AP101" i="18" s="1"/>
  <c r="AP110" i="18" a="1"/>
  <c r="AP110" i="18" s="1"/>
  <c r="AP102" i="18" a="1"/>
  <c r="AP102" i="18" s="1"/>
  <c r="AP94" i="18" a="1"/>
  <c r="AP94" i="18" s="1"/>
  <c r="AP90" i="18" a="1"/>
  <c r="AP90" i="18" s="1"/>
  <c r="AP91" i="18" a="1"/>
  <c r="AP91" i="18" s="1"/>
  <c r="AP92" i="18" a="1"/>
  <c r="AP92" i="18" s="1"/>
  <c r="AP93" i="18" a="1"/>
  <c r="AP93" i="18" s="1"/>
  <c r="AP119" i="18" a="1"/>
  <c r="AP119" i="18" s="1"/>
  <c r="AP95" i="18" a="1"/>
  <c r="AP95" i="18" s="1"/>
  <c r="AP87" i="18" a="1"/>
  <c r="AP87" i="18" s="1"/>
  <c r="AP111" i="18" a="1"/>
  <c r="AP111" i="18" s="1"/>
  <c r="AP103" i="18" a="1"/>
  <c r="AP103" i="18" s="1"/>
  <c r="AP96" i="18" a="1"/>
  <c r="AP96" i="18" s="1"/>
  <c r="AP88" i="18" a="1"/>
  <c r="AP88" i="18" s="1"/>
  <c r="AG151" i="18" a="1"/>
  <c r="AG151" i="18" s="1"/>
  <c r="AH151" i="18" s="1"/>
  <c r="AC156" i="18" a="1"/>
  <c r="AC156" i="18" s="1"/>
  <c r="AD156" i="18" s="1"/>
  <c r="S119" i="18" a="1"/>
  <c r="S119" i="18" s="1"/>
  <c r="AL124" i="18" a="1"/>
  <c r="AL124" i="18" s="1"/>
  <c r="AC129" i="18" a="1"/>
  <c r="AC129" i="18" s="1"/>
  <c r="AD129" i="18" s="1"/>
  <c r="R124" i="18" a="1"/>
  <c r="R124" i="18" s="1"/>
  <c r="R110" i="18" a="1"/>
  <c r="R110" i="18" s="1"/>
  <c r="R102" i="18" a="1"/>
  <c r="R102" i="18" s="1"/>
  <c r="R111" i="18" a="1"/>
  <c r="R111" i="18" s="1"/>
  <c r="R103" i="18" a="1"/>
  <c r="R103" i="18" s="1"/>
  <c r="R112" i="18" a="1"/>
  <c r="R112" i="18" s="1"/>
  <c r="R104" i="18" a="1"/>
  <c r="R104" i="18" s="1"/>
  <c r="R96" i="18" a="1"/>
  <c r="R96" i="18" s="1"/>
  <c r="R113" i="18" a="1"/>
  <c r="R113" i="18" s="1"/>
  <c r="R105" i="18" a="1"/>
  <c r="R105" i="18" s="1"/>
  <c r="R97" i="18" a="1"/>
  <c r="R97" i="18" s="1"/>
  <c r="R106" i="18" a="1"/>
  <c r="R106" i="18" s="1"/>
  <c r="R98" i="18" a="1"/>
  <c r="R98" i="18" s="1"/>
  <c r="R107" i="18" a="1"/>
  <c r="R107" i="18" s="1"/>
  <c r="R99" i="18" a="1"/>
  <c r="R99" i="18" s="1"/>
  <c r="R108" i="18" a="1"/>
  <c r="R108" i="18" s="1"/>
  <c r="R100" i="18" a="1"/>
  <c r="R100" i="18" s="1"/>
  <c r="R88" i="18" a="1"/>
  <c r="R88" i="18" s="1"/>
  <c r="R89" i="18" a="1"/>
  <c r="R89" i="18" s="1"/>
  <c r="R90" i="18" a="1"/>
  <c r="R90" i="18" s="1"/>
  <c r="R117" i="18" a="1"/>
  <c r="R117" i="18" s="1"/>
  <c r="R91" i="18" a="1"/>
  <c r="R91" i="18" s="1"/>
  <c r="R109" i="18" a="1"/>
  <c r="R109" i="18" s="1"/>
  <c r="R92" i="18" a="1"/>
  <c r="R92" i="18" s="1"/>
  <c r="R93" i="18" a="1"/>
  <c r="R93" i="18" s="1"/>
  <c r="R101" i="18" a="1"/>
  <c r="R101" i="18" s="1"/>
  <c r="R95" i="18" a="1"/>
  <c r="R95" i="18" s="1"/>
  <c r="R94" i="18" a="1"/>
  <c r="R94" i="18" s="1"/>
  <c r="AB118" i="18" a="1"/>
  <c r="AB118" i="18" s="1"/>
  <c r="AB113" i="18" a="1"/>
  <c r="AB113" i="18" s="1"/>
  <c r="AB105" i="18" a="1"/>
  <c r="AB105" i="18" s="1"/>
  <c r="AB106" i="18" a="1"/>
  <c r="AB106" i="18" s="1"/>
  <c r="AB98" i="18" a="1"/>
  <c r="AB98" i="18" s="1"/>
  <c r="AB107" i="18" a="1"/>
  <c r="AB107" i="18" s="1"/>
  <c r="AB99" i="18" a="1"/>
  <c r="AB99" i="18" s="1"/>
  <c r="AB108" i="18" a="1"/>
  <c r="AB108" i="18" s="1"/>
  <c r="AB100" i="18" a="1"/>
  <c r="AB100" i="18" s="1"/>
  <c r="AB109" i="18" a="1"/>
  <c r="AB109" i="18" s="1"/>
  <c r="AB101" i="18" a="1"/>
  <c r="AB101" i="18" s="1"/>
  <c r="AB110" i="18" a="1"/>
  <c r="AB110" i="18" s="1"/>
  <c r="AB102" i="18" a="1"/>
  <c r="AB102" i="18" s="1"/>
  <c r="AB111" i="18" a="1"/>
  <c r="AB111" i="18" s="1"/>
  <c r="AB103" i="18" a="1"/>
  <c r="AB103" i="18" s="1"/>
  <c r="AB95" i="18" a="1"/>
  <c r="AB95" i="18" s="1"/>
  <c r="AB96" i="18" a="1"/>
  <c r="AB96" i="18" s="1"/>
  <c r="AB91" i="18" a="1"/>
  <c r="AB91" i="18" s="1"/>
  <c r="AB112" i="18" a="1"/>
  <c r="AB112" i="18" s="1"/>
  <c r="AB92" i="18" a="1"/>
  <c r="AB92" i="18" s="1"/>
  <c r="AB104" i="18" a="1"/>
  <c r="AB104" i="18" s="1"/>
  <c r="AB93" i="18" a="1"/>
  <c r="AB93" i="18" s="1"/>
  <c r="AB97" i="18" a="1"/>
  <c r="AB97" i="18" s="1"/>
  <c r="AB88" i="18" a="1"/>
  <c r="AB88" i="18" s="1"/>
  <c r="AB94" i="18" a="1"/>
  <c r="AB94" i="18" s="1"/>
  <c r="AB89" i="18" a="1"/>
  <c r="AB89" i="18" s="1"/>
  <c r="AG160" i="18" a="1"/>
  <c r="AG160" i="18" s="1"/>
  <c r="AH160" i="18" s="1"/>
  <c r="AG91" i="18" a="1"/>
  <c r="AG91" i="18" s="1"/>
  <c r="AH91" i="18" s="1"/>
  <c r="AC92" i="18" a="1"/>
  <c r="AC92" i="18" s="1"/>
  <c r="AD92" i="18" s="1"/>
  <c r="W122" i="18" a="1"/>
  <c r="W122" i="18" s="1"/>
  <c r="X122" i="18" s="1"/>
  <c r="W112" i="18" a="1"/>
  <c r="W112" i="18" s="1"/>
  <c r="X112" i="18" s="1"/>
  <c r="W104" i="18" a="1"/>
  <c r="W104" i="18" s="1"/>
  <c r="X104" i="18" s="1"/>
  <c r="W113" i="18" a="1"/>
  <c r="W113" i="18" s="1"/>
  <c r="X113" i="18" s="1"/>
  <c r="W105" i="18" a="1"/>
  <c r="W105" i="18" s="1"/>
  <c r="X105" i="18" s="1"/>
  <c r="W97" i="18" a="1"/>
  <c r="W97" i="18" s="1"/>
  <c r="X97" i="18" s="1"/>
  <c r="W106" i="18" a="1"/>
  <c r="W106" i="18" s="1"/>
  <c r="X106" i="18" s="1"/>
  <c r="W98" i="18" a="1"/>
  <c r="W98" i="18" s="1"/>
  <c r="X98" i="18" s="1"/>
  <c r="W107" i="18" a="1"/>
  <c r="W107" i="18" s="1"/>
  <c r="X107" i="18" s="1"/>
  <c r="W99" i="18" a="1"/>
  <c r="W99" i="18" s="1"/>
  <c r="X99" i="18" s="1"/>
  <c r="W108" i="18" a="1"/>
  <c r="W108" i="18" s="1"/>
  <c r="X108" i="18" s="1"/>
  <c r="W100" i="18" a="1"/>
  <c r="W100" i="18" s="1"/>
  <c r="X100" i="18" s="1"/>
  <c r="W109" i="18" a="1"/>
  <c r="W109" i="18" s="1"/>
  <c r="X109" i="18" s="1"/>
  <c r="W101" i="18" a="1"/>
  <c r="W101" i="18" s="1"/>
  <c r="X101" i="18" s="1"/>
  <c r="W110" i="18" a="1"/>
  <c r="W110" i="18" s="1"/>
  <c r="X110" i="18" s="1"/>
  <c r="W102" i="18" a="1"/>
  <c r="W102" i="18" s="1"/>
  <c r="X102" i="18" s="1"/>
  <c r="W94" i="18" a="1"/>
  <c r="W94" i="18" s="1"/>
  <c r="X94" i="18" s="1"/>
  <c r="W90" i="18" a="1"/>
  <c r="W90" i="18" s="1"/>
  <c r="X90" i="18" s="1"/>
  <c r="W91" i="18" a="1"/>
  <c r="W91" i="18" s="1"/>
  <c r="X91" i="18" s="1"/>
  <c r="W119" i="18" a="1"/>
  <c r="W119" i="18" s="1"/>
  <c r="X119" i="18" s="1"/>
  <c r="W92" i="18" a="1"/>
  <c r="W92" i="18" s="1"/>
  <c r="X92" i="18" s="1"/>
  <c r="W93" i="18" a="1"/>
  <c r="W93" i="18" s="1"/>
  <c r="X93" i="18" s="1"/>
  <c r="W96" i="18" a="1"/>
  <c r="W96" i="18" s="1"/>
  <c r="X96" i="18" s="1"/>
  <c r="W87" i="18" a="1"/>
  <c r="W87" i="18" s="1"/>
  <c r="X87" i="18" s="1"/>
  <c r="W127" i="18" a="1"/>
  <c r="W127" i="18" s="1"/>
  <c r="X127" i="18" s="1"/>
  <c r="W111" i="18" a="1"/>
  <c r="W111" i="18" s="1"/>
  <c r="X111" i="18" s="1"/>
  <c r="W103" i="18" a="1"/>
  <c r="W103" i="18" s="1"/>
  <c r="X103" i="18" s="1"/>
  <c r="W95" i="18" a="1"/>
  <c r="W95" i="18" s="1"/>
  <c r="X95" i="18" s="1"/>
  <c r="W88" i="18" a="1"/>
  <c r="W88" i="18" s="1"/>
  <c r="X88" i="18" s="1"/>
  <c r="AA122" i="18" a="1"/>
  <c r="AA122" i="18" s="1"/>
  <c r="AA111" i="18" a="1"/>
  <c r="AA111" i="18" s="1"/>
  <c r="AA103" i="18" a="1"/>
  <c r="AA103" i="18" s="1"/>
  <c r="AA112" i="18" a="1"/>
  <c r="AA112" i="18" s="1"/>
  <c r="AA104" i="18" a="1"/>
  <c r="AA104" i="18" s="1"/>
  <c r="AA96" i="18" a="1"/>
  <c r="AA96" i="18" s="1"/>
  <c r="AA113" i="18" a="1"/>
  <c r="AA113" i="18" s="1"/>
  <c r="AA105" i="18" a="1"/>
  <c r="AA105" i="18" s="1"/>
  <c r="AA97" i="18" a="1"/>
  <c r="AA97" i="18" s="1"/>
  <c r="AA106" i="18" a="1"/>
  <c r="AA106" i="18" s="1"/>
  <c r="AA98" i="18" a="1"/>
  <c r="AA98" i="18" s="1"/>
  <c r="AA107" i="18" a="1"/>
  <c r="AA107" i="18" s="1"/>
  <c r="AA99" i="18" a="1"/>
  <c r="AA99" i="18" s="1"/>
  <c r="AA108" i="18" a="1"/>
  <c r="AA108" i="18" s="1"/>
  <c r="AA100" i="18" a="1"/>
  <c r="AA100" i="18" s="1"/>
  <c r="AA109" i="18" a="1"/>
  <c r="AA109" i="18" s="1"/>
  <c r="AA101" i="18" a="1"/>
  <c r="AA101" i="18" s="1"/>
  <c r="AA102" i="18" a="1"/>
  <c r="AA102" i="18" s="1"/>
  <c r="AA89" i="18" a="1"/>
  <c r="AA89" i="18" s="1"/>
  <c r="AA95" i="18" a="1"/>
  <c r="AA95" i="18" s="1"/>
  <c r="AA90" i="18" a="1"/>
  <c r="AA90" i="18" s="1"/>
  <c r="AA91" i="18" a="1"/>
  <c r="AA91" i="18" s="1"/>
  <c r="AA92" i="18" a="1"/>
  <c r="AA92" i="18" s="1"/>
  <c r="AA93" i="18" a="1"/>
  <c r="AA93" i="18" s="1"/>
  <c r="AA110" i="18" a="1"/>
  <c r="AA110" i="18" s="1"/>
  <c r="AA87" i="18" a="1"/>
  <c r="AA87" i="18" s="1"/>
  <c r="AC202" i="18" a="1"/>
  <c r="AC202" i="18" s="1"/>
  <c r="AD202" i="18" s="1"/>
  <c r="AG146" i="18" a="1"/>
  <c r="AG146" i="18" s="1"/>
  <c r="AH146" i="18" s="1"/>
  <c r="AG155" i="18" a="1"/>
  <c r="AG155" i="18" s="1"/>
  <c r="AH155" i="18" s="1"/>
  <c r="Y121" i="18" a="1"/>
  <c r="Y121" i="18" s="1"/>
  <c r="Y107" i="18" a="1"/>
  <c r="Y107" i="18" s="1"/>
  <c r="Y99" i="18" a="1"/>
  <c r="Y99" i="18" s="1"/>
  <c r="Y108" i="18" a="1"/>
  <c r="Y108" i="18" s="1"/>
  <c r="Y100" i="18" a="1"/>
  <c r="Y100" i="18" s="1"/>
  <c r="Y109" i="18" a="1"/>
  <c r="Y109" i="18" s="1"/>
  <c r="Y101" i="18" a="1"/>
  <c r="Y101" i="18" s="1"/>
  <c r="Y110" i="18" a="1"/>
  <c r="Y110" i="18" s="1"/>
  <c r="Y102" i="18" a="1"/>
  <c r="Y102" i="18" s="1"/>
  <c r="Y111" i="18" a="1"/>
  <c r="Y111" i="18" s="1"/>
  <c r="Y103" i="18" a="1"/>
  <c r="Y103" i="18" s="1"/>
  <c r="Y112" i="18" a="1"/>
  <c r="Y112" i="18" s="1"/>
  <c r="Y104" i="18" a="1"/>
  <c r="Y104" i="18" s="1"/>
  <c r="Y113" i="18" a="1"/>
  <c r="Y113" i="18" s="1"/>
  <c r="Y105" i="18" a="1"/>
  <c r="Y105" i="18" s="1"/>
  <c r="Y97" i="18" a="1"/>
  <c r="Y97" i="18" s="1"/>
  <c r="Y93" i="18" a="1"/>
  <c r="Y93" i="18" s="1"/>
  <c r="Y114" i="18" a="1"/>
  <c r="Y114" i="18" s="1"/>
  <c r="Y106" i="18" a="1"/>
  <c r="Y106" i="18" s="1"/>
  <c r="Y94" i="18" a="1"/>
  <c r="Y94" i="18" s="1"/>
  <c r="Y87" i="18" a="1"/>
  <c r="Y87" i="18" s="1"/>
  <c r="Y96" i="18" a="1"/>
  <c r="Y96" i="18" s="1"/>
  <c r="Y88" i="18" a="1"/>
  <c r="Y88" i="18" s="1"/>
  <c r="Y122" i="18" a="1"/>
  <c r="Y122" i="18" s="1"/>
  <c r="Y95" i="18" a="1"/>
  <c r="Y95" i="18" s="1"/>
  <c r="Y89" i="18" a="1"/>
  <c r="Y89" i="18" s="1"/>
  <c r="Y90" i="18" a="1"/>
  <c r="Y90" i="18" s="1"/>
  <c r="Y98" i="18" a="1"/>
  <c r="Y98" i="18" s="1"/>
  <c r="Y91" i="18" a="1"/>
  <c r="Y91" i="18" s="1"/>
  <c r="Z120" i="18" a="1"/>
  <c r="Z120" i="18" s="1"/>
  <c r="Z109" i="18" a="1"/>
  <c r="Z109" i="18" s="1"/>
  <c r="Z101" i="18" a="1"/>
  <c r="Z101" i="18" s="1"/>
  <c r="Z110" i="18" a="1"/>
  <c r="Z110" i="18" s="1"/>
  <c r="Z102" i="18" a="1"/>
  <c r="Z102" i="18" s="1"/>
  <c r="Z111" i="18" a="1"/>
  <c r="Z111" i="18" s="1"/>
  <c r="Z103" i="18" a="1"/>
  <c r="Z103" i="18" s="1"/>
  <c r="Z95" i="18" a="1"/>
  <c r="Z95" i="18" s="1"/>
  <c r="Z112" i="18" a="1"/>
  <c r="Z112" i="18" s="1"/>
  <c r="Z104" i="18" a="1"/>
  <c r="Z104" i="18" s="1"/>
  <c r="Z96" i="18" a="1"/>
  <c r="Z96" i="18" s="1"/>
  <c r="Z113" i="18" a="1"/>
  <c r="Z113" i="18" s="1"/>
  <c r="Z105" i="18" a="1"/>
  <c r="Z105" i="18" s="1"/>
  <c r="Z97" i="18" a="1"/>
  <c r="Z97" i="18" s="1"/>
  <c r="Z106" i="18" a="1"/>
  <c r="Z106" i="18" s="1"/>
  <c r="Z98" i="18" a="1"/>
  <c r="Z98" i="18" s="1"/>
  <c r="Z107" i="18" a="1"/>
  <c r="Z107" i="18" s="1"/>
  <c r="Z99" i="18" a="1"/>
  <c r="Z99" i="18" s="1"/>
  <c r="Z100" i="18" a="1"/>
  <c r="Z100" i="18" s="1"/>
  <c r="Z87" i="18" a="1"/>
  <c r="Z87" i="18" s="1"/>
  <c r="Z94" i="18" a="1"/>
  <c r="Z94" i="18" s="1"/>
  <c r="Z88" i="18" a="1"/>
  <c r="Z88" i="18" s="1"/>
  <c r="Z89" i="18" a="1"/>
  <c r="Z89" i="18" s="1"/>
  <c r="Z90" i="18" a="1"/>
  <c r="Z90" i="18" s="1"/>
  <c r="Z91" i="18" a="1"/>
  <c r="Z91" i="18" s="1"/>
  <c r="Z108" i="18" a="1"/>
  <c r="Z108" i="18" s="1"/>
  <c r="Z92" i="18" a="1"/>
  <c r="Z92" i="18" s="1"/>
  <c r="Z93" i="18" a="1"/>
  <c r="Z93" i="18" s="1"/>
  <c r="AA88" i="18" a="1"/>
  <c r="AA88" i="18" s="1"/>
  <c r="S89" i="18" a="1"/>
  <c r="S89" i="18" s="1"/>
  <c r="AB90" i="18" a="1"/>
  <c r="AB90" i="18" s="1"/>
  <c r="AC91" i="18" a="1"/>
  <c r="AC91" i="18" s="1"/>
  <c r="AD91" i="18" s="1"/>
  <c r="AC99" i="18" a="1"/>
  <c r="AC99" i="18" s="1"/>
  <c r="AD99" i="18" s="1"/>
  <c r="AG99" i="18" a="1"/>
  <c r="AG99" i="18" s="1"/>
  <c r="AH99" i="18" s="1"/>
  <c r="AC100" i="18" a="1"/>
  <c r="AC100" i="18" s="1"/>
  <c r="AD100" i="18" s="1"/>
  <c r="AG115" i="18" a="1"/>
  <c r="AG115" i="18" s="1"/>
  <c r="AH115" i="18" s="1"/>
  <c r="AC118" i="18" a="1"/>
  <c r="AC118" i="18" s="1"/>
  <c r="AD118" i="18" s="1"/>
  <c r="AC120" i="18" a="1"/>
  <c r="AC120" i="18" s="1"/>
  <c r="AD120" i="18" s="1"/>
  <c r="AG135" i="18" a="1"/>
  <c r="AG135" i="18" s="1"/>
  <c r="AH135" i="18" s="1"/>
  <c r="AG137" i="18" a="1"/>
  <c r="AG137" i="18" s="1"/>
  <c r="AH137" i="18" s="1"/>
  <c r="AC138" i="18" a="1"/>
  <c r="AC138" i="18" s="1"/>
  <c r="AD138" i="18" s="1"/>
  <c r="AC139" i="18" a="1"/>
  <c r="AC139" i="18" s="1"/>
  <c r="AD139" i="18" s="1"/>
  <c r="AC142" i="18" a="1"/>
  <c r="AC142" i="18" s="1"/>
  <c r="AD142" i="18" s="1"/>
  <c r="AC97" i="18" a="1"/>
  <c r="AC97" i="18" s="1"/>
  <c r="AD97" i="18" s="1"/>
  <c r="AG98" i="18" a="1"/>
  <c r="AG98" i="18" s="1"/>
  <c r="AH98" i="18" s="1"/>
  <c r="AC94" i="18" a="1"/>
  <c r="AC94" i="18" s="1"/>
  <c r="AD94" i="18" s="1"/>
  <c r="AC98" i="18" a="1"/>
  <c r="AC98" i="18" s="1"/>
  <c r="AD98" i="18" s="1"/>
  <c r="AC162" i="18" a="1"/>
  <c r="AC162" i="18" s="1"/>
  <c r="AD162" i="18" s="1"/>
  <c r="AC168" i="18" a="1"/>
  <c r="AC168" i="18" s="1"/>
  <c r="AD168" i="18" s="1"/>
  <c r="AC140" i="18" a="1"/>
  <c r="AC140" i="18" s="1"/>
  <c r="AD140" i="18" s="1"/>
  <c r="AC141" i="18" a="1"/>
  <c r="AC141" i="18" s="1"/>
  <c r="AD141" i="18" s="1"/>
  <c r="AG93" i="18" a="1"/>
  <c r="AG93" i="18" s="1"/>
  <c r="AH93" i="18" s="1"/>
  <c r="AG105" i="18" a="1"/>
  <c r="AG105" i="18" s="1"/>
  <c r="AH105" i="18" s="1"/>
  <c r="AC111" i="18" a="1"/>
  <c r="AC111" i="18" s="1"/>
  <c r="AD111" i="18" s="1"/>
  <c r="AG172" i="18" a="1"/>
  <c r="AG172" i="18" s="1"/>
  <c r="AH172" i="18" s="1"/>
  <c r="AG128" i="18" a="1"/>
  <c r="AG128" i="18" s="1"/>
  <c r="AH128" i="18" s="1"/>
  <c r="AG131" i="18" a="1"/>
  <c r="AG131" i="18" s="1"/>
  <c r="AH131" i="18" s="1"/>
  <c r="AG132" i="18" a="1"/>
  <c r="AG132" i="18" s="1"/>
  <c r="AH132" i="18" s="1"/>
  <c r="AG166" i="18" a="1"/>
  <c r="AG166" i="18" s="1"/>
  <c r="AH166" i="18" s="1"/>
  <c r="AG123" i="18" a="1"/>
  <c r="AG123" i="18" s="1"/>
  <c r="AH123" i="18" s="1"/>
  <c r="AC125" i="18" a="1"/>
  <c r="AC125" i="18" s="1"/>
  <c r="AD125" i="18" s="1"/>
  <c r="AG126" i="18" a="1"/>
  <c r="AG126" i="18" s="1"/>
  <c r="AH126" i="18" s="1"/>
  <c r="AC130" i="18" a="1"/>
  <c r="AC130" i="18" s="1"/>
  <c r="AD130" i="18" s="1"/>
  <c r="AG102" i="18" a="1"/>
  <c r="AG102" i="18" s="1"/>
  <c r="AH102" i="18" s="1"/>
  <c r="AC105" i="18" a="1"/>
  <c r="AC105" i="18" s="1"/>
  <c r="AD105" i="18" s="1"/>
  <c r="AG110" i="18" a="1"/>
  <c r="AG110" i="18" s="1"/>
  <c r="AH110" i="18" s="1"/>
  <c r="AC113" i="18" a="1"/>
  <c r="AC113" i="18" s="1"/>
  <c r="AD113" i="18" s="1"/>
  <c r="AG107" i="18" a="1"/>
  <c r="AG107" i="18" s="1"/>
  <c r="AH107" i="18" s="1"/>
  <c r="AG114" i="18" a="1"/>
  <c r="AG114" i="18" s="1"/>
  <c r="AH114" i="18" s="1"/>
  <c r="AC115" i="18" a="1"/>
  <c r="AC115" i="18" s="1"/>
  <c r="AD115" i="18" s="1"/>
  <c r="AG122" i="18" a="1"/>
  <c r="AG122" i="18" s="1"/>
  <c r="AH122" i="18" s="1"/>
  <c r="AC123" i="18" a="1"/>
  <c r="AC123" i="18" s="1"/>
  <c r="AD123" i="18" s="1"/>
  <c r="AC189" i="18" a="1"/>
  <c r="AC189" i="18" s="1"/>
  <c r="AD189" i="18" s="1"/>
  <c r="AG150" i="18" a="1"/>
  <c r="AG150" i="18" s="1"/>
  <c r="AH150" i="18" s="1"/>
  <c r="AG162" i="18" a="1"/>
  <c r="AG162" i="18" s="1"/>
  <c r="AH162" i="18" s="1"/>
  <c r="AG174" i="18" a="1"/>
  <c r="AG174" i="18" s="1"/>
  <c r="AH174" i="18" s="1"/>
  <c r="AG175" i="18" a="1"/>
  <c r="AG175" i="18" s="1"/>
  <c r="AH175" i="18" s="1"/>
  <c r="Y115" i="18" a="1"/>
  <c r="Y115" i="18" s="1"/>
  <c r="Z117" i="18" a="1"/>
  <c r="Z117" i="18" s="1"/>
  <c r="AL117" i="18" a="1"/>
  <c r="AL117" i="18" s="1"/>
  <c r="R118" i="18" a="1"/>
  <c r="R118" i="18" s="1"/>
  <c r="AA119" i="18" a="1"/>
  <c r="AA119" i="18" s="1"/>
  <c r="S120" i="18" a="1"/>
  <c r="S120" i="18" s="1"/>
  <c r="W120" i="18" a="1"/>
  <c r="W120" i="18" s="1"/>
  <c r="X120" i="18" s="1"/>
  <c r="AG120" i="18" a="1"/>
  <c r="AG120" i="18" s="1"/>
  <c r="AH120" i="18" s="1"/>
  <c r="AP120" i="18" a="1"/>
  <c r="AP120" i="18" s="1"/>
  <c r="AB121" i="18" a="1"/>
  <c r="AB121" i="18" s="1"/>
  <c r="Y123" i="18" a="1"/>
  <c r="Y123" i="18" s="1"/>
  <c r="AA125" i="18" a="1"/>
  <c r="AA125" i="18" s="1"/>
  <c r="S126" i="18" a="1"/>
  <c r="S126" i="18" s="1"/>
  <c r="AA126" i="18" a="1"/>
  <c r="AA126" i="18" s="1"/>
  <c r="AP127" i="18" a="1"/>
  <c r="AP127" i="18" s="1"/>
  <c r="AG129" i="18" a="1"/>
  <c r="AG129" i="18" s="1"/>
  <c r="AH129" i="18" s="1"/>
  <c r="Y129" i="18" a="1"/>
  <c r="Y129" i="18" s="1"/>
  <c r="S134" i="18" a="1"/>
  <c r="S134" i="18" s="1"/>
  <c r="AC143" i="18" a="1"/>
  <c r="AC143" i="18" s="1"/>
  <c r="AD143" i="18" s="1"/>
  <c r="AC114" i="18" a="1"/>
  <c r="AC114" i="18" s="1"/>
  <c r="AD114" i="18" s="1"/>
  <c r="Z116" i="18" a="1"/>
  <c r="Z116" i="18" s="1"/>
  <c r="AA118" i="18" a="1"/>
  <c r="AA118" i="18" s="1"/>
  <c r="AB120" i="18" a="1"/>
  <c r="AB120" i="18" s="1"/>
  <c r="AC122" i="18" a="1"/>
  <c r="AC122" i="18" s="1"/>
  <c r="AD122" i="18" s="1"/>
  <c r="Z124" i="18" a="1"/>
  <c r="Z124" i="18" s="1"/>
  <c r="AB125" i="18" a="1"/>
  <c r="AB125" i="18" s="1"/>
  <c r="AC128" i="18" a="1"/>
  <c r="AC128" i="18" s="1"/>
  <c r="AD128" i="18" s="1"/>
  <c r="AC184" i="18" a="1"/>
  <c r="AC184" i="18" s="1"/>
  <c r="AD184" i="18" s="1"/>
  <c r="AC148" i="18" a="1"/>
  <c r="AC148" i="18" s="1"/>
  <c r="AD148" i="18" s="1"/>
  <c r="AC163" i="18" a="1"/>
  <c r="AC163" i="18" s="1"/>
  <c r="AD163" i="18" s="1"/>
  <c r="AC164" i="18" a="1"/>
  <c r="AC164" i="18" s="1"/>
  <c r="AD164" i="18" s="1"/>
  <c r="Z115" i="18" a="1"/>
  <c r="Z115" i="18" s="1"/>
  <c r="AL115" i="18" a="1"/>
  <c r="AL115" i="18" s="1"/>
  <c r="R116" i="18" a="1"/>
  <c r="R116" i="18" s="1"/>
  <c r="AA117" i="18" a="1"/>
  <c r="AA117" i="18" s="1"/>
  <c r="S118" i="18" a="1"/>
  <c r="S118" i="18" s="1"/>
  <c r="W118" i="18" a="1"/>
  <c r="W118" i="18" s="1"/>
  <c r="X118" i="18" s="1"/>
  <c r="AG118" i="18" a="1"/>
  <c r="AG118" i="18" s="1"/>
  <c r="AH118" i="18" s="1"/>
  <c r="AP118" i="18" a="1"/>
  <c r="AP118" i="18" s="1"/>
  <c r="AB119" i="18" a="1"/>
  <c r="AB119" i="18" s="1"/>
  <c r="AC121" i="18" a="1"/>
  <c r="AC121" i="18" s="1"/>
  <c r="AD121" i="18" s="1"/>
  <c r="Z123" i="18" a="1"/>
  <c r="Z123" i="18" s="1"/>
  <c r="AL123" i="18" a="1"/>
  <c r="AL123" i="18" s="1"/>
  <c r="AL131" i="18" a="1"/>
  <c r="AL131" i="18" s="1"/>
  <c r="AA133" i="18" a="1"/>
  <c r="AA133" i="18" s="1"/>
  <c r="AA141" i="18" a="1"/>
  <c r="AA141" i="18" s="1"/>
  <c r="W142" i="18" a="1"/>
  <c r="W142" i="18" s="1"/>
  <c r="X142" i="18" s="1"/>
  <c r="AP142" i="18" a="1"/>
  <c r="AP142" i="18" s="1"/>
  <c r="R141" i="18" a="1"/>
  <c r="R141" i="18" s="1"/>
  <c r="R133" i="18" a="1"/>
  <c r="R133" i="18" s="1"/>
  <c r="R142" i="18" a="1"/>
  <c r="R142" i="18" s="1"/>
  <c r="R134" i="18" a="1"/>
  <c r="R134" i="18" s="1"/>
  <c r="R126" i="18" a="1"/>
  <c r="R126" i="18" s="1"/>
  <c r="R143" i="18" a="1"/>
  <c r="R143" i="18" s="1"/>
  <c r="R135" i="18" a="1"/>
  <c r="R135" i="18" s="1"/>
  <c r="R127" i="18" a="1"/>
  <c r="R127" i="18" s="1"/>
  <c r="R144" i="18" a="1"/>
  <c r="R144" i="18" s="1"/>
  <c r="R136" i="18" a="1"/>
  <c r="R136" i="18" s="1"/>
  <c r="R128" i="18" a="1"/>
  <c r="R128" i="18" s="1"/>
  <c r="R137" i="18" a="1"/>
  <c r="R137" i="18" s="1"/>
  <c r="R129" i="18" a="1"/>
  <c r="R129" i="18" s="1"/>
  <c r="R138" i="18" a="1"/>
  <c r="R138" i="18" s="1"/>
  <c r="R130" i="18" a="1"/>
  <c r="R130" i="18" s="1"/>
  <c r="R139" i="18" a="1"/>
  <c r="R139" i="18" s="1"/>
  <c r="R131" i="18" a="1"/>
  <c r="R131" i="18" s="1"/>
  <c r="Y138" i="18" a="1"/>
  <c r="Y138" i="18" s="1"/>
  <c r="Y130" i="18" a="1"/>
  <c r="Y130" i="18" s="1"/>
  <c r="Y139" i="18" a="1"/>
  <c r="Y139" i="18" s="1"/>
  <c r="Y131" i="18" a="1"/>
  <c r="Y131" i="18" s="1"/>
  <c r="Y140" i="18" a="1"/>
  <c r="Y140" i="18" s="1"/>
  <c r="Y132" i="18" a="1"/>
  <c r="Y132" i="18" s="1"/>
  <c r="Y141" i="18" a="1"/>
  <c r="Y141" i="18" s="1"/>
  <c r="Y133" i="18" a="1"/>
  <c r="Y133" i="18" s="1"/>
  <c r="Y142" i="18" a="1"/>
  <c r="Y142" i="18" s="1"/>
  <c r="Y134" i="18" a="1"/>
  <c r="Y134" i="18" s="1"/>
  <c r="Y143" i="18" a="1"/>
  <c r="Y143" i="18" s="1"/>
  <c r="Y135" i="18" a="1"/>
  <c r="Y135" i="18" s="1"/>
  <c r="Y144" i="18" a="1"/>
  <c r="Y144" i="18" s="1"/>
  <c r="Y136" i="18" a="1"/>
  <c r="Y136" i="18" s="1"/>
  <c r="Y128" i="18" a="1"/>
  <c r="Y128" i="18" s="1"/>
  <c r="AG193" i="18" a="1"/>
  <c r="AG193" i="18" s="1"/>
  <c r="AH193" i="18" s="1"/>
  <c r="AG202" i="18" a="1"/>
  <c r="AG202" i="18" s="1"/>
  <c r="AH202" i="18" s="1"/>
  <c r="AC145" i="18" a="1"/>
  <c r="AC145" i="18" s="1"/>
  <c r="AD145" i="18" s="1"/>
  <c r="Z114" i="18" a="1"/>
  <c r="Z114" i="18" s="1"/>
  <c r="AL114" i="18" a="1"/>
  <c r="AL114" i="18" s="1"/>
  <c r="R115" i="18" a="1"/>
  <c r="R115" i="18" s="1"/>
  <c r="AA116" i="18" a="1"/>
  <c r="AA116" i="18" s="1"/>
  <c r="S117" i="18" a="1"/>
  <c r="S117" i="18" s="1"/>
  <c r="W117" i="18" a="1"/>
  <c r="W117" i="18" s="1"/>
  <c r="X117" i="18" s="1"/>
  <c r="AG117" i="18" a="1"/>
  <c r="AG117" i="18" s="1"/>
  <c r="AH117" i="18" s="1"/>
  <c r="AP117" i="18" a="1"/>
  <c r="AP117" i="18" s="1"/>
  <c r="Y120" i="18" a="1"/>
  <c r="Y120" i="18" s="1"/>
  <c r="Z122" i="18" a="1"/>
  <c r="Z122" i="18" s="1"/>
  <c r="AL122" i="18" a="1"/>
  <c r="AL122" i="18" s="1"/>
  <c r="R123" i="18" a="1"/>
  <c r="R123" i="18" s="1"/>
  <c r="AA124" i="18" a="1"/>
  <c r="AA124" i="18" s="1"/>
  <c r="S125" i="18" a="1"/>
  <c r="S125" i="18" s="1"/>
  <c r="AC126" i="18" a="1"/>
  <c r="AC126" i="18" s="1"/>
  <c r="AD126" i="18" s="1"/>
  <c r="AP126" i="18" a="1"/>
  <c r="AP126" i="18" s="1"/>
  <c r="Y127" i="18" a="1"/>
  <c r="Y127" i="18" s="1"/>
  <c r="AG127" i="18" a="1"/>
  <c r="AG127" i="18" s="1"/>
  <c r="AH127" i="18" s="1"/>
  <c r="AC132" i="18" a="1"/>
  <c r="AC132" i="18" s="1"/>
  <c r="AD132" i="18" s="1"/>
  <c r="W134" i="18" a="1"/>
  <c r="W134" i="18" s="1"/>
  <c r="X134" i="18" s="1"/>
  <c r="AP134" i="18" a="1"/>
  <c r="AP134" i="18" s="1"/>
  <c r="Z139" i="18" a="1"/>
  <c r="Z139" i="18" s="1"/>
  <c r="AB166" i="18" a="1"/>
  <c r="AB166" i="18" s="1"/>
  <c r="AB144" i="18" a="1"/>
  <c r="AB144" i="18" s="1"/>
  <c r="AB136" i="18" a="1"/>
  <c r="AB136" i="18" s="1"/>
  <c r="AB137" i="18" a="1"/>
  <c r="AB137" i="18" s="1"/>
  <c r="AB129" i="18" a="1"/>
  <c r="AB129" i="18" s="1"/>
  <c r="AB138" i="18" a="1"/>
  <c r="AB138" i="18" s="1"/>
  <c r="AB130" i="18" a="1"/>
  <c r="AB130" i="18" s="1"/>
  <c r="AB139" i="18" a="1"/>
  <c r="AB139" i="18" s="1"/>
  <c r="AB131" i="18" a="1"/>
  <c r="AB131" i="18" s="1"/>
  <c r="AB140" i="18" a="1"/>
  <c r="AB140" i="18" s="1"/>
  <c r="AB132" i="18" a="1"/>
  <c r="AB132" i="18" s="1"/>
  <c r="AB141" i="18" a="1"/>
  <c r="AB141" i="18" s="1"/>
  <c r="AB133" i="18" a="1"/>
  <c r="AB133" i="18" s="1"/>
  <c r="AB142" i="18" a="1"/>
  <c r="AB142" i="18" s="1"/>
  <c r="AB134" i="18" a="1"/>
  <c r="AB134" i="18" s="1"/>
  <c r="AB126" i="18" a="1"/>
  <c r="AB126" i="18" s="1"/>
  <c r="AG199" i="18" a="1"/>
  <c r="AG199" i="18" s="1"/>
  <c r="AH199" i="18" s="1"/>
  <c r="AC146" i="18" a="1"/>
  <c r="AC146" i="18" s="1"/>
  <c r="AD146" i="18" s="1"/>
  <c r="AC157" i="18" a="1"/>
  <c r="AC157" i="18" s="1"/>
  <c r="AD157" i="18" s="1"/>
  <c r="AC172" i="18" a="1"/>
  <c r="AC172" i="18" s="1"/>
  <c r="AD172" i="18" s="1"/>
  <c r="R114" i="18" a="1"/>
  <c r="R114" i="18" s="1"/>
  <c r="AA115" i="18" a="1"/>
  <c r="AA115" i="18" s="1"/>
  <c r="S116" i="18" a="1"/>
  <c r="S116" i="18" s="1"/>
  <c r="W116" i="18" a="1"/>
  <c r="W116" i="18" s="1"/>
  <c r="X116" i="18" s="1"/>
  <c r="AG116" i="18" a="1"/>
  <c r="AG116" i="18" s="1"/>
  <c r="AH116" i="18" s="1"/>
  <c r="AP116" i="18" a="1"/>
  <c r="AP116" i="18" s="1"/>
  <c r="AB117" i="18" a="1"/>
  <c r="AB117" i="18" s="1"/>
  <c r="Y119" i="18" a="1"/>
  <c r="Y119" i="18" s="1"/>
  <c r="Z121" i="18" a="1"/>
  <c r="Z121" i="18" s="1"/>
  <c r="R122" i="18" a="1"/>
  <c r="R122" i="18" s="1"/>
  <c r="AA123" i="18" a="1"/>
  <c r="AA123" i="18" s="1"/>
  <c r="S124" i="18" a="1"/>
  <c r="S124" i="18" s="1"/>
  <c r="W124" i="18" a="1"/>
  <c r="W124" i="18" s="1"/>
  <c r="X124" i="18" s="1"/>
  <c r="AG124" i="18" a="1"/>
  <c r="AG124" i="18" s="1"/>
  <c r="AH124" i="18" s="1"/>
  <c r="AP124" i="18" a="1"/>
  <c r="AP124" i="18" s="1"/>
  <c r="S127" i="18" a="1"/>
  <c r="S127" i="18" s="1"/>
  <c r="Z128" i="18" a="1"/>
  <c r="Z128" i="18" s="1"/>
  <c r="Z131" i="18" a="1"/>
  <c r="Z131" i="18" s="1"/>
  <c r="R140" i="18" a="1"/>
  <c r="R140" i="18" s="1"/>
  <c r="AL145" i="18" a="1"/>
  <c r="AL145" i="18" s="1"/>
  <c r="AL140" i="18" a="1"/>
  <c r="AL140" i="18" s="1"/>
  <c r="AL132" i="18" a="1"/>
  <c r="AL132" i="18" s="1"/>
  <c r="AL141" i="18" a="1"/>
  <c r="AL141" i="18" s="1"/>
  <c r="AL133" i="18" a="1"/>
  <c r="AL133" i="18" s="1"/>
  <c r="AL125" i="18" a="1"/>
  <c r="AL125" i="18" s="1"/>
  <c r="AL142" i="18" a="1"/>
  <c r="AL142" i="18" s="1"/>
  <c r="AL134" i="18" a="1"/>
  <c r="AL134" i="18" s="1"/>
  <c r="AL126" i="18" a="1"/>
  <c r="AL126" i="18" s="1"/>
  <c r="AL143" i="18" a="1"/>
  <c r="AL143" i="18" s="1"/>
  <c r="AL135" i="18" a="1"/>
  <c r="AL135" i="18" s="1"/>
  <c r="AL127" i="18" a="1"/>
  <c r="AL127" i="18" s="1"/>
  <c r="AL144" i="18" a="1"/>
  <c r="AL144" i="18" s="1"/>
  <c r="AL136" i="18" a="1"/>
  <c r="AL136" i="18" s="1"/>
  <c r="AL137" i="18" a="1"/>
  <c r="AL137" i="18" s="1"/>
  <c r="AL129" i="18" a="1"/>
  <c r="AL129" i="18" s="1"/>
  <c r="AL138" i="18" a="1"/>
  <c r="AL138" i="18" s="1"/>
  <c r="AL130" i="18" a="1"/>
  <c r="AL130" i="18" s="1"/>
  <c r="AG152" i="18" a="1"/>
  <c r="AG152" i="18" s="1"/>
  <c r="AH152" i="18" s="1"/>
  <c r="AA114" i="18" a="1"/>
  <c r="AA114" i="18" s="1"/>
  <c r="S115" i="18" a="1"/>
  <c r="S115" i="18" s="1"/>
  <c r="W115" i="18" a="1"/>
  <c r="W115" i="18" s="1"/>
  <c r="X115" i="18" s="1"/>
  <c r="AP115" i="18" a="1"/>
  <c r="AP115" i="18" s="1"/>
  <c r="AB116" i="18" a="1"/>
  <c r="AB116" i="18" s="1"/>
  <c r="Y118" i="18" a="1"/>
  <c r="Y118" i="18" s="1"/>
  <c r="AL120" i="18" a="1"/>
  <c r="AL120" i="18" s="1"/>
  <c r="R121" i="18" a="1"/>
  <c r="R121" i="18" s="1"/>
  <c r="W123" i="18" a="1"/>
  <c r="W123" i="18" s="1"/>
  <c r="X123" i="18" s="1"/>
  <c r="AP123" i="18" a="1"/>
  <c r="AP123" i="18" s="1"/>
  <c r="AB124" i="18" a="1"/>
  <c r="AB124" i="18" s="1"/>
  <c r="Y125" i="18" a="1"/>
  <c r="Y125" i="18" s="1"/>
  <c r="W126" i="18" a="1"/>
  <c r="W126" i="18" s="1"/>
  <c r="X126" i="18" s="1"/>
  <c r="AB128" i="18" a="1"/>
  <c r="AB128" i="18" s="1"/>
  <c r="R132" i="18" a="1"/>
  <c r="R132" i="18" s="1"/>
  <c r="AC133" i="18" a="1"/>
  <c r="AC133" i="18" s="1"/>
  <c r="AD133" i="18" s="1"/>
  <c r="AA172" i="18" a="1"/>
  <c r="AA172" i="18" s="1"/>
  <c r="AA142" i="18" a="1"/>
  <c r="AA142" i="18" s="1"/>
  <c r="AA134" i="18" a="1"/>
  <c r="AA134" i="18" s="1"/>
  <c r="AA143" i="18" a="1"/>
  <c r="AA143" i="18" s="1"/>
  <c r="AA135" i="18" a="1"/>
  <c r="AA135" i="18" s="1"/>
  <c r="AA127" i="18" a="1"/>
  <c r="AA127" i="18" s="1"/>
  <c r="AA144" i="18" a="1"/>
  <c r="AA144" i="18" s="1"/>
  <c r="AA136" i="18" a="1"/>
  <c r="AA136" i="18" s="1"/>
  <c r="AA128" i="18" a="1"/>
  <c r="AA128" i="18" s="1"/>
  <c r="AA137" i="18" a="1"/>
  <c r="AA137" i="18" s="1"/>
  <c r="AA129" i="18" a="1"/>
  <c r="AA129" i="18" s="1"/>
  <c r="AA138" i="18" a="1"/>
  <c r="AA138" i="18" s="1"/>
  <c r="AA130" i="18" a="1"/>
  <c r="AA130" i="18" s="1"/>
  <c r="AA139" i="18" a="1"/>
  <c r="AA139" i="18" s="1"/>
  <c r="AA131" i="18" a="1"/>
  <c r="AA131" i="18" s="1"/>
  <c r="AA140" i="18" a="1"/>
  <c r="AA140" i="18" s="1"/>
  <c r="AA132" i="18" a="1"/>
  <c r="AA132" i="18" s="1"/>
  <c r="Z140" i="18" a="1"/>
  <c r="Z140" i="18" s="1"/>
  <c r="Z132" i="18" a="1"/>
  <c r="Z132" i="18" s="1"/>
  <c r="Z141" i="18" a="1"/>
  <c r="Z141" i="18" s="1"/>
  <c r="Z133" i="18" a="1"/>
  <c r="Z133" i="18" s="1"/>
  <c r="Z142" i="18" a="1"/>
  <c r="Z142" i="18" s="1"/>
  <c r="Z134" i="18" a="1"/>
  <c r="Z134" i="18" s="1"/>
  <c r="Z126" i="18" a="1"/>
  <c r="Z126" i="18" s="1"/>
  <c r="Z143" i="18" a="1"/>
  <c r="Z143" i="18" s="1"/>
  <c r="Z135" i="18" a="1"/>
  <c r="Z135" i="18" s="1"/>
  <c r="Z127" i="18" a="1"/>
  <c r="Z127" i="18" s="1"/>
  <c r="Z144" i="18" a="1"/>
  <c r="Z144" i="18" s="1"/>
  <c r="Z136" i="18" a="1"/>
  <c r="Z136" i="18" s="1"/>
  <c r="Z137" i="18" a="1"/>
  <c r="Z137" i="18" s="1"/>
  <c r="Z129" i="18" a="1"/>
  <c r="Z129" i="18" s="1"/>
  <c r="Z138" i="18" a="1"/>
  <c r="Z138" i="18" s="1"/>
  <c r="Z130" i="18" a="1"/>
  <c r="Z130" i="18" s="1"/>
  <c r="S148" i="18" a="1"/>
  <c r="S148" i="18" s="1"/>
  <c r="S143" i="18" a="1"/>
  <c r="S143" i="18" s="1"/>
  <c r="S135" i="18" a="1"/>
  <c r="S135" i="18" s="1"/>
  <c r="S144" i="18" a="1"/>
  <c r="S144" i="18" s="1"/>
  <c r="S136" i="18" a="1"/>
  <c r="S136" i="18" s="1"/>
  <c r="S128" i="18" a="1"/>
  <c r="S128" i="18" s="1"/>
  <c r="S137" i="18" a="1"/>
  <c r="S137" i="18" s="1"/>
  <c r="S129" i="18" a="1"/>
  <c r="S129" i="18" s="1"/>
  <c r="S138" i="18" a="1"/>
  <c r="S138" i="18" s="1"/>
  <c r="S130" i="18" a="1"/>
  <c r="S130" i="18" s="1"/>
  <c r="S139" i="18" a="1"/>
  <c r="S139" i="18" s="1"/>
  <c r="S131" i="18" a="1"/>
  <c r="S131" i="18" s="1"/>
  <c r="S140" i="18" a="1"/>
  <c r="S140" i="18" s="1"/>
  <c r="S132" i="18" a="1"/>
  <c r="S132" i="18" s="1"/>
  <c r="S141" i="18" a="1"/>
  <c r="S141" i="18" s="1"/>
  <c r="S133" i="18" a="1"/>
  <c r="S133" i="18" s="1"/>
  <c r="AC154" i="18" a="1"/>
  <c r="AC154" i="18" s="1"/>
  <c r="AD154" i="18" s="1"/>
  <c r="AG168" i="18" a="1"/>
  <c r="AG168" i="18" s="1"/>
  <c r="AH168" i="18" s="1"/>
  <c r="AC169" i="18" a="1"/>
  <c r="AC169" i="18" s="1"/>
  <c r="AD169" i="18" s="1"/>
  <c r="AC170" i="18" a="1"/>
  <c r="AC170" i="18" s="1"/>
  <c r="AD170" i="18" s="1"/>
  <c r="S114" i="18" a="1"/>
  <c r="S114" i="18" s="1"/>
  <c r="W114" i="18" a="1"/>
  <c r="W114" i="18" s="1"/>
  <c r="X114" i="18" s="1"/>
  <c r="AP114" i="18" a="1"/>
  <c r="AP114" i="18" s="1"/>
  <c r="AB115" i="18" a="1"/>
  <c r="AB115" i="18" s="1"/>
  <c r="Y117" i="18" a="1"/>
  <c r="Y117" i="18" s="1"/>
  <c r="Z119" i="18" a="1"/>
  <c r="Z119" i="18" s="1"/>
  <c r="AL119" i="18" a="1"/>
  <c r="AL119" i="18" s="1"/>
  <c r="R120" i="18" a="1"/>
  <c r="R120" i="18" s="1"/>
  <c r="AA121" i="18" a="1"/>
  <c r="AA121" i="18" s="1"/>
  <c r="S122" i="18" a="1"/>
  <c r="S122" i="18" s="1"/>
  <c r="AB123" i="18" a="1"/>
  <c r="AB123" i="18" s="1"/>
  <c r="AG125" i="18" a="1"/>
  <c r="AG125" i="18" s="1"/>
  <c r="AH125" i="18" s="1"/>
  <c r="Z125" i="18" a="1"/>
  <c r="Z125" i="18" s="1"/>
  <c r="AB127" i="18" a="1"/>
  <c r="AB127" i="18" s="1"/>
  <c r="AC131" i="18" a="1"/>
  <c r="AC131" i="18" s="1"/>
  <c r="AD131" i="18" s="1"/>
  <c r="AG136" i="18" a="1"/>
  <c r="AG136" i="18" s="1"/>
  <c r="AH136" i="18" s="1"/>
  <c r="Y137" i="18" a="1"/>
  <c r="Y137" i="18" s="1"/>
  <c r="AB143" i="18" a="1"/>
  <c r="AB143" i="18" s="1"/>
  <c r="W173" i="18" a="1"/>
  <c r="W173" i="18" s="1"/>
  <c r="X173" i="18" s="1"/>
  <c r="W143" i="18" a="1"/>
  <c r="W143" i="18" s="1"/>
  <c r="X143" i="18" s="1"/>
  <c r="W135" i="18" a="1"/>
  <c r="W135" i="18" s="1"/>
  <c r="X135" i="18" s="1"/>
  <c r="W144" i="18" a="1"/>
  <c r="W144" i="18" s="1"/>
  <c r="X144" i="18" s="1"/>
  <c r="W136" i="18" a="1"/>
  <c r="W136" i="18" s="1"/>
  <c r="X136" i="18" s="1"/>
  <c r="W128" i="18" a="1"/>
  <c r="W128" i="18" s="1"/>
  <c r="X128" i="18" s="1"/>
  <c r="W137" i="18" a="1"/>
  <c r="W137" i="18" s="1"/>
  <c r="X137" i="18" s="1"/>
  <c r="W129" i="18" a="1"/>
  <c r="W129" i="18" s="1"/>
  <c r="X129" i="18" s="1"/>
  <c r="W138" i="18" a="1"/>
  <c r="W138" i="18" s="1"/>
  <c r="X138" i="18" s="1"/>
  <c r="W130" i="18" a="1"/>
  <c r="W130" i="18" s="1"/>
  <c r="X130" i="18" s="1"/>
  <c r="W139" i="18" a="1"/>
  <c r="W139" i="18" s="1"/>
  <c r="X139" i="18" s="1"/>
  <c r="W131" i="18" a="1"/>
  <c r="W131" i="18" s="1"/>
  <c r="X131" i="18" s="1"/>
  <c r="W140" i="18" a="1"/>
  <c r="W140" i="18" s="1"/>
  <c r="X140" i="18" s="1"/>
  <c r="W132" i="18" a="1"/>
  <c r="W132" i="18" s="1"/>
  <c r="X132" i="18" s="1"/>
  <c r="W141" i="18" a="1"/>
  <c r="W141" i="18" s="1"/>
  <c r="X141" i="18" s="1"/>
  <c r="W133" i="18" a="1"/>
  <c r="W133" i="18" s="1"/>
  <c r="X133" i="18" s="1"/>
  <c r="W125" i="18" a="1"/>
  <c r="W125" i="18" s="1"/>
  <c r="X125" i="18" s="1"/>
  <c r="AP148" i="18" a="1"/>
  <c r="AP148" i="18" s="1"/>
  <c r="AP143" i="18" a="1"/>
  <c r="AP143" i="18" s="1"/>
  <c r="AP135" i="18" a="1"/>
  <c r="AP135" i="18" s="1"/>
  <c r="AP144" i="18" a="1"/>
  <c r="AP144" i="18" s="1"/>
  <c r="AP136" i="18" a="1"/>
  <c r="AP136" i="18" s="1"/>
  <c r="AP128" i="18" a="1"/>
  <c r="AP128" i="18" s="1"/>
  <c r="AP137" i="18" a="1"/>
  <c r="AP137" i="18" s="1"/>
  <c r="AP129" i="18" a="1"/>
  <c r="AP129" i="18" s="1"/>
  <c r="AP138" i="18" a="1"/>
  <c r="AP138" i="18" s="1"/>
  <c r="AP130" i="18" a="1"/>
  <c r="AP130" i="18" s="1"/>
  <c r="AP139" i="18" a="1"/>
  <c r="AP139" i="18" s="1"/>
  <c r="AP131" i="18" a="1"/>
  <c r="AP131" i="18" s="1"/>
  <c r="AP140" i="18" a="1"/>
  <c r="AP140" i="18" s="1"/>
  <c r="AP132" i="18" a="1"/>
  <c r="AP132" i="18" s="1"/>
  <c r="AP141" i="18" a="1"/>
  <c r="AP141" i="18" s="1"/>
  <c r="AP133" i="18" a="1"/>
  <c r="AP133" i="18" s="1"/>
  <c r="AP125" i="18" a="1"/>
  <c r="AP125" i="18" s="1"/>
  <c r="AC176" i="18" a="1"/>
  <c r="AC176" i="18" s="1"/>
  <c r="AD176" i="18" s="1"/>
  <c r="AG165" i="18" a="1"/>
  <c r="AG165" i="18" s="1"/>
  <c r="AH165" i="18" s="1"/>
  <c r="AC166" i="18" a="1"/>
  <c r="AC166" i="18" s="1"/>
  <c r="AD166" i="18" s="1"/>
  <c r="AB114" i="18" a="1"/>
  <c r="AB114" i="18" s="1"/>
  <c r="Y116" i="18" a="1"/>
  <c r="Y116" i="18" s="1"/>
  <c r="Z118" i="18" a="1"/>
  <c r="Z118" i="18" s="1"/>
  <c r="AL118" i="18" a="1"/>
  <c r="AL118" i="18" s="1"/>
  <c r="R119" i="18" a="1"/>
  <c r="R119" i="18" s="1"/>
  <c r="AA120" i="18" a="1"/>
  <c r="AA120" i="18" s="1"/>
  <c r="S121" i="18" a="1"/>
  <c r="S121" i="18" s="1"/>
  <c r="W121" i="18" a="1"/>
  <c r="W121" i="18" s="1"/>
  <c r="X121" i="18" s="1"/>
  <c r="AP121" i="18" a="1"/>
  <c r="AP121" i="18" s="1"/>
  <c r="AB122" i="18" a="1"/>
  <c r="AB122" i="18" s="1"/>
  <c r="Y124" i="18" a="1"/>
  <c r="Y124" i="18" s="1"/>
  <c r="Y126" i="18" a="1"/>
  <c r="Y126" i="18" s="1"/>
  <c r="AL128" i="18" a="1"/>
  <c r="AL128" i="18" s="1"/>
  <c r="AB135" i="18" a="1"/>
  <c r="AB135" i="18" s="1"/>
  <c r="AC137" i="18" a="1"/>
  <c r="AC137" i="18" s="1"/>
  <c r="AD137" i="18" s="1"/>
  <c r="S142" i="18" a="1"/>
  <c r="S142" i="18" s="1"/>
  <c r="AG133" i="18" a="1"/>
  <c r="AG133" i="18" s="1"/>
  <c r="AH133" i="18" s="1"/>
  <c r="AC136" i="18" a="1"/>
  <c r="AC136" i="18" s="1"/>
  <c r="AD136" i="18" s="1"/>
  <c r="AC144" i="18" a="1"/>
  <c r="AC144" i="18" s="1"/>
  <c r="AD144" i="18" s="1"/>
  <c r="AC135" i="18" a="1"/>
  <c r="AC135" i="18" s="1"/>
  <c r="AD135" i="18" s="1"/>
  <c r="AG130" i="18" a="1"/>
  <c r="AG130" i="18" s="1"/>
  <c r="AH130" i="18" s="1"/>
  <c r="AG138" i="18" a="1"/>
  <c r="AG138" i="18" s="1"/>
  <c r="AH138" i="18" s="1"/>
  <c r="AL153" i="18" a="1"/>
  <c r="AL153" i="18" s="1"/>
  <c r="Z184" i="18" a="1"/>
  <c r="Z184" i="18" s="1"/>
  <c r="Z171" i="18" a="1"/>
  <c r="Z171" i="18" s="1"/>
  <c r="Z163" i="18" a="1"/>
  <c r="Z163" i="18" s="1"/>
  <c r="Z172" i="18" a="1"/>
  <c r="Z172" i="18" s="1"/>
  <c r="Z164" i="18" a="1"/>
  <c r="Z164" i="18" s="1"/>
  <c r="Z156" i="18" a="1"/>
  <c r="Z156" i="18" s="1"/>
  <c r="Z173" i="18" a="1"/>
  <c r="Z173" i="18" s="1"/>
  <c r="Z165" i="18" a="1"/>
  <c r="Z165" i="18" s="1"/>
  <c r="Z157" i="18" a="1"/>
  <c r="Z157" i="18" s="1"/>
  <c r="Z174" i="18" a="1"/>
  <c r="Z174" i="18" s="1"/>
  <c r="Z166" i="18" a="1"/>
  <c r="Z166" i="18" s="1"/>
  <c r="Z158" i="18" a="1"/>
  <c r="Z158" i="18" s="1"/>
  <c r="Z175" i="18" a="1"/>
  <c r="Z175" i="18" s="1"/>
  <c r="Z167" i="18" a="1"/>
  <c r="Z167" i="18" s="1"/>
  <c r="Z159" i="18" a="1"/>
  <c r="Z159" i="18" s="1"/>
  <c r="Z168" i="18" a="1"/>
  <c r="Z168" i="18" s="1"/>
  <c r="Z160" i="18" a="1"/>
  <c r="Z160" i="18" s="1"/>
  <c r="Z169" i="18" a="1"/>
  <c r="Z169" i="18" s="1"/>
  <c r="Z161" i="18" a="1"/>
  <c r="Z161" i="18" s="1"/>
  <c r="Z147" i="18" a="1"/>
  <c r="Z147" i="18" s="1"/>
  <c r="Z155" i="18" a="1"/>
  <c r="Z155" i="18" s="1"/>
  <c r="Z148" i="18" a="1"/>
  <c r="Z148" i="18" s="1"/>
  <c r="Z149" i="18" a="1"/>
  <c r="Z149" i="18" s="1"/>
  <c r="Z170" i="18" a="1"/>
  <c r="Z170" i="18" s="1"/>
  <c r="Z162" i="18" a="1"/>
  <c r="Z162" i="18" s="1"/>
  <c r="Z150" i="18" a="1"/>
  <c r="Z150" i="18" s="1"/>
  <c r="Z151" i="18" a="1"/>
  <c r="Z151" i="18" s="1"/>
  <c r="Z152" i="18" a="1"/>
  <c r="Z152" i="18" s="1"/>
  <c r="Z154" i="18" a="1"/>
  <c r="Z154" i="18" s="1"/>
  <c r="Z146" i="18" a="1"/>
  <c r="Z146" i="18" s="1"/>
  <c r="R189" i="18" a="1"/>
  <c r="R189" i="18" s="1"/>
  <c r="R172" i="18" a="1"/>
  <c r="R172" i="18" s="1"/>
  <c r="R164" i="18" a="1"/>
  <c r="R164" i="18" s="1"/>
  <c r="R173" i="18" a="1"/>
  <c r="R173" i="18" s="1"/>
  <c r="R165" i="18" a="1"/>
  <c r="R165" i="18" s="1"/>
  <c r="R157" i="18" a="1"/>
  <c r="R157" i="18" s="1"/>
  <c r="R174" i="18" a="1"/>
  <c r="R174" i="18" s="1"/>
  <c r="R166" i="18" a="1"/>
  <c r="R166" i="18" s="1"/>
  <c r="R158" i="18" a="1"/>
  <c r="R158" i="18" s="1"/>
  <c r="R175" i="18" a="1"/>
  <c r="R175" i="18" s="1"/>
  <c r="R167" i="18" a="1"/>
  <c r="R167" i="18" s="1"/>
  <c r="R159" i="18" a="1"/>
  <c r="R159" i="18" s="1"/>
  <c r="R168" i="18" a="1"/>
  <c r="R168" i="18" s="1"/>
  <c r="R160" i="18" a="1"/>
  <c r="R160" i="18" s="1"/>
  <c r="R169" i="18" a="1"/>
  <c r="R169" i="18" s="1"/>
  <c r="R161" i="18" a="1"/>
  <c r="R161" i="18" s="1"/>
  <c r="R170" i="18" a="1"/>
  <c r="R170" i="18" s="1"/>
  <c r="R162" i="18" a="1"/>
  <c r="R162" i="18" s="1"/>
  <c r="R148" i="18" a="1"/>
  <c r="R148" i="18" s="1"/>
  <c r="R163" i="18" a="1"/>
  <c r="R163" i="18" s="1"/>
  <c r="R149" i="18" a="1"/>
  <c r="R149" i="18" s="1"/>
  <c r="R150" i="18" a="1"/>
  <c r="R150" i="18" s="1"/>
  <c r="R151" i="18" a="1"/>
  <c r="R151" i="18" s="1"/>
  <c r="R171" i="18" a="1"/>
  <c r="R171" i="18" s="1"/>
  <c r="R156" i="18" a="1"/>
  <c r="R156" i="18" s="1"/>
  <c r="R152" i="18" a="1"/>
  <c r="R152" i="18" s="1"/>
  <c r="R153" i="18" a="1"/>
  <c r="R153" i="18" s="1"/>
  <c r="R145" i="18" a="1"/>
  <c r="R145" i="18" s="1"/>
  <c r="R155" i="18" a="1"/>
  <c r="R155" i="18" s="1"/>
  <c r="R147" i="18" a="1"/>
  <c r="R147" i="18" s="1"/>
  <c r="AG195" i="18" a="1"/>
  <c r="AG195" i="18" s="1"/>
  <c r="AH195" i="18" s="1"/>
  <c r="AC149" i="18" a="1"/>
  <c r="AC149" i="18" s="1"/>
  <c r="AD149" i="18" s="1"/>
  <c r="AP173" i="18" a="1"/>
  <c r="AP173" i="18" s="1"/>
  <c r="S174" i="18" a="1"/>
  <c r="S174" i="18" s="1"/>
  <c r="S166" i="18" a="1"/>
  <c r="S166" i="18" s="1"/>
  <c r="S158" i="18" a="1"/>
  <c r="S158" i="18" s="1"/>
  <c r="S175" i="18" a="1"/>
  <c r="S175" i="18" s="1"/>
  <c r="S167" i="18" a="1"/>
  <c r="S167" i="18" s="1"/>
  <c r="S159" i="18" a="1"/>
  <c r="S159" i="18" s="1"/>
  <c r="S168" i="18" a="1"/>
  <c r="S168" i="18" s="1"/>
  <c r="S160" i="18" a="1"/>
  <c r="S160" i="18" s="1"/>
  <c r="S169" i="18" a="1"/>
  <c r="S169" i="18" s="1"/>
  <c r="S161" i="18" a="1"/>
  <c r="S161" i="18" s="1"/>
  <c r="S170" i="18" a="1"/>
  <c r="S170" i="18" s="1"/>
  <c r="S162" i="18" a="1"/>
  <c r="S162" i="18" s="1"/>
  <c r="S171" i="18" a="1"/>
  <c r="S171" i="18" s="1"/>
  <c r="S163" i="18" a="1"/>
  <c r="S163" i="18" s="1"/>
  <c r="S172" i="18" a="1"/>
  <c r="S172" i="18" s="1"/>
  <c r="S164" i="18" a="1"/>
  <c r="S164" i="18" s="1"/>
  <c r="S150" i="18" a="1"/>
  <c r="S150" i="18" s="1"/>
  <c r="S173" i="18" a="1"/>
  <c r="S173" i="18" s="1"/>
  <c r="S151" i="18" a="1"/>
  <c r="S151" i="18" s="1"/>
  <c r="S156" i="18" a="1"/>
  <c r="S156" i="18" s="1"/>
  <c r="S152" i="18" a="1"/>
  <c r="S152" i="18" s="1"/>
  <c r="S157" i="18" a="1"/>
  <c r="S157" i="18" s="1"/>
  <c r="S153" i="18" a="1"/>
  <c r="S153" i="18" s="1"/>
  <c r="S145" i="18" a="1"/>
  <c r="S145" i="18" s="1"/>
  <c r="S154" i="18" a="1"/>
  <c r="S154" i="18" s="1"/>
  <c r="S146" i="18" a="1"/>
  <c r="S146" i="18" s="1"/>
  <c r="S155" i="18" a="1"/>
  <c r="S155" i="18" s="1"/>
  <c r="S147" i="18" a="1"/>
  <c r="S147" i="18" s="1"/>
  <c r="S149" i="18" a="1"/>
  <c r="S149" i="18" s="1"/>
  <c r="AA147" i="18" a="1"/>
  <c r="AA147" i="18" s="1"/>
  <c r="Z153" i="18" a="1"/>
  <c r="Z153" i="18" s="1"/>
  <c r="R154" i="18" a="1"/>
  <c r="R154" i="18" s="1"/>
  <c r="S165" i="18" a="1"/>
  <c r="S165" i="18" s="1"/>
  <c r="Y169" i="18" a="1"/>
  <c r="Y169" i="18" s="1"/>
  <c r="Y161" i="18" a="1"/>
  <c r="Y161" i="18" s="1"/>
  <c r="Y170" i="18" a="1"/>
  <c r="Y170" i="18" s="1"/>
  <c r="Y162" i="18" a="1"/>
  <c r="Y162" i="18" s="1"/>
  <c r="Y171" i="18" a="1"/>
  <c r="Y171" i="18" s="1"/>
  <c r="Y163" i="18" a="1"/>
  <c r="Y163" i="18" s="1"/>
  <c r="Y155" i="18" a="1"/>
  <c r="Y155" i="18" s="1"/>
  <c r="Y172" i="18" a="1"/>
  <c r="Y172" i="18" s="1"/>
  <c r="Y164" i="18" a="1"/>
  <c r="Y164" i="18" s="1"/>
  <c r="Y156" i="18" a="1"/>
  <c r="Y156" i="18" s="1"/>
  <c r="Y173" i="18" a="1"/>
  <c r="Y173" i="18" s="1"/>
  <c r="Y165" i="18" a="1"/>
  <c r="Y165" i="18" s="1"/>
  <c r="Y157" i="18" a="1"/>
  <c r="Y157" i="18" s="1"/>
  <c r="Y174" i="18" a="1"/>
  <c r="Y174" i="18" s="1"/>
  <c r="Y166" i="18" a="1"/>
  <c r="Y166" i="18" s="1"/>
  <c r="Y158" i="18" a="1"/>
  <c r="Y158" i="18" s="1"/>
  <c r="Y175" i="18" a="1"/>
  <c r="Y175" i="18" s="1"/>
  <c r="Y167" i="18" a="1"/>
  <c r="Y167" i="18" s="1"/>
  <c r="Y159" i="18" a="1"/>
  <c r="Y159" i="18" s="1"/>
  <c r="Y160" i="18" a="1"/>
  <c r="Y160" i="18" s="1"/>
  <c r="Y153" i="18" a="1"/>
  <c r="Y153" i="18" s="1"/>
  <c r="Y145" i="18" a="1"/>
  <c r="Y145" i="18" s="1"/>
  <c r="Y154" i="18" a="1"/>
  <c r="Y154" i="18" s="1"/>
  <c r="Y146" i="18" a="1"/>
  <c r="Y146" i="18" s="1"/>
  <c r="Y147" i="18" a="1"/>
  <c r="Y147" i="18" s="1"/>
  <c r="Y148" i="18" a="1"/>
  <c r="Y148" i="18" s="1"/>
  <c r="Y149" i="18" a="1"/>
  <c r="Y149" i="18" s="1"/>
  <c r="Y150" i="18" a="1"/>
  <c r="Y150" i="18" s="1"/>
  <c r="Y168" i="18" a="1"/>
  <c r="Y168" i="18" s="1"/>
  <c r="Y152" i="18" a="1"/>
  <c r="Y152" i="18" s="1"/>
  <c r="AL171" i="18" a="1"/>
  <c r="AL171" i="18" s="1"/>
  <c r="AL163" i="18" a="1"/>
  <c r="AL163" i="18" s="1"/>
  <c r="AL172" i="18" a="1"/>
  <c r="AL172" i="18" s="1"/>
  <c r="AL164" i="18" a="1"/>
  <c r="AL164" i="18" s="1"/>
  <c r="AL156" i="18" a="1"/>
  <c r="AL156" i="18" s="1"/>
  <c r="AL173" i="18" a="1"/>
  <c r="AL173" i="18" s="1"/>
  <c r="AL165" i="18" a="1"/>
  <c r="AL165" i="18" s="1"/>
  <c r="AL157" i="18" a="1"/>
  <c r="AL157" i="18" s="1"/>
  <c r="AL174" i="18" a="1"/>
  <c r="AL174" i="18" s="1"/>
  <c r="AL166" i="18" a="1"/>
  <c r="AL166" i="18" s="1"/>
  <c r="AL158" i="18" a="1"/>
  <c r="AL158" i="18" s="1"/>
  <c r="AL175" i="18" a="1"/>
  <c r="AL175" i="18" s="1"/>
  <c r="AL167" i="18" a="1"/>
  <c r="AL167" i="18" s="1"/>
  <c r="AL159" i="18" a="1"/>
  <c r="AL159" i="18" s="1"/>
  <c r="AL168" i="18" a="1"/>
  <c r="AL168" i="18" s="1"/>
  <c r="AL160" i="18" a="1"/>
  <c r="AL160" i="18" s="1"/>
  <c r="AL169" i="18" a="1"/>
  <c r="AL169" i="18" s="1"/>
  <c r="AL161" i="18" a="1"/>
  <c r="AL161" i="18" s="1"/>
  <c r="AL147" i="18" a="1"/>
  <c r="AL147" i="18" s="1"/>
  <c r="AL148" i="18" a="1"/>
  <c r="AL148" i="18" s="1"/>
  <c r="AL155" i="18" a="1"/>
  <c r="AL155" i="18" s="1"/>
  <c r="AL149" i="18" a="1"/>
  <c r="AL149" i="18" s="1"/>
  <c r="AL150" i="18" a="1"/>
  <c r="AL150" i="18" s="1"/>
  <c r="AL151" i="18" a="1"/>
  <c r="AL151" i="18" s="1"/>
  <c r="AL170" i="18" a="1"/>
  <c r="AL170" i="18" s="1"/>
  <c r="AL162" i="18" a="1"/>
  <c r="AL162" i="18" s="1"/>
  <c r="AL152" i="18" a="1"/>
  <c r="AL152" i="18" s="1"/>
  <c r="AL154" i="18" a="1"/>
  <c r="AL154" i="18" s="1"/>
  <c r="AL146" i="18" a="1"/>
  <c r="AL146" i="18" s="1"/>
  <c r="W174" i="18" a="1"/>
  <c r="W174" i="18" s="1"/>
  <c r="X174" i="18" s="1"/>
  <c r="W166" i="18" a="1"/>
  <c r="W166" i="18" s="1"/>
  <c r="X166" i="18" s="1"/>
  <c r="W158" i="18" a="1"/>
  <c r="W158" i="18" s="1"/>
  <c r="X158" i="18" s="1"/>
  <c r="W175" i="18" a="1"/>
  <c r="W175" i="18" s="1"/>
  <c r="X175" i="18" s="1"/>
  <c r="W167" i="18" a="1"/>
  <c r="W167" i="18" s="1"/>
  <c r="X167" i="18" s="1"/>
  <c r="W159" i="18" a="1"/>
  <c r="W159" i="18" s="1"/>
  <c r="X159" i="18" s="1"/>
  <c r="W168" i="18" a="1"/>
  <c r="W168" i="18" s="1"/>
  <c r="X168" i="18" s="1"/>
  <c r="W160" i="18" a="1"/>
  <c r="W160" i="18" s="1"/>
  <c r="X160" i="18" s="1"/>
  <c r="W169" i="18" a="1"/>
  <c r="W169" i="18" s="1"/>
  <c r="X169" i="18" s="1"/>
  <c r="W161" i="18" a="1"/>
  <c r="W161" i="18" s="1"/>
  <c r="X161" i="18" s="1"/>
  <c r="W170" i="18" a="1"/>
  <c r="W170" i="18" s="1"/>
  <c r="X170" i="18" s="1"/>
  <c r="W162" i="18" a="1"/>
  <c r="W162" i="18" s="1"/>
  <c r="X162" i="18" s="1"/>
  <c r="W171" i="18" a="1"/>
  <c r="W171" i="18" s="1"/>
  <c r="X171" i="18" s="1"/>
  <c r="W163" i="18" a="1"/>
  <c r="W163" i="18" s="1"/>
  <c r="X163" i="18" s="1"/>
  <c r="W172" i="18" a="1"/>
  <c r="W172" i="18" s="1"/>
  <c r="X172" i="18" s="1"/>
  <c r="W164" i="18" a="1"/>
  <c r="W164" i="18" s="1"/>
  <c r="X164" i="18" s="1"/>
  <c r="W156" i="18" a="1"/>
  <c r="W156" i="18" s="1"/>
  <c r="X156" i="18" s="1"/>
  <c r="W150" i="18" a="1"/>
  <c r="W150" i="18" s="1"/>
  <c r="X150" i="18" s="1"/>
  <c r="W151" i="18" a="1"/>
  <c r="W151" i="18" s="1"/>
  <c r="X151" i="18" s="1"/>
  <c r="W152" i="18" a="1"/>
  <c r="W152" i="18" s="1"/>
  <c r="X152" i="18" s="1"/>
  <c r="W165" i="18" a="1"/>
  <c r="W165" i="18" s="1"/>
  <c r="X165" i="18" s="1"/>
  <c r="W153" i="18" a="1"/>
  <c r="W153" i="18" s="1"/>
  <c r="X153" i="18" s="1"/>
  <c r="W145" i="18" a="1"/>
  <c r="W145" i="18" s="1"/>
  <c r="X145" i="18" s="1"/>
  <c r="W154" i="18" a="1"/>
  <c r="W154" i="18" s="1"/>
  <c r="X154" i="18" s="1"/>
  <c r="W146" i="18" a="1"/>
  <c r="W146" i="18" s="1"/>
  <c r="X146" i="18" s="1"/>
  <c r="W155" i="18" a="1"/>
  <c r="W155" i="18" s="1"/>
  <c r="X155" i="18" s="1"/>
  <c r="W147" i="18" a="1"/>
  <c r="W147" i="18" s="1"/>
  <c r="X147" i="18" s="1"/>
  <c r="W157" i="18" a="1"/>
  <c r="W157" i="18" s="1"/>
  <c r="X157" i="18" s="1"/>
  <c r="W149" i="18" a="1"/>
  <c r="W149" i="18" s="1"/>
  <c r="X149" i="18" s="1"/>
  <c r="Z145" i="18" a="1"/>
  <c r="Z145" i="18" s="1"/>
  <c r="W148" i="18" a="1"/>
  <c r="W148" i="18" s="1"/>
  <c r="X148" i="18" s="1"/>
  <c r="AP232" i="18" a="1"/>
  <c r="AP232" i="18" s="1"/>
  <c r="AP174" i="18" a="1"/>
  <c r="AP174" i="18" s="1"/>
  <c r="AP166" i="18" a="1"/>
  <c r="AP166" i="18" s="1"/>
  <c r="AP158" i="18" a="1"/>
  <c r="AP158" i="18" s="1"/>
  <c r="AP175" i="18" a="1"/>
  <c r="AP175" i="18" s="1"/>
  <c r="AP167" i="18" a="1"/>
  <c r="AP167" i="18" s="1"/>
  <c r="AP159" i="18" a="1"/>
  <c r="AP159" i="18" s="1"/>
  <c r="AP168" i="18" a="1"/>
  <c r="AP168" i="18" s="1"/>
  <c r="AP160" i="18" a="1"/>
  <c r="AP160" i="18" s="1"/>
  <c r="AP169" i="18" a="1"/>
  <c r="AP169" i="18" s="1"/>
  <c r="AP161" i="18" a="1"/>
  <c r="AP161" i="18" s="1"/>
  <c r="AP170" i="18" a="1"/>
  <c r="AP170" i="18" s="1"/>
  <c r="AP162" i="18" a="1"/>
  <c r="AP162" i="18" s="1"/>
  <c r="AP171" i="18" a="1"/>
  <c r="AP171" i="18" s="1"/>
  <c r="AP163" i="18" a="1"/>
  <c r="AP163" i="18" s="1"/>
  <c r="AP172" i="18" a="1"/>
  <c r="AP172" i="18" s="1"/>
  <c r="AP164" i="18" a="1"/>
  <c r="AP164" i="18" s="1"/>
  <c r="AP156" i="18" a="1"/>
  <c r="AP156" i="18" s="1"/>
  <c r="AP150" i="18" a="1"/>
  <c r="AP150" i="18" s="1"/>
  <c r="AP151" i="18" a="1"/>
  <c r="AP151" i="18" s="1"/>
  <c r="AP152" i="18" a="1"/>
  <c r="AP152" i="18" s="1"/>
  <c r="AP165" i="18" a="1"/>
  <c r="AP165" i="18" s="1"/>
  <c r="AP157" i="18" a="1"/>
  <c r="AP157" i="18" s="1"/>
  <c r="AP153" i="18" a="1"/>
  <c r="AP153" i="18" s="1"/>
  <c r="AP145" i="18" a="1"/>
  <c r="AP145" i="18" s="1"/>
  <c r="AP154" i="18" a="1"/>
  <c r="AP154" i="18" s="1"/>
  <c r="AP146" i="18" a="1"/>
  <c r="AP146" i="18" s="1"/>
  <c r="AP147" i="18" a="1"/>
  <c r="AP147" i="18" s="1"/>
  <c r="AP155" i="18" a="1"/>
  <c r="AP155" i="18" s="1"/>
  <c r="AP149" i="18" a="1"/>
  <c r="AP149" i="18" s="1"/>
  <c r="R146" i="18" a="1"/>
  <c r="R146" i="18" s="1"/>
  <c r="AC147" i="18" a="1"/>
  <c r="AC147" i="18" s="1"/>
  <c r="AD147" i="18" s="1"/>
  <c r="Y151" i="18" a="1"/>
  <c r="Y151" i="18" s="1"/>
  <c r="AB204" i="18" a="1"/>
  <c r="AB204" i="18" s="1"/>
  <c r="AB175" i="18" a="1"/>
  <c r="AB175" i="18" s="1"/>
  <c r="AB167" i="18" a="1"/>
  <c r="AB167" i="18" s="1"/>
  <c r="AB159" i="18" a="1"/>
  <c r="AB159" i="18" s="1"/>
  <c r="AB168" i="18" a="1"/>
  <c r="AB168" i="18" s="1"/>
  <c r="AB160" i="18" a="1"/>
  <c r="AB160" i="18" s="1"/>
  <c r="AB169" i="18" a="1"/>
  <c r="AB169" i="18" s="1"/>
  <c r="AB161" i="18" a="1"/>
  <c r="AB161" i="18" s="1"/>
  <c r="AB170" i="18" a="1"/>
  <c r="AB170" i="18" s="1"/>
  <c r="AB162" i="18" a="1"/>
  <c r="AB162" i="18" s="1"/>
  <c r="AB171" i="18" a="1"/>
  <c r="AB171" i="18" s="1"/>
  <c r="AB163" i="18" a="1"/>
  <c r="AB163" i="18" s="1"/>
  <c r="AB172" i="18" a="1"/>
  <c r="AB172" i="18" s="1"/>
  <c r="AB164" i="18" a="1"/>
  <c r="AB164" i="18" s="1"/>
  <c r="AB173" i="18" a="1"/>
  <c r="AB173" i="18" s="1"/>
  <c r="AB165" i="18" a="1"/>
  <c r="AB165" i="18" s="1"/>
  <c r="AB157" i="18" a="1"/>
  <c r="AB157" i="18" s="1"/>
  <c r="AB156" i="18" a="1"/>
  <c r="AB156" i="18" s="1"/>
  <c r="AB151" i="18" a="1"/>
  <c r="AB151" i="18" s="1"/>
  <c r="AB174" i="18" a="1"/>
  <c r="AB174" i="18" s="1"/>
  <c r="AB152" i="18" a="1"/>
  <c r="AB152" i="18" s="1"/>
  <c r="AB153" i="18" a="1"/>
  <c r="AB153" i="18" s="1"/>
  <c r="AB145" i="18" a="1"/>
  <c r="AB145" i="18" s="1"/>
  <c r="AB154" i="18" a="1"/>
  <c r="AB154" i="18" s="1"/>
  <c r="AB146" i="18" a="1"/>
  <c r="AB146" i="18" s="1"/>
  <c r="AB147" i="18" a="1"/>
  <c r="AB147" i="18" s="1"/>
  <c r="AB155" i="18" a="1"/>
  <c r="AB155" i="18" s="1"/>
  <c r="AB148" i="18" a="1"/>
  <c r="AB148" i="18" s="1"/>
  <c r="AB158" i="18" a="1"/>
  <c r="AB158" i="18" s="1"/>
  <c r="AB150" i="18" a="1"/>
  <c r="AB150" i="18" s="1"/>
  <c r="AB211" i="18" a="1"/>
  <c r="AB211" i="18" s="1"/>
  <c r="AA182" i="18" a="1"/>
  <c r="AA182" i="18" s="1"/>
  <c r="AA173" i="18" a="1"/>
  <c r="AA173" i="18" s="1"/>
  <c r="AA165" i="18" a="1"/>
  <c r="AA165" i="18" s="1"/>
  <c r="AA174" i="18" a="1"/>
  <c r="AA174" i="18" s="1"/>
  <c r="AA166" i="18" a="1"/>
  <c r="AA166" i="18" s="1"/>
  <c r="AA158" i="18" a="1"/>
  <c r="AA158" i="18" s="1"/>
  <c r="AA175" i="18" a="1"/>
  <c r="AA175" i="18" s="1"/>
  <c r="AA167" i="18" a="1"/>
  <c r="AA167" i="18" s="1"/>
  <c r="AA159" i="18" a="1"/>
  <c r="AA159" i="18" s="1"/>
  <c r="AA168" i="18" a="1"/>
  <c r="AA168" i="18" s="1"/>
  <c r="AA160" i="18" a="1"/>
  <c r="AA160" i="18" s="1"/>
  <c r="AA169" i="18" a="1"/>
  <c r="AA169" i="18" s="1"/>
  <c r="AA161" i="18" a="1"/>
  <c r="AA161" i="18" s="1"/>
  <c r="AA170" i="18" a="1"/>
  <c r="AA170" i="18" s="1"/>
  <c r="AA162" i="18" a="1"/>
  <c r="AA162" i="18" s="1"/>
  <c r="AA171" i="18" a="1"/>
  <c r="AA171" i="18" s="1"/>
  <c r="AA163" i="18" a="1"/>
  <c r="AA163" i="18" s="1"/>
  <c r="AA149" i="18" a="1"/>
  <c r="AA149" i="18" s="1"/>
  <c r="AA156" i="18" a="1"/>
  <c r="AA156" i="18" s="1"/>
  <c r="AA150" i="18" a="1"/>
  <c r="AA150" i="18" s="1"/>
  <c r="AA151" i="18" a="1"/>
  <c r="AA151" i="18" s="1"/>
  <c r="AA164" i="18" a="1"/>
  <c r="AA164" i="18" s="1"/>
  <c r="AA152" i="18" a="1"/>
  <c r="AA152" i="18" s="1"/>
  <c r="AA153" i="18" a="1"/>
  <c r="AA153" i="18" s="1"/>
  <c r="AA145" i="18" a="1"/>
  <c r="AA145" i="18" s="1"/>
  <c r="AA157" i="18" a="1"/>
  <c r="AA157" i="18" s="1"/>
  <c r="AA154" i="18" a="1"/>
  <c r="AA154" i="18" s="1"/>
  <c r="AA146" i="18" a="1"/>
  <c r="AA146" i="18" s="1"/>
  <c r="AA155" i="18" a="1"/>
  <c r="AA155" i="18" s="1"/>
  <c r="AA148" i="18" a="1"/>
  <c r="AA148" i="18" s="1"/>
  <c r="AB149" i="18" a="1"/>
  <c r="AB149" i="18" s="1"/>
  <c r="AC151" i="18" a="1"/>
  <c r="AC151" i="18" s="1"/>
  <c r="AD151" i="18" s="1"/>
  <c r="AC187" i="18" a="1"/>
  <c r="AC187" i="18" s="1"/>
  <c r="AD187" i="18" s="1"/>
  <c r="AC193" i="18" a="1"/>
  <c r="AC193" i="18" s="1"/>
  <c r="AD193" i="18" s="1"/>
  <c r="AC204" i="18" a="1"/>
  <c r="AC204" i="18" s="1"/>
  <c r="AD204" i="18" s="1"/>
  <c r="AG149" i="18" a="1"/>
  <c r="AG149" i="18" s="1"/>
  <c r="AH149" i="18" s="1"/>
  <c r="AC160" i="18" a="1"/>
  <c r="AC160" i="18" s="1"/>
  <c r="AD160" i="18" s="1"/>
  <c r="AC651" i="18" a="1"/>
  <c r="AC651" i="18" s="1"/>
  <c r="AD651" i="18" s="1"/>
  <c r="AC180" i="18" a="1"/>
  <c r="AC180" i="18" s="1"/>
  <c r="AD180" i="18" s="1"/>
  <c r="AC181" i="18" a="1"/>
  <c r="AC181" i="18" s="1"/>
  <c r="AD181" i="18" s="1"/>
  <c r="AG186" i="18" a="1"/>
  <c r="AG186" i="18" s="1"/>
  <c r="AH186" i="18" s="1"/>
  <c r="AG203" i="18" a="1"/>
  <c r="AG203" i="18" s="1"/>
  <c r="AH203" i="18" s="1"/>
  <c r="AC150" i="18" a="1"/>
  <c r="AC150" i="18" s="1"/>
  <c r="AD150" i="18" s="1"/>
  <c r="AG158" i="18" a="1"/>
  <c r="AG158" i="18" s="1"/>
  <c r="AH158" i="18" s="1"/>
  <c r="AC179" i="18" a="1"/>
  <c r="AC179" i="18" s="1"/>
  <c r="AD179" i="18" s="1"/>
  <c r="AG201" i="18" a="1"/>
  <c r="AG201" i="18" s="1"/>
  <c r="AH201" i="18" s="1"/>
  <c r="AG145" i="18" a="1"/>
  <c r="AG145" i="18" s="1"/>
  <c r="AH145" i="18" s="1"/>
  <c r="AG153" i="18" a="1"/>
  <c r="AG153" i="18" s="1"/>
  <c r="AH153" i="18" s="1"/>
  <c r="AC173" i="18" a="1"/>
  <c r="AC173" i="18" s="1"/>
  <c r="AD173" i="18" s="1"/>
  <c r="AC155" i="18" a="1"/>
  <c r="AC155" i="18" s="1"/>
  <c r="AD155" i="18" s="1"/>
  <c r="AC186" i="18" a="1"/>
  <c r="AC186" i="18" s="1"/>
  <c r="AD186" i="18" s="1"/>
  <c r="AC191" i="18" a="1"/>
  <c r="AC191" i="18" s="1"/>
  <c r="AD191" i="18" s="1"/>
  <c r="AG191" i="18" a="1"/>
  <c r="AG191" i="18" s="1"/>
  <c r="AH191" i="18" s="1"/>
  <c r="AC198" i="18" a="1"/>
  <c r="AC198" i="18" s="1"/>
  <c r="AD198" i="18" s="1"/>
  <c r="AG183" i="18" a="1"/>
  <c r="AG183" i="18" s="1"/>
  <c r="AH183" i="18" s="1"/>
  <c r="AG189" i="18" a="1"/>
  <c r="AG189" i="18" s="1"/>
  <c r="AH189" i="18" s="1"/>
  <c r="AC194" i="18" a="1"/>
  <c r="AC194" i="18" s="1"/>
  <c r="AD194" i="18" s="1"/>
  <c r="AG197" i="18" a="1"/>
  <c r="AG197" i="18" s="1"/>
  <c r="AH197" i="18" s="1"/>
  <c r="AC199" i="18" a="1"/>
  <c r="AC199" i="18" s="1"/>
  <c r="AD199" i="18" s="1"/>
  <c r="AG159" i="18" a="1"/>
  <c r="AG159" i="18" s="1"/>
  <c r="AH159" i="18" s="1"/>
  <c r="AC165" i="18" a="1"/>
  <c r="AC165" i="18" s="1"/>
  <c r="AD165" i="18" s="1"/>
  <c r="AG167" i="18" a="1"/>
  <c r="AG167" i="18" s="1"/>
  <c r="AH167" i="18" s="1"/>
  <c r="AG156" i="18" a="1"/>
  <c r="AG156" i="18" s="1"/>
  <c r="AH156" i="18" s="1"/>
  <c r="AC159" i="18" a="1"/>
  <c r="AC159" i="18" s="1"/>
  <c r="AD159" i="18" s="1"/>
  <c r="AC167" i="18" a="1"/>
  <c r="AC167" i="18" s="1"/>
  <c r="AD167" i="18" s="1"/>
  <c r="AC175" i="18" a="1"/>
  <c r="AC175" i="18" s="1"/>
  <c r="AD175" i="18" s="1"/>
  <c r="AC158" i="18" a="1"/>
  <c r="AC158" i="18" s="1"/>
  <c r="AD158" i="18" s="1"/>
  <c r="AG171" i="18" a="1"/>
  <c r="AG171" i="18" s="1"/>
  <c r="AH171" i="18" s="1"/>
  <c r="AG161" i="18" a="1"/>
  <c r="AG161" i="18" s="1"/>
  <c r="AH161" i="18" s="1"/>
  <c r="AG169" i="18" a="1"/>
  <c r="AG169" i="18" s="1"/>
  <c r="AH169" i="18" s="1"/>
  <c r="Y224" i="18" a="1"/>
  <c r="Y224" i="18" s="1"/>
  <c r="Y200" i="18" a="1"/>
  <c r="Y200" i="18" s="1"/>
  <c r="Y192" i="18" a="1"/>
  <c r="Y192" i="18" s="1"/>
  <c r="Y201" i="18" a="1"/>
  <c r="Y201" i="18" s="1"/>
  <c r="Y193" i="18" a="1"/>
  <c r="Y193" i="18" s="1"/>
  <c r="Y202" i="18" a="1"/>
  <c r="Y202" i="18" s="1"/>
  <c r="Y194" i="18" a="1"/>
  <c r="Y194" i="18" s="1"/>
  <c r="Y203" i="18" a="1"/>
  <c r="Y203" i="18" s="1"/>
  <c r="Y195" i="18" a="1"/>
  <c r="Y195" i="18" s="1"/>
  <c r="Y199" i="18" a="1"/>
  <c r="Y199" i="18" s="1"/>
  <c r="Y191" i="18" a="1"/>
  <c r="Y191" i="18" s="1"/>
  <c r="Y206" i="18" a="1"/>
  <c r="Y206" i="18" s="1"/>
  <c r="Y187" i="18" a="1"/>
  <c r="Y187" i="18" s="1"/>
  <c r="Y180" i="18" a="1"/>
  <c r="Y180" i="18" s="1"/>
  <c r="Y197" i="18" a="1"/>
  <c r="Y197" i="18" s="1"/>
  <c r="Y181" i="18" a="1"/>
  <c r="Y181" i="18" s="1"/>
  <c r="Y198" i="18" a="1"/>
  <c r="Y198" i="18" s="1"/>
  <c r="Y188" i="18" a="1"/>
  <c r="Y188" i="18" s="1"/>
  <c r="Y183" i="18" a="1"/>
  <c r="Y183" i="18" s="1"/>
  <c r="Y196" i="18" a="1"/>
  <c r="Y196" i="18" s="1"/>
  <c r="Y189" i="18" a="1"/>
  <c r="Y189" i="18" s="1"/>
  <c r="Y184" i="18" a="1"/>
  <c r="Y184" i="18" s="1"/>
  <c r="Y176" i="18" a="1"/>
  <c r="Y176" i="18" s="1"/>
  <c r="Y205" i="18" a="1"/>
  <c r="Y205" i="18" s="1"/>
  <c r="Y190" i="18" a="1"/>
  <c r="Y190" i="18" s="1"/>
  <c r="Y185" i="18" a="1"/>
  <c r="Y185" i="18" s="1"/>
  <c r="Y177" i="18" a="1"/>
  <c r="Y177" i="18" s="1"/>
  <c r="Y204" i="18" a="1"/>
  <c r="Y204" i="18" s="1"/>
  <c r="Y179" i="18" a="1"/>
  <c r="Y179" i="18" s="1"/>
  <c r="R177" i="18" a="1"/>
  <c r="R177" i="18" s="1"/>
  <c r="R181" i="18" a="1"/>
  <c r="R181" i="18" s="1"/>
  <c r="AC183" i="18" a="1"/>
  <c r="AC183" i="18" s="1"/>
  <c r="AD183" i="18" s="1"/>
  <c r="S292" i="18" a="1"/>
  <c r="S292" i="18" s="1"/>
  <c r="S205" i="18" a="1"/>
  <c r="S205" i="18" s="1"/>
  <c r="S197" i="18" a="1"/>
  <c r="S197" i="18" s="1"/>
  <c r="S206" i="18" a="1"/>
  <c r="S206" i="18" s="1"/>
  <c r="S198" i="18" a="1"/>
  <c r="S198" i="18" s="1"/>
  <c r="S190" i="18" a="1"/>
  <c r="S190" i="18" s="1"/>
  <c r="S199" i="18" a="1"/>
  <c r="S199" i="18" s="1"/>
  <c r="S200" i="18" a="1"/>
  <c r="S200" i="18" s="1"/>
  <c r="S192" i="18" a="1"/>
  <c r="S192" i="18" s="1"/>
  <c r="S204" i="18" a="1"/>
  <c r="S204" i="18" s="1"/>
  <c r="S196" i="18" a="1"/>
  <c r="S196" i="18" s="1"/>
  <c r="S188" i="18" a="1"/>
  <c r="S188" i="18" s="1"/>
  <c r="S185" i="18" a="1"/>
  <c r="S185" i="18" s="1"/>
  <c r="S177" i="18" a="1"/>
  <c r="S177" i="18" s="1"/>
  <c r="S186" i="18" a="1"/>
  <c r="S186" i="18" s="1"/>
  <c r="S178" i="18" a="1"/>
  <c r="S178" i="18" s="1"/>
  <c r="S203" i="18" a="1"/>
  <c r="S203" i="18" s="1"/>
  <c r="S187" i="18" a="1"/>
  <c r="S187" i="18" s="1"/>
  <c r="S194" i="18" a="1"/>
  <c r="S194" i="18" s="1"/>
  <c r="S193" i="18" a="1"/>
  <c r="S193" i="18" s="1"/>
  <c r="S180" i="18" a="1"/>
  <c r="S180" i="18" s="1"/>
  <c r="S191" i="18" a="1"/>
  <c r="S191" i="18" s="1"/>
  <c r="S181" i="18" a="1"/>
  <c r="S181" i="18" s="1"/>
  <c r="S202" i="18" a="1"/>
  <c r="S202" i="18" s="1"/>
  <c r="S201" i="18" a="1"/>
  <c r="S201" i="18" s="1"/>
  <c r="S189" i="18" a="1"/>
  <c r="S189" i="18" s="1"/>
  <c r="S182" i="18" a="1"/>
  <c r="S182" i="18" s="1"/>
  <c r="S195" i="18" a="1"/>
  <c r="S195" i="18" s="1"/>
  <c r="S184" i="18" a="1"/>
  <c r="S184" i="18" s="1"/>
  <c r="S176" i="18" a="1"/>
  <c r="S176" i="18" s="1"/>
  <c r="Y178" i="18" a="1"/>
  <c r="Y178" i="18" s="1"/>
  <c r="Y182" i="18" a="1"/>
  <c r="Y182" i="18" s="1"/>
  <c r="AL8" i="18" a="1"/>
  <c r="AL8" i="18" s="1"/>
  <c r="AL202" i="18" a="1"/>
  <c r="AL202" i="18" s="1"/>
  <c r="AL194" i="18" a="1"/>
  <c r="AL194" i="18" s="1"/>
  <c r="AL203" i="18" a="1"/>
  <c r="AL203" i="18" s="1"/>
  <c r="AL195" i="18" a="1"/>
  <c r="AL195" i="18" s="1"/>
  <c r="AL187" i="18" a="1"/>
  <c r="AL187" i="18" s="1"/>
  <c r="AL204" i="18" a="1"/>
  <c r="AL204" i="18" s="1"/>
  <c r="AL196" i="18" a="1"/>
  <c r="AL196" i="18" s="1"/>
  <c r="AL205" i="18" a="1"/>
  <c r="AL205" i="18" s="1"/>
  <c r="AL197" i="18" a="1"/>
  <c r="AL197" i="18" s="1"/>
  <c r="AL189" i="18" a="1"/>
  <c r="AL189" i="18" s="1"/>
  <c r="AL206" i="18" a="1"/>
  <c r="AL206" i="18" s="1"/>
  <c r="AL201" i="18" a="1"/>
  <c r="AL201" i="18" s="1"/>
  <c r="AL193" i="18" a="1"/>
  <c r="AL193" i="18" s="1"/>
  <c r="AL198" i="18" a="1"/>
  <c r="AL198" i="18" s="1"/>
  <c r="AL182" i="18" a="1"/>
  <c r="AL182" i="18" s="1"/>
  <c r="AL183" i="18" a="1"/>
  <c r="AL183" i="18" s="1"/>
  <c r="AL192" i="18" a="1"/>
  <c r="AL192" i="18" s="1"/>
  <c r="AL190" i="18" a="1"/>
  <c r="AL190" i="18" s="1"/>
  <c r="AL184" i="18" a="1"/>
  <c r="AL184" i="18" s="1"/>
  <c r="AL200" i="18" a="1"/>
  <c r="AL200" i="18" s="1"/>
  <c r="AL191" i="18" a="1"/>
  <c r="AL191" i="18" s="1"/>
  <c r="AL185" i="18" a="1"/>
  <c r="AL185" i="18" s="1"/>
  <c r="AL177" i="18" a="1"/>
  <c r="AL177" i="18" s="1"/>
  <c r="AL199" i="18" a="1"/>
  <c r="AL199" i="18" s="1"/>
  <c r="AL188" i="18" a="1"/>
  <c r="AL188" i="18" s="1"/>
  <c r="AL186" i="18" a="1"/>
  <c r="AL186" i="18" s="1"/>
  <c r="AL178" i="18" a="1"/>
  <c r="AL178" i="18" s="1"/>
  <c r="AL179" i="18" a="1"/>
  <c r="AL179" i="18" s="1"/>
  <c r="AL181" i="18" a="1"/>
  <c r="AL181" i="18" s="1"/>
  <c r="S228" i="18" a="1"/>
  <c r="S228" i="18" s="1"/>
  <c r="AA178" i="18" a="1"/>
  <c r="AA178" i="18" s="1"/>
  <c r="S179" i="18" a="1"/>
  <c r="S179" i="18" s="1"/>
  <c r="S183" i="18" a="1"/>
  <c r="S183" i="18" s="1"/>
  <c r="W205" i="18" a="1"/>
  <c r="W205" i="18" s="1"/>
  <c r="X205" i="18" s="1"/>
  <c r="W197" i="18" a="1"/>
  <c r="W197" i="18" s="1"/>
  <c r="X197" i="18" s="1"/>
  <c r="W206" i="18" a="1"/>
  <c r="W206" i="18" s="1"/>
  <c r="X206" i="18" s="1"/>
  <c r="W198" i="18" a="1"/>
  <c r="W198" i="18" s="1"/>
  <c r="X198" i="18" s="1"/>
  <c r="W190" i="18" a="1"/>
  <c r="W190" i="18" s="1"/>
  <c r="X190" i="18" s="1"/>
  <c r="W199" i="18" a="1"/>
  <c r="W199" i="18" s="1"/>
  <c r="X199" i="18" s="1"/>
  <c r="W200" i="18" a="1"/>
  <c r="W200" i="18" s="1"/>
  <c r="X200" i="18" s="1"/>
  <c r="W192" i="18" a="1"/>
  <c r="W192" i="18" s="1"/>
  <c r="X192" i="18" s="1"/>
  <c r="W204" i="18" a="1"/>
  <c r="W204" i="18" s="1"/>
  <c r="X204" i="18" s="1"/>
  <c r="W196" i="18" a="1"/>
  <c r="W196" i="18" s="1"/>
  <c r="X196" i="18" s="1"/>
  <c r="W188" i="18" a="1"/>
  <c r="W188" i="18" s="1"/>
  <c r="X188" i="18" s="1"/>
  <c r="W185" i="18" a="1"/>
  <c r="W185" i="18" s="1"/>
  <c r="X185" i="18" s="1"/>
  <c r="W177" i="18" a="1"/>
  <c r="W177" i="18" s="1"/>
  <c r="X177" i="18" s="1"/>
  <c r="W202" i="18" a="1"/>
  <c r="W202" i="18" s="1"/>
  <c r="X202" i="18" s="1"/>
  <c r="W201" i="18" a="1"/>
  <c r="W201" i="18" s="1"/>
  <c r="X201" i="18" s="1"/>
  <c r="W186" i="18" a="1"/>
  <c r="W186" i="18" s="1"/>
  <c r="X186" i="18" s="1"/>
  <c r="W178" i="18" a="1"/>
  <c r="W178" i="18" s="1"/>
  <c r="X178" i="18" s="1"/>
  <c r="W195" i="18" a="1"/>
  <c r="W195" i="18" s="1"/>
  <c r="X195" i="18" s="1"/>
  <c r="W187" i="18" a="1"/>
  <c r="W187" i="18" s="1"/>
  <c r="X187" i="18" s="1"/>
  <c r="W180" i="18" a="1"/>
  <c r="W180" i="18" s="1"/>
  <c r="X180" i="18" s="1"/>
  <c r="W181" i="18" a="1"/>
  <c r="W181" i="18" s="1"/>
  <c r="X181" i="18" s="1"/>
  <c r="W203" i="18" a="1"/>
  <c r="W203" i="18" s="1"/>
  <c r="X203" i="18" s="1"/>
  <c r="W182" i="18" a="1"/>
  <c r="W182" i="18" s="1"/>
  <c r="X182" i="18" s="1"/>
  <c r="W194" i="18" a="1"/>
  <c r="W194" i="18" s="1"/>
  <c r="X194" i="18" s="1"/>
  <c r="W193" i="18" a="1"/>
  <c r="W193" i="18" s="1"/>
  <c r="X193" i="18" s="1"/>
  <c r="W191" i="18" a="1"/>
  <c r="W191" i="18" s="1"/>
  <c r="X191" i="18" s="1"/>
  <c r="W184" i="18" a="1"/>
  <c r="W184" i="18" s="1"/>
  <c r="X184" i="18" s="1"/>
  <c r="W176" i="18" a="1"/>
  <c r="W176" i="18" s="1"/>
  <c r="X176" i="18" s="1"/>
  <c r="AG178" i="18" a="1"/>
  <c r="AG178" i="18" s="1"/>
  <c r="AH178" i="18" s="1"/>
  <c r="AC178" i="18" a="1"/>
  <c r="AC178" i="18" s="1"/>
  <c r="AD178" i="18" s="1"/>
  <c r="AG182" i="18" a="1"/>
  <c r="AG182" i="18" s="1"/>
  <c r="AH182" i="18" s="1"/>
  <c r="AC182" i="18" a="1"/>
  <c r="AC182" i="18" s="1"/>
  <c r="AD182" i="18" s="1"/>
  <c r="Y186" i="18" a="1"/>
  <c r="Y186" i="18" s="1"/>
  <c r="AP247" i="18" a="1"/>
  <c r="AP247" i="18" s="1"/>
  <c r="AP205" i="18" a="1"/>
  <c r="AP205" i="18" s="1"/>
  <c r="AP197" i="18" a="1"/>
  <c r="AP197" i="18" s="1"/>
  <c r="AP206" i="18" a="1"/>
  <c r="AP206" i="18" s="1"/>
  <c r="AP198" i="18" a="1"/>
  <c r="AP198" i="18" s="1"/>
  <c r="AP190" i="18" a="1"/>
  <c r="AP190" i="18" s="1"/>
  <c r="AP199" i="18" a="1"/>
  <c r="AP199" i="18" s="1"/>
  <c r="AP191" i="18" a="1"/>
  <c r="AP191" i="18" s="1"/>
  <c r="AP200" i="18" a="1"/>
  <c r="AP200" i="18" s="1"/>
  <c r="AP192" i="18" a="1"/>
  <c r="AP192" i="18" s="1"/>
  <c r="AP204" i="18" a="1"/>
  <c r="AP204" i="18" s="1"/>
  <c r="AP196" i="18" a="1"/>
  <c r="AP196" i="18" s="1"/>
  <c r="AP188" i="18" a="1"/>
  <c r="AP188" i="18" s="1"/>
  <c r="AP185" i="18" a="1"/>
  <c r="AP185" i="18" s="1"/>
  <c r="AP177" i="18" a="1"/>
  <c r="AP177" i="18" s="1"/>
  <c r="AP186" i="18" a="1"/>
  <c r="AP186" i="18" s="1"/>
  <c r="AP178" i="18" a="1"/>
  <c r="AP178" i="18" s="1"/>
  <c r="AP194" i="18" a="1"/>
  <c r="AP194" i="18" s="1"/>
  <c r="AP189" i="18" a="1"/>
  <c r="AP189" i="18" s="1"/>
  <c r="AP180" i="18" a="1"/>
  <c r="AP180" i="18" s="1"/>
  <c r="AP195" i="18" a="1"/>
  <c r="AP195" i="18" s="1"/>
  <c r="AP193" i="18" a="1"/>
  <c r="AP193" i="18" s="1"/>
  <c r="AP181" i="18" a="1"/>
  <c r="AP181" i="18" s="1"/>
  <c r="AP202" i="18" a="1"/>
  <c r="AP202" i="18" s="1"/>
  <c r="AP182" i="18" a="1"/>
  <c r="AP182" i="18" s="1"/>
  <c r="AP203" i="18" a="1"/>
  <c r="AP203" i="18" s="1"/>
  <c r="AP187" i="18" a="1"/>
  <c r="AP187" i="18" s="1"/>
  <c r="AP184" i="18" a="1"/>
  <c r="AP184" i="18" s="1"/>
  <c r="AP176" i="18" a="1"/>
  <c r="AP176" i="18" s="1"/>
  <c r="Z176" i="18" a="1"/>
  <c r="Z176" i="18" s="1"/>
  <c r="AL176" i="18" a="1"/>
  <c r="AL176" i="18" s="1"/>
  <c r="Z180" i="18" a="1"/>
  <c r="Z180" i="18" s="1"/>
  <c r="AL180" i="18" a="1"/>
  <c r="AL180" i="18" s="1"/>
  <c r="R222" i="18" a="1"/>
  <c r="R222" i="18" s="1"/>
  <c r="R203" i="18" a="1"/>
  <c r="R203" i="18" s="1"/>
  <c r="R195" i="18" a="1"/>
  <c r="R195" i="18" s="1"/>
  <c r="R204" i="18" a="1"/>
  <c r="R204" i="18" s="1"/>
  <c r="R196" i="18" a="1"/>
  <c r="R196" i="18" s="1"/>
  <c r="R188" i="18" a="1"/>
  <c r="R188" i="18" s="1"/>
  <c r="R205" i="18" a="1"/>
  <c r="R205" i="18" s="1"/>
  <c r="R197" i="18" a="1"/>
  <c r="R197" i="18" s="1"/>
  <c r="R206" i="18" a="1"/>
  <c r="R206" i="18" s="1"/>
  <c r="R198" i="18" a="1"/>
  <c r="R198" i="18" s="1"/>
  <c r="R190" i="18" a="1"/>
  <c r="R190" i="18" s="1"/>
  <c r="R202" i="18" a="1"/>
  <c r="R202" i="18" s="1"/>
  <c r="R194" i="18" a="1"/>
  <c r="R194" i="18" s="1"/>
  <c r="R192" i="18" a="1"/>
  <c r="R192" i="18" s="1"/>
  <c r="R183" i="18" a="1"/>
  <c r="R183" i="18" s="1"/>
  <c r="R200" i="18" a="1"/>
  <c r="R200" i="18" s="1"/>
  <c r="R184" i="18" a="1"/>
  <c r="R184" i="18" s="1"/>
  <c r="R176" i="18" a="1"/>
  <c r="R176" i="18" s="1"/>
  <c r="R185" i="18" a="1"/>
  <c r="R185" i="18" s="1"/>
  <c r="R199" i="18" a="1"/>
  <c r="R199" i="18" s="1"/>
  <c r="R186" i="18" a="1"/>
  <c r="R186" i="18" s="1"/>
  <c r="R178" i="18" a="1"/>
  <c r="R178" i="18" s="1"/>
  <c r="R187" i="18" a="1"/>
  <c r="R187" i="18" s="1"/>
  <c r="R179" i="18" a="1"/>
  <c r="R179" i="18" s="1"/>
  <c r="R193" i="18" a="1"/>
  <c r="R193" i="18" s="1"/>
  <c r="R191" i="18" a="1"/>
  <c r="R191" i="18" s="1"/>
  <c r="R180" i="18" a="1"/>
  <c r="R180" i="18" s="1"/>
  <c r="R201" i="18" a="1"/>
  <c r="R201" i="18" s="1"/>
  <c r="R182" i="18" a="1"/>
  <c r="R182" i="18" s="1"/>
  <c r="AB286" i="18" a="1"/>
  <c r="AB286" i="18" s="1"/>
  <c r="AB206" i="18" a="1"/>
  <c r="AB206" i="18" s="1"/>
  <c r="AB198" i="18" a="1"/>
  <c r="AB198" i="18" s="1"/>
  <c r="AB190" i="18" a="1"/>
  <c r="AB190" i="18" s="1"/>
  <c r="AB199" i="18" a="1"/>
  <c r="AB199" i="18" s="1"/>
  <c r="AB191" i="18" a="1"/>
  <c r="AB191" i="18" s="1"/>
  <c r="AB200" i="18" a="1"/>
  <c r="AB200" i="18" s="1"/>
  <c r="AB192" i="18" a="1"/>
  <c r="AB192" i="18" s="1"/>
  <c r="AB201" i="18" a="1"/>
  <c r="AB201" i="18" s="1"/>
  <c r="AB193" i="18" a="1"/>
  <c r="AB193" i="18" s="1"/>
  <c r="AB205" i="18" a="1"/>
  <c r="AB205" i="18" s="1"/>
  <c r="AB197" i="18" a="1"/>
  <c r="AB197" i="18" s="1"/>
  <c r="AB189" i="18" a="1"/>
  <c r="AB189" i="18" s="1"/>
  <c r="AB186" i="18" a="1"/>
  <c r="AB186" i="18" s="1"/>
  <c r="AB178" i="18" a="1"/>
  <c r="AB178" i="18" s="1"/>
  <c r="AB203" i="18" a="1"/>
  <c r="AB203" i="18" s="1"/>
  <c r="AB179" i="18" a="1"/>
  <c r="AB179" i="18" s="1"/>
  <c r="AB196" i="18" a="1"/>
  <c r="AB196" i="18" s="1"/>
  <c r="AB194" i="18" a="1"/>
  <c r="AB194" i="18" s="1"/>
  <c r="AB181" i="18" a="1"/>
  <c r="AB181" i="18" s="1"/>
  <c r="AB187" i="18" a="1"/>
  <c r="AB187" i="18" s="1"/>
  <c r="AB182" i="18" a="1"/>
  <c r="AB182" i="18" s="1"/>
  <c r="AB202" i="18" a="1"/>
  <c r="AB202" i="18" s="1"/>
  <c r="AB183" i="18" a="1"/>
  <c r="AB183" i="18" s="1"/>
  <c r="AB188" i="18" a="1"/>
  <c r="AB188" i="18" s="1"/>
  <c r="AB185" i="18" a="1"/>
  <c r="AB185" i="18" s="1"/>
  <c r="AB177" i="18" a="1"/>
  <c r="AB177" i="18" s="1"/>
  <c r="AB176" i="18" a="1"/>
  <c r="AB176" i="18" s="1"/>
  <c r="W179" i="18" a="1"/>
  <c r="W179" i="18" s="1"/>
  <c r="X179" i="18" s="1"/>
  <c r="AB180" i="18" a="1"/>
  <c r="AB180" i="18" s="1"/>
  <c r="W183" i="18" a="1"/>
  <c r="W183" i="18" s="1"/>
  <c r="X183" i="18" s="1"/>
  <c r="AB184" i="18" a="1"/>
  <c r="AB184" i="18" s="1"/>
  <c r="AG185" i="18" a="1"/>
  <c r="AG185" i="18" s="1"/>
  <c r="AH185" i="18" s="1"/>
  <c r="W189" i="18" a="1"/>
  <c r="W189" i="18" s="1"/>
  <c r="X189" i="18" s="1"/>
  <c r="AB195" i="18" a="1"/>
  <c r="AB195" i="18" s="1"/>
  <c r="AA272" i="18" a="1"/>
  <c r="AA272" i="18" s="1"/>
  <c r="AA204" i="18" a="1"/>
  <c r="AA204" i="18" s="1"/>
  <c r="AA196" i="18" a="1"/>
  <c r="AA196" i="18" s="1"/>
  <c r="AA205" i="18" a="1"/>
  <c r="AA205" i="18" s="1"/>
  <c r="AA197" i="18" a="1"/>
  <c r="AA197" i="18" s="1"/>
  <c r="AA189" i="18" a="1"/>
  <c r="AA189" i="18" s="1"/>
  <c r="AA206" i="18" a="1"/>
  <c r="AA206" i="18" s="1"/>
  <c r="AA198" i="18" a="1"/>
  <c r="AA198" i="18" s="1"/>
  <c r="AA199" i="18" a="1"/>
  <c r="AA199" i="18" s="1"/>
  <c r="AA191" i="18" a="1"/>
  <c r="AA191" i="18" s="1"/>
  <c r="AA203" i="18" a="1"/>
  <c r="AA203" i="18" s="1"/>
  <c r="AA195" i="18" a="1"/>
  <c r="AA195" i="18" s="1"/>
  <c r="AA187" i="18" a="1"/>
  <c r="AA187" i="18" s="1"/>
  <c r="AA192" i="18" a="1"/>
  <c r="AA192" i="18" s="1"/>
  <c r="AA188" i="18" a="1"/>
  <c r="AA188" i="18" s="1"/>
  <c r="AA184" i="18" a="1"/>
  <c r="AA184" i="18" s="1"/>
  <c r="AA176" i="18" a="1"/>
  <c r="AA176" i="18" s="1"/>
  <c r="AA200" i="18" a="1"/>
  <c r="AA200" i="18" s="1"/>
  <c r="AA185" i="18" a="1"/>
  <c r="AA185" i="18" s="1"/>
  <c r="AA177" i="18" a="1"/>
  <c r="AA177" i="18" s="1"/>
  <c r="AA190" i="18" a="1"/>
  <c r="AA190" i="18" s="1"/>
  <c r="AA186" i="18" a="1"/>
  <c r="AA186" i="18" s="1"/>
  <c r="AA179" i="18" a="1"/>
  <c r="AA179" i="18" s="1"/>
  <c r="AA180" i="18" a="1"/>
  <c r="AA180" i="18" s="1"/>
  <c r="AA194" i="18" a="1"/>
  <c r="AA194" i="18" s="1"/>
  <c r="AA193" i="18" a="1"/>
  <c r="AA193" i="18" s="1"/>
  <c r="AA181" i="18" a="1"/>
  <c r="AA181" i="18" s="1"/>
  <c r="AA202" i="18" a="1"/>
  <c r="AA202" i="18" s="1"/>
  <c r="AA201" i="18" a="1"/>
  <c r="AA201" i="18" s="1"/>
  <c r="AA183" i="18" a="1"/>
  <c r="AA183" i="18" s="1"/>
  <c r="AG177" i="18" a="1"/>
  <c r="AG177" i="18" s="1"/>
  <c r="AH177" i="18" s="1"/>
  <c r="Z228" i="18" a="1"/>
  <c r="Z228" i="18" s="1"/>
  <c r="Z202" i="18" a="1"/>
  <c r="Z202" i="18" s="1"/>
  <c r="Z194" i="18" a="1"/>
  <c r="Z194" i="18" s="1"/>
  <c r="Z203" i="18" a="1"/>
  <c r="Z203" i="18" s="1"/>
  <c r="Z195" i="18" a="1"/>
  <c r="Z195" i="18" s="1"/>
  <c r="Z187" i="18" a="1"/>
  <c r="Z187" i="18" s="1"/>
  <c r="Z204" i="18" a="1"/>
  <c r="Z204" i="18" s="1"/>
  <c r="Z196" i="18" a="1"/>
  <c r="Z196" i="18" s="1"/>
  <c r="Z205" i="18" a="1"/>
  <c r="Z205" i="18" s="1"/>
  <c r="Z197" i="18" a="1"/>
  <c r="Z197" i="18" s="1"/>
  <c r="Z206" i="18" a="1"/>
  <c r="Z206" i="18" s="1"/>
  <c r="Z201" i="18" a="1"/>
  <c r="Z201" i="18" s="1"/>
  <c r="Z193" i="18" a="1"/>
  <c r="Z193" i="18" s="1"/>
  <c r="Z198" i="18" a="1"/>
  <c r="Z198" i="18" s="1"/>
  <c r="Z182" i="18" a="1"/>
  <c r="Z182" i="18" s="1"/>
  <c r="Z188" i="18" a="1"/>
  <c r="Z188" i="18" s="1"/>
  <c r="Z183" i="18" a="1"/>
  <c r="Z183" i="18" s="1"/>
  <c r="Z192" i="18" a="1"/>
  <c r="Z192" i="18" s="1"/>
  <c r="Z189" i="18" a="1"/>
  <c r="Z189" i="18" s="1"/>
  <c r="Z200" i="18" a="1"/>
  <c r="Z200" i="18" s="1"/>
  <c r="Z190" i="18" a="1"/>
  <c r="Z190" i="18" s="1"/>
  <c r="Z185" i="18" a="1"/>
  <c r="Z185" i="18" s="1"/>
  <c r="Z177" i="18" a="1"/>
  <c r="Z177" i="18" s="1"/>
  <c r="Z186" i="18" a="1"/>
  <c r="Z186" i="18" s="1"/>
  <c r="Z178" i="18" a="1"/>
  <c r="Z178" i="18" s="1"/>
  <c r="Z199" i="18" a="1"/>
  <c r="Z199" i="18" s="1"/>
  <c r="Z191" i="18" a="1"/>
  <c r="Z191" i="18" s="1"/>
  <c r="Z179" i="18" a="1"/>
  <c r="Z179" i="18" s="1"/>
  <c r="Z181" i="18" a="1"/>
  <c r="Z181" i="18" s="1"/>
  <c r="AP179" i="18" a="1"/>
  <c r="AP179" i="18" s="1"/>
  <c r="AP183" i="18" a="1"/>
  <c r="AP183" i="18" s="1"/>
  <c r="AP201" i="18" a="1"/>
  <c r="AP201" i="18" s="1"/>
  <c r="AG176" i="18" a="1"/>
  <c r="AG176" i="18" s="1"/>
  <c r="AH176" i="18" s="1"/>
  <c r="AG184" i="18" a="1"/>
  <c r="AG184" i="18" s="1"/>
  <c r="AH184" i="18" s="1"/>
  <c r="AG188" i="18" a="1"/>
  <c r="AG188" i="18" s="1"/>
  <c r="AH188" i="18" s="1"/>
  <c r="AC177" i="18" a="1"/>
  <c r="AC177" i="18" s="1"/>
  <c r="AD177" i="18" s="1"/>
  <c r="AC185" i="18" a="1"/>
  <c r="AC185" i="18" s="1"/>
  <c r="AD185" i="18" s="1"/>
  <c r="AG190" i="18" a="1"/>
  <c r="AG190" i="18" s="1"/>
  <c r="AH190" i="18" s="1"/>
  <c r="AG196" i="18" a="1"/>
  <c r="AG196" i="18" s="1"/>
  <c r="AH196" i="18" s="1"/>
  <c r="AG206" i="18" a="1"/>
  <c r="AG206" i="18" s="1"/>
  <c r="AH206" i="18" s="1"/>
  <c r="AC200" i="18" a="1"/>
  <c r="AC200" i="18" s="1"/>
  <c r="AD200" i="18" s="1"/>
  <c r="AC203" i="18" a="1"/>
  <c r="AC203" i="18" s="1"/>
  <c r="AD203" i="18" s="1"/>
  <c r="AG205" i="18" a="1"/>
  <c r="AG205" i="18" s="1"/>
  <c r="AH205" i="18" s="1"/>
  <c r="AG180" i="18" a="1"/>
  <c r="AG180" i="18" s="1"/>
  <c r="AH180" i="18" s="1"/>
  <c r="AC192" i="18" a="1"/>
  <c r="AC192" i="18" s="1"/>
  <c r="AD192" i="18" s="1"/>
  <c r="AC205" i="18" a="1"/>
  <c r="AC205" i="18" s="1"/>
  <c r="AD205" i="18" s="1"/>
  <c r="AC190" i="18" a="1"/>
  <c r="AC190" i="18" s="1"/>
  <c r="AD190" i="18" s="1"/>
  <c r="AC195" i="18" a="1"/>
  <c r="AC195" i="18" s="1"/>
  <c r="AD195" i="18" s="1"/>
  <c r="AC196" i="18" a="1"/>
  <c r="AC196" i="18" s="1"/>
  <c r="AD196" i="18" s="1"/>
  <c r="AG198" i="18" a="1"/>
  <c r="AG198" i="18" s="1"/>
  <c r="AH198" i="18" s="1"/>
  <c r="AC201" i="18" a="1"/>
  <c r="AC201" i="18" s="1"/>
  <c r="AD201" i="18" s="1"/>
  <c r="AG204" i="18" a="1"/>
  <c r="AG204" i="18" s="1"/>
  <c r="AH204" i="18" s="1"/>
  <c r="AG192" i="18" a="1"/>
  <c r="AG192" i="18" s="1"/>
  <c r="AH192" i="18" s="1"/>
  <c r="AG200" i="18" a="1"/>
  <c r="AG200" i="18" s="1"/>
  <c r="AH200" i="18" s="1"/>
  <c r="R221" i="18" a="1"/>
  <c r="R221" i="18" s="1"/>
  <c r="Y6" i="18" a="1"/>
  <c r="Y6" i="18" s="1"/>
  <c r="R213" i="18" a="1"/>
  <c r="R213" i="18" s="1"/>
  <c r="AA214" i="18" a="1"/>
  <c r="AA214" i="18" s="1"/>
  <c r="AA293" i="18" a="1"/>
  <c r="AA293" i="18" s="1"/>
  <c r="AA5" i="18" a="1"/>
  <c r="AA5" i="18" s="1"/>
  <c r="AA235" i="18" a="1"/>
  <c r="AA235" i="18" s="1"/>
  <c r="AA262" i="18" a="1"/>
  <c r="AA262" i="18" s="1"/>
  <c r="AA8" i="18" a="1"/>
  <c r="AA8" i="18" s="1"/>
  <c r="S207" i="18" a="1"/>
  <c r="S207" i="18" s="1"/>
  <c r="Y7" i="18" a="1"/>
  <c r="Y7" i="18" s="1"/>
  <c r="R212" i="18" a="1"/>
  <c r="R212" i="18" s="1"/>
  <c r="AP212" i="18" a="1"/>
  <c r="AP212" i="18" s="1"/>
  <c r="Y230" i="18" a="1"/>
  <c r="Y230" i="18" s="1"/>
  <c r="AL282" i="18" a="1"/>
  <c r="AL282" i="18" s="1"/>
  <c r="AL218" i="18" a="1"/>
  <c r="AL218" i="18" s="1"/>
  <c r="W282" i="18" a="1"/>
  <c r="W282" i="18" s="1"/>
  <c r="X282" i="18" s="1"/>
  <c r="W227" i="18" a="1"/>
  <c r="W227" i="18" s="1"/>
  <c r="X227" i="18" s="1"/>
  <c r="W213" i="18" a="1"/>
  <c r="W213" i="18" s="1"/>
  <c r="X213" i="18" s="1"/>
  <c r="W263" i="18" a="1"/>
  <c r="W263" i="18" s="1"/>
  <c r="X263" i="18" s="1"/>
  <c r="W245" i="18" a="1"/>
  <c r="W245" i="18" s="1"/>
  <c r="X245" i="18" s="1"/>
  <c r="W212" i="18" a="1"/>
  <c r="W212" i="18" s="1"/>
  <c r="X212" i="18" s="1"/>
  <c r="W221" i="18" a="1"/>
  <c r="W221" i="18" s="1"/>
  <c r="X221" i="18" s="1"/>
  <c r="W223" i="18" a="1"/>
  <c r="W223" i="18" s="1"/>
  <c r="X223" i="18" s="1"/>
  <c r="W312" i="18" a="1"/>
  <c r="W312" i="18" s="1"/>
  <c r="X312" i="18" s="1"/>
  <c r="W215" i="18" a="1"/>
  <c r="W215" i="18" s="1"/>
  <c r="X215" i="18" s="1"/>
  <c r="AP282" i="18" a="1"/>
  <c r="AP282" i="18" s="1"/>
  <c r="AP305" i="18" a="1"/>
  <c r="AP305" i="18" s="1"/>
  <c r="AP270" i="18" a="1"/>
  <c r="AP270" i="18" s="1"/>
  <c r="AP249" i="18" a="1"/>
  <c r="AP249" i="18" s="1"/>
  <c r="AP239" i="18" a="1"/>
  <c r="AP239" i="18" s="1"/>
  <c r="AP236" i="18" a="1"/>
  <c r="AP236" i="18" s="1"/>
  <c r="AP263" i="18" a="1"/>
  <c r="AP263" i="18" s="1"/>
  <c r="AP256" i="18" a="1"/>
  <c r="AP256" i="18" s="1"/>
  <c r="AP252" i="18" a="1"/>
  <c r="AP252" i="18" s="1"/>
  <c r="AB282" i="18" a="1"/>
  <c r="AB282" i="18" s="1"/>
  <c r="AB220" i="18" a="1"/>
  <c r="AB220" i="18" s="1"/>
  <c r="AB9" i="18" a="1"/>
  <c r="AB9" i="18" s="1"/>
  <c r="AB208" i="18" a="1"/>
  <c r="AB208" i="18" s="1"/>
  <c r="AB5" i="18" a="1"/>
  <c r="AB5" i="18" s="1"/>
  <c r="AL216" i="18" a="1"/>
  <c r="AL216" i="18" s="1"/>
  <c r="R248" i="18" a="1"/>
  <c r="R248" i="18" s="1"/>
  <c r="R219" i="18" a="1"/>
  <c r="R219" i="18" s="1"/>
  <c r="R249" i="18" a="1"/>
  <c r="R249" i="18" s="1"/>
  <c r="R227" i="18" a="1"/>
  <c r="R227" i="18" s="1"/>
  <c r="R209" i="18" a="1"/>
  <c r="R209" i="18" s="1"/>
  <c r="Y207" i="18" a="1"/>
  <c r="Y207" i="18" s="1"/>
  <c r="Y228" i="18" a="1"/>
  <c r="Y228" i="18" s="1"/>
  <c r="Y222" i="18" a="1"/>
  <c r="Y222" i="18" s="1"/>
  <c r="AB250" i="18" a="1"/>
  <c r="AB250" i="18" s="1"/>
  <c r="AA218" i="18" a="1"/>
  <c r="AA218" i="18" s="1"/>
  <c r="S223" i="18" a="1"/>
  <c r="S223" i="18" s="1"/>
  <c r="AG624" i="18" a="1"/>
  <c r="AG624" i="18" s="1"/>
  <c r="AH624" i="18" s="1"/>
  <c r="AC649" i="18" a="1"/>
  <c r="AC649" i="18" s="1"/>
  <c r="AD649" i="18" s="1"/>
  <c r="S268" i="18" a="1"/>
  <c r="S268" i="18" s="1"/>
  <c r="AA283" i="18" a="1"/>
  <c r="AA283" i="18" s="1"/>
  <c r="S226" i="18" a="1"/>
  <c r="S226" i="18" s="1"/>
  <c r="AC637" i="18" a="1"/>
  <c r="AC637" i="18" s="1"/>
  <c r="AD637" i="18" s="1"/>
  <c r="AG245" i="18" a="1"/>
  <c r="AG245" i="18" s="1"/>
  <c r="AH245" i="18" s="1"/>
  <c r="AC245" i="18" a="1"/>
  <c r="AC245" i="18" s="1"/>
  <c r="AD245" i="18" s="1"/>
  <c r="Z277" i="18" a="1"/>
  <c r="Z277" i="18" s="1"/>
  <c r="R4" i="18" a="1"/>
  <c r="R4" i="18" s="1"/>
  <c r="R653" i="18" a="1"/>
  <c r="R653" i="18" s="1"/>
  <c r="R650" i="18" a="1"/>
  <c r="R650" i="18" s="1"/>
  <c r="R647" i="18" a="1"/>
  <c r="R647" i="18" s="1"/>
  <c r="R646" i="18" a="1"/>
  <c r="R646" i="18" s="1"/>
  <c r="R648" i="18" a="1"/>
  <c r="R648" i="18" s="1"/>
  <c r="R651" i="18" a="1"/>
  <c r="R651" i="18" s="1"/>
  <c r="R649" i="18" a="1"/>
  <c r="R649" i="18" s="1"/>
  <c r="R640" i="18" a="1"/>
  <c r="R640" i="18" s="1"/>
  <c r="R638" i="18" a="1"/>
  <c r="R638" i="18" s="1"/>
  <c r="R636" i="18" a="1"/>
  <c r="R636" i="18" s="1"/>
  <c r="R633" i="18" a="1"/>
  <c r="R633" i="18" s="1"/>
  <c r="R639" i="18" a="1"/>
  <c r="R639" i="18" s="1"/>
  <c r="R637" i="18" a="1"/>
  <c r="R637" i="18" s="1"/>
  <c r="R635" i="18" a="1"/>
  <c r="R635" i="18" s="1"/>
  <c r="R626" i="18" a="1"/>
  <c r="R626" i="18" s="1"/>
  <c r="R624" i="18" a="1"/>
  <c r="R624" i="18" s="1"/>
  <c r="R619" i="18" a="1"/>
  <c r="R619" i="18" s="1"/>
  <c r="R642" i="18" a="1"/>
  <c r="R642" i="18" s="1"/>
  <c r="R625" i="18" a="1"/>
  <c r="R625" i="18" s="1"/>
  <c r="R644" i="18" a="1"/>
  <c r="R644" i="18" s="1"/>
  <c r="R641" i="18" a="1"/>
  <c r="R641" i="18" s="1"/>
  <c r="R630" i="18" a="1"/>
  <c r="R630" i="18" s="1"/>
  <c r="R628" i="18" a="1"/>
  <c r="R628" i="18" s="1"/>
  <c r="R632" i="18" a="1"/>
  <c r="R632" i="18" s="1"/>
  <c r="R627" i="18" a="1"/>
  <c r="R627" i="18" s="1"/>
  <c r="R652" i="18" a="1"/>
  <c r="R652" i="18" s="1"/>
  <c r="R631" i="18" a="1"/>
  <c r="R631" i="18" s="1"/>
  <c r="R622" i="18" a="1"/>
  <c r="R622" i="18" s="1"/>
  <c r="R618" i="18" a="1"/>
  <c r="R618" i="18" s="1"/>
  <c r="R621" i="18" a="1"/>
  <c r="R621" i="18" s="1"/>
  <c r="R616" i="18" a="1"/>
  <c r="R616" i="18" s="1"/>
  <c r="R613" i="18" a="1"/>
  <c r="R613" i="18" s="1"/>
  <c r="R603" i="18" a="1"/>
  <c r="R603" i="18" s="1"/>
  <c r="R598" i="18" a="1"/>
  <c r="R598" i="18" s="1"/>
  <c r="R629" i="18" a="1"/>
  <c r="R629" i="18" s="1"/>
  <c r="R614" i="18" a="1"/>
  <c r="R614" i="18" s="1"/>
  <c r="R606" i="18" a="1"/>
  <c r="R606" i="18" s="1"/>
  <c r="R602" i="18" a="1"/>
  <c r="R602" i="18" s="1"/>
  <c r="R617" i="18" a="1"/>
  <c r="R617" i="18" s="1"/>
  <c r="R620" i="18" a="1"/>
  <c r="R620" i="18" s="1"/>
  <c r="R612" i="18" a="1"/>
  <c r="R612" i="18" s="1"/>
  <c r="R609" i="18" a="1"/>
  <c r="R609" i="18" s="1"/>
  <c r="R604" i="18" a="1"/>
  <c r="R604" i="18" s="1"/>
  <c r="R595" i="18" a="1"/>
  <c r="R595" i="18" s="1"/>
  <c r="R643" i="18" a="1"/>
  <c r="R643" i="18" s="1"/>
  <c r="R634" i="18" a="1"/>
  <c r="R634" i="18" s="1"/>
  <c r="R607" i="18" a="1"/>
  <c r="R607" i="18" s="1"/>
  <c r="R600" i="18" a="1"/>
  <c r="R600" i="18" s="1"/>
  <c r="R597" i="18" a="1"/>
  <c r="R597" i="18" s="1"/>
  <c r="R596" i="18" a="1"/>
  <c r="R596" i="18" s="1"/>
  <c r="R599" i="18" a="1"/>
  <c r="R599" i="18" s="1"/>
  <c r="R590" i="18" a="1"/>
  <c r="R590" i="18" s="1"/>
  <c r="R577" i="18" a="1"/>
  <c r="R577" i="18" s="1"/>
  <c r="R570" i="18" a="1"/>
  <c r="R570" i="18" s="1"/>
  <c r="R568" i="18" a="1"/>
  <c r="R568" i="18" s="1"/>
  <c r="R564" i="18" a="1"/>
  <c r="R564" i="18" s="1"/>
  <c r="R562" i="18" a="1"/>
  <c r="R562" i="18" s="1"/>
  <c r="R553" i="18" a="1"/>
  <c r="R553" i="18" s="1"/>
  <c r="R546" i="18" a="1"/>
  <c r="R546" i="18" s="1"/>
  <c r="R605" i="18" a="1"/>
  <c r="R605" i="18" s="1"/>
  <c r="R572" i="18" a="1"/>
  <c r="R572" i="18" s="1"/>
  <c r="R560" i="18" a="1"/>
  <c r="R560" i="18" s="1"/>
  <c r="R554" i="18" a="1"/>
  <c r="R554" i="18" s="1"/>
  <c r="R552" i="18" a="1"/>
  <c r="R552" i="18" s="1"/>
  <c r="R541" i="18" a="1"/>
  <c r="R541" i="18" s="1"/>
  <c r="R623" i="18" a="1"/>
  <c r="R623" i="18" s="1"/>
  <c r="R594" i="18" a="1"/>
  <c r="R594" i="18" s="1"/>
  <c r="R583" i="18" a="1"/>
  <c r="R583" i="18" s="1"/>
  <c r="R556" i="18" a="1"/>
  <c r="R556" i="18" s="1"/>
  <c r="R645" i="18" a="1"/>
  <c r="R645" i="18" s="1"/>
  <c r="R608" i="18" a="1"/>
  <c r="R608" i="18" s="1"/>
  <c r="R591" i="18" a="1"/>
  <c r="R591" i="18" s="1"/>
  <c r="R581" i="18" a="1"/>
  <c r="R581" i="18" s="1"/>
  <c r="R580" i="18" a="1"/>
  <c r="R580" i="18" s="1"/>
  <c r="R579" i="18" a="1"/>
  <c r="R579" i="18" s="1"/>
  <c r="R578" i="18" a="1"/>
  <c r="R578" i="18" s="1"/>
  <c r="R576" i="18" a="1"/>
  <c r="R576" i="18" s="1"/>
  <c r="R574" i="18" a="1"/>
  <c r="R574" i="18" s="1"/>
  <c r="R566" i="18" a="1"/>
  <c r="R566" i="18" s="1"/>
  <c r="R615" i="18" a="1"/>
  <c r="R615" i="18" s="1"/>
  <c r="R584" i="18" a="1"/>
  <c r="R584" i="18" s="1"/>
  <c r="R582" i="18" a="1"/>
  <c r="R582" i="18" s="1"/>
  <c r="R573" i="18" a="1"/>
  <c r="R573" i="18" s="1"/>
  <c r="R565" i="18" a="1"/>
  <c r="R565" i="18" s="1"/>
  <c r="R563" i="18" a="1"/>
  <c r="R563" i="18" s="1"/>
  <c r="R559" i="18" a="1"/>
  <c r="R559" i="18" s="1"/>
  <c r="R558" i="18" a="1"/>
  <c r="R558" i="18" s="1"/>
  <c r="R543" i="18" a="1"/>
  <c r="R543" i="18" s="1"/>
  <c r="R539" i="18" a="1"/>
  <c r="R539" i="18" s="1"/>
  <c r="R611" i="18" a="1"/>
  <c r="R611" i="18" s="1"/>
  <c r="R601" i="18" a="1"/>
  <c r="R601" i="18" s="1"/>
  <c r="R592" i="18" a="1"/>
  <c r="R592" i="18" s="1"/>
  <c r="R587" i="18" a="1"/>
  <c r="R587" i="18" s="1"/>
  <c r="R571" i="18" a="1"/>
  <c r="R571" i="18" s="1"/>
  <c r="R569" i="18" a="1"/>
  <c r="R569" i="18" s="1"/>
  <c r="R561" i="18" a="1"/>
  <c r="R561" i="18" s="1"/>
  <c r="R544" i="18" a="1"/>
  <c r="R544" i="18" s="1"/>
  <c r="R589" i="18" a="1"/>
  <c r="R589" i="18" s="1"/>
  <c r="R555" i="18" a="1"/>
  <c r="R555" i="18" s="1"/>
  <c r="R536" i="18" a="1"/>
  <c r="R536" i="18" s="1"/>
  <c r="R531" i="18" a="1"/>
  <c r="R531" i="18" s="1"/>
  <c r="R510" i="18" a="1"/>
  <c r="R510" i="18" s="1"/>
  <c r="R509" i="18" a="1"/>
  <c r="R509" i="18" s="1"/>
  <c r="R588" i="18" a="1"/>
  <c r="R588" i="18" s="1"/>
  <c r="R551" i="18" a="1"/>
  <c r="R551" i="18" s="1"/>
  <c r="R528" i="18" a="1"/>
  <c r="R528" i="18" s="1"/>
  <c r="R519" i="18" a="1"/>
  <c r="R519" i="18" s="1"/>
  <c r="R514" i="18" a="1"/>
  <c r="R514" i="18" s="1"/>
  <c r="R511" i="18" a="1"/>
  <c r="R511" i="18" s="1"/>
  <c r="R498" i="18" a="1"/>
  <c r="R498" i="18" s="1"/>
  <c r="R494" i="18" a="1"/>
  <c r="R494" i="18" s="1"/>
  <c r="R610" i="18" a="1"/>
  <c r="R610" i="18" s="1"/>
  <c r="R593" i="18" a="1"/>
  <c r="R593" i="18" s="1"/>
  <c r="R542" i="18" a="1"/>
  <c r="R542" i="18" s="1"/>
  <c r="R532" i="18" a="1"/>
  <c r="R532" i="18" s="1"/>
  <c r="R525" i="18" a="1"/>
  <c r="R525" i="18" s="1"/>
  <c r="R522" i="18" a="1"/>
  <c r="R522" i="18" s="1"/>
  <c r="R515" i="18" a="1"/>
  <c r="R515" i="18" s="1"/>
  <c r="R505" i="18" a="1"/>
  <c r="R505" i="18" s="1"/>
  <c r="R503" i="18" a="1"/>
  <c r="R503" i="18" s="1"/>
  <c r="R500" i="18" a="1"/>
  <c r="R500" i="18" s="1"/>
  <c r="R499" i="18" a="1"/>
  <c r="R499" i="18" s="1"/>
  <c r="R548" i="18" a="1"/>
  <c r="R548" i="18" s="1"/>
  <c r="R540" i="18" a="1"/>
  <c r="R540" i="18" s="1"/>
  <c r="R529" i="18" a="1"/>
  <c r="R529" i="18" s="1"/>
  <c r="R526" i="18" a="1"/>
  <c r="R526" i="18" s="1"/>
  <c r="R586" i="18" a="1"/>
  <c r="R586" i="18" s="1"/>
  <c r="R575" i="18" a="1"/>
  <c r="R575" i="18" s="1"/>
  <c r="R549" i="18" a="1"/>
  <c r="R549" i="18" s="1"/>
  <c r="R538" i="18" a="1"/>
  <c r="R538" i="18" s="1"/>
  <c r="R530" i="18" a="1"/>
  <c r="R530" i="18" s="1"/>
  <c r="R527" i="18" a="1"/>
  <c r="R527" i="18" s="1"/>
  <c r="R520" i="18" a="1"/>
  <c r="R520" i="18" s="1"/>
  <c r="R513" i="18" a="1"/>
  <c r="R513" i="18" s="1"/>
  <c r="R512" i="18" a="1"/>
  <c r="R512" i="18" s="1"/>
  <c r="R507" i="18" a="1"/>
  <c r="R507" i="18" s="1"/>
  <c r="R557" i="18" a="1"/>
  <c r="R557" i="18" s="1"/>
  <c r="R537" i="18" a="1"/>
  <c r="R537" i="18" s="1"/>
  <c r="R535" i="18" a="1"/>
  <c r="R535" i="18" s="1"/>
  <c r="R533" i="18" a="1"/>
  <c r="R533" i="18" s="1"/>
  <c r="R524" i="18" a="1"/>
  <c r="R524" i="18" s="1"/>
  <c r="R521" i="18" a="1"/>
  <c r="R521" i="18" s="1"/>
  <c r="R518" i="18" a="1"/>
  <c r="R518" i="18" s="1"/>
  <c r="R508" i="18" a="1"/>
  <c r="R508" i="18" s="1"/>
  <c r="R567" i="18" a="1"/>
  <c r="R567" i="18" s="1"/>
  <c r="R550" i="18" a="1"/>
  <c r="R550" i="18" s="1"/>
  <c r="R534" i="18" a="1"/>
  <c r="R534" i="18" s="1"/>
  <c r="R523" i="18" a="1"/>
  <c r="R523" i="18" s="1"/>
  <c r="R479" i="18" a="1"/>
  <c r="R479" i="18" s="1"/>
  <c r="R478" i="18" a="1"/>
  <c r="R478" i="18" s="1"/>
  <c r="R501" i="18" a="1"/>
  <c r="R501" i="18" s="1"/>
  <c r="R487" i="18" a="1"/>
  <c r="R487" i="18" s="1"/>
  <c r="R585" i="18" a="1"/>
  <c r="R585" i="18" s="1"/>
  <c r="R502" i="18" a="1"/>
  <c r="R502" i="18" s="1"/>
  <c r="R486" i="18" a="1"/>
  <c r="R486" i="18" s="1"/>
  <c r="R483" i="18" a="1"/>
  <c r="R483" i="18" s="1"/>
  <c r="R477" i="18" a="1"/>
  <c r="R477" i="18" s="1"/>
  <c r="R491" i="18" a="1"/>
  <c r="R491" i="18" s="1"/>
  <c r="R488" i="18" a="1"/>
  <c r="R488" i="18" s="1"/>
  <c r="R484" i="18" a="1"/>
  <c r="R484" i="18" s="1"/>
  <c r="R545" i="18" a="1"/>
  <c r="R545" i="18" s="1"/>
  <c r="R517" i="18" a="1"/>
  <c r="R517" i="18" s="1"/>
  <c r="R504" i="18" a="1"/>
  <c r="R504" i="18" s="1"/>
  <c r="R495" i="18" a="1"/>
  <c r="R495" i="18" s="1"/>
  <c r="R481" i="18" a="1"/>
  <c r="R481" i="18" s="1"/>
  <c r="R547" i="18" a="1"/>
  <c r="R547" i="18" s="1"/>
  <c r="R497" i="18" a="1"/>
  <c r="R497" i="18" s="1"/>
  <c r="R496" i="18" a="1"/>
  <c r="R496" i="18" s="1"/>
  <c r="R492" i="18" a="1"/>
  <c r="R492" i="18" s="1"/>
  <c r="R516" i="18" a="1"/>
  <c r="R516" i="18" s="1"/>
  <c r="R506" i="18" a="1"/>
  <c r="R506" i="18" s="1"/>
  <c r="R490" i="18" a="1"/>
  <c r="R490" i="18" s="1"/>
  <c r="R485" i="18" a="1"/>
  <c r="R485" i="18" s="1"/>
  <c r="R480" i="18" a="1"/>
  <c r="R480" i="18" s="1"/>
  <c r="R482" i="18" a="1"/>
  <c r="R482" i="18" s="1"/>
  <c r="R466" i="18" a="1"/>
  <c r="R466" i="18" s="1"/>
  <c r="R460" i="18" a="1"/>
  <c r="R460" i="18" s="1"/>
  <c r="R493" i="18" a="1"/>
  <c r="R493" i="18" s="1"/>
  <c r="R471" i="18" a="1"/>
  <c r="R471" i="18" s="1"/>
  <c r="R464" i="18" a="1"/>
  <c r="R464" i="18" s="1"/>
  <c r="R458" i="18" a="1"/>
  <c r="R458" i="18" s="1"/>
  <c r="R447" i="18" a="1"/>
  <c r="R447" i="18" s="1"/>
  <c r="R446" i="18" a="1"/>
  <c r="R446" i="18" s="1"/>
  <c r="R474" i="18" a="1"/>
  <c r="R474" i="18" s="1"/>
  <c r="R473" i="18" a="1"/>
  <c r="R473" i="18" s="1"/>
  <c r="R462" i="18" a="1"/>
  <c r="R462" i="18" s="1"/>
  <c r="R476" i="18" a="1"/>
  <c r="R476" i="18" s="1"/>
  <c r="R470" i="18" a="1"/>
  <c r="R470" i="18" s="1"/>
  <c r="R463" i="18" a="1"/>
  <c r="R463" i="18" s="1"/>
  <c r="R453" i="18" a="1"/>
  <c r="R453" i="18" s="1"/>
  <c r="R452" i="18" a="1"/>
  <c r="R452" i="18" s="1"/>
  <c r="R467" i="18" a="1"/>
  <c r="R467" i="18" s="1"/>
  <c r="R461" i="18" a="1"/>
  <c r="R461" i="18" s="1"/>
  <c r="R454" i="18" a="1"/>
  <c r="R454" i="18" s="1"/>
  <c r="R475" i="18" a="1"/>
  <c r="R475" i="18" s="1"/>
  <c r="R469" i="18" a="1"/>
  <c r="R469" i="18" s="1"/>
  <c r="R468" i="18" a="1"/>
  <c r="R468" i="18" s="1"/>
  <c r="R459" i="18" a="1"/>
  <c r="R459" i="18" s="1"/>
  <c r="R456" i="18" a="1"/>
  <c r="R456" i="18" s="1"/>
  <c r="R465" i="18" a="1"/>
  <c r="R465" i="18" s="1"/>
  <c r="R457" i="18" a="1"/>
  <c r="R457" i="18" s="1"/>
  <c r="R450" i="18" a="1"/>
  <c r="R450" i="18" s="1"/>
  <c r="R442" i="18" a="1"/>
  <c r="R442" i="18" s="1"/>
  <c r="R433" i="18" a="1"/>
  <c r="R433" i="18" s="1"/>
  <c r="R432" i="18" a="1"/>
  <c r="R432" i="18" s="1"/>
  <c r="R425" i="18" a="1"/>
  <c r="R425" i="18" s="1"/>
  <c r="R424" i="18" a="1"/>
  <c r="R424" i="18" s="1"/>
  <c r="R423" i="18" a="1"/>
  <c r="R423" i="18" s="1"/>
  <c r="R421" i="18" a="1"/>
  <c r="R421" i="18" s="1"/>
  <c r="R412" i="18" a="1"/>
  <c r="R412" i="18" s="1"/>
  <c r="R405" i="18" a="1"/>
  <c r="R405" i="18" s="1"/>
  <c r="R403" i="18" a="1"/>
  <c r="R403" i="18" s="1"/>
  <c r="R401" i="18" a="1"/>
  <c r="R401" i="18" s="1"/>
  <c r="R400" i="18" a="1"/>
  <c r="R400" i="18" s="1"/>
  <c r="R393" i="18" a="1"/>
  <c r="R393" i="18" s="1"/>
  <c r="R448" i="18" a="1"/>
  <c r="R448" i="18" s="1"/>
  <c r="R437" i="18" a="1"/>
  <c r="R437" i="18" s="1"/>
  <c r="R435" i="18" a="1"/>
  <c r="R435" i="18" s="1"/>
  <c r="R422" i="18" a="1"/>
  <c r="R422" i="18" s="1"/>
  <c r="R419" i="18" a="1"/>
  <c r="R419" i="18" s="1"/>
  <c r="R441" i="18" a="1"/>
  <c r="R441" i="18" s="1"/>
  <c r="R440" i="18" a="1"/>
  <c r="R440" i="18" s="1"/>
  <c r="R431" i="18" a="1"/>
  <c r="R431" i="18" s="1"/>
  <c r="R429" i="18" a="1"/>
  <c r="R429" i="18" s="1"/>
  <c r="R427" i="18" a="1"/>
  <c r="R427" i="18" s="1"/>
  <c r="R420" i="18" a="1"/>
  <c r="R420" i="18" s="1"/>
  <c r="R411" i="18" a="1"/>
  <c r="R411" i="18" s="1"/>
  <c r="R407" i="18" a="1"/>
  <c r="R407" i="18" s="1"/>
  <c r="R402" i="18" a="1"/>
  <c r="R402" i="18" s="1"/>
  <c r="R439" i="18" a="1"/>
  <c r="R439" i="18" s="1"/>
  <c r="R438" i="18" a="1"/>
  <c r="R438" i="18" s="1"/>
  <c r="R430" i="18" a="1"/>
  <c r="R430" i="18" s="1"/>
  <c r="R428" i="18" a="1"/>
  <c r="R428" i="18" s="1"/>
  <c r="R396" i="18" a="1"/>
  <c r="R396" i="18" s="1"/>
  <c r="R394" i="18" a="1"/>
  <c r="R394" i="18" s="1"/>
  <c r="R451" i="18" a="1"/>
  <c r="R451" i="18" s="1"/>
  <c r="R436" i="18" a="1"/>
  <c r="R436" i="18" s="1"/>
  <c r="R406" i="18" a="1"/>
  <c r="R406" i="18" s="1"/>
  <c r="R398" i="18" a="1"/>
  <c r="R398" i="18" s="1"/>
  <c r="R489" i="18" a="1"/>
  <c r="R489" i="18" s="1"/>
  <c r="R449" i="18" a="1"/>
  <c r="R449" i="18" s="1"/>
  <c r="R413" i="18" a="1"/>
  <c r="R413" i="18" s="1"/>
  <c r="R392" i="18" a="1"/>
  <c r="R392" i="18" s="1"/>
  <c r="R414" i="18" a="1"/>
  <c r="R414" i="18" s="1"/>
  <c r="R386" i="18" a="1"/>
  <c r="R386" i="18" s="1"/>
  <c r="R380" i="18" a="1"/>
  <c r="R380" i="18" s="1"/>
  <c r="R374" i="18" a="1"/>
  <c r="R374" i="18" s="1"/>
  <c r="R373" i="18" a="1"/>
  <c r="R373" i="18" s="1"/>
  <c r="R348" i="18" a="1"/>
  <c r="R348" i="18" s="1"/>
  <c r="R346" i="18" a="1"/>
  <c r="R346" i="18" s="1"/>
  <c r="R416" i="18" a="1"/>
  <c r="R416" i="18" s="1"/>
  <c r="R388" i="18" a="1"/>
  <c r="R388" i="18" s="1"/>
  <c r="R383" i="18" a="1"/>
  <c r="R383" i="18" s="1"/>
  <c r="R372" i="18" a="1"/>
  <c r="R372" i="18" s="1"/>
  <c r="R349" i="18" a="1"/>
  <c r="R349" i="18" s="1"/>
  <c r="R347" i="18" a="1"/>
  <c r="R347" i="18" s="1"/>
  <c r="R434" i="18" a="1"/>
  <c r="R434" i="18" s="1"/>
  <c r="R417" i="18" a="1"/>
  <c r="R417" i="18" s="1"/>
  <c r="R408" i="18" a="1"/>
  <c r="R408" i="18" s="1"/>
  <c r="R404" i="18" a="1"/>
  <c r="R404" i="18" s="1"/>
  <c r="R399" i="18" a="1"/>
  <c r="R399" i="18" s="1"/>
  <c r="R395" i="18" a="1"/>
  <c r="R395" i="18" s="1"/>
  <c r="R391" i="18" a="1"/>
  <c r="R391" i="18" s="1"/>
  <c r="R390" i="18" a="1"/>
  <c r="R390" i="18" s="1"/>
  <c r="R375" i="18" a="1"/>
  <c r="R375" i="18" s="1"/>
  <c r="R369" i="18" a="1"/>
  <c r="R369" i="18" s="1"/>
  <c r="R368" i="18" a="1"/>
  <c r="R368" i="18" s="1"/>
  <c r="R351" i="18" a="1"/>
  <c r="R351" i="18" s="1"/>
  <c r="R445" i="18" a="1"/>
  <c r="R445" i="18" s="1"/>
  <c r="R409" i="18" a="1"/>
  <c r="R409" i="18" s="1"/>
  <c r="R370" i="18" a="1"/>
  <c r="R370" i="18" s="1"/>
  <c r="R455" i="18" a="1"/>
  <c r="R455" i="18" s="1"/>
  <c r="R389" i="18" a="1"/>
  <c r="R389" i="18" s="1"/>
  <c r="R365" i="18" a="1"/>
  <c r="R365" i="18" s="1"/>
  <c r="R361" i="18" a="1"/>
  <c r="R361" i="18" s="1"/>
  <c r="R357" i="18" a="1"/>
  <c r="R357" i="18" s="1"/>
  <c r="R356" i="18" a="1"/>
  <c r="R356" i="18" s="1"/>
  <c r="R354" i="18" a="1"/>
  <c r="R354" i="18" s="1"/>
  <c r="R344" i="18" a="1"/>
  <c r="R344" i="18" s="1"/>
  <c r="R443" i="18" a="1"/>
  <c r="R443" i="18" s="1"/>
  <c r="R397" i="18" a="1"/>
  <c r="R397" i="18" s="1"/>
  <c r="R387" i="18" a="1"/>
  <c r="R387" i="18" s="1"/>
  <c r="R382" i="18" a="1"/>
  <c r="R382" i="18" s="1"/>
  <c r="R381" i="18" a="1"/>
  <c r="R381" i="18" s="1"/>
  <c r="R378" i="18" a="1"/>
  <c r="R378" i="18" s="1"/>
  <c r="R362" i="18" a="1"/>
  <c r="R362" i="18" s="1"/>
  <c r="R410" i="18" a="1"/>
  <c r="R410" i="18" s="1"/>
  <c r="R379" i="18" a="1"/>
  <c r="R379" i="18" s="1"/>
  <c r="R367" i="18" a="1"/>
  <c r="R367" i="18" s="1"/>
  <c r="R350" i="18" a="1"/>
  <c r="R350" i="18" s="1"/>
  <c r="R341" i="18" a="1"/>
  <c r="R341" i="18" s="1"/>
  <c r="R340" i="18" a="1"/>
  <c r="R340" i="18" s="1"/>
  <c r="R334" i="18" a="1"/>
  <c r="R334" i="18" s="1"/>
  <c r="R319" i="18" a="1"/>
  <c r="R319" i="18" s="1"/>
  <c r="R472" i="18" a="1"/>
  <c r="R472" i="18" s="1"/>
  <c r="R444" i="18" a="1"/>
  <c r="R444" i="18" s="1"/>
  <c r="R366" i="18" a="1"/>
  <c r="R366" i="18" s="1"/>
  <c r="R342" i="18" a="1"/>
  <c r="R342" i="18" s="1"/>
  <c r="R333" i="18" a="1"/>
  <c r="R333" i="18" s="1"/>
  <c r="R328" i="18" a="1"/>
  <c r="R328" i="18" s="1"/>
  <c r="R325" i="18" a="1"/>
  <c r="R325" i="18" s="1"/>
  <c r="R318" i="18" a="1"/>
  <c r="R318" i="18" s="1"/>
  <c r="R313" i="18" a="1"/>
  <c r="R313" i="18" s="1"/>
  <c r="R312" i="18" a="1"/>
  <c r="R312" i="18" s="1"/>
  <c r="R418" i="18" a="1"/>
  <c r="R418" i="18" s="1"/>
  <c r="R358" i="18" a="1"/>
  <c r="R358" i="18" s="1"/>
  <c r="R332" i="18" a="1"/>
  <c r="R332" i="18" s="1"/>
  <c r="R330" i="18" a="1"/>
  <c r="R330" i="18" s="1"/>
  <c r="R322" i="18" a="1"/>
  <c r="R322" i="18" s="1"/>
  <c r="R321" i="18" a="1"/>
  <c r="R321" i="18" s="1"/>
  <c r="R306" i="18" a="1"/>
  <c r="R306" i="18" s="1"/>
  <c r="R301" i="18" a="1"/>
  <c r="R301" i="18" s="1"/>
  <c r="R296" i="18" a="1"/>
  <c r="R296" i="18" s="1"/>
  <c r="R371" i="18" a="1"/>
  <c r="R371" i="18" s="1"/>
  <c r="R364" i="18" a="1"/>
  <c r="R364" i="18" s="1"/>
  <c r="R360" i="18" a="1"/>
  <c r="R360" i="18" s="1"/>
  <c r="R355" i="18" a="1"/>
  <c r="R355" i="18" s="1"/>
  <c r="R353" i="18" a="1"/>
  <c r="R353" i="18" s="1"/>
  <c r="R339" i="18" a="1"/>
  <c r="R339" i="18" s="1"/>
  <c r="R338" i="18" a="1"/>
  <c r="R338" i="18" s="1"/>
  <c r="R331" i="18" a="1"/>
  <c r="R331" i="18" s="1"/>
  <c r="R329" i="18" a="1"/>
  <c r="R329" i="18" s="1"/>
  <c r="R308" i="18" a="1"/>
  <c r="R308" i="18" s="1"/>
  <c r="R377" i="18" a="1"/>
  <c r="R377" i="18" s="1"/>
  <c r="R315" i="18" a="1"/>
  <c r="R315" i="18" s="1"/>
  <c r="R299" i="18" a="1"/>
  <c r="R299" i="18" s="1"/>
  <c r="R385" i="18" a="1"/>
  <c r="R385" i="18" s="1"/>
  <c r="R376" i="18" a="1"/>
  <c r="R376" i="18" s="1"/>
  <c r="R343" i="18" a="1"/>
  <c r="R343" i="18" s="1"/>
  <c r="R337" i="18" a="1"/>
  <c r="R337" i="18" s="1"/>
  <c r="R323" i="18" a="1"/>
  <c r="R323" i="18" s="1"/>
  <c r="R317" i="18" a="1"/>
  <c r="R317" i="18" s="1"/>
  <c r="R316" i="18" a="1"/>
  <c r="R316" i="18" s="1"/>
  <c r="R314" i="18" a="1"/>
  <c r="R314" i="18" s="1"/>
  <c r="R309" i="18" a="1"/>
  <c r="R309" i="18" s="1"/>
  <c r="R303" i="18" a="1"/>
  <c r="R303" i="18" s="1"/>
  <c r="R298" i="18" a="1"/>
  <c r="R298" i="18" s="1"/>
  <c r="R384" i="18" a="1"/>
  <c r="R384" i="18" s="1"/>
  <c r="R363" i="18" a="1"/>
  <c r="R363" i="18" s="1"/>
  <c r="R326" i="18" a="1"/>
  <c r="R326" i="18" s="1"/>
  <c r="R324" i="18" a="1"/>
  <c r="R324" i="18" s="1"/>
  <c r="R320" i="18" a="1"/>
  <c r="R320" i="18" s="1"/>
  <c r="R302" i="18" a="1"/>
  <c r="R302" i="18" s="1"/>
  <c r="R352" i="18" a="1"/>
  <c r="R352" i="18" s="1"/>
  <c r="R335" i="18" a="1"/>
  <c r="R335" i="18" s="1"/>
  <c r="R291" i="18" a="1"/>
  <c r="R291" i="18" s="1"/>
  <c r="R289" i="18" a="1"/>
  <c r="R289" i="18" s="1"/>
  <c r="R284" i="18" a="1"/>
  <c r="R284" i="18" s="1"/>
  <c r="R275" i="18" a="1"/>
  <c r="R275" i="18" s="1"/>
  <c r="R269" i="18" a="1"/>
  <c r="R269" i="18" s="1"/>
  <c r="R263" i="18" a="1"/>
  <c r="R263" i="18" s="1"/>
  <c r="R292" i="18" a="1"/>
  <c r="R292" i="18" s="1"/>
  <c r="R279" i="18" a="1"/>
  <c r="R279" i="18" s="1"/>
  <c r="R278" i="18" a="1"/>
  <c r="R278" i="18" s="1"/>
  <c r="R274" i="18" a="1"/>
  <c r="R274" i="18" s="1"/>
  <c r="R273" i="18" a="1"/>
  <c r="R273" i="18" s="1"/>
  <c r="R268" i="18" a="1"/>
  <c r="R268" i="18" s="1"/>
  <c r="R262" i="18" a="1"/>
  <c r="R262" i="18" s="1"/>
  <c r="R304" i="18" a="1"/>
  <c r="R304" i="18" s="1"/>
  <c r="R288" i="18" a="1"/>
  <c r="R288" i="18" s="1"/>
  <c r="R287" i="18" a="1"/>
  <c r="R287" i="18" s="1"/>
  <c r="R272" i="18" a="1"/>
  <c r="R272" i="18" s="1"/>
  <c r="R261" i="18" a="1"/>
  <c r="R261" i="18" s="1"/>
  <c r="R260" i="18" a="1"/>
  <c r="R260" i="18" s="1"/>
  <c r="R250" i="18" a="1"/>
  <c r="R250" i="18" s="1"/>
  <c r="R243" i="18" a="1"/>
  <c r="R243" i="18" s="1"/>
  <c r="R237" i="18" a="1"/>
  <c r="R237" i="18" s="1"/>
  <c r="R234" i="18" a="1"/>
  <c r="R234" i="18" s="1"/>
  <c r="R305" i="18" a="1"/>
  <c r="R305" i="18" s="1"/>
  <c r="R300" i="18" a="1"/>
  <c r="R300" i="18" s="1"/>
  <c r="R286" i="18" a="1"/>
  <c r="R286" i="18" s="1"/>
  <c r="R283" i="18" a="1"/>
  <c r="R283" i="18" s="1"/>
  <c r="R277" i="18" a="1"/>
  <c r="R277" i="18" s="1"/>
  <c r="R265" i="18" a="1"/>
  <c r="R265" i="18" s="1"/>
  <c r="R257" i="18" a="1"/>
  <c r="R257" i="18" s="1"/>
  <c r="R253" i="18" a="1"/>
  <c r="R253" i="18" s="1"/>
  <c r="R252" i="18" a="1"/>
  <c r="R252" i="18" s="1"/>
  <c r="R242" i="18" a="1"/>
  <c r="R242" i="18" s="1"/>
  <c r="R241" i="18" a="1"/>
  <c r="R241" i="18" s="1"/>
  <c r="R240" i="18" a="1"/>
  <c r="R240" i="18" s="1"/>
  <c r="R345" i="18" a="1"/>
  <c r="R345" i="18" s="1"/>
  <c r="R327" i="18" a="1"/>
  <c r="R327" i="18" s="1"/>
  <c r="R310" i="18" a="1"/>
  <c r="R310" i="18" s="1"/>
  <c r="R307" i="18" a="1"/>
  <c r="R307" i="18" s="1"/>
  <c r="R311" i="18" a="1"/>
  <c r="R311" i="18" s="1"/>
  <c r="R294" i="18" a="1"/>
  <c r="R294" i="18" s="1"/>
  <c r="R290" i="18" a="1"/>
  <c r="R290" i="18" s="1"/>
  <c r="R280" i="18" a="1"/>
  <c r="R280" i="18" s="1"/>
  <c r="R276" i="18" a="1"/>
  <c r="R276" i="18" s="1"/>
  <c r="R259" i="18" a="1"/>
  <c r="R259" i="18" s="1"/>
  <c r="R255" i="18" a="1"/>
  <c r="R255" i="18" s="1"/>
  <c r="R359" i="18" a="1"/>
  <c r="R359" i="18" s="1"/>
  <c r="R295" i="18" a="1"/>
  <c r="R295" i="18" s="1"/>
  <c r="R285" i="18" a="1"/>
  <c r="R285" i="18" s="1"/>
  <c r="R271" i="18" a="1"/>
  <c r="R271" i="18" s="1"/>
  <c r="Y653" i="18" a="1"/>
  <c r="Y653" i="18" s="1"/>
  <c r="Y650" i="18" a="1"/>
  <c r="Y650" i="18" s="1"/>
  <c r="Y651" i="18" a="1"/>
  <c r="Y651" i="18" s="1"/>
  <c r="Y647" i="18" a="1"/>
  <c r="Y647" i="18" s="1"/>
  <c r="Y652" i="18" a="1"/>
  <c r="Y652" i="18" s="1"/>
  <c r="Y648" i="18" a="1"/>
  <c r="Y648" i="18" s="1"/>
  <c r="Y646" i="18" a="1"/>
  <c r="Y646" i="18" s="1"/>
  <c r="Y641" i="18" a="1"/>
  <c r="Y641" i="18" s="1"/>
  <c r="Y640" i="18" a="1"/>
  <c r="Y640" i="18" s="1"/>
  <c r="Y638" i="18" a="1"/>
  <c r="Y638" i="18" s="1"/>
  <c r="Y624" i="18" a="1"/>
  <c r="Y624" i="18" s="1"/>
  <c r="Y645" i="18" a="1"/>
  <c r="Y645" i="18" s="1"/>
  <c r="Y643" i="18" a="1"/>
  <c r="Y643" i="18" s="1"/>
  <c r="Y629" i="18" a="1"/>
  <c r="Y629" i="18" s="1"/>
  <c r="Y642" i="18" a="1"/>
  <c r="Y642" i="18" s="1"/>
  <c r="Y628" i="18" a="1"/>
  <c r="Y628" i="18" s="1"/>
  <c r="Y627" i="18" a="1"/>
  <c r="Y627" i="18" s="1"/>
  <c r="Y626" i="18" a="1"/>
  <c r="Y626" i="18" s="1"/>
  <c r="Y644" i="18" a="1"/>
  <c r="Y644" i="18" s="1"/>
  <c r="Y631" i="18" a="1"/>
  <c r="Y631" i="18" s="1"/>
  <c r="Y630" i="18" a="1"/>
  <c r="Y630" i="18" s="1"/>
  <c r="Y633" i="18" a="1"/>
  <c r="Y633" i="18" s="1"/>
  <c r="Y632" i="18" a="1"/>
  <c r="Y632" i="18" s="1"/>
  <c r="Y639" i="18" a="1"/>
  <c r="Y639" i="18" s="1"/>
  <c r="Y637" i="18" a="1"/>
  <c r="Y637" i="18" s="1"/>
  <c r="Y635" i="18" a="1"/>
  <c r="Y635" i="18" s="1"/>
  <c r="Y619" i="18" a="1"/>
  <c r="Y619" i="18" s="1"/>
  <c r="Y618" i="18" a="1"/>
  <c r="Y618" i="18" s="1"/>
  <c r="Y636" i="18" a="1"/>
  <c r="Y636" i="18" s="1"/>
  <c r="Y620" i="18" a="1"/>
  <c r="Y620" i="18" s="1"/>
  <c r="Y601" i="18" a="1"/>
  <c r="Y601" i="18" s="1"/>
  <c r="Y615" i="18" a="1"/>
  <c r="Y615" i="18" s="1"/>
  <c r="Y605" i="18" a="1"/>
  <c r="Y605" i="18" s="1"/>
  <c r="Y622" i="18" a="1"/>
  <c r="Y622" i="18" s="1"/>
  <c r="Y621" i="18" a="1"/>
  <c r="Y621" i="18" s="1"/>
  <c r="Y609" i="18" a="1"/>
  <c r="Y609" i="18" s="1"/>
  <c r="Y602" i="18" a="1"/>
  <c r="Y602" i="18" s="1"/>
  <c r="Y634" i="18" a="1"/>
  <c r="Y634" i="18" s="1"/>
  <c r="Y604" i="18" a="1"/>
  <c r="Y604" i="18" s="1"/>
  <c r="Y649" i="18" a="1"/>
  <c r="Y649" i="18" s="1"/>
  <c r="Y612" i="18" a="1"/>
  <c r="Y612" i="18" s="1"/>
  <c r="Y606" i="18" a="1"/>
  <c r="Y606" i="18" s="1"/>
  <c r="Y603" i="18" a="1"/>
  <c r="Y603" i="18" s="1"/>
  <c r="Y597" i="18" a="1"/>
  <c r="Y597" i="18" s="1"/>
  <c r="Y623" i="18" a="1"/>
  <c r="Y623" i="18" s="1"/>
  <c r="Y614" i="18" a="1"/>
  <c r="Y614" i="18" s="1"/>
  <c r="Y607" i="18" a="1"/>
  <c r="Y607" i="18" s="1"/>
  <c r="Y576" i="18" a="1"/>
  <c r="Y576" i="18" s="1"/>
  <c r="Y550" i="18" a="1"/>
  <c r="Y550" i="18" s="1"/>
  <c r="Y549" i="18" a="1"/>
  <c r="Y549" i="18" s="1"/>
  <c r="Y548" i="18" a="1"/>
  <c r="Y548" i="18" s="1"/>
  <c r="Y541" i="18" a="1"/>
  <c r="Y541" i="18" s="1"/>
  <c r="Y580" i="18" a="1"/>
  <c r="Y580" i="18" s="1"/>
  <c r="Y575" i="18" a="1"/>
  <c r="Y575" i="18" s="1"/>
  <c r="Y567" i="18" a="1"/>
  <c r="Y567" i="18" s="1"/>
  <c r="Y565" i="18" a="1"/>
  <c r="Y565" i="18" s="1"/>
  <c r="Y551" i="18" a="1"/>
  <c r="Y551" i="18" s="1"/>
  <c r="Y542" i="18" a="1"/>
  <c r="Y542" i="18" s="1"/>
  <c r="Y616" i="18" a="1"/>
  <c r="Y616" i="18" s="1"/>
  <c r="Y611" i="18" a="1"/>
  <c r="Y611" i="18" s="1"/>
  <c r="Y585" i="18" a="1"/>
  <c r="Y585" i="18" s="1"/>
  <c r="Y583" i="18" a="1"/>
  <c r="Y583" i="18" s="1"/>
  <c r="Y582" i="18" a="1"/>
  <c r="Y582" i="18" s="1"/>
  <c r="Y581" i="18" a="1"/>
  <c r="Y581" i="18" s="1"/>
  <c r="Y579" i="18" a="1"/>
  <c r="Y579" i="18" s="1"/>
  <c r="Y578" i="18" a="1"/>
  <c r="Y578" i="18" s="1"/>
  <c r="Y574" i="18" a="1"/>
  <c r="Y574" i="18" s="1"/>
  <c r="Y573" i="18" a="1"/>
  <c r="Y573" i="18" s="1"/>
  <c r="Y566" i="18" a="1"/>
  <c r="Y566" i="18" s="1"/>
  <c r="Y559" i="18" a="1"/>
  <c r="Y559" i="18" s="1"/>
  <c r="Y617" i="18" a="1"/>
  <c r="Y617" i="18" s="1"/>
  <c r="Y613" i="18" a="1"/>
  <c r="Y613" i="18" s="1"/>
  <c r="Y610" i="18" a="1"/>
  <c r="Y610" i="18" s="1"/>
  <c r="Y599" i="18" a="1"/>
  <c r="Y599" i="18" s="1"/>
  <c r="Y595" i="18" a="1"/>
  <c r="Y595" i="18" s="1"/>
  <c r="Y594" i="18" a="1"/>
  <c r="Y594" i="18" s="1"/>
  <c r="Y591" i="18" a="1"/>
  <c r="Y591" i="18" s="1"/>
  <c r="Y586" i="18" a="1"/>
  <c r="Y586" i="18" s="1"/>
  <c r="Y584" i="18" a="1"/>
  <c r="Y584" i="18" s="1"/>
  <c r="Y558" i="18" a="1"/>
  <c r="Y558" i="18" s="1"/>
  <c r="Y600" i="18" a="1"/>
  <c r="Y600" i="18" s="1"/>
  <c r="Y588" i="18" a="1"/>
  <c r="Y588" i="18" s="1"/>
  <c r="Y587" i="18" a="1"/>
  <c r="Y587" i="18" s="1"/>
  <c r="Y570" i="18" a="1"/>
  <c r="Y570" i="18" s="1"/>
  <c r="Y568" i="18" a="1"/>
  <c r="Y568" i="18" s="1"/>
  <c r="Y564" i="18" a="1"/>
  <c r="Y564" i="18" s="1"/>
  <c r="Y563" i="18" a="1"/>
  <c r="Y563" i="18" s="1"/>
  <c r="Y562" i="18" a="1"/>
  <c r="Y562" i="18" s="1"/>
  <c r="Y540" i="18" a="1"/>
  <c r="Y540" i="18" s="1"/>
  <c r="Y596" i="18" a="1"/>
  <c r="Y596" i="18" s="1"/>
  <c r="Y589" i="18" a="1"/>
  <c r="Y589" i="18" s="1"/>
  <c r="Y572" i="18" a="1"/>
  <c r="Y572" i="18" s="1"/>
  <c r="Y571" i="18" a="1"/>
  <c r="Y571" i="18" s="1"/>
  <c r="Y569" i="18" a="1"/>
  <c r="Y569" i="18" s="1"/>
  <c r="Y561" i="18" a="1"/>
  <c r="Y561" i="18" s="1"/>
  <c r="Y560" i="18" a="1"/>
  <c r="Y560" i="18" s="1"/>
  <c r="Y554" i="18" a="1"/>
  <c r="Y554" i="18" s="1"/>
  <c r="Y552" i="18" a="1"/>
  <c r="Y552" i="18" s="1"/>
  <c r="Y547" i="18" a="1"/>
  <c r="Y547" i="18" s="1"/>
  <c r="Y546" i="18" a="1"/>
  <c r="Y546" i="18" s="1"/>
  <c r="Y592" i="18" a="1"/>
  <c r="Y592" i="18" s="1"/>
  <c r="Y557" i="18" a="1"/>
  <c r="Y557" i="18" s="1"/>
  <c r="Y528" i="18" a="1"/>
  <c r="Y528" i="18" s="1"/>
  <c r="Y515" i="18" a="1"/>
  <c r="Y515" i="18" s="1"/>
  <c r="Y514" i="18" a="1"/>
  <c r="Y514" i="18" s="1"/>
  <c r="Y511" i="18" a="1"/>
  <c r="Y511" i="18" s="1"/>
  <c r="Y510" i="18" a="1"/>
  <c r="Y510" i="18" s="1"/>
  <c r="Y505" i="18" a="1"/>
  <c r="Y505" i="18" s="1"/>
  <c r="Y502" i="18" a="1"/>
  <c r="Y502" i="18" s="1"/>
  <c r="Y499" i="18" a="1"/>
  <c r="Y499" i="18" s="1"/>
  <c r="Y529" i="18" a="1"/>
  <c r="Y529" i="18" s="1"/>
  <c r="Y525" i="18" a="1"/>
  <c r="Y525" i="18" s="1"/>
  <c r="Y522" i="18" a="1"/>
  <c r="Y522" i="18" s="1"/>
  <c r="Y519" i="18" a="1"/>
  <c r="Y519" i="18" s="1"/>
  <c r="Y504" i="18" a="1"/>
  <c r="Y504" i="18" s="1"/>
  <c r="Y503" i="18" a="1"/>
  <c r="Y503" i="18" s="1"/>
  <c r="Y577" i="18" a="1"/>
  <c r="Y577" i="18" s="1"/>
  <c r="Y532" i="18" a="1"/>
  <c r="Y532" i="18" s="1"/>
  <c r="Y523" i="18" a="1"/>
  <c r="Y523" i="18" s="1"/>
  <c r="Y506" i="18" a="1"/>
  <c r="Y506" i="18" s="1"/>
  <c r="Y501" i="18" a="1"/>
  <c r="Y501" i="18" s="1"/>
  <c r="Y500" i="18" a="1"/>
  <c r="Y500" i="18" s="1"/>
  <c r="Y590" i="18" a="1"/>
  <c r="Y590" i="18" s="1"/>
  <c r="Y555" i="18" a="1"/>
  <c r="Y555" i="18" s="1"/>
  <c r="Y539" i="18" a="1"/>
  <c r="Y539" i="18" s="1"/>
  <c r="Y537" i="18" a="1"/>
  <c r="Y537" i="18" s="1"/>
  <c r="Y526" i="18" a="1"/>
  <c r="Y526" i="18" s="1"/>
  <c r="Y520" i="18" a="1"/>
  <c r="Y520" i="18" s="1"/>
  <c r="Y598" i="18" a="1"/>
  <c r="Y598" i="18" s="1"/>
  <c r="Y593" i="18" a="1"/>
  <c r="Y593" i="18" s="1"/>
  <c r="Y545" i="18" a="1"/>
  <c r="Y545" i="18" s="1"/>
  <c r="Y538" i="18" a="1"/>
  <c r="Y538" i="18" s="1"/>
  <c r="Y536" i="18" a="1"/>
  <c r="Y536" i="18" s="1"/>
  <c r="Y534" i="18" a="1"/>
  <c r="Y534" i="18" s="1"/>
  <c r="Y533" i="18" a="1"/>
  <c r="Y533" i="18" s="1"/>
  <c r="Y527" i="18" a="1"/>
  <c r="Y527" i="18" s="1"/>
  <c r="Y518" i="18" a="1"/>
  <c r="Y518" i="18" s="1"/>
  <c r="Y513" i="18" a="1"/>
  <c r="Y513" i="18" s="1"/>
  <c r="Y608" i="18" a="1"/>
  <c r="Y608" i="18" s="1"/>
  <c r="Y543" i="18" a="1"/>
  <c r="Y543" i="18" s="1"/>
  <c r="Y531" i="18" a="1"/>
  <c r="Y531" i="18" s="1"/>
  <c r="Y524" i="18" a="1"/>
  <c r="Y524" i="18" s="1"/>
  <c r="Y521" i="18" a="1"/>
  <c r="Y521" i="18" s="1"/>
  <c r="Y509" i="18" a="1"/>
  <c r="Y509" i="18" s="1"/>
  <c r="Y508" i="18" a="1"/>
  <c r="Y508" i="18" s="1"/>
  <c r="Y497" i="18" a="1"/>
  <c r="Y497" i="18" s="1"/>
  <c r="Y496" i="18" a="1"/>
  <c r="Y496" i="18" s="1"/>
  <c r="Y495" i="18" a="1"/>
  <c r="Y495" i="18" s="1"/>
  <c r="Y625" i="18" a="1"/>
  <c r="Y625" i="18" s="1"/>
  <c r="Y553" i="18" a="1"/>
  <c r="Y553" i="18" s="1"/>
  <c r="Y517" i="18" a="1"/>
  <c r="Y517" i="18" s="1"/>
  <c r="Y512" i="18" a="1"/>
  <c r="Y512" i="18" s="1"/>
  <c r="Y498" i="18" a="1"/>
  <c r="Y498" i="18" s="1"/>
  <c r="Y487" i="18" a="1"/>
  <c r="Y487" i="18" s="1"/>
  <c r="Y483" i="18" a="1"/>
  <c r="Y483" i="18" s="1"/>
  <c r="Y480" i="18" a="1"/>
  <c r="Y480" i="18" s="1"/>
  <c r="Y556" i="18" a="1"/>
  <c r="Y556" i="18" s="1"/>
  <c r="Y535" i="18" a="1"/>
  <c r="Y535" i="18" s="1"/>
  <c r="Y507" i="18" a="1"/>
  <c r="Y507" i="18" s="1"/>
  <c r="Y491" i="18" a="1"/>
  <c r="Y491" i="18" s="1"/>
  <c r="Y481" i="18" a="1"/>
  <c r="Y481" i="18" s="1"/>
  <c r="Y516" i="18" a="1"/>
  <c r="Y516" i="18" s="1"/>
  <c r="Y488" i="18" a="1"/>
  <c r="Y488" i="18" s="1"/>
  <c r="Y484" i="18" a="1"/>
  <c r="Y484" i="18" s="1"/>
  <c r="Y530" i="18" a="1"/>
  <c r="Y530" i="18" s="1"/>
  <c r="Y489" i="18" a="1"/>
  <c r="Y489" i="18" s="1"/>
  <c r="Y544" i="18" a="1"/>
  <c r="Y544" i="18" s="1"/>
  <c r="Y493" i="18" a="1"/>
  <c r="Y493" i="18" s="1"/>
  <c r="Y492" i="18" a="1"/>
  <c r="Y492" i="18" s="1"/>
  <c r="Y478" i="18" a="1"/>
  <c r="Y478" i="18" s="1"/>
  <c r="Y477" i="18" a="1"/>
  <c r="Y477" i="18" s="1"/>
  <c r="Y470" i="18" a="1"/>
  <c r="Y470" i="18" s="1"/>
  <c r="Y463" i="18" a="1"/>
  <c r="Y463" i="18" s="1"/>
  <c r="Y461" i="18" a="1"/>
  <c r="Y461" i="18" s="1"/>
  <c r="Y453" i="18" a="1"/>
  <c r="Y453" i="18" s="1"/>
  <c r="Y462" i="18" a="1"/>
  <c r="Y462" i="18" s="1"/>
  <c r="Y452" i="18" a="1"/>
  <c r="Y452" i="18" s="1"/>
  <c r="Y474" i="18" a="1"/>
  <c r="Y474" i="18" s="1"/>
  <c r="Y469" i="18" a="1"/>
  <c r="Y469" i="18" s="1"/>
  <c r="Y467" i="18" a="1"/>
  <c r="Y467" i="18" s="1"/>
  <c r="Y456" i="18" a="1"/>
  <c r="Y456" i="18" s="1"/>
  <c r="Y454" i="18" a="1"/>
  <c r="Y454" i="18" s="1"/>
  <c r="Y490" i="18" a="1"/>
  <c r="Y490" i="18" s="1"/>
  <c r="Y468" i="18" a="1"/>
  <c r="Y468" i="18" s="1"/>
  <c r="Y466" i="18" a="1"/>
  <c r="Y466" i="18" s="1"/>
  <c r="Y482" i="18" a="1"/>
  <c r="Y482" i="18" s="1"/>
  <c r="Y472" i="18" a="1"/>
  <c r="Y472" i="18" s="1"/>
  <c r="Y460" i="18" a="1"/>
  <c r="Y460" i="18" s="1"/>
  <c r="Y459" i="18" a="1"/>
  <c r="Y459" i="18" s="1"/>
  <c r="Y458" i="18" a="1"/>
  <c r="Y458" i="18" s="1"/>
  <c r="Y457" i="18" a="1"/>
  <c r="Y457" i="18" s="1"/>
  <c r="Y455" i="18" a="1"/>
  <c r="Y455" i="18" s="1"/>
  <c r="Y449" i="18" a="1"/>
  <c r="Y449" i="18" s="1"/>
  <c r="Y486" i="18" a="1"/>
  <c r="Y486" i="18" s="1"/>
  <c r="Y473" i="18" a="1"/>
  <c r="Y473" i="18" s="1"/>
  <c r="Y465" i="18" a="1"/>
  <c r="Y465" i="18" s="1"/>
  <c r="Y494" i="18" a="1"/>
  <c r="Y494" i="18" s="1"/>
  <c r="Y440" i="18" a="1"/>
  <c r="Y440" i="18" s="1"/>
  <c r="Y431" i="18" a="1"/>
  <c r="Y431" i="18" s="1"/>
  <c r="Y421" i="18" a="1"/>
  <c r="Y421" i="18" s="1"/>
  <c r="Y420" i="18" a="1"/>
  <c r="Y420" i="18" s="1"/>
  <c r="Y407" i="18" a="1"/>
  <c r="Y407" i="18" s="1"/>
  <c r="Y406" i="18" a="1"/>
  <c r="Y406" i="18" s="1"/>
  <c r="Y405" i="18" a="1"/>
  <c r="Y405" i="18" s="1"/>
  <c r="Y403" i="18" a="1"/>
  <c r="Y403" i="18" s="1"/>
  <c r="Y394" i="18" a="1"/>
  <c r="Y394" i="18" s="1"/>
  <c r="Y393" i="18" a="1"/>
  <c r="Y393" i="18" s="1"/>
  <c r="Y485" i="18" a="1"/>
  <c r="Y485" i="18" s="1"/>
  <c r="Y471" i="18" a="1"/>
  <c r="Y471" i="18" s="1"/>
  <c r="Y451" i="18" a="1"/>
  <c r="Y451" i="18" s="1"/>
  <c r="Y439" i="18" a="1"/>
  <c r="Y439" i="18" s="1"/>
  <c r="Y438" i="18" a="1"/>
  <c r="Y438" i="18" s="1"/>
  <c r="Y437" i="18" a="1"/>
  <c r="Y437" i="18" s="1"/>
  <c r="Y436" i="18" a="1"/>
  <c r="Y436" i="18" s="1"/>
  <c r="Y435" i="18" a="1"/>
  <c r="Y435" i="18" s="1"/>
  <c r="Y434" i="18" a="1"/>
  <c r="Y434" i="18" s="1"/>
  <c r="Y430" i="18" a="1"/>
  <c r="Y430" i="18" s="1"/>
  <c r="Y428" i="18" a="1"/>
  <c r="Y428" i="18" s="1"/>
  <c r="Y419" i="18" a="1"/>
  <c r="Y419" i="18" s="1"/>
  <c r="Y418" i="18" a="1"/>
  <c r="Y418" i="18" s="1"/>
  <c r="Y464" i="18" a="1"/>
  <c r="Y464" i="18" s="1"/>
  <c r="Y429" i="18" a="1"/>
  <c r="Y429" i="18" s="1"/>
  <c r="Y427" i="18" a="1"/>
  <c r="Y427" i="18" s="1"/>
  <c r="Y426" i="18" a="1"/>
  <c r="Y426" i="18" s="1"/>
  <c r="Y410" i="18" a="1"/>
  <c r="Y410" i="18" s="1"/>
  <c r="Y479" i="18" a="1"/>
  <c r="Y479" i="18" s="1"/>
  <c r="Y447" i="18" a="1"/>
  <c r="Y447" i="18" s="1"/>
  <c r="Y417" i="18" a="1"/>
  <c r="Y417" i="18" s="1"/>
  <c r="Y416" i="18" a="1"/>
  <c r="Y416" i="18" s="1"/>
  <c r="Y397" i="18" a="1"/>
  <c r="Y397" i="18" s="1"/>
  <c r="Y396" i="18" a="1"/>
  <c r="Y396" i="18" s="1"/>
  <c r="Y450" i="18" a="1"/>
  <c r="Y450" i="18" s="1"/>
  <c r="Y444" i="18" a="1"/>
  <c r="Y444" i="18" s="1"/>
  <c r="Y442" i="18" a="1"/>
  <c r="Y442" i="18" s="1"/>
  <c r="Y433" i="18" a="1"/>
  <c r="Y433" i="18" s="1"/>
  <c r="Y415" i="18" a="1"/>
  <c r="Y415" i="18" s="1"/>
  <c r="Y414" i="18" a="1"/>
  <c r="Y414" i="18" s="1"/>
  <c r="Y391" i="18" a="1"/>
  <c r="Y391" i="18" s="1"/>
  <c r="Y475" i="18" a="1"/>
  <c r="Y475" i="18" s="1"/>
  <c r="Y448" i="18" a="1"/>
  <c r="Y448" i="18" s="1"/>
  <c r="Y441" i="18" a="1"/>
  <c r="Y441" i="18" s="1"/>
  <c r="Y422" i="18" a="1"/>
  <c r="Y422" i="18" s="1"/>
  <c r="Y408" i="18" a="1"/>
  <c r="Y408" i="18" s="1"/>
  <c r="Y402" i="18" a="1"/>
  <c r="Y402" i="18" s="1"/>
  <c r="Y401" i="18" a="1"/>
  <c r="Y401" i="18" s="1"/>
  <c r="Y350" i="18" a="1"/>
  <c r="Y350" i="18" s="1"/>
  <c r="Y349" i="18" a="1"/>
  <c r="Y349" i="18" s="1"/>
  <c r="Y342" i="18" a="1"/>
  <c r="Y342" i="18" s="1"/>
  <c r="Y413" i="18" a="1"/>
  <c r="Y413" i="18" s="1"/>
  <c r="Y389" i="18" a="1"/>
  <c r="Y389" i="18" s="1"/>
  <c r="Y388" i="18" a="1"/>
  <c r="Y388" i="18" s="1"/>
  <c r="Y369" i="18" a="1"/>
  <c r="Y369" i="18" s="1"/>
  <c r="Y425" i="18" a="1"/>
  <c r="Y425" i="18" s="1"/>
  <c r="Y398" i="18" a="1"/>
  <c r="Y398" i="18" s="1"/>
  <c r="Y384" i="18" a="1"/>
  <c r="Y384" i="18" s="1"/>
  <c r="Y365" i="18" a="1"/>
  <c r="Y365" i="18" s="1"/>
  <c r="Y360" i="18" a="1"/>
  <c r="Y360" i="18" s="1"/>
  <c r="Y356" i="18" a="1"/>
  <c r="Y356" i="18" s="1"/>
  <c r="Y353" i="18" a="1"/>
  <c r="Y353" i="18" s="1"/>
  <c r="Y351" i="18" a="1"/>
  <c r="Y351" i="18" s="1"/>
  <c r="Y476" i="18" a="1"/>
  <c r="Y476" i="18" s="1"/>
  <c r="Y443" i="18" a="1"/>
  <c r="Y443" i="18" s="1"/>
  <c r="Y390" i="18" a="1"/>
  <c r="Y390" i="18" s="1"/>
  <c r="Y376" i="18" a="1"/>
  <c r="Y376" i="18" s="1"/>
  <c r="Y432" i="18" a="1"/>
  <c r="Y432" i="18" s="1"/>
  <c r="Y424" i="18" a="1"/>
  <c r="Y424" i="18" s="1"/>
  <c r="Y411" i="18" a="1"/>
  <c r="Y411" i="18" s="1"/>
  <c r="Y399" i="18" a="1"/>
  <c r="Y399" i="18" s="1"/>
  <c r="Y378" i="18" a="1"/>
  <c r="Y378" i="18" s="1"/>
  <c r="Y377" i="18" a="1"/>
  <c r="Y377" i="18" s="1"/>
  <c r="Y362" i="18" a="1"/>
  <c r="Y362" i="18" s="1"/>
  <c r="Y361" i="18" a="1"/>
  <c r="Y361" i="18" s="1"/>
  <c r="Y352" i="18" a="1"/>
  <c r="Y352" i="18" s="1"/>
  <c r="Y412" i="18" a="1"/>
  <c r="Y412" i="18" s="1"/>
  <c r="Y400" i="18" a="1"/>
  <c r="Y400" i="18" s="1"/>
  <c r="Y392" i="18" a="1"/>
  <c r="Y392" i="18" s="1"/>
  <c r="Y387" i="18" a="1"/>
  <c r="Y387" i="18" s="1"/>
  <c r="Y375" i="18" a="1"/>
  <c r="Y375" i="18" s="1"/>
  <c r="Y374" i="18" a="1"/>
  <c r="Y374" i="18" s="1"/>
  <c r="Y372" i="18" a="1"/>
  <c r="Y372" i="18" s="1"/>
  <c r="Y370" i="18" a="1"/>
  <c r="Y370" i="18" s="1"/>
  <c r="Y368" i="18" a="1"/>
  <c r="Y368" i="18" s="1"/>
  <c r="Y446" i="18" a="1"/>
  <c r="Y446" i="18" s="1"/>
  <c r="Y357" i="18" a="1"/>
  <c r="Y357" i="18" s="1"/>
  <c r="Y339" i="18" a="1"/>
  <c r="Y339" i="18" s="1"/>
  <c r="Y333" i="18" a="1"/>
  <c r="Y333" i="18" s="1"/>
  <c r="Y332" i="18" a="1"/>
  <c r="Y332" i="18" s="1"/>
  <c r="Y329" i="18" a="1"/>
  <c r="Y329" i="18" s="1"/>
  <c r="Y328" i="18" a="1"/>
  <c r="Y328" i="18" s="1"/>
  <c r="Y319" i="18" a="1"/>
  <c r="Y319" i="18" s="1"/>
  <c r="Y318" i="18" a="1"/>
  <c r="Y318" i="18" s="1"/>
  <c r="Y386" i="18" a="1"/>
  <c r="Y386" i="18" s="1"/>
  <c r="Y385" i="18" a="1"/>
  <c r="Y385" i="18" s="1"/>
  <c r="Y363" i="18" a="1"/>
  <c r="Y363" i="18" s="1"/>
  <c r="Y337" i="18" a="1"/>
  <c r="Y337" i="18" s="1"/>
  <c r="Y330" i="18" a="1"/>
  <c r="Y330" i="18" s="1"/>
  <c r="Y325" i="18" a="1"/>
  <c r="Y325" i="18" s="1"/>
  <c r="Y380" i="18" a="1"/>
  <c r="Y380" i="18" s="1"/>
  <c r="Y367" i="18" a="1"/>
  <c r="Y367" i="18" s="1"/>
  <c r="Y359" i="18" a="1"/>
  <c r="Y359" i="18" s="1"/>
  <c r="Y354" i="18" a="1"/>
  <c r="Y354" i="18" s="1"/>
  <c r="Y338" i="18" a="1"/>
  <c r="Y338" i="18" s="1"/>
  <c r="Y331" i="18" a="1"/>
  <c r="Y331" i="18" s="1"/>
  <c r="Y322" i="18" a="1"/>
  <c r="Y322" i="18" s="1"/>
  <c r="Y314" i="18" a="1"/>
  <c r="Y314" i="18" s="1"/>
  <c r="Y313" i="18" a="1"/>
  <c r="Y313" i="18" s="1"/>
  <c r="Y308" i="18" a="1"/>
  <c r="Y308" i="18" s="1"/>
  <c r="Y301" i="18" a="1"/>
  <c r="Y301" i="18" s="1"/>
  <c r="Y298" i="18" a="1"/>
  <c r="Y298" i="18" s="1"/>
  <c r="Y404" i="18" a="1"/>
  <c r="Y404" i="18" s="1"/>
  <c r="Y379" i="18" a="1"/>
  <c r="Y379" i="18" s="1"/>
  <c r="Y344" i="18" a="1"/>
  <c r="Y344" i="18" s="1"/>
  <c r="Y326" i="18" a="1"/>
  <c r="Y326" i="18" s="1"/>
  <c r="Y323" i="18" a="1"/>
  <c r="Y323" i="18" s="1"/>
  <c r="Y317" i="18" a="1"/>
  <c r="Y317" i="18" s="1"/>
  <c r="Y316" i="18" a="1"/>
  <c r="Y316" i="18" s="1"/>
  <c r="Y315" i="18" a="1"/>
  <c r="Y315" i="18" s="1"/>
  <c r="Y310" i="18" a="1"/>
  <c r="Y310" i="18" s="1"/>
  <c r="Y299" i="18" a="1"/>
  <c r="Y299" i="18" s="1"/>
  <c r="Y395" i="18" a="1"/>
  <c r="Y395" i="18" s="1"/>
  <c r="Y383" i="18" a="1"/>
  <c r="Y383" i="18" s="1"/>
  <c r="Y373" i="18" a="1"/>
  <c r="Y373" i="18" s="1"/>
  <c r="Y366" i="18" a="1"/>
  <c r="Y366" i="18" s="1"/>
  <c r="Y364" i="18" a="1"/>
  <c r="Y364" i="18" s="1"/>
  <c r="Y358" i="18" a="1"/>
  <c r="Y358" i="18" s="1"/>
  <c r="Y347" i="18" a="1"/>
  <c r="Y347" i="18" s="1"/>
  <c r="Y336" i="18" a="1"/>
  <c r="Y336" i="18" s="1"/>
  <c r="Y324" i="18" a="1"/>
  <c r="Y324" i="18" s="1"/>
  <c r="Y320" i="18" a="1"/>
  <c r="Y320" i="18" s="1"/>
  <c r="Y309" i="18" a="1"/>
  <c r="Y309" i="18" s="1"/>
  <c r="Y304" i="18" a="1"/>
  <c r="Y304" i="18" s="1"/>
  <c r="Y303" i="18" a="1"/>
  <c r="Y303" i="18" s="1"/>
  <c r="Y445" i="18" a="1"/>
  <c r="Y445" i="18" s="1"/>
  <c r="Y423" i="18" a="1"/>
  <c r="Y423" i="18" s="1"/>
  <c r="Y355" i="18" a="1"/>
  <c r="Y355" i="18" s="1"/>
  <c r="Y346" i="18" a="1"/>
  <c r="Y346" i="18" s="1"/>
  <c r="Y345" i="18" a="1"/>
  <c r="Y345" i="18" s="1"/>
  <c r="Y343" i="18" a="1"/>
  <c r="Y343" i="18" s="1"/>
  <c r="Y340" i="18" a="1"/>
  <c r="Y340" i="18" s="1"/>
  <c r="Y335" i="18" a="1"/>
  <c r="Y335" i="18" s="1"/>
  <c r="Y334" i="18" a="1"/>
  <c r="Y334" i="18" s="1"/>
  <c r="Y327" i="18" a="1"/>
  <c r="Y327" i="18" s="1"/>
  <c r="Y312" i="18" a="1"/>
  <c r="Y312" i="18" s="1"/>
  <c r="Y311" i="18" a="1"/>
  <c r="Y311" i="18" s="1"/>
  <c r="Y300" i="18" a="1"/>
  <c r="Y300" i="18" s="1"/>
  <c r="Y409" i="18" a="1"/>
  <c r="Y409" i="18" s="1"/>
  <c r="Y302" i="18" a="1"/>
  <c r="Y302" i="18" s="1"/>
  <c r="Y292" i="18" a="1"/>
  <c r="Y292" i="18" s="1"/>
  <c r="Y289" i="18" a="1"/>
  <c r="Y289" i="18" s="1"/>
  <c r="Y288" i="18" a="1"/>
  <c r="Y288" i="18" s="1"/>
  <c r="Y273" i="18" a="1"/>
  <c r="Y273" i="18" s="1"/>
  <c r="Y272" i="18" a="1"/>
  <c r="Y272" i="18" s="1"/>
  <c r="Y267" i="18" a="1"/>
  <c r="Y267" i="18" s="1"/>
  <c r="Y260" i="18" a="1"/>
  <c r="Y260" i="18" s="1"/>
  <c r="Y306" i="18" a="1"/>
  <c r="Y306" i="18" s="1"/>
  <c r="Y297" i="18" a="1"/>
  <c r="Y297" i="18" s="1"/>
  <c r="Y296" i="18" a="1"/>
  <c r="Y296" i="18" s="1"/>
  <c r="Y286" i="18" a="1"/>
  <c r="Y286" i="18" s="1"/>
  <c r="Y277" i="18" a="1"/>
  <c r="Y277" i="18" s="1"/>
  <c r="Y261" i="18" a="1"/>
  <c r="Y261" i="18" s="1"/>
  <c r="Y259" i="18" a="1"/>
  <c r="Y259" i="18" s="1"/>
  <c r="Y252" i="18" a="1"/>
  <c r="Y252" i="18" s="1"/>
  <c r="Y251" i="18" a="1"/>
  <c r="Y251" i="18" s="1"/>
  <c r="Y250" i="18" a="1"/>
  <c r="Y250" i="18" s="1"/>
  <c r="Y294" i="18" a="1"/>
  <c r="Y294" i="18" s="1"/>
  <c r="Y282" i="18" a="1"/>
  <c r="Y282" i="18" s="1"/>
  <c r="Y271" i="18" a="1"/>
  <c r="Y271" i="18" s="1"/>
  <c r="Y265" i="18" a="1"/>
  <c r="Y265" i="18" s="1"/>
  <c r="Y264" i="18" a="1"/>
  <c r="Y264" i="18" s="1"/>
  <c r="Y257" i="18" a="1"/>
  <c r="Y257" i="18" s="1"/>
  <c r="Y256" i="18" a="1"/>
  <c r="Y256" i="18" s="1"/>
  <c r="Y255" i="18" a="1"/>
  <c r="Y255" i="18" s="1"/>
  <c r="Y253" i="18" a="1"/>
  <c r="Y253" i="18" s="1"/>
  <c r="Y241" i="18" a="1"/>
  <c r="Y241" i="18" s="1"/>
  <c r="Y240" i="18" a="1"/>
  <c r="Y240" i="18" s="1"/>
  <c r="Y239" i="18" a="1"/>
  <c r="Y239" i="18" s="1"/>
  <c r="Y236" i="18" a="1"/>
  <c r="Y236" i="18" s="1"/>
  <c r="Y235" i="18" a="1"/>
  <c r="Y235" i="18" s="1"/>
  <c r="Y232" i="18" a="1"/>
  <c r="Y232" i="18" s="1"/>
  <c r="Y371" i="18" a="1"/>
  <c r="Y371" i="18" s="1"/>
  <c r="Y293" i="18" a="1"/>
  <c r="Y293" i="18" s="1"/>
  <c r="Y285" i="18" a="1"/>
  <c r="Y285" i="18" s="1"/>
  <c r="Y281" i="18" a="1"/>
  <c r="Y281" i="18" s="1"/>
  <c r="Y280" i="18" a="1"/>
  <c r="Y280" i="18" s="1"/>
  <c r="Y276" i="18" a="1"/>
  <c r="Y276" i="18" s="1"/>
  <c r="Y266" i="18" a="1"/>
  <c r="Y266" i="18" s="1"/>
  <c r="Y258" i="18" a="1"/>
  <c r="Y258" i="18" s="1"/>
  <c r="Y254" i="18" a="1"/>
  <c r="Y254" i="18" s="1"/>
  <c r="Y381" i="18" a="1"/>
  <c r="Y381" i="18" s="1"/>
  <c r="Y279" i="18" a="1"/>
  <c r="Y279" i="18" s="1"/>
  <c r="Y270" i="18" a="1"/>
  <c r="Y270" i="18" s="1"/>
  <c r="Y341" i="18" a="1"/>
  <c r="Y341" i="18" s="1"/>
  <c r="Y321" i="18" a="1"/>
  <c r="Y321" i="18" s="1"/>
  <c r="Y295" i="18" a="1"/>
  <c r="Y295" i="18" s="1"/>
  <c r="Y291" i="18" a="1"/>
  <c r="Y291" i="18" s="1"/>
  <c r="Y287" i="18" a="1"/>
  <c r="Y287" i="18" s="1"/>
  <c r="Y284" i="18" a="1"/>
  <c r="Y284" i="18" s="1"/>
  <c r="Y247" i="18" a="1"/>
  <c r="Y247" i="18" s="1"/>
  <c r="S5" i="18" a="1"/>
  <c r="S5" i="18" s="1"/>
  <c r="Z5" i="18" a="1"/>
  <c r="Z5" i="18" s="1"/>
  <c r="AL5" i="18" a="1"/>
  <c r="AL5" i="18" s="1"/>
  <c r="W6" i="18" a="1"/>
  <c r="W6" i="18" s="1"/>
  <c r="X6" i="18" s="1"/>
  <c r="Z7" i="18" a="1"/>
  <c r="Z7" i="18" s="1"/>
  <c r="AL7" i="18" a="1"/>
  <c r="AL7" i="18" s="1"/>
  <c r="S8" i="18" a="1"/>
  <c r="S8" i="18" s="1"/>
  <c r="Z8" i="18" a="1"/>
  <c r="Z8" i="18" s="1"/>
  <c r="U9" i="18" a="1"/>
  <c r="U9" i="18" s="1"/>
  <c r="AL207" i="18" a="1"/>
  <c r="AL207" i="18" s="1"/>
  <c r="AP208" i="18" a="1"/>
  <c r="AP208" i="18" s="1"/>
  <c r="W209" i="18" a="1"/>
  <c r="W209" i="18" s="1"/>
  <c r="X209" i="18" s="1"/>
  <c r="S210" i="18" a="1"/>
  <c r="S210" i="18" s="1"/>
  <c r="Z210" i="18" a="1"/>
  <c r="Z210" i="18" s="1"/>
  <c r="AL210" i="18" a="1"/>
  <c r="AL210" i="18" s="1"/>
  <c r="AG211" i="18" a="1"/>
  <c r="AG211" i="18" s="1"/>
  <c r="AH211" i="18" s="1"/>
  <c r="AC211" i="18" a="1"/>
  <c r="AC211" i="18" s="1"/>
  <c r="AD211" i="18" s="1"/>
  <c r="S212" i="18" a="1"/>
  <c r="S212" i="18" s="1"/>
  <c r="Y213" i="18" a="1"/>
  <c r="Y213" i="18" s="1"/>
  <c r="AP214" i="18" a="1"/>
  <c r="AP214" i="18" s="1"/>
  <c r="R215" i="18" a="1"/>
  <c r="R215" i="18" s="1"/>
  <c r="AA216" i="18" a="1"/>
  <c r="AA216" i="18" s="1"/>
  <c r="R217" i="18" a="1"/>
  <c r="R217" i="18" s="1"/>
  <c r="W217" i="18" a="1"/>
  <c r="W217" i="18" s="1"/>
  <c r="X217" i="18" s="1"/>
  <c r="S219" i="18" a="1"/>
  <c r="S219" i="18" s="1"/>
  <c r="Y219" i="18" a="1"/>
  <c r="Y219" i="18" s="1"/>
  <c r="AL219" i="18" a="1"/>
  <c r="AL219" i="18" s="1"/>
  <c r="AP220" i="18" a="1"/>
  <c r="AP220" i="18" s="1"/>
  <c r="Y221" i="18" a="1"/>
  <c r="Y221" i="18" s="1"/>
  <c r="S222" i="18" a="1"/>
  <c r="S222" i="18" s="1"/>
  <c r="S224" i="18" a="1"/>
  <c r="S224" i="18" s="1"/>
  <c r="S225" i="18" a="1"/>
  <c r="S225" i="18" s="1"/>
  <c r="Y225" i="18" a="1"/>
  <c r="Y225" i="18" s="1"/>
  <c r="Y227" i="18" a="1"/>
  <c r="Y227" i="18" s="1"/>
  <c r="S229" i="18" a="1"/>
  <c r="S229" i="18" s="1"/>
  <c r="Y229" i="18" a="1"/>
  <c r="Y229" i="18" s="1"/>
  <c r="AL231" i="18" a="1"/>
  <c r="AL231" i="18" s="1"/>
  <c r="W233" i="18" a="1"/>
  <c r="W233" i="18" s="1"/>
  <c r="X233" i="18" s="1"/>
  <c r="S234" i="18" a="1"/>
  <c r="S234" i="18" s="1"/>
  <c r="Y234" i="18" a="1"/>
  <c r="Y234" i="18" s="1"/>
  <c r="AB235" i="18" a="1"/>
  <c r="AB235" i="18" s="1"/>
  <c r="AG236" i="18" a="1"/>
  <c r="AG236" i="18" s="1"/>
  <c r="AH236" i="18" s="1"/>
  <c r="AC236" i="18" a="1"/>
  <c r="AC236" i="18" s="1"/>
  <c r="AD236" i="18" s="1"/>
  <c r="W237" i="18" a="1"/>
  <c r="W237" i="18" s="1"/>
  <c r="X237" i="18" s="1"/>
  <c r="AL238" i="18" a="1"/>
  <c r="AL238" i="18" s="1"/>
  <c r="S240" i="18" a="1"/>
  <c r="S240" i="18" s="1"/>
  <c r="AL240" i="18" a="1"/>
  <c r="AL240" i="18" s="1"/>
  <c r="AA242" i="18" a="1"/>
  <c r="AA242" i="18" s="1"/>
  <c r="AB244" i="18" a="1"/>
  <c r="AB244" i="18" s="1"/>
  <c r="Y245" i="18" a="1"/>
  <c r="Y245" i="18" s="1"/>
  <c r="AA248" i="18" a="1"/>
  <c r="AA248" i="18" s="1"/>
  <c r="AA249" i="18" a="1"/>
  <c r="AA249" i="18" s="1"/>
  <c r="R254" i="18" a="1"/>
  <c r="R254" i="18" s="1"/>
  <c r="R258" i="18" a="1"/>
  <c r="R258" i="18" s="1"/>
  <c r="AL261" i="18" a="1"/>
  <c r="AL261" i="18" s="1"/>
  <c r="Y263" i="18" a="1"/>
  <c r="Y263" i="18" s="1"/>
  <c r="R264" i="18" a="1"/>
  <c r="R264" i="18" s="1"/>
  <c r="AA266" i="18" a="1"/>
  <c r="AA266" i="18" s="1"/>
  <c r="AB277" i="18" a="1"/>
  <c r="AB277" i="18" s="1"/>
  <c r="AG280" i="18" a="1"/>
  <c r="AG280" i="18" s="1"/>
  <c r="AH280" i="18" s="1"/>
  <c r="AC280" i="18" a="1"/>
  <c r="AC280" i="18" s="1"/>
  <c r="AD280" i="18" s="1"/>
  <c r="W284" i="18" a="1"/>
  <c r="W284" i="18" s="1"/>
  <c r="X284" i="18" s="1"/>
  <c r="AP285" i="18" a="1"/>
  <c r="AP285" i="18" s="1"/>
  <c r="AL288" i="18" a="1"/>
  <c r="AL288" i="18" s="1"/>
  <c r="AL337" i="18" a="1"/>
  <c r="AL337" i="18" s="1"/>
  <c r="W343" i="18" a="1"/>
  <c r="W343" i="18" s="1"/>
  <c r="X343" i="18" s="1"/>
  <c r="Z4" i="18" a="1"/>
  <c r="Z4" i="18" s="1"/>
  <c r="Z650" i="18" a="1"/>
  <c r="Z650" i="18" s="1"/>
  <c r="Z645" i="18" a="1"/>
  <c r="Z645" i="18" s="1"/>
  <c r="Z652" i="18" a="1"/>
  <c r="Z652" i="18" s="1"/>
  <c r="Z651" i="18" a="1"/>
  <c r="Z651" i="18" s="1"/>
  <c r="Z647" i="18" a="1"/>
  <c r="Z647" i="18" s="1"/>
  <c r="Z649" i="18" a="1"/>
  <c r="Z649" i="18" s="1"/>
  <c r="Z648" i="18" a="1"/>
  <c r="Z648" i="18" s="1"/>
  <c r="Z643" i="18" a="1"/>
  <c r="Z643" i="18" s="1"/>
  <c r="Z642" i="18" a="1"/>
  <c r="Z642" i="18" s="1"/>
  <c r="Z629" i="18" a="1"/>
  <c r="Z629" i="18" s="1"/>
  <c r="Z628" i="18" a="1"/>
  <c r="Z628" i="18" s="1"/>
  <c r="Z627" i="18" a="1"/>
  <c r="Z627" i="18" s="1"/>
  <c r="Z626" i="18" a="1"/>
  <c r="Z626" i="18" s="1"/>
  <c r="Z644" i="18" a="1"/>
  <c r="Z644" i="18" s="1"/>
  <c r="Z630" i="18" a="1"/>
  <c r="Z630" i="18" s="1"/>
  <c r="Z622" i="18" a="1"/>
  <c r="Z622" i="18" s="1"/>
  <c r="Z653" i="18" a="1"/>
  <c r="Z653" i="18" s="1"/>
  <c r="Z631" i="18" a="1"/>
  <c r="Z631" i="18" s="1"/>
  <c r="Z632" i="18" a="1"/>
  <c r="Z632" i="18" s="1"/>
  <c r="Z639" i="18" a="1"/>
  <c r="Z639" i="18" s="1"/>
  <c r="Z637" i="18" a="1"/>
  <c r="Z637" i="18" s="1"/>
  <c r="Z636" i="18" a="1"/>
  <c r="Z636" i="18" s="1"/>
  <c r="Z635" i="18" a="1"/>
  <c r="Z635" i="18" s="1"/>
  <c r="Z634" i="18" a="1"/>
  <c r="Z634" i="18" s="1"/>
  <c r="Z625" i="18" a="1"/>
  <c r="Z625" i="18" s="1"/>
  <c r="Z620" i="18" a="1"/>
  <c r="Z620" i="18" s="1"/>
  <c r="Z618" i="18" a="1"/>
  <c r="Z618" i="18" s="1"/>
  <c r="Z615" i="18" a="1"/>
  <c r="Z615" i="18" s="1"/>
  <c r="Z640" i="18" a="1"/>
  <c r="Z640" i="18" s="1"/>
  <c r="Z638" i="18" a="1"/>
  <c r="Z638" i="18" s="1"/>
  <c r="Z609" i="18" a="1"/>
  <c r="Z609" i="18" s="1"/>
  <c r="Z605" i="18" a="1"/>
  <c r="Z605" i="18" s="1"/>
  <c r="Z641" i="18" a="1"/>
  <c r="Z641" i="18" s="1"/>
  <c r="Z621" i="18" a="1"/>
  <c r="Z621" i="18" s="1"/>
  <c r="Z604" i="18" a="1"/>
  <c r="Z604" i="18" s="1"/>
  <c r="Z602" i="18" a="1"/>
  <c r="Z602" i="18" s="1"/>
  <c r="Z617" i="18" a="1"/>
  <c r="Z617" i="18" s="1"/>
  <c r="Z611" i="18" a="1"/>
  <c r="Z611" i="18" s="1"/>
  <c r="Z600" i="18" a="1"/>
  <c r="Z600" i="18" s="1"/>
  <c r="Z599" i="18" a="1"/>
  <c r="Z599" i="18" s="1"/>
  <c r="Z596" i="18" a="1"/>
  <c r="Z596" i="18" s="1"/>
  <c r="Z595" i="18" a="1"/>
  <c r="Z595" i="18" s="1"/>
  <c r="Z612" i="18" a="1"/>
  <c r="Z612" i="18" s="1"/>
  <c r="Z610" i="18" a="1"/>
  <c r="Z610" i="18" s="1"/>
  <c r="Z608" i="18" a="1"/>
  <c r="Z608" i="18" s="1"/>
  <c r="Z607" i="18" a="1"/>
  <c r="Z607" i="18" s="1"/>
  <c r="Z606" i="18" a="1"/>
  <c r="Z606" i="18" s="1"/>
  <c r="Z633" i="18" a="1"/>
  <c r="Z633" i="18" s="1"/>
  <c r="Z623" i="18" a="1"/>
  <c r="Z623" i="18" s="1"/>
  <c r="Z646" i="18" a="1"/>
  <c r="Z646" i="18" s="1"/>
  <c r="Z619" i="18" a="1"/>
  <c r="Z619" i="18" s="1"/>
  <c r="Z616" i="18" a="1"/>
  <c r="Z616" i="18" s="1"/>
  <c r="Z613" i="18" a="1"/>
  <c r="Z613" i="18" s="1"/>
  <c r="Z601" i="18" a="1"/>
  <c r="Z601" i="18" s="1"/>
  <c r="Z603" i="18" a="1"/>
  <c r="Z603" i="18" s="1"/>
  <c r="Z585" i="18" a="1"/>
  <c r="Z585" i="18" s="1"/>
  <c r="Z583" i="18" a="1"/>
  <c r="Z583" i="18" s="1"/>
  <c r="Z579" i="18" a="1"/>
  <c r="Z579" i="18" s="1"/>
  <c r="Z578" i="18" a="1"/>
  <c r="Z578" i="18" s="1"/>
  <c r="Z575" i="18" a="1"/>
  <c r="Z575" i="18" s="1"/>
  <c r="Z573" i="18" a="1"/>
  <c r="Z573" i="18" s="1"/>
  <c r="Z559" i="18" a="1"/>
  <c r="Z559" i="18" s="1"/>
  <c r="Z551" i="18" a="1"/>
  <c r="Z551" i="18" s="1"/>
  <c r="Z624" i="18" a="1"/>
  <c r="Z624" i="18" s="1"/>
  <c r="Z591" i="18" a="1"/>
  <c r="Z591" i="18" s="1"/>
  <c r="Z582" i="18" a="1"/>
  <c r="Z582" i="18" s="1"/>
  <c r="Z581" i="18" a="1"/>
  <c r="Z581" i="18" s="1"/>
  <c r="Z574" i="18" a="1"/>
  <c r="Z574" i="18" s="1"/>
  <c r="Z566" i="18" a="1"/>
  <c r="Z566" i="18" s="1"/>
  <c r="Z557" i="18" a="1"/>
  <c r="Z557" i="18" s="1"/>
  <c r="Z544" i="18" a="1"/>
  <c r="Z544" i="18" s="1"/>
  <c r="Z539" i="18" a="1"/>
  <c r="Z539" i="18" s="1"/>
  <c r="Z614" i="18" a="1"/>
  <c r="Z614" i="18" s="1"/>
  <c r="Z594" i="18" a="1"/>
  <c r="Z594" i="18" s="1"/>
  <c r="Z586" i="18" a="1"/>
  <c r="Z586" i="18" s="1"/>
  <c r="Z584" i="18" a="1"/>
  <c r="Z584" i="18" s="1"/>
  <c r="Z577" i="18" a="1"/>
  <c r="Z577" i="18" s="1"/>
  <c r="Z558" i="18" a="1"/>
  <c r="Z558" i="18" s="1"/>
  <c r="Z597" i="18" a="1"/>
  <c r="Z597" i="18" s="1"/>
  <c r="Z593" i="18" a="1"/>
  <c r="Z593" i="18" s="1"/>
  <c r="Z592" i="18" a="1"/>
  <c r="Z592" i="18" s="1"/>
  <c r="Z590" i="18" a="1"/>
  <c r="Z590" i="18" s="1"/>
  <c r="Z588" i="18" a="1"/>
  <c r="Z588" i="18" s="1"/>
  <c r="Z587" i="18" a="1"/>
  <c r="Z587" i="18" s="1"/>
  <c r="Z570" i="18" a="1"/>
  <c r="Z570" i="18" s="1"/>
  <c r="Z568" i="18" a="1"/>
  <c r="Z568" i="18" s="1"/>
  <c r="Z563" i="18" a="1"/>
  <c r="Z563" i="18" s="1"/>
  <c r="Z562" i="18" a="1"/>
  <c r="Z562" i="18" s="1"/>
  <c r="Z589" i="18" a="1"/>
  <c r="Z589" i="18" s="1"/>
  <c r="Z572" i="18" a="1"/>
  <c r="Z572" i="18" s="1"/>
  <c r="Z569" i="18" a="1"/>
  <c r="Z569" i="18" s="1"/>
  <c r="Z561" i="18" a="1"/>
  <c r="Z561" i="18" s="1"/>
  <c r="Z555" i="18" a="1"/>
  <c r="Z555" i="18" s="1"/>
  <c r="Z598" i="18" a="1"/>
  <c r="Z598" i="18" s="1"/>
  <c r="Z576" i="18" a="1"/>
  <c r="Z576" i="18" s="1"/>
  <c r="Z556" i="18" a="1"/>
  <c r="Z556" i="18" s="1"/>
  <c r="Z553" i="18" a="1"/>
  <c r="Z553" i="18" s="1"/>
  <c r="Z549" i="18" a="1"/>
  <c r="Z549" i="18" s="1"/>
  <c r="Z548" i="18" a="1"/>
  <c r="Z548" i="18" s="1"/>
  <c r="Z545" i="18" a="1"/>
  <c r="Z545" i="18" s="1"/>
  <c r="Z564" i="18" a="1"/>
  <c r="Z564" i="18" s="1"/>
  <c r="Z554" i="18" a="1"/>
  <c r="Z554" i="18" s="1"/>
  <c r="Z525" i="18" a="1"/>
  <c r="Z525" i="18" s="1"/>
  <c r="Z523" i="18" a="1"/>
  <c r="Z523" i="18" s="1"/>
  <c r="Z522" i="18" a="1"/>
  <c r="Z522" i="18" s="1"/>
  <c r="Z519" i="18" a="1"/>
  <c r="Z519" i="18" s="1"/>
  <c r="Z503" i="18" a="1"/>
  <c r="Z503" i="18" s="1"/>
  <c r="Z500" i="18" a="1"/>
  <c r="Z500" i="18" s="1"/>
  <c r="Z550" i="18" a="1"/>
  <c r="Z550" i="18" s="1"/>
  <c r="Z547" i="18" a="1"/>
  <c r="Z547" i="18" s="1"/>
  <c r="Z537" i="18" a="1"/>
  <c r="Z537" i="18" s="1"/>
  <c r="Z532" i="18" a="1"/>
  <c r="Z532" i="18" s="1"/>
  <c r="Z526" i="18" a="1"/>
  <c r="Z526" i="18" s="1"/>
  <c r="Z520" i="18" a="1"/>
  <c r="Z520" i="18" s="1"/>
  <c r="Z506" i="18" a="1"/>
  <c r="Z506" i="18" s="1"/>
  <c r="Z501" i="18" a="1"/>
  <c r="Z501" i="18" s="1"/>
  <c r="Z560" i="18" a="1"/>
  <c r="Z560" i="18" s="1"/>
  <c r="Z541" i="18" a="1"/>
  <c r="Z541" i="18" s="1"/>
  <c r="Z512" i="18" a="1"/>
  <c r="Z512" i="18" s="1"/>
  <c r="Z507" i="18" a="1"/>
  <c r="Z507" i="18" s="1"/>
  <c r="Z492" i="18" a="1"/>
  <c r="Z492" i="18" s="1"/>
  <c r="Z542" i="18" a="1"/>
  <c r="Z542" i="18" s="1"/>
  <c r="Z538" i="18" a="1"/>
  <c r="Z538" i="18" s="1"/>
  <c r="Z535" i="18" a="1"/>
  <c r="Z535" i="18" s="1"/>
  <c r="Z534" i="18" a="1"/>
  <c r="Z534" i="18" s="1"/>
  <c r="Z533" i="18" a="1"/>
  <c r="Z533" i="18" s="1"/>
  <c r="Z530" i="18" a="1"/>
  <c r="Z530" i="18" s="1"/>
  <c r="Z527" i="18" a="1"/>
  <c r="Z527" i="18" s="1"/>
  <c r="Z518" i="18" a="1"/>
  <c r="Z518" i="18" s="1"/>
  <c r="Z517" i="18" a="1"/>
  <c r="Z517" i="18" s="1"/>
  <c r="Z516" i="18" a="1"/>
  <c r="Z516" i="18" s="1"/>
  <c r="Z513" i="18" a="1"/>
  <c r="Z513" i="18" s="1"/>
  <c r="Z580" i="18" a="1"/>
  <c r="Z580" i="18" s="1"/>
  <c r="Z552" i="18" a="1"/>
  <c r="Z552" i="18" s="1"/>
  <c r="Z543" i="18" a="1"/>
  <c r="Z543" i="18" s="1"/>
  <c r="Z540" i="18" a="1"/>
  <c r="Z540" i="18" s="1"/>
  <c r="Z531" i="18" a="1"/>
  <c r="Z531" i="18" s="1"/>
  <c r="Z524" i="18" a="1"/>
  <c r="Z524" i="18" s="1"/>
  <c r="Z509" i="18" a="1"/>
  <c r="Z509" i="18" s="1"/>
  <c r="Z571" i="18" a="1"/>
  <c r="Z571" i="18" s="1"/>
  <c r="Z515" i="18" a="1"/>
  <c r="Z515" i="18" s="1"/>
  <c r="Z510" i="18" a="1"/>
  <c r="Z510" i="18" s="1"/>
  <c r="Z505" i="18" a="1"/>
  <c r="Z505" i="18" s="1"/>
  <c r="Z499" i="18" a="1"/>
  <c r="Z499" i="18" s="1"/>
  <c r="Z493" i="18" a="1"/>
  <c r="Z493" i="18" s="1"/>
  <c r="Z536" i="18" a="1"/>
  <c r="Z536" i="18" s="1"/>
  <c r="Z528" i="18" a="1"/>
  <c r="Z528" i="18" s="1"/>
  <c r="Z514" i="18" a="1"/>
  <c r="Z514" i="18" s="1"/>
  <c r="Z511" i="18" a="1"/>
  <c r="Z511" i="18" s="1"/>
  <c r="Z491" i="18" a="1"/>
  <c r="Z491" i="18" s="1"/>
  <c r="Z481" i="18" a="1"/>
  <c r="Z481" i="18" s="1"/>
  <c r="Z546" i="18" a="1"/>
  <c r="Z546" i="18" s="1"/>
  <c r="Z488" i="18" a="1"/>
  <c r="Z488" i="18" s="1"/>
  <c r="Z484" i="18" a="1"/>
  <c r="Z484" i="18" s="1"/>
  <c r="Z489" i="18" a="1"/>
  <c r="Z489" i="18" s="1"/>
  <c r="Z474" i="18" a="1"/>
  <c r="Z474" i="18" s="1"/>
  <c r="Z565" i="18" a="1"/>
  <c r="Z565" i="18" s="1"/>
  <c r="Z502" i="18" a="1"/>
  <c r="Z502" i="18" s="1"/>
  <c r="Z497" i="18" a="1"/>
  <c r="Z497" i="18" s="1"/>
  <c r="Z496" i="18" a="1"/>
  <c r="Z496" i="18" s="1"/>
  <c r="Z567" i="18" a="1"/>
  <c r="Z567" i="18" s="1"/>
  <c r="Z529" i="18" a="1"/>
  <c r="Z529" i="18" s="1"/>
  <c r="Z495" i="18" a="1"/>
  <c r="Z495" i="18" s="1"/>
  <c r="Z494" i="18" a="1"/>
  <c r="Z494" i="18" s="1"/>
  <c r="Z490" i="18" a="1"/>
  <c r="Z490" i="18" s="1"/>
  <c r="Z486" i="18" a="1"/>
  <c r="Z486" i="18" s="1"/>
  <c r="Z485" i="18" a="1"/>
  <c r="Z485" i="18" s="1"/>
  <c r="Z482" i="18" a="1"/>
  <c r="Z482" i="18" s="1"/>
  <c r="Z521" i="18" a="1"/>
  <c r="Z521" i="18" s="1"/>
  <c r="Z508" i="18" a="1"/>
  <c r="Z508" i="18" s="1"/>
  <c r="Z498" i="18" a="1"/>
  <c r="Z498" i="18" s="1"/>
  <c r="Z487" i="18" a="1"/>
  <c r="Z487" i="18" s="1"/>
  <c r="Z483" i="18" a="1"/>
  <c r="Z483" i="18" s="1"/>
  <c r="Z477" i="18" a="1"/>
  <c r="Z477" i="18" s="1"/>
  <c r="Z462" i="18" a="1"/>
  <c r="Z462" i="18" s="1"/>
  <c r="Z451" i="18" a="1"/>
  <c r="Z451" i="18" s="1"/>
  <c r="Z504" i="18" a="1"/>
  <c r="Z504" i="18" s="1"/>
  <c r="Z478" i="18" a="1"/>
  <c r="Z478" i="18" s="1"/>
  <c r="Z469" i="18" a="1"/>
  <c r="Z469" i="18" s="1"/>
  <c r="Z467" i="18" a="1"/>
  <c r="Z467" i="18" s="1"/>
  <c r="Z456" i="18" a="1"/>
  <c r="Z456" i="18" s="1"/>
  <c r="Z450" i="18" a="1"/>
  <c r="Z450" i="18" s="1"/>
  <c r="Z468" i="18" a="1"/>
  <c r="Z468" i="18" s="1"/>
  <c r="Z466" i="18" a="1"/>
  <c r="Z466" i="18" s="1"/>
  <c r="Z480" i="18" a="1"/>
  <c r="Z480" i="18" s="1"/>
  <c r="Z472" i="18" a="1"/>
  <c r="Z472" i="18" s="1"/>
  <c r="Z459" i="18" a="1"/>
  <c r="Z459" i="18" s="1"/>
  <c r="Z455" i="18" a="1"/>
  <c r="Z455" i="18" s="1"/>
  <c r="Z475" i="18" a="1"/>
  <c r="Z475" i="18" s="1"/>
  <c r="Z471" i="18" a="1"/>
  <c r="Z471" i="18" s="1"/>
  <c r="Z464" i="18" a="1"/>
  <c r="Z464" i="18" s="1"/>
  <c r="Z460" i="18" a="1"/>
  <c r="Z460" i="18" s="1"/>
  <c r="Z458" i="18" a="1"/>
  <c r="Z458" i="18" s="1"/>
  <c r="Z457" i="18" a="1"/>
  <c r="Z457" i="18" s="1"/>
  <c r="Z449" i="18" a="1"/>
  <c r="Z449" i="18" s="1"/>
  <c r="Z448" i="18" a="1"/>
  <c r="Z448" i="18" s="1"/>
  <c r="Z479" i="18" a="1"/>
  <c r="Z479" i="18" s="1"/>
  <c r="Z476" i="18" a="1"/>
  <c r="Z476" i="18" s="1"/>
  <c r="Z470" i="18" a="1"/>
  <c r="Z470" i="18" s="1"/>
  <c r="Z463" i="18" a="1"/>
  <c r="Z463" i="18" s="1"/>
  <c r="Z453" i="18" a="1"/>
  <c r="Z453" i="18" s="1"/>
  <c r="Z452" i="18" a="1"/>
  <c r="Z452" i="18" s="1"/>
  <c r="Z461" i="18" a="1"/>
  <c r="Z461" i="18" s="1"/>
  <c r="Z438" i="18" a="1"/>
  <c r="Z438" i="18" s="1"/>
  <c r="Z434" i="18" a="1"/>
  <c r="Z434" i="18" s="1"/>
  <c r="Z430" i="18" a="1"/>
  <c r="Z430" i="18" s="1"/>
  <c r="Z429" i="18" a="1"/>
  <c r="Z429" i="18" s="1"/>
  <c r="Z427" i="18" a="1"/>
  <c r="Z427" i="18" s="1"/>
  <c r="Z426" i="18" a="1"/>
  <c r="Z426" i="18" s="1"/>
  <c r="Z390" i="18" a="1"/>
  <c r="Z390" i="18" s="1"/>
  <c r="Z447" i="18" a="1"/>
  <c r="Z447" i="18" s="1"/>
  <c r="Z465" i="18" a="1"/>
  <c r="Z465" i="18" s="1"/>
  <c r="Z444" i="18" a="1"/>
  <c r="Z444" i="18" s="1"/>
  <c r="Z417" i="18" a="1"/>
  <c r="Z417" i="18" s="1"/>
  <c r="Z416" i="18" a="1"/>
  <c r="Z416" i="18" s="1"/>
  <c r="Z415" i="18" a="1"/>
  <c r="Z415" i="18" s="1"/>
  <c r="Z445" i="18" a="1"/>
  <c r="Z445" i="18" s="1"/>
  <c r="Z443" i="18" a="1"/>
  <c r="Z443" i="18" s="1"/>
  <c r="Z442" i="18" a="1"/>
  <c r="Z442" i="18" s="1"/>
  <c r="Z433" i="18" a="1"/>
  <c r="Z433" i="18" s="1"/>
  <c r="Z414" i="18" a="1"/>
  <c r="Z414" i="18" s="1"/>
  <c r="Z392" i="18" a="1"/>
  <c r="Z392" i="18" s="1"/>
  <c r="Z391" i="18" a="1"/>
  <c r="Z391" i="18" s="1"/>
  <c r="Z454" i="18" a="1"/>
  <c r="Z454" i="18" s="1"/>
  <c r="Z425" i="18" a="1"/>
  <c r="Z425" i="18" s="1"/>
  <c r="Z424" i="18" a="1"/>
  <c r="Z424" i="18" s="1"/>
  <c r="Z423" i="18" a="1"/>
  <c r="Z423" i="18" s="1"/>
  <c r="Z413" i="18" a="1"/>
  <c r="Z413" i="18" s="1"/>
  <c r="Z412" i="18" a="1"/>
  <c r="Z412" i="18" s="1"/>
  <c r="Z404" i="18" a="1"/>
  <c r="Z404" i="18" s="1"/>
  <c r="Z400" i="18" a="1"/>
  <c r="Z400" i="18" s="1"/>
  <c r="Z399" i="18" a="1"/>
  <c r="Z399" i="18" s="1"/>
  <c r="Z440" i="18" a="1"/>
  <c r="Z440" i="18" s="1"/>
  <c r="Z439" i="18" a="1"/>
  <c r="Z439" i="18" s="1"/>
  <c r="Z437" i="18" a="1"/>
  <c r="Z437" i="18" s="1"/>
  <c r="Z436" i="18" a="1"/>
  <c r="Z436" i="18" s="1"/>
  <c r="Z435" i="18" a="1"/>
  <c r="Z435" i="18" s="1"/>
  <c r="Z428" i="18" a="1"/>
  <c r="Z428" i="18" s="1"/>
  <c r="Z419" i="18" a="1"/>
  <c r="Z419" i="18" s="1"/>
  <c r="Z418" i="18" a="1"/>
  <c r="Z418" i="18" s="1"/>
  <c r="Z411" i="18" a="1"/>
  <c r="Z411" i="18" s="1"/>
  <c r="Z406" i="18" a="1"/>
  <c r="Z406" i="18" s="1"/>
  <c r="Z395" i="18" a="1"/>
  <c r="Z395" i="18" s="1"/>
  <c r="Z394" i="18" a="1"/>
  <c r="Z394" i="18" s="1"/>
  <c r="Z393" i="18" a="1"/>
  <c r="Z393" i="18" s="1"/>
  <c r="Z422" i="18" a="1"/>
  <c r="Z422" i="18" s="1"/>
  <c r="Z410" i="18" a="1"/>
  <c r="Z410" i="18" s="1"/>
  <c r="Z388" i="18" a="1"/>
  <c r="Z388" i="18" s="1"/>
  <c r="Z384" i="18" a="1"/>
  <c r="Z384" i="18" s="1"/>
  <c r="Z369" i="18" a="1"/>
  <c r="Z369" i="18" s="1"/>
  <c r="Z365" i="18" a="1"/>
  <c r="Z365" i="18" s="1"/>
  <c r="Z360" i="18" a="1"/>
  <c r="Z360" i="18" s="1"/>
  <c r="Z356" i="18" a="1"/>
  <c r="Z356" i="18" s="1"/>
  <c r="Z351" i="18" a="1"/>
  <c r="Z351" i="18" s="1"/>
  <c r="Z344" i="18" a="1"/>
  <c r="Z344" i="18" s="1"/>
  <c r="Z421" i="18" a="1"/>
  <c r="Z421" i="18" s="1"/>
  <c r="Z403" i="18" a="1"/>
  <c r="Z403" i="18" s="1"/>
  <c r="Z398" i="18" a="1"/>
  <c r="Z398" i="18" s="1"/>
  <c r="Z376" i="18" a="1"/>
  <c r="Z376" i="18" s="1"/>
  <c r="Z367" i="18" a="1"/>
  <c r="Z367" i="18" s="1"/>
  <c r="Z363" i="18" a="1"/>
  <c r="Z363" i="18" s="1"/>
  <c r="Z358" i="18" a="1"/>
  <c r="Z358" i="18" s="1"/>
  <c r="Z355" i="18" a="1"/>
  <c r="Z355" i="18" s="1"/>
  <c r="Z353" i="18" a="1"/>
  <c r="Z353" i="18" s="1"/>
  <c r="Z441" i="18" a="1"/>
  <c r="Z441" i="18" s="1"/>
  <c r="Z407" i="18" a="1"/>
  <c r="Z407" i="18" s="1"/>
  <c r="Z405" i="18" a="1"/>
  <c r="Z405" i="18" s="1"/>
  <c r="Z401" i="18" a="1"/>
  <c r="Z401" i="18" s="1"/>
  <c r="Z378" i="18" a="1"/>
  <c r="Z378" i="18" s="1"/>
  <c r="Z366" i="18" a="1"/>
  <c r="Z366" i="18" s="1"/>
  <c r="Z364" i="18" a="1"/>
  <c r="Z364" i="18" s="1"/>
  <c r="Z361" i="18" a="1"/>
  <c r="Z361" i="18" s="1"/>
  <c r="Z357" i="18" a="1"/>
  <c r="Z357" i="18" s="1"/>
  <c r="Z354" i="18" a="1"/>
  <c r="Z354" i="18" s="1"/>
  <c r="Z432" i="18" a="1"/>
  <c r="Z432" i="18" s="1"/>
  <c r="Z381" i="18" a="1"/>
  <c r="Z381" i="18" s="1"/>
  <c r="Z379" i="18" a="1"/>
  <c r="Z379" i="18" s="1"/>
  <c r="Z377" i="18" a="1"/>
  <c r="Z377" i="18" s="1"/>
  <c r="Z371" i="18" a="1"/>
  <c r="Z371" i="18" s="1"/>
  <c r="Z446" i="18" a="1"/>
  <c r="Z446" i="18" s="1"/>
  <c r="Z431" i="18" a="1"/>
  <c r="Z431" i="18" s="1"/>
  <c r="Z420" i="18" a="1"/>
  <c r="Z420" i="18" s="1"/>
  <c r="Z408" i="18" a="1"/>
  <c r="Z408" i="18" s="1"/>
  <c r="Z386" i="18" a="1"/>
  <c r="Z386" i="18" s="1"/>
  <c r="Z385" i="18" a="1"/>
  <c r="Z385" i="18" s="1"/>
  <c r="Z383" i="18" a="1"/>
  <c r="Z383" i="18" s="1"/>
  <c r="Z373" i="18" a="1"/>
  <c r="Z373" i="18" s="1"/>
  <c r="Z348" i="18" a="1"/>
  <c r="Z348" i="18" s="1"/>
  <c r="Z347" i="18" a="1"/>
  <c r="Z347" i="18" s="1"/>
  <c r="Z473" i="18" a="1"/>
  <c r="Z473" i="18" s="1"/>
  <c r="Z397" i="18" a="1"/>
  <c r="Z397" i="18" s="1"/>
  <c r="Z396" i="18" a="1"/>
  <c r="Z396" i="18" s="1"/>
  <c r="Z389" i="18" a="1"/>
  <c r="Z389" i="18" s="1"/>
  <c r="Z349" i="18" a="1"/>
  <c r="Z349" i="18" s="1"/>
  <c r="Z387" i="18" a="1"/>
  <c r="Z387" i="18" s="1"/>
  <c r="Z352" i="18" a="1"/>
  <c r="Z352" i="18" s="1"/>
  <c r="Z342" i="18" a="1"/>
  <c r="Z342" i="18" s="1"/>
  <c r="Z337" i="18" a="1"/>
  <c r="Z337" i="18" s="1"/>
  <c r="Z330" i="18" a="1"/>
  <c r="Z330" i="18" s="1"/>
  <c r="Z325" i="18" a="1"/>
  <c r="Z325" i="18" s="1"/>
  <c r="Z313" i="18" a="1"/>
  <c r="Z313" i="18" s="1"/>
  <c r="Z380" i="18" a="1"/>
  <c r="Z380" i="18" s="1"/>
  <c r="Z359" i="18" a="1"/>
  <c r="Z359" i="18" s="1"/>
  <c r="Z338" i="18" a="1"/>
  <c r="Z338" i="18" s="1"/>
  <c r="Z331" i="18" a="1"/>
  <c r="Z331" i="18" s="1"/>
  <c r="Z322" i="18" a="1"/>
  <c r="Z322" i="18" s="1"/>
  <c r="Z314" i="18" a="1"/>
  <c r="Z314" i="18" s="1"/>
  <c r="Z308" i="18" a="1"/>
  <c r="Z308" i="18" s="1"/>
  <c r="Z375" i="18" a="1"/>
  <c r="Z375" i="18" s="1"/>
  <c r="Z370" i="18" a="1"/>
  <c r="Z370" i="18" s="1"/>
  <c r="Z316" i="18" a="1"/>
  <c r="Z316" i="18" s="1"/>
  <c r="Z315" i="18" a="1"/>
  <c r="Z315" i="18" s="1"/>
  <c r="Z302" i="18" a="1"/>
  <c r="Z302" i="18" s="1"/>
  <c r="Z299" i="18" a="1"/>
  <c r="Z299" i="18" s="1"/>
  <c r="Z402" i="18" a="1"/>
  <c r="Z402" i="18" s="1"/>
  <c r="Z350" i="18" a="1"/>
  <c r="Z350" i="18" s="1"/>
  <c r="Z336" i="18" a="1"/>
  <c r="Z336" i="18" s="1"/>
  <c r="Z326" i="18" a="1"/>
  <c r="Z326" i="18" s="1"/>
  <c r="Z324" i="18" a="1"/>
  <c r="Z324" i="18" s="1"/>
  <c r="Z323" i="18" a="1"/>
  <c r="Z323" i="18" s="1"/>
  <c r="Z317" i="18" a="1"/>
  <c r="Z317" i="18" s="1"/>
  <c r="Z310" i="18" a="1"/>
  <c r="Z310" i="18" s="1"/>
  <c r="Z309" i="18" a="1"/>
  <c r="Z309" i="18" s="1"/>
  <c r="Z340" i="18" a="1"/>
  <c r="Z340" i="18" s="1"/>
  <c r="Z335" i="18" a="1"/>
  <c r="Z335" i="18" s="1"/>
  <c r="Z334" i="18" a="1"/>
  <c r="Z334" i="18" s="1"/>
  <c r="Z327" i="18" a="1"/>
  <c r="Z327" i="18" s="1"/>
  <c r="Z320" i="18" a="1"/>
  <c r="Z320" i="18" s="1"/>
  <c r="Z311" i="18" a="1"/>
  <c r="Z311" i="18" s="1"/>
  <c r="Z304" i="18" a="1"/>
  <c r="Z304" i="18" s="1"/>
  <c r="Z374" i="18" a="1"/>
  <c r="Z374" i="18" s="1"/>
  <c r="Z362" i="18" a="1"/>
  <c r="Z362" i="18" s="1"/>
  <c r="Z346" i="18" a="1"/>
  <c r="Z346" i="18" s="1"/>
  <c r="Z345" i="18" a="1"/>
  <c r="Z345" i="18" s="1"/>
  <c r="Z343" i="18" a="1"/>
  <c r="Z343" i="18" s="1"/>
  <c r="Z312" i="18" a="1"/>
  <c r="Z312" i="18" s="1"/>
  <c r="Z300" i="18" a="1"/>
  <c r="Z300" i="18" s="1"/>
  <c r="Z409" i="18" a="1"/>
  <c r="Z409" i="18" s="1"/>
  <c r="Z382" i="18" a="1"/>
  <c r="Z382" i="18" s="1"/>
  <c r="Z368" i="18" a="1"/>
  <c r="Z368" i="18" s="1"/>
  <c r="Z341" i="18" a="1"/>
  <c r="Z341" i="18" s="1"/>
  <c r="Z339" i="18" a="1"/>
  <c r="Z339" i="18" s="1"/>
  <c r="Z332" i="18" a="1"/>
  <c r="Z332" i="18" s="1"/>
  <c r="Z328" i="18" a="1"/>
  <c r="Z328" i="18" s="1"/>
  <c r="Z321" i="18" a="1"/>
  <c r="Z321" i="18" s="1"/>
  <c r="Z319" i="18" a="1"/>
  <c r="Z319" i="18" s="1"/>
  <c r="Z318" i="18" a="1"/>
  <c r="Z318" i="18" s="1"/>
  <c r="Z306" i="18" a="1"/>
  <c r="Z306" i="18" s="1"/>
  <c r="Z305" i="18" a="1"/>
  <c r="Z305" i="18" s="1"/>
  <c r="Z295" i="18" a="1"/>
  <c r="Z295" i="18" s="1"/>
  <c r="Z296" i="18" a="1"/>
  <c r="Z296" i="18" s="1"/>
  <c r="Z282" i="18" a="1"/>
  <c r="Z282" i="18" s="1"/>
  <c r="Z265" i="18" a="1"/>
  <c r="Z265" i="18" s="1"/>
  <c r="Z264" i="18" a="1"/>
  <c r="Z264" i="18" s="1"/>
  <c r="Z259" i="18" a="1"/>
  <c r="Z259" i="18" s="1"/>
  <c r="Z257" i="18" a="1"/>
  <c r="Z257" i="18" s="1"/>
  <c r="Z256" i="18" a="1"/>
  <c r="Z256" i="18" s="1"/>
  <c r="Z253" i="18" a="1"/>
  <c r="Z253" i="18" s="1"/>
  <c r="Z252" i="18" a="1"/>
  <c r="Z252" i="18" s="1"/>
  <c r="Z251" i="18" a="1"/>
  <c r="Z251" i="18" s="1"/>
  <c r="Z294" i="18" a="1"/>
  <c r="Z294" i="18" s="1"/>
  <c r="Z293" i="18" a="1"/>
  <c r="Z293" i="18" s="1"/>
  <c r="Z285" i="18" a="1"/>
  <c r="Z285" i="18" s="1"/>
  <c r="Z281" i="18" a="1"/>
  <c r="Z281" i="18" s="1"/>
  <c r="Z280" i="18" a="1"/>
  <c r="Z280" i="18" s="1"/>
  <c r="Z271" i="18" a="1"/>
  <c r="Z271" i="18" s="1"/>
  <c r="Z266" i="18" a="1"/>
  <c r="Z266" i="18" s="1"/>
  <c r="Z258" i="18" a="1"/>
  <c r="Z258" i="18" s="1"/>
  <c r="Z255" i="18" a="1"/>
  <c r="Z255" i="18" s="1"/>
  <c r="Z254" i="18" a="1"/>
  <c r="Z254" i="18" s="1"/>
  <c r="Z329" i="18" a="1"/>
  <c r="Z329" i="18" s="1"/>
  <c r="Z303" i="18" a="1"/>
  <c r="Z303" i="18" s="1"/>
  <c r="Z301" i="18" a="1"/>
  <c r="Z301" i="18" s="1"/>
  <c r="Z276" i="18" a="1"/>
  <c r="Z276" i="18" s="1"/>
  <c r="Z230" i="18" a="1"/>
  <c r="Z230" i="18" s="1"/>
  <c r="Z290" i="18" a="1"/>
  <c r="Z290" i="18" s="1"/>
  <c r="Z275" i="18" a="1"/>
  <c r="Z275" i="18" s="1"/>
  <c r="Z270" i="18" a="1"/>
  <c r="Z270" i="18" s="1"/>
  <c r="Z263" i="18" a="1"/>
  <c r="Z263" i="18" s="1"/>
  <c r="Z245" i="18" a="1"/>
  <c r="Z245" i="18" s="1"/>
  <c r="Z238" i="18" a="1"/>
  <c r="Z238" i="18" s="1"/>
  <c r="Z372" i="18" a="1"/>
  <c r="Z372" i="18" s="1"/>
  <c r="Z307" i="18" a="1"/>
  <c r="Z307" i="18" s="1"/>
  <c r="Z298" i="18" a="1"/>
  <c r="Z298" i="18" s="1"/>
  <c r="Z287" i="18" a="1"/>
  <c r="Z287" i="18" s="1"/>
  <c r="Z284" i="18" a="1"/>
  <c r="Z284" i="18" s="1"/>
  <c r="Z278" i="18" a="1"/>
  <c r="Z278" i="18" s="1"/>
  <c r="Z274" i="18" a="1"/>
  <c r="Z274" i="18" s="1"/>
  <c r="Z269" i="18" a="1"/>
  <c r="Z269" i="18" s="1"/>
  <c r="Z262" i="18" a="1"/>
  <c r="Z262" i="18" s="1"/>
  <c r="Z333" i="18" a="1"/>
  <c r="Z333" i="18" s="1"/>
  <c r="Z289" i="18" a="1"/>
  <c r="Z289" i="18" s="1"/>
  <c r="Z288" i="18" a="1"/>
  <c r="Z288" i="18" s="1"/>
  <c r="Z283" i="18" a="1"/>
  <c r="Z283" i="18" s="1"/>
  <c r="Z273" i="18" a="1"/>
  <c r="Z273" i="18" s="1"/>
  <c r="Z272" i="18" a="1"/>
  <c r="Z272" i="18" s="1"/>
  <c r="Z268" i="18" a="1"/>
  <c r="Z268" i="18" s="1"/>
  <c r="Z249" i="18" a="1"/>
  <c r="Z249" i="18" s="1"/>
  <c r="Z248" i="18" a="1"/>
  <c r="Z248" i="18" s="1"/>
  <c r="Z240" i="18" a="1"/>
  <c r="Z240" i="18" s="1"/>
  <c r="Z291" i="18" a="1"/>
  <c r="Z291" i="18" s="1"/>
  <c r="Z207" i="18" a="1"/>
  <c r="Z207" i="18" s="1"/>
  <c r="S209" i="18" a="1"/>
  <c r="S209" i="18" s="1"/>
  <c r="Y209" i="18" a="1"/>
  <c r="Y209" i="18" s="1"/>
  <c r="AA210" i="18" a="1"/>
  <c r="AA210" i="18" s="1"/>
  <c r="W211" i="18" a="1"/>
  <c r="W211" i="18" s="1"/>
  <c r="X211" i="18" s="1"/>
  <c r="S213" i="18" a="1"/>
  <c r="S213" i="18" s="1"/>
  <c r="Z213" i="18" a="1"/>
  <c r="Z213" i="18" s="1"/>
  <c r="AL213" i="18" a="1"/>
  <c r="AL213" i="18" s="1"/>
  <c r="AB214" i="18" a="1"/>
  <c r="AB214" i="18" s="1"/>
  <c r="S215" i="18" a="1"/>
  <c r="S215" i="18" s="1"/>
  <c r="Y215" i="18" a="1"/>
  <c r="Y215" i="18" s="1"/>
  <c r="AB216" i="18" a="1"/>
  <c r="AB216" i="18" s="1"/>
  <c r="Y217" i="18" a="1"/>
  <c r="Y217" i="18" s="1"/>
  <c r="AL217" i="18" a="1"/>
  <c r="AL217" i="18" s="1"/>
  <c r="AB218" i="18" a="1"/>
  <c r="AB218" i="18" s="1"/>
  <c r="AP218" i="18" a="1"/>
  <c r="AP218" i="18" s="1"/>
  <c r="Z219" i="18" a="1"/>
  <c r="Z219" i="18" s="1"/>
  <c r="S221" i="18" a="1"/>
  <c r="S221" i="18" s="1"/>
  <c r="AL221" i="18" a="1"/>
  <c r="AL221" i="18" s="1"/>
  <c r="Z222" i="18" a="1"/>
  <c r="Z222" i="18" s="1"/>
  <c r="Y223" i="18" a="1"/>
  <c r="Y223" i="18" s="1"/>
  <c r="Z224" i="18" a="1"/>
  <c r="Z224" i="18" s="1"/>
  <c r="AL224" i="18" a="1"/>
  <c r="AL224" i="18" s="1"/>
  <c r="Y226" i="18" a="1"/>
  <c r="Y226" i="18" s="1"/>
  <c r="S227" i="18" a="1"/>
  <c r="S227" i="18" s="1"/>
  <c r="Z227" i="18" a="1"/>
  <c r="Z227" i="18" s="1"/>
  <c r="AL228" i="18" a="1"/>
  <c r="AL228" i="18" s="1"/>
  <c r="AL229" i="18" a="1"/>
  <c r="AL229" i="18" s="1"/>
  <c r="AA231" i="18" a="1"/>
  <c r="AA231" i="18" s="1"/>
  <c r="R233" i="18" a="1"/>
  <c r="R233" i="18" s="1"/>
  <c r="Y233" i="18" a="1"/>
  <c r="Y233" i="18" s="1"/>
  <c r="AL234" i="18" a="1"/>
  <c r="AL234" i="18" s="1"/>
  <c r="AP235" i="18" a="1"/>
  <c r="AP235" i="18" s="1"/>
  <c r="R236" i="18" a="1"/>
  <c r="R236" i="18" s="1"/>
  <c r="W236" i="18" a="1"/>
  <c r="W236" i="18" s="1"/>
  <c r="X236" i="18" s="1"/>
  <c r="S237" i="18" a="1"/>
  <c r="S237" i="18" s="1"/>
  <c r="AB238" i="18" a="1"/>
  <c r="AB238" i="18" s="1"/>
  <c r="AC239" i="18" a="1"/>
  <c r="AC239" i="18" s="1"/>
  <c r="AD239" i="18" s="1"/>
  <c r="AG239" i="18" a="1"/>
  <c r="AG239" i="18" s="1"/>
  <c r="AH239" i="18" s="1"/>
  <c r="W239" i="18" a="1"/>
  <c r="W239" i="18" s="1"/>
  <c r="X239" i="18" s="1"/>
  <c r="AA240" i="18" a="1"/>
  <c r="AA240" i="18" s="1"/>
  <c r="AG241" i="18" a="1"/>
  <c r="AG241" i="18" s="1"/>
  <c r="AH241" i="18" s="1"/>
  <c r="AC241" i="18" a="1"/>
  <c r="AC241" i="18" s="1"/>
  <c r="AD241" i="18" s="1"/>
  <c r="S243" i="18" a="1"/>
  <c r="S243" i="18" s="1"/>
  <c r="Y243" i="18" a="1"/>
  <c r="Y243" i="18" s="1"/>
  <c r="AL243" i="18" a="1"/>
  <c r="AL243" i="18" s="1"/>
  <c r="AP244" i="18" a="1"/>
  <c r="AP244" i="18" s="1"/>
  <c r="R245" i="18" a="1"/>
  <c r="R245" i="18" s="1"/>
  <c r="AP245" i="18" a="1"/>
  <c r="AP245" i="18" s="1"/>
  <c r="W246" i="18" a="1"/>
  <c r="W246" i="18" s="1"/>
  <c r="X246" i="18" s="1"/>
  <c r="S249" i="18" a="1"/>
  <c r="S249" i="18" s="1"/>
  <c r="AL251" i="18" a="1"/>
  <c r="AL251" i="18" s="1"/>
  <c r="S255" i="18" a="1"/>
  <c r="S255" i="18" s="1"/>
  <c r="Z260" i="18" a="1"/>
  <c r="Z260" i="18" s="1"/>
  <c r="AG262" i="18" a="1"/>
  <c r="AG262" i="18" s="1"/>
  <c r="AH262" i="18" s="1"/>
  <c r="AC262" i="18" a="1"/>
  <c r="AC262" i="18" s="1"/>
  <c r="AD262" i="18" s="1"/>
  <c r="AL264" i="18" a="1"/>
  <c r="AL264" i="18" s="1"/>
  <c r="Z267" i="18" a="1"/>
  <c r="Z267" i="18" s="1"/>
  <c r="AG274" i="18" a="1"/>
  <c r="AG274" i="18" s="1"/>
  <c r="AH274" i="18" s="1"/>
  <c r="AC274" i="18" a="1"/>
  <c r="AC274" i="18" s="1"/>
  <c r="AD274" i="18" s="1"/>
  <c r="W275" i="18" a="1"/>
  <c r="W275" i="18" s="1"/>
  <c r="X275" i="18" s="1"/>
  <c r="AP275" i="18" a="1"/>
  <c r="AP275" i="18" s="1"/>
  <c r="AL278" i="18" a="1"/>
  <c r="AL278" i="18" s="1"/>
  <c r="AG283" i="18" a="1"/>
  <c r="AG283" i="18" s="1"/>
  <c r="AH283" i="18" s="1"/>
  <c r="AC283" i="18" a="1"/>
  <c r="AC283" i="18" s="1"/>
  <c r="AD283" i="18" s="1"/>
  <c r="AP302" i="18" a="1"/>
  <c r="AP302" i="18" s="1"/>
  <c r="Y305" i="18" a="1"/>
  <c r="Y305" i="18" s="1"/>
  <c r="AG320" i="18" a="1"/>
  <c r="AG320" i="18" s="1"/>
  <c r="AH320" i="18" s="1"/>
  <c r="AC320" i="18" a="1"/>
  <c r="AC320" i="18" s="1"/>
  <c r="AD320" i="18" s="1"/>
  <c r="Y382" i="18" a="1"/>
  <c r="Y382" i="18" s="1"/>
  <c r="R426" i="18" a="1"/>
  <c r="R426" i="18" s="1"/>
  <c r="U4" i="18" a="1"/>
  <c r="U4" i="18" s="1"/>
  <c r="AL652" i="18" a="1"/>
  <c r="AL652" i="18" s="1"/>
  <c r="AL651" i="18" a="1"/>
  <c r="AL651" i="18" s="1"/>
  <c r="AL648" i="18" a="1"/>
  <c r="AL648" i="18" s="1"/>
  <c r="AL647" i="18" a="1"/>
  <c r="AL647" i="18" s="1"/>
  <c r="AL649" i="18" a="1"/>
  <c r="AL649" i="18" s="1"/>
  <c r="AL646" i="18" a="1"/>
  <c r="AL646" i="18" s="1"/>
  <c r="AL650" i="18" a="1"/>
  <c r="AL650" i="18" s="1"/>
  <c r="AL641" i="18" a="1"/>
  <c r="AL641" i="18" s="1"/>
  <c r="AL643" i="18" a="1"/>
  <c r="AL643" i="18" s="1"/>
  <c r="AL632" i="18" a="1"/>
  <c r="AL632" i="18" s="1"/>
  <c r="AL629" i="18" a="1"/>
  <c r="AL629" i="18" s="1"/>
  <c r="AL627" i="18" a="1"/>
  <c r="AL627" i="18" s="1"/>
  <c r="AL622" i="18" a="1"/>
  <c r="AL622" i="18" s="1"/>
  <c r="AL645" i="18" a="1"/>
  <c r="AL645" i="18" s="1"/>
  <c r="AL636" i="18" a="1"/>
  <c r="AL636" i="18" s="1"/>
  <c r="AL634" i="18" a="1"/>
  <c r="AL634" i="18" s="1"/>
  <c r="AL638" i="18" a="1"/>
  <c r="AL638" i="18" s="1"/>
  <c r="AL631" i="18" a="1"/>
  <c r="AL631" i="18" s="1"/>
  <c r="AL623" i="18" a="1"/>
  <c r="AL623" i="18" s="1"/>
  <c r="AL642" i="18" a="1"/>
  <c r="AL642" i="18" s="1"/>
  <c r="AL633" i="18" a="1"/>
  <c r="AL633" i="18" s="1"/>
  <c r="AL628" i="18" a="1"/>
  <c r="AL628" i="18" s="1"/>
  <c r="AL625" i="18" a="1"/>
  <c r="AL625" i="18" s="1"/>
  <c r="AL620" i="18" a="1"/>
  <c r="AL620" i="18" s="1"/>
  <c r="AL639" i="18" a="1"/>
  <c r="AL639" i="18" s="1"/>
  <c r="AL637" i="18" a="1"/>
  <c r="AL637" i="18" s="1"/>
  <c r="AL635" i="18" a="1"/>
  <c r="AL635" i="18" s="1"/>
  <c r="AL624" i="18" a="1"/>
  <c r="AL624" i="18" s="1"/>
  <c r="AL609" i="18" a="1"/>
  <c r="AL609" i="18" s="1"/>
  <c r="AL604" i="18" a="1"/>
  <c r="AL604" i="18" s="1"/>
  <c r="AL653" i="18" a="1"/>
  <c r="AL653" i="18" s="1"/>
  <c r="AL615" i="18" a="1"/>
  <c r="AL615" i="18" s="1"/>
  <c r="AL600" i="18" a="1"/>
  <c r="AL600" i="18" s="1"/>
  <c r="AL599" i="18" a="1"/>
  <c r="AL599" i="18" s="1"/>
  <c r="AL612" i="18" a="1"/>
  <c r="AL612" i="18" s="1"/>
  <c r="AL611" i="18" a="1"/>
  <c r="AL611" i="18" s="1"/>
  <c r="AL610" i="18" a="1"/>
  <c r="AL610" i="18" s="1"/>
  <c r="AL608" i="18" a="1"/>
  <c r="AL608" i="18" s="1"/>
  <c r="AL607" i="18" a="1"/>
  <c r="AL607" i="18" s="1"/>
  <c r="AL603" i="18" a="1"/>
  <c r="AL603" i="18" s="1"/>
  <c r="AL597" i="18" a="1"/>
  <c r="AL597" i="18" s="1"/>
  <c r="AL596" i="18" a="1"/>
  <c r="AL596" i="18" s="1"/>
  <c r="AL630" i="18" a="1"/>
  <c r="AL630" i="18" s="1"/>
  <c r="AL621" i="18" a="1"/>
  <c r="AL621" i="18" s="1"/>
  <c r="AL606" i="18" a="1"/>
  <c r="AL606" i="18" s="1"/>
  <c r="AL644" i="18" a="1"/>
  <c r="AL644" i="18" s="1"/>
  <c r="AL613" i="18" a="1"/>
  <c r="AL613" i="18" s="1"/>
  <c r="AL602" i="18" a="1"/>
  <c r="AL602" i="18" s="1"/>
  <c r="AL626" i="18" a="1"/>
  <c r="AL626" i="18" s="1"/>
  <c r="AL618" i="18" a="1"/>
  <c r="AL618" i="18" s="1"/>
  <c r="AL616" i="18" a="1"/>
  <c r="AL616" i="18" s="1"/>
  <c r="AL601" i="18" a="1"/>
  <c r="AL601" i="18" s="1"/>
  <c r="AL605" i="18" a="1"/>
  <c r="AL605" i="18" s="1"/>
  <c r="AL591" i="18" a="1"/>
  <c r="AL591" i="18" s="1"/>
  <c r="AL582" i="18" a="1"/>
  <c r="AL582" i="18" s="1"/>
  <c r="AL558" i="18" a="1"/>
  <c r="AL558" i="18" s="1"/>
  <c r="AL539" i="18" a="1"/>
  <c r="AL539" i="18" s="1"/>
  <c r="AL598" i="18" a="1"/>
  <c r="AL598" i="18" s="1"/>
  <c r="AL584" i="18" a="1"/>
  <c r="AL584" i="18" s="1"/>
  <c r="AL577" i="18" a="1"/>
  <c r="AL577" i="18" s="1"/>
  <c r="AL557" i="18" a="1"/>
  <c r="AL557" i="18" s="1"/>
  <c r="AL590" i="18" a="1"/>
  <c r="AL590" i="18" s="1"/>
  <c r="AL589" i="18" a="1"/>
  <c r="AL589" i="18" s="1"/>
  <c r="AL587" i="18" a="1"/>
  <c r="AL587" i="18" s="1"/>
  <c r="AL586" i="18" a="1"/>
  <c r="AL586" i="18" s="1"/>
  <c r="AL564" i="18" a="1"/>
  <c r="AL564" i="18" s="1"/>
  <c r="AL563" i="18" a="1"/>
  <c r="AL563" i="18" s="1"/>
  <c r="AL595" i="18" a="1"/>
  <c r="AL595" i="18" s="1"/>
  <c r="AL594" i="18" a="1"/>
  <c r="AL594" i="18" s="1"/>
  <c r="AL593" i="18" a="1"/>
  <c r="AL593" i="18" s="1"/>
  <c r="AL592" i="18" a="1"/>
  <c r="AL592" i="18" s="1"/>
  <c r="AL588" i="18" a="1"/>
  <c r="AL588" i="18" s="1"/>
  <c r="AL572" i="18" a="1"/>
  <c r="AL572" i="18" s="1"/>
  <c r="AL571" i="18" a="1"/>
  <c r="AL571" i="18" s="1"/>
  <c r="AL570" i="18" a="1"/>
  <c r="AL570" i="18" s="1"/>
  <c r="AL568" i="18" a="1"/>
  <c r="AL568" i="18" s="1"/>
  <c r="AL562" i="18" a="1"/>
  <c r="AL562" i="18" s="1"/>
  <c r="AL560" i="18" a="1"/>
  <c r="AL560" i="18" s="1"/>
  <c r="AL614" i="18" a="1"/>
  <c r="AL614" i="18" s="1"/>
  <c r="AL576" i="18" a="1"/>
  <c r="AL576" i="18" s="1"/>
  <c r="AL553" i="18" a="1"/>
  <c r="AL553" i="18" s="1"/>
  <c r="AL640" i="18" a="1"/>
  <c r="AL640" i="18" s="1"/>
  <c r="AL617" i="18" a="1"/>
  <c r="AL617" i="18" s="1"/>
  <c r="AL581" i="18" a="1"/>
  <c r="AL581" i="18" s="1"/>
  <c r="AL567" i="18" a="1"/>
  <c r="AL567" i="18" s="1"/>
  <c r="AL550" i="18" a="1"/>
  <c r="AL550" i="18" s="1"/>
  <c r="AL549" i="18" a="1"/>
  <c r="AL549" i="18" s="1"/>
  <c r="AL548" i="18" a="1"/>
  <c r="AL548" i="18" s="1"/>
  <c r="AL545" i="18" a="1"/>
  <c r="AL545" i="18" s="1"/>
  <c r="AL580" i="18" a="1"/>
  <c r="AL580" i="18" s="1"/>
  <c r="AL546" i="18" a="1"/>
  <c r="AL546" i="18" s="1"/>
  <c r="AL526" i="18" a="1"/>
  <c r="AL526" i="18" s="1"/>
  <c r="AL519" i="18" a="1"/>
  <c r="AL519" i="18" s="1"/>
  <c r="AL506" i="18" a="1"/>
  <c r="AL506" i="18" s="1"/>
  <c r="AL501" i="18" a="1"/>
  <c r="AL501" i="18" s="1"/>
  <c r="AL565" i="18" a="1"/>
  <c r="AL565" i="18" s="1"/>
  <c r="AL554" i="18" a="1"/>
  <c r="AL554" i="18" s="1"/>
  <c r="AL537" i="18" a="1"/>
  <c r="AL537" i="18" s="1"/>
  <c r="AL532" i="18" a="1"/>
  <c r="AL532" i="18" s="1"/>
  <c r="AL523" i="18" a="1"/>
  <c r="AL523" i="18" s="1"/>
  <c r="AL520" i="18" a="1"/>
  <c r="AL520" i="18" s="1"/>
  <c r="AL516" i="18" a="1"/>
  <c r="AL516" i="18" s="1"/>
  <c r="AL492" i="18" a="1"/>
  <c r="AL492" i="18" s="1"/>
  <c r="AL583" i="18" a="1"/>
  <c r="AL583" i="18" s="1"/>
  <c r="AL579" i="18" a="1"/>
  <c r="AL579" i="18" s="1"/>
  <c r="AL547" i="18" a="1"/>
  <c r="AL547" i="18" s="1"/>
  <c r="AL538" i="18" a="1"/>
  <c r="AL538" i="18" s="1"/>
  <c r="AL536" i="18" a="1"/>
  <c r="AL536" i="18" s="1"/>
  <c r="AL534" i="18" a="1"/>
  <c r="AL534" i="18" s="1"/>
  <c r="AL533" i="18" a="1"/>
  <c r="AL533" i="18" s="1"/>
  <c r="AL530" i="18" a="1"/>
  <c r="AL530" i="18" s="1"/>
  <c r="AL512" i="18" a="1"/>
  <c r="AL512" i="18" s="1"/>
  <c r="AL507" i="18" a="1"/>
  <c r="AL507" i="18" s="1"/>
  <c r="AL578" i="18" a="1"/>
  <c r="AL578" i="18" s="1"/>
  <c r="AL527" i="18" a="1"/>
  <c r="AL527" i="18" s="1"/>
  <c r="AL524" i="18" a="1"/>
  <c r="AL524" i="18" s="1"/>
  <c r="AL518" i="18" a="1"/>
  <c r="AL518" i="18" s="1"/>
  <c r="AL517" i="18" a="1"/>
  <c r="AL517" i="18" s="1"/>
  <c r="AL513" i="18" a="1"/>
  <c r="AL513" i="18" s="1"/>
  <c r="AL508" i="18" a="1"/>
  <c r="AL508" i="18" s="1"/>
  <c r="AL585" i="18" a="1"/>
  <c r="AL585" i="18" s="1"/>
  <c r="AL575" i="18" a="1"/>
  <c r="AL575" i="18" s="1"/>
  <c r="AL619" i="18" a="1"/>
  <c r="AL619" i="18" s="1"/>
  <c r="AL574" i="18" a="1"/>
  <c r="AL574" i="18" s="1"/>
  <c r="AL561" i="18" a="1"/>
  <c r="AL561" i="18" s="1"/>
  <c r="AL551" i="18" a="1"/>
  <c r="AL551" i="18" s="1"/>
  <c r="AL544" i="18" a="1"/>
  <c r="AL544" i="18" s="1"/>
  <c r="AL542" i="18" a="1"/>
  <c r="AL542" i="18" s="1"/>
  <c r="AL531" i="18" a="1"/>
  <c r="AL531" i="18" s="1"/>
  <c r="AL514" i="18" a="1"/>
  <c r="AL514" i="18" s="1"/>
  <c r="AL510" i="18" a="1"/>
  <c r="AL510" i="18" s="1"/>
  <c r="AL559" i="18" a="1"/>
  <c r="AL559" i="18" s="1"/>
  <c r="AL552" i="18" a="1"/>
  <c r="AL552" i="18" s="1"/>
  <c r="AL505" i="18" a="1"/>
  <c r="AL505" i="18" s="1"/>
  <c r="AL502" i="18" a="1"/>
  <c r="AL502" i="18" s="1"/>
  <c r="AL499" i="18" a="1"/>
  <c r="AL499" i="18" s="1"/>
  <c r="AL498" i="18" a="1"/>
  <c r="AL498" i="18" s="1"/>
  <c r="AL566" i="18" a="1"/>
  <c r="AL566" i="18" s="1"/>
  <c r="AL522" i="18" a="1"/>
  <c r="AL522" i="18" s="1"/>
  <c r="AL515" i="18" a="1"/>
  <c r="AL515" i="18" s="1"/>
  <c r="AL503" i="18" a="1"/>
  <c r="AL503" i="18" s="1"/>
  <c r="AL484" i="18" a="1"/>
  <c r="AL484" i="18" s="1"/>
  <c r="AL491" i="18" a="1"/>
  <c r="AL491" i="18" s="1"/>
  <c r="AL488" i="18" a="1"/>
  <c r="AL488" i="18" s="1"/>
  <c r="AL481" i="18" a="1"/>
  <c r="AL481" i="18" s="1"/>
  <c r="AL528" i="18" a="1"/>
  <c r="AL528" i="18" s="1"/>
  <c r="AL521" i="18" a="1"/>
  <c r="AL521" i="18" s="1"/>
  <c r="AL511" i="18" a="1"/>
  <c r="AL511" i="18" s="1"/>
  <c r="AL509" i="18" a="1"/>
  <c r="AL509" i="18" s="1"/>
  <c r="AL489" i="18" a="1"/>
  <c r="AL489" i="18" s="1"/>
  <c r="AL500" i="18" a="1"/>
  <c r="AL500" i="18" s="1"/>
  <c r="AL478" i="18" a="1"/>
  <c r="AL478" i="18" s="1"/>
  <c r="AL476" i="18" a="1"/>
  <c r="AL476" i="18" s="1"/>
  <c r="AL473" i="18" a="1"/>
  <c r="AL473" i="18" s="1"/>
  <c r="AL472" i="18" a="1"/>
  <c r="AL472" i="18" s="1"/>
  <c r="AL573" i="18" a="1"/>
  <c r="AL573" i="18" s="1"/>
  <c r="AL543" i="18" a="1"/>
  <c r="AL543" i="18" s="1"/>
  <c r="AL541" i="18" a="1"/>
  <c r="AL541" i="18" s="1"/>
  <c r="AL540" i="18" a="1"/>
  <c r="AL540" i="18" s="1"/>
  <c r="AL486" i="18" a="1"/>
  <c r="AL486" i="18" s="1"/>
  <c r="AL482" i="18" a="1"/>
  <c r="AL482" i="18" s="1"/>
  <c r="AL569" i="18" a="1"/>
  <c r="AL569" i="18" s="1"/>
  <c r="AL556" i="18" a="1"/>
  <c r="AL556" i="18" s="1"/>
  <c r="AL555" i="18" a="1"/>
  <c r="AL555" i="18" s="1"/>
  <c r="AL535" i="18" a="1"/>
  <c r="AL535" i="18" s="1"/>
  <c r="AL525" i="18" a="1"/>
  <c r="AL525" i="18" s="1"/>
  <c r="AL490" i="18" a="1"/>
  <c r="AL490" i="18" s="1"/>
  <c r="AL485" i="18" a="1"/>
  <c r="AL485" i="18" s="1"/>
  <c r="AL480" i="18" a="1"/>
  <c r="AL480" i="18" s="1"/>
  <c r="AL529" i="18" a="1"/>
  <c r="AL529" i="18" s="1"/>
  <c r="AL504" i="18" a="1"/>
  <c r="AL504" i="18" s="1"/>
  <c r="AL493" i="18" a="1"/>
  <c r="AL493" i="18" s="1"/>
  <c r="AL487" i="18" a="1"/>
  <c r="AL487" i="18" s="1"/>
  <c r="AL483" i="18" a="1"/>
  <c r="AL483" i="18" s="1"/>
  <c r="AL477" i="18" a="1"/>
  <c r="AL477" i="18" s="1"/>
  <c r="AL479" i="18" a="1"/>
  <c r="AL479" i="18" s="1"/>
  <c r="AL474" i="18" a="1"/>
  <c r="AL474" i="18" s="1"/>
  <c r="AL469" i="18" a="1"/>
  <c r="AL469" i="18" s="1"/>
  <c r="AL468" i="18" a="1"/>
  <c r="AL468" i="18" s="1"/>
  <c r="AL454" i="18" a="1"/>
  <c r="AL454" i="18" s="1"/>
  <c r="AL452" i="18" a="1"/>
  <c r="AL452" i="18" s="1"/>
  <c r="AL450" i="18" a="1"/>
  <c r="AL450" i="18" s="1"/>
  <c r="AL494" i="18" a="1"/>
  <c r="AL494" i="18" s="1"/>
  <c r="AL467" i="18" a="1"/>
  <c r="AL467" i="18" s="1"/>
  <c r="AL466" i="18" a="1"/>
  <c r="AL466" i="18" s="1"/>
  <c r="AL460" i="18" a="1"/>
  <c r="AL460" i="18" s="1"/>
  <c r="AL459" i="18" a="1"/>
  <c r="AL459" i="18" s="1"/>
  <c r="AL456" i="18" a="1"/>
  <c r="AL456" i="18" s="1"/>
  <c r="AL496" i="18" a="1"/>
  <c r="AL496" i="18" s="1"/>
  <c r="AL495" i="18" a="1"/>
  <c r="AL495" i="18" s="1"/>
  <c r="AL457" i="18" a="1"/>
  <c r="AL457" i="18" s="1"/>
  <c r="AL471" i="18" a="1"/>
  <c r="AL471" i="18" s="1"/>
  <c r="AL465" i="18" a="1"/>
  <c r="AL465" i="18" s="1"/>
  <c r="AL464" i="18" a="1"/>
  <c r="AL464" i="18" s="1"/>
  <c r="AL458" i="18" a="1"/>
  <c r="AL458" i="18" s="1"/>
  <c r="AL448" i="18" a="1"/>
  <c r="AL448" i="18" s="1"/>
  <c r="AL447" i="18" a="1"/>
  <c r="AL447" i="18" s="1"/>
  <c r="AL497" i="18" a="1"/>
  <c r="AL497" i="18" s="1"/>
  <c r="AL470" i="18" a="1"/>
  <c r="AL470" i="18" s="1"/>
  <c r="AL453" i="18" a="1"/>
  <c r="AL453" i="18" s="1"/>
  <c r="AL438" i="18" a="1"/>
  <c r="AL438" i="18" s="1"/>
  <c r="AL426" i="18" a="1"/>
  <c r="AL426" i="18" s="1"/>
  <c r="AL417" i="18" a="1"/>
  <c r="AL417" i="18" s="1"/>
  <c r="AL415" i="18" a="1"/>
  <c r="AL415" i="18" s="1"/>
  <c r="AL390" i="18" a="1"/>
  <c r="AL390" i="18" s="1"/>
  <c r="AL449" i="18" a="1"/>
  <c r="AL449" i="18" s="1"/>
  <c r="AL445" i="18" a="1"/>
  <c r="AL445" i="18" s="1"/>
  <c r="AL443" i="18" a="1"/>
  <c r="AL443" i="18" s="1"/>
  <c r="AL433" i="18" a="1"/>
  <c r="AL433" i="18" s="1"/>
  <c r="AL475" i="18" a="1"/>
  <c r="AL475" i="18" s="1"/>
  <c r="AL425" i="18" a="1"/>
  <c r="AL425" i="18" s="1"/>
  <c r="AL416" i="18" a="1"/>
  <c r="AL416" i="18" s="1"/>
  <c r="AL461" i="18" a="1"/>
  <c r="AL461" i="18" s="1"/>
  <c r="AL451" i="18" a="1"/>
  <c r="AL451" i="18" s="1"/>
  <c r="AL444" i="18" a="1"/>
  <c r="AL444" i="18" s="1"/>
  <c r="AL442" i="18" a="1"/>
  <c r="AL442" i="18" s="1"/>
  <c r="AL423" i="18" a="1"/>
  <c r="AL423" i="18" s="1"/>
  <c r="AL414" i="18" a="1"/>
  <c r="AL414" i="18" s="1"/>
  <c r="AL409" i="18" a="1"/>
  <c r="AL409" i="18" s="1"/>
  <c r="AL399" i="18" a="1"/>
  <c r="AL399" i="18" s="1"/>
  <c r="AL462" i="18" a="1"/>
  <c r="AL462" i="18" s="1"/>
  <c r="AL441" i="18" a="1"/>
  <c r="AL441" i="18" s="1"/>
  <c r="AL432" i="18" a="1"/>
  <c r="AL432" i="18" s="1"/>
  <c r="AL431" i="18" a="1"/>
  <c r="AL431" i="18" s="1"/>
  <c r="AL424" i="18" a="1"/>
  <c r="AL424" i="18" s="1"/>
  <c r="AL421" i="18" a="1"/>
  <c r="AL421" i="18" s="1"/>
  <c r="AL412" i="18" a="1"/>
  <c r="AL412" i="18" s="1"/>
  <c r="AL407" i="18" a="1"/>
  <c r="AL407" i="18" s="1"/>
  <c r="AL403" i="18" a="1"/>
  <c r="AL403" i="18" s="1"/>
  <c r="AL401" i="18" a="1"/>
  <c r="AL401" i="18" s="1"/>
  <c r="AL400" i="18" a="1"/>
  <c r="AL400" i="18" s="1"/>
  <c r="AL392" i="18" a="1"/>
  <c r="AL392" i="18" s="1"/>
  <c r="AL436" i="18" a="1"/>
  <c r="AL436" i="18" s="1"/>
  <c r="AL434" i="18" a="1"/>
  <c r="AL434" i="18" s="1"/>
  <c r="AL430" i="18" a="1"/>
  <c r="AL430" i="18" s="1"/>
  <c r="AL428" i="18" a="1"/>
  <c r="AL428" i="18" s="1"/>
  <c r="AL418" i="18" a="1"/>
  <c r="AL418" i="18" s="1"/>
  <c r="AL406" i="18" a="1"/>
  <c r="AL406" i="18" s="1"/>
  <c r="AL397" i="18" a="1"/>
  <c r="AL397" i="18" s="1"/>
  <c r="AL394" i="18" a="1"/>
  <c r="AL394" i="18" s="1"/>
  <c r="AL439" i="18" a="1"/>
  <c r="AL439" i="18" s="1"/>
  <c r="AL427" i="18" a="1"/>
  <c r="AL427" i="18" s="1"/>
  <c r="AL402" i="18" a="1"/>
  <c r="AL402" i="18" s="1"/>
  <c r="AL388" i="18" a="1"/>
  <c r="AL388" i="18" s="1"/>
  <c r="AL367" i="18" a="1"/>
  <c r="AL367" i="18" s="1"/>
  <c r="AL360" i="18" a="1"/>
  <c r="AL360" i="18" s="1"/>
  <c r="AL353" i="18" a="1"/>
  <c r="AL353" i="18" s="1"/>
  <c r="AL351" i="18" a="1"/>
  <c r="AL351" i="18" s="1"/>
  <c r="AL396" i="18" a="1"/>
  <c r="AL396" i="18" s="1"/>
  <c r="AL385" i="18" a="1"/>
  <c r="AL385" i="18" s="1"/>
  <c r="AL384" i="18" a="1"/>
  <c r="AL384" i="18" s="1"/>
  <c r="AL377" i="18" a="1"/>
  <c r="AL377" i="18" s="1"/>
  <c r="AL366" i="18" a="1"/>
  <c r="AL366" i="18" s="1"/>
  <c r="AL364" i="18" a="1"/>
  <c r="AL364" i="18" s="1"/>
  <c r="AL361" i="18" a="1"/>
  <c r="AL361" i="18" s="1"/>
  <c r="AL359" i="18" a="1"/>
  <c r="AL359" i="18" s="1"/>
  <c r="AL358" i="18" a="1"/>
  <c r="AL358" i="18" s="1"/>
  <c r="AL357" i="18" a="1"/>
  <c r="AL357" i="18" s="1"/>
  <c r="AL355" i="18" a="1"/>
  <c r="AL355" i="18" s="1"/>
  <c r="AL354" i="18" a="1"/>
  <c r="AL354" i="18" s="1"/>
  <c r="AL422" i="18" a="1"/>
  <c r="AL422" i="18" s="1"/>
  <c r="AL413" i="18" a="1"/>
  <c r="AL413" i="18" s="1"/>
  <c r="AL410" i="18" a="1"/>
  <c r="AL410" i="18" s="1"/>
  <c r="AL393" i="18" a="1"/>
  <c r="AL393" i="18" s="1"/>
  <c r="AL381" i="18" a="1"/>
  <c r="AL381" i="18" s="1"/>
  <c r="AL379" i="18" a="1"/>
  <c r="AL379" i="18" s="1"/>
  <c r="AL378" i="18" a="1"/>
  <c r="AL378" i="18" s="1"/>
  <c r="AL376" i="18" a="1"/>
  <c r="AL376" i="18" s="1"/>
  <c r="AL352" i="18" a="1"/>
  <c r="AL352" i="18" s="1"/>
  <c r="AL463" i="18" a="1"/>
  <c r="AL463" i="18" s="1"/>
  <c r="AL435" i="18" a="1"/>
  <c r="AL435" i="18" s="1"/>
  <c r="AL429" i="18" a="1"/>
  <c r="AL429" i="18" s="1"/>
  <c r="AL398" i="18" a="1"/>
  <c r="AL398" i="18" s="1"/>
  <c r="AL387" i="18" a="1"/>
  <c r="AL387" i="18" s="1"/>
  <c r="AL383" i="18" a="1"/>
  <c r="AL383" i="18" s="1"/>
  <c r="AL380" i="18" a="1"/>
  <c r="AL380" i="18" s="1"/>
  <c r="AL373" i="18" a="1"/>
  <c r="AL373" i="18" s="1"/>
  <c r="AL371" i="18" a="1"/>
  <c r="AL371" i="18" s="1"/>
  <c r="AL405" i="18" a="1"/>
  <c r="AL405" i="18" s="1"/>
  <c r="AL386" i="18" a="1"/>
  <c r="AL386" i="18" s="1"/>
  <c r="AL382" i="18" a="1"/>
  <c r="AL382" i="18" s="1"/>
  <c r="AL375" i="18" a="1"/>
  <c r="AL375" i="18" s="1"/>
  <c r="AL372" i="18" a="1"/>
  <c r="AL372" i="18" s="1"/>
  <c r="AL370" i="18" a="1"/>
  <c r="AL370" i="18" s="1"/>
  <c r="AL348" i="18" a="1"/>
  <c r="AL348" i="18" s="1"/>
  <c r="AL347" i="18" a="1"/>
  <c r="AL347" i="18" s="1"/>
  <c r="AL345" i="18" a="1"/>
  <c r="AL345" i="18" s="1"/>
  <c r="AL446" i="18" a="1"/>
  <c r="AL446" i="18" s="1"/>
  <c r="AL419" i="18" a="1"/>
  <c r="AL419" i="18" s="1"/>
  <c r="AL404" i="18" a="1"/>
  <c r="AL404" i="18" s="1"/>
  <c r="AL365" i="18" a="1"/>
  <c r="AL365" i="18" s="1"/>
  <c r="AL363" i="18" a="1"/>
  <c r="AL363" i="18" s="1"/>
  <c r="AL356" i="18" a="1"/>
  <c r="AL356" i="18" s="1"/>
  <c r="AL395" i="18" a="1"/>
  <c r="AL395" i="18" s="1"/>
  <c r="AL362" i="18" a="1"/>
  <c r="AL362" i="18" s="1"/>
  <c r="AL338" i="18" a="1"/>
  <c r="AL338" i="18" s="1"/>
  <c r="AL331" i="18" a="1"/>
  <c r="AL331" i="18" s="1"/>
  <c r="AL325" i="18" a="1"/>
  <c r="AL325" i="18" s="1"/>
  <c r="AL315" i="18" a="1"/>
  <c r="AL315" i="18" s="1"/>
  <c r="AL411" i="18" a="1"/>
  <c r="AL411" i="18" s="1"/>
  <c r="AL389" i="18" a="1"/>
  <c r="AL389" i="18" s="1"/>
  <c r="AL368" i="18" a="1"/>
  <c r="AL368" i="18" s="1"/>
  <c r="AL342" i="18" a="1"/>
  <c r="AL342" i="18" s="1"/>
  <c r="AL336" i="18" a="1"/>
  <c r="AL336" i="18" s="1"/>
  <c r="AL316" i="18" a="1"/>
  <c r="AL316" i="18" s="1"/>
  <c r="AL455" i="18" a="1"/>
  <c r="AL455" i="18" s="1"/>
  <c r="AL437" i="18" a="1"/>
  <c r="AL437" i="18" s="1"/>
  <c r="AL344" i="18" a="1"/>
  <c r="AL344" i="18" s="1"/>
  <c r="AL326" i="18" a="1"/>
  <c r="AL326" i="18" s="1"/>
  <c r="AL323" i="18" a="1"/>
  <c r="AL323" i="18" s="1"/>
  <c r="AL314" i="18" a="1"/>
  <c r="AL314" i="18" s="1"/>
  <c r="AL311" i="18" a="1"/>
  <c r="AL311" i="18" s="1"/>
  <c r="AL308" i="18" a="1"/>
  <c r="AL308" i="18" s="1"/>
  <c r="AL298" i="18" a="1"/>
  <c r="AL298" i="18" s="1"/>
  <c r="AL349" i="18" a="1"/>
  <c r="AL349" i="18" s="1"/>
  <c r="AL340" i="18" a="1"/>
  <c r="AL340" i="18" s="1"/>
  <c r="AL335" i="18" a="1"/>
  <c r="AL335" i="18" s="1"/>
  <c r="AL334" i="18" a="1"/>
  <c r="AL334" i="18" s="1"/>
  <c r="AL317" i="18" a="1"/>
  <c r="AL317" i="18" s="1"/>
  <c r="AL408" i="18" a="1"/>
  <c r="AL408" i="18" s="1"/>
  <c r="AL350" i="18" a="1"/>
  <c r="AL350" i="18" s="1"/>
  <c r="AL332" i="18" a="1"/>
  <c r="AL332" i="18" s="1"/>
  <c r="AL327" i="18" a="1"/>
  <c r="AL327" i="18" s="1"/>
  <c r="AL324" i="18" a="1"/>
  <c r="AL324" i="18" s="1"/>
  <c r="AL320" i="18" a="1"/>
  <c r="AL320" i="18" s="1"/>
  <c r="AL318" i="18" a="1"/>
  <c r="AL318" i="18" s="1"/>
  <c r="AL310" i="18" a="1"/>
  <c r="AL310" i="18" s="1"/>
  <c r="AL307" i="18" a="1"/>
  <c r="AL307" i="18" s="1"/>
  <c r="AL305" i="18" a="1"/>
  <c r="AL305" i="18" s="1"/>
  <c r="AL440" i="18" a="1"/>
  <c r="AL440" i="18" s="1"/>
  <c r="AL420" i="18" a="1"/>
  <c r="AL420" i="18" s="1"/>
  <c r="AL391" i="18" a="1"/>
  <c r="AL391" i="18" s="1"/>
  <c r="AL346" i="18" a="1"/>
  <c r="AL346" i="18" s="1"/>
  <c r="AL341" i="18" a="1"/>
  <c r="AL341" i="18" s="1"/>
  <c r="AL328" i="18" a="1"/>
  <c r="AL328" i="18" s="1"/>
  <c r="AL321" i="18" a="1"/>
  <c r="AL321" i="18" s="1"/>
  <c r="AL304" i="18" a="1"/>
  <c r="AL304" i="18" s="1"/>
  <c r="AL343" i="18" a="1"/>
  <c r="AL343" i="18" s="1"/>
  <c r="AL339" i="18" a="1"/>
  <c r="AL339" i="18" s="1"/>
  <c r="AL333" i="18" a="1"/>
  <c r="AL333" i="18" s="1"/>
  <c r="AL329" i="18" a="1"/>
  <c r="AL329" i="18" s="1"/>
  <c r="AL313" i="18" a="1"/>
  <c r="AL313" i="18" s="1"/>
  <c r="AL312" i="18" a="1"/>
  <c r="AL312" i="18" s="1"/>
  <c r="AL300" i="18" a="1"/>
  <c r="AL300" i="18" s="1"/>
  <c r="AL297" i="18" a="1"/>
  <c r="AL297" i="18" s="1"/>
  <c r="AL296" i="18" a="1"/>
  <c r="AL296" i="18" s="1"/>
  <c r="AL292" i="18" a="1"/>
  <c r="AL292" i="18" s="1"/>
  <c r="AL280" i="18" a="1"/>
  <c r="AL280" i="18" s="1"/>
  <c r="AL276" i="18" a="1"/>
  <c r="AL276" i="18" s="1"/>
  <c r="AL271" i="18" a="1"/>
  <c r="AL271" i="18" s="1"/>
  <c r="AL266" i="18" a="1"/>
  <c r="AL266" i="18" s="1"/>
  <c r="AL265" i="18" a="1"/>
  <c r="AL265" i="18" s="1"/>
  <c r="AL257" i="18" a="1"/>
  <c r="AL257" i="18" s="1"/>
  <c r="AL255" i="18" a="1"/>
  <c r="AL255" i="18" s="1"/>
  <c r="AL254" i="18" a="1"/>
  <c r="AL254" i="18" s="1"/>
  <c r="AL253" i="18" a="1"/>
  <c r="AL253" i="18" s="1"/>
  <c r="AL302" i="18" a="1"/>
  <c r="AL302" i="18" s="1"/>
  <c r="AL294" i="18" a="1"/>
  <c r="AL294" i="18" s="1"/>
  <c r="AL285" i="18" a="1"/>
  <c r="AL285" i="18" s="1"/>
  <c r="AL281" i="18" a="1"/>
  <c r="AL281" i="18" s="1"/>
  <c r="AL270" i="18" a="1"/>
  <c r="AL270" i="18" s="1"/>
  <c r="AL258" i="18" a="1"/>
  <c r="AL258" i="18" s="1"/>
  <c r="AL303" i="18" a="1"/>
  <c r="AL303" i="18" s="1"/>
  <c r="AL275" i="18" a="1"/>
  <c r="AL275" i="18" s="1"/>
  <c r="AL263" i="18" a="1"/>
  <c r="AL263" i="18" s="1"/>
  <c r="AL244" i="18" a="1"/>
  <c r="AL244" i="18" s="1"/>
  <c r="AL322" i="18" a="1"/>
  <c r="AL322" i="18" s="1"/>
  <c r="AL299" i="18" a="1"/>
  <c r="AL299" i="18" s="1"/>
  <c r="AL291" i="18" a="1"/>
  <c r="AL291" i="18" s="1"/>
  <c r="AL290" i="18" a="1"/>
  <c r="AL290" i="18" s="1"/>
  <c r="AL284" i="18" a="1"/>
  <c r="AL284" i="18" s="1"/>
  <c r="AL279" i="18" a="1"/>
  <c r="AL279" i="18" s="1"/>
  <c r="AL262" i="18" a="1"/>
  <c r="AL262" i="18" s="1"/>
  <c r="AL245" i="18" a="1"/>
  <c r="AL245" i="18" s="1"/>
  <c r="AL309" i="18" a="1"/>
  <c r="AL309" i="18" s="1"/>
  <c r="AL306" i="18" a="1"/>
  <c r="AL306" i="18" s="1"/>
  <c r="AL301" i="18" a="1"/>
  <c r="AL301" i="18" s="1"/>
  <c r="AL295" i="18" a="1"/>
  <c r="AL295" i="18" s="1"/>
  <c r="AL369" i="18" a="1"/>
  <c r="AL369" i="18" s="1"/>
  <c r="AL286" i="18" a="1"/>
  <c r="AL286" i="18" s="1"/>
  <c r="AL283" i="18" a="1"/>
  <c r="AL283" i="18" s="1"/>
  <c r="AL272" i="18" a="1"/>
  <c r="AL272" i="18" s="1"/>
  <c r="AL269" i="18" a="1"/>
  <c r="AL269" i="18" s="1"/>
  <c r="AL268" i="18" a="1"/>
  <c r="AL268" i="18" s="1"/>
  <c r="AL319" i="18" a="1"/>
  <c r="AL319" i="18" s="1"/>
  <c r="AL289" i="18" a="1"/>
  <c r="AL289" i="18" s="1"/>
  <c r="AL273" i="18" a="1"/>
  <c r="AL273" i="18" s="1"/>
  <c r="AL267" i="18" a="1"/>
  <c r="AL267" i="18" s="1"/>
  <c r="AL260" i="18" a="1"/>
  <c r="AL260" i="18" s="1"/>
  <c r="AL249" i="18" a="1"/>
  <c r="AL249" i="18" s="1"/>
  <c r="AP5" i="18" a="1"/>
  <c r="AP5" i="18" s="1"/>
  <c r="R6" i="18" a="1"/>
  <c r="R6" i="18" s="1"/>
  <c r="Z6" i="18" a="1"/>
  <c r="Z6" i="18" s="1"/>
  <c r="AA7" i="18" a="1"/>
  <c r="AA7" i="18" s="1"/>
  <c r="R9" i="18" a="1"/>
  <c r="R9" i="18" s="1"/>
  <c r="W9" i="18" a="1"/>
  <c r="W9" i="18" s="1"/>
  <c r="X9" i="18" s="1"/>
  <c r="AA207" i="18" a="1"/>
  <c r="AA207" i="18" s="1"/>
  <c r="AP207" i="18" a="1"/>
  <c r="AP207" i="18" s="1"/>
  <c r="AG208" i="18" a="1"/>
  <c r="AG208" i="18" s="1"/>
  <c r="AH208" i="18" s="1"/>
  <c r="AC208" i="18" a="1"/>
  <c r="AC208" i="18" s="1"/>
  <c r="AD208" i="18" s="1"/>
  <c r="W208" i="18" a="1"/>
  <c r="W208" i="18" s="1"/>
  <c r="X208" i="18" s="1"/>
  <c r="Z209" i="18" a="1"/>
  <c r="Z209" i="18" s="1"/>
  <c r="AL209" i="18" a="1"/>
  <c r="AL209" i="18" s="1"/>
  <c r="AP210" i="18" a="1"/>
  <c r="AP210" i="18" s="1"/>
  <c r="R211" i="18" a="1"/>
  <c r="R211" i="18" s="1"/>
  <c r="Y212" i="18" a="1"/>
  <c r="Y212" i="18" s="1"/>
  <c r="AA213" i="18" a="1"/>
  <c r="AA213" i="18" s="1"/>
  <c r="AG214" i="18" a="1"/>
  <c r="AG214" i="18" s="1"/>
  <c r="AH214" i="18" s="1"/>
  <c r="AC214" i="18" a="1"/>
  <c r="AC214" i="18" s="1"/>
  <c r="AD214" i="18" s="1"/>
  <c r="AL215" i="18" a="1"/>
  <c r="AL215" i="18" s="1"/>
  <c r="AP216" i="18" a="1"/>
  <c r="AP216" i="18" s="1"/>
  <c r="S217" i="18" a="1"/>
  <c r="S217" i="18" s="1"/>
  <c r="Z217" i="18" a="1"/>
  <c r="Z217" i="18" s="1"/>
  <c r="AC218" i="18" a="1"/>
  <c r="AC218" i="18" s="1"/>
  <c r="AD218" i="18" s="1"/>
  <c r="AG218" i="18" a="1"/>
  <c r="AG218" i="18" s="1"/>
  <c r="AH218" i="18" s="1"/>
  <c r="AA219" i="18" a="1"/>
  <c r="AA219" i="18" s="1"/>
  <c r="AP219" i="18" a="1"/>
  <c r="AP219" i="18" s="1"/>
  <c r="AG220" i="18" a="1"/>
  <c r="AG220" i="18" s="1"/>
  <c r="AH220" i="18" s="1"/>
  <c r="AC220" i="18" a="1"/>
  <c r="AC220" i="18" s="1"/>
  <c r="AD220" i="18" s="1"/>
  <c r="W220" i="18" a="1"/>
  <c r="W220" i="18" s="1"/>
  <c r="X220" i="18" s="1"/>
  <c r="Z221" i="18" a="1"/>
  <c r="Z221" i="18" s="1"/>
  <c r="AA222" i="18" a="1"/>
  <c r="AA222" i="18" s="1"/>
  <c r="Z223" i="18" a="1"/>
  <c r="Z223" i="18" s="1"/>
  <c r="AA224" i="18" a="1"/>
  <c r="AA224" i="18" s="1"/>
  <c r="Z225" i="18" a="1"/>
  <c r="Z225" i="18" s="1"/>
  <c r="AL225" i="18" a="1"/>
  <c r="AL225" i="18" s="1"/>
  <c r="AL227" i="18" a="1"/>
  <c r="AL227" i="18" s="1"/>
  <c r="AA228" i="18" a="1"/>
  <c r="AA228" i="18" s="1"/>
  <c r="Z229" i="18" a="1"/>
  <c r="Z229" i="18" s="1"/>
  <c r="AA230" i="18" a="1"/>
  <c r="AA230" i="18" s="1"/>
  <c r="AL230" i="18" a="1"/>
  <c r="AL230" i="18" s="1"/>
  <c r="AB231" i="18" a="1"/>
  <c r="AB231" i="18" s="1"/>
  <c r="Z233" i="18" a="1"/>
  <c r="Z233" i="18" s="1"/>
  <c r="AL233" i="18" a="1"/>
  <c r="AL233" i="18" s="1"/>
  <c r="Z234" i="18" a="1"/>
  <c r="Z234" i="18" s="1"/>
  <c r="Z236" i="18" a="1"/>
  <c r="Z236" i="18" s="1"/>
  <c r="Y237" i="18" a="1"/>
  <c r="Y237" i="18" s="1"/>
  <c r="AL237" i="18" a="1"/>
  <c r="AL237" i="18" s="1"/>
  <c r="AP238" i="18" a="1"/>
  <c r="AP238" i="18" s="1"/>
  <c r="R239" i="18" a="1"/>
  <c r="R239" i="18" s="1"/>
  <c r="AB240" i="18" a="1"/>
  <c r="AB240" i="18" s="1"/>
  <c r="Z241" i="18" a="1"/>
  <c r="Z241" i="18" s="1"/>
  <c r="AL241" i="18" a="1"/>
  <c r="AL241" i="18" s="1"/>
  <c r="Z243" i="18" a="1"/>
  <c r="Z243" i="18" s="1"/>
  <c r="W251" i="18" a="1"/>
  <c r="W251" i="18" s="1"/>
  <c r="X251" i="18" s="1"/>
  <c r="AG252" i="18" a="1"/>
  <c r="AG252" i="18" s="1"/>
  <c r="AH252" i="18" s="1"/>
  <c r="AC252" i="18" a="1"/>
  <c r="AC252" i="18" s="1"/>
  <c r="AD252" i="18" s="1"/>
  <c r="AA253" i="18" a="1"/>
  <c r="AA253" i="18" s="1"/>
  <c r="AA257" i="18" a="1"/>
  <c r="AA257" i="18" s="1"/>
  <c r="AB260" i="18" a="1"/>
  <c r="AB260" i="18" s="1"/>
  <c r="Z261" i="18" a="1"/>
  <c r="Z261" i="18" s="1"/>
  <c r="AG266" i="18" a="1"/>
  <c r="AG266" i="18" s="1"/>
  <c r="AH266" i="18" s="1"/>
  <c r="AC266" i="18" a="1"/>
  <c r="AC266" i="18" s="1"/>
  <c r="AD266" i="18" s="1"/>
  <c r="AB267" i="18" a="1"/>
  <c r="AB267" i="18" s="1"/>
  <c r="Y268" i="18" a="1"/>
  <c r="Y268" i="18" s="1"/>
  <c r="R270" i="18" a="1"/>
  <c r="R270" i="18" s="1"/>
  <c r="AA271" i="18" a="1"/>
  <c r="AA271" i="18" s="1"/>
  <c r="S273" i="18" a="1"/>
  <c r="S273" i="18" s="1"/>
  <c r="Y275" i="18" a="1"/>
  <c r="Y275" i="18" s="1"/>
  <c r="S289" i="18" a="1"/>
  <c r="S289" i="18" s="1"/>
  <c r="AG295" i="18" a="1"/>
  <c r="AG295" i="18" s="1"/>
  <c r="AH295" i="18" s="1"/>
  <c r="AC295" i="18" a="1"/>
  <c r="AC295" i="18" s="1"/>
  <c r="AD295" i="18" s="1"/>
  <c r="R297" i="18" a="1"/>
  <c r="R297" i="18" s="1"/>
  <c r="S4" i="18" a="1"/>
  <c r="S4" i="18" s="1"/>
  <c r="S647" i="18" a="1"/>
  <c r="S647" i="18" s="1"/>
  <c r="S652" i="18" a="1"/>
  <c r="S652" i="18" s="1"/>
  <c r="S651" i="18" a="1"/>
  <c r="S651" i="18" s="1"/>
  <c r="S626" i="18" a="1"/>
  <c r="S626" i="18" s="1"/>
  <c r="S625" i="18" a="1"/>
  <c r="S625" i="18" s="1"/>
  <c r="S624" i="18" a="1"/>
  <c r="S624" i="18" s="1"/>
  <c r="S619" i="18" a="1"/>
  <c r="S619" i="18" s="1"/>
  <c r="S644" i="18" a="1"/>
  <c r="S644" i="18" s="1"/>
  <c r="S642" i="18" a="1"/>
  <c r="S642" i="18" s="1"/>
  <c r="S641" i="18" a="1"/>
  <c r="S641" i="18" s="1"/>
  <c r="S616" i="18" a="1"/>
  <c r="S616" i="18" s="1"/>
  <c r="S650" i="18" a="1"/>
  <c r="S650" i="18" s="1"/>
  <c r="S649" i="18" a="1"/>
  <c r="S649" i="18" s="1"/>
  <c r="S645" i="18" a="1"/>
  <c r="S645" i="18" s="1"/>
  <c r="S643" i="18" a="1"/>
  <c r="S643" i="18" s="1"/>
  <c r="S630" i="18" a="1"/>
  <c r="S630" i="18" s="1"/>
  <c r="S629" i="18" a="1"/>
  <c r="S629" i="18" s="1"/>
  <c r="S628" i="18" a="1"/>
  <c r="S628" i="18" s="1"/>
  <c r="S653" i="18" a="1"/>
  <c r="S653" i="18" s="1"/>
  <c r="S620" i="18" a="1"/>
  <c r="S620" i="18" s="1"/>
  <c r="S618" i="18" a="1"/>
  <c r="S618" i="18" s="1"/>
  <c r="S617" i="18" a="1"/>
  <c r="S617" i="18" s="1"/>
  <c r="S634" i="18" a="1"/>
  <c r="S634" i="18" s="1"/>
  <c r="S633" i="18" a="1"/>
  <c r="S633" i="18" s="1"/>
  <c r="S639" i="18" a="1"/>
  <c r="S639" i="18" s="1"/>
  <c r="S638" i="18" a="1"/>
  <c r="S638" i="18" s="1"/>
  <c r="S632" i="18" a="1"/>
  <c r="S632" i="18" s="1"/>
  <c r="S622" i="18" a="1"/>
  <c r="S622" i="18" s="1"/>
  <c r="S602" i="18" a="1"/>
  <c r="S602" i="18" s="1"/>
  <c r="S646" i="18" a="1"/>
  <c r="S646" i="18" s="1"/>
  <c r="S623" i="18" a="1"/>
  <c r="S623" i="18" s="1"/>
  <c r="S599" i="18" a="1"/>
  <c r="S599" i="18" s="1"/>
  <c r="S637" i="18" a="1"/>
  <c r="S637" i="18" s="1"/>
  <c r="S631" i="18" a="1"/>
  <c r="S631" i="18" s="1"/>
  <c r="S612" i="18" a="1"/>
  <c r="S612" i="18" s="1"/>
  <c r="S610" i="18" a="1"/>
  <c r="S610" i="18" s="1"/>
  <c r="S609" i="18" a="1"/>
  <c r="S609" i="18" s="1"/>
  <c r="S605" i="18" a="1"/>
  <c r="S605" i="18" s="1"/>
  <c r="S604" i="18" a="1"/>
  <c r="S604" i="18" s="1"/>
  <c r="S600" i="18" a="1"/>
  <c r="S600" i="18" s="1"/>
  <c r="S640" i="18" a="1"/>
  <c r="S640" i="18" s="1"/>
  <c r="S635" i="18" a="1"/>
  <c r="S635" i="18" s="1"/>
  <c r="S615" i="18" a="1"/>
  <c r="S615" i="18" s="1"/>
  <c r="S611" i="18" a="1"/>
  <c r="S611" i="18" s="1"/>
  <c r="S608" i="18" a="1"/>
  <c r="S608" i="18" s="1"/>
  <c r="S603" i="18" a="1"/>
  <c r="S603" i="18" s="1"/>
  <c r="S598" i="18" a="1"/>
  <c r="S598" i="18" s="1"/>
  <c r="S595" i="18" a="1"/>
  <c r="S595" i="18" s="1"/>
  <c r="S594" i="18" a="1"/>
  <c r="S594" i="18" s="1"/>
  <c r="S583" i="18" a="1"/>
  <c r="S583" i="18" s="1"/>
  <c r="S572" i="18" a="1"/>
  <c r="S572" i="18" s="1"/>
  <c r="S554" i="18" a="1"/>
  <c r="S554" i="18" s="1"/>
  <c r="S550" i="18" a="1"/>
  <c r="S550" i="18" s="1"/>
  <c r="S549" i="18" a="1"/>
  <c r="S549" i="18" s="1"/>
  <c r="S541" i="18" a="1"/>
  <c r="S541" i="18" s="1"/>
  <c r="S591" i="18" a="1"/>
  <c r="S591" i="18" s="1"/>
  <c r="S580" i="18" a="1"/>
  <c r="S580" i="18" s="1"/>
  <c r="S578" i="18" a="1"/>
  <c r="S578" i="18" s="1"/>
  <c r="S574" i="18" a="1"/>
  <c r="S574" i="18" s="1"/>
  <c r="S566" i="18" a="1"/>
  <c r="S566" i="18" s="1"/>
  <c r="S556" i="18" a="1"/>
  <c r="S556" i="18" s="1"/>
  <c r="S551" i="18" a="1"/>
  <c r="S551" i="18" s="1"/>
  <c r="S548" i="18" a="1"/>
  <c r="S548" i="18" s="1"/>
  <c r="S545" i="18" a="1"/>
  <c r="S545" i="18" s="1"/>
  <c r="S542" i="18" a="1"/>
  <c r="S542" i="18" s="1"/>
  <c r="S627" i="18" a="1"/>
  <c r="S627" i="18" s="1"/>
  <c r="S596" i="18" a="1"/>
  <c r="S596" i="18" s="1"/>
  <c r="S586" i="18" a="1"/>
  <c r="S586" i="18" s="1"/>
  <c r="S581" i="18" a="1"/>
  <c r="S581" i="18" s="1"/>
  <c r="S579" i="18" a="1"/>
  <c r="S579" i="18" s="1"/>
  <c r="S576" i="18" a="1"/>
  <c r="S576" i="18" s="1"/>
  <c r="S648" i="18" a="1"/>
  <c r="S648" i="18" s="1"/>
  <c r="S607" i="18" a="1"/>
  <c r="S607" i="18" s="1"/>
  <c r="S585" i="18" a="1"/>
  <c r="S585" i="18" s="1"/>
  <c r="S582" i="18" a="1"/>
  <c r="S582" i="18" s="1"/>
  <c r="S575" i="18" a="1"/>
  <c r="S575" i="18" s="1"/>
  <c r="S573" i="18" a="1"/>
  <c r="S573" i="18" s="1"/>
  <c r="S567" i="18" a="1"/>
  <c r="S567" i="18" s="1"/>
  <c r="S565" i="18" a="1"/>
  <c r="S565" i="18" s="1"/>
  <c r="S563" i="18" a="1"/>
  <c r="S563" i="18" s="1"/>
  <c r="S558" i="18" a="1"/>
  <c r="S558" i="18" s="1"/>
  <c r="S606" i="18" a="1"/>
  <c r="S606" i="18" s="1"/>
  <c r="S601" i="18" a="1"/>
  <c r="S601" i="18" s="1"/>
  <c r="S592" i="18" a="1"/>
  <c r="S592" i="18" s="1"/>
  <c r="S588" i="18" a="1"/>
  <c r="S588" i="18" s="1"/>
  <c r="S587" i="18" a="1"/>
  <c r="S587" i="18" s="1"/>
  <c r="S569" i="18" a="1"/>
  <c r="S569" i="18" s="1"/>
  <c r="S561" i="18" a="1"/>
  <c r="S561" i="18" s="1"/>
  <c r="S557" i="18" a="1"/>
  <c r="S557" i="18" s="1"/>
  <c r="S555" i="18" a="1"/>
  <c r="S555" i="18" s="1"/>
  <c r="S547" i="18" a="1"/>
  <c r="S547" i="18" s="1"/>
  <c r="S544" i="18" a="1"/>
  <c r="S544" i="18" s="1"/>
  <c r="S614" i="18" a="1"/>
  <c r="S614" i="18" s="1"/>
  <c r="S613" i="18" a="1"/>
  <c r="S613" i="18" s="1"/>
  <c r="S593" i="18" a="1"/>
  <c r="S593" i="18" s="1"/>
  <c r="S590" i="18" a="1"/>
  <c r="S590" i="18" s="1"/>
  <c r="S589" i="18" a="1"/>
  <c r="S589" i="18" s="1"/>
  <c r="S577" i="18" a="1"/>
  <c r="S577" i="18" s="1"/>
  <c r="S568" i="18" a="1"/>
  <c r="S568" i="18" s="1"/>
  <c r="S528" i="18" a="1"/>
  <c r="S528" i="18" s="1"/>
  <c r="S519" i="18" a="1"/>
  <c r="S519" i="18" s="1"/>
  <c r="S515" i="18" a="1"/>
  <c r="S515" i="18" s="1"/>
  <c r="S514" i="18" a="1"/>
  <c r="S514" i="18" s="1"/>
  <c r="S503" i="18" a="1"/>
  <c r="S503" i="18" s="1"/>
  <c r="S500" i="18" a="1"/>
  <c r="S500" i="18" s="1"/>
  <c r="S499" i="18" a="1"/>
  <c r="S499" i="18" s="1"/>
  <c r="S559" i="18" a="1"/>
  <c r="S559" i="18" s="1"/>
  <c r="S532" i="18" a="1"/>
  <c r="S532" i="18" s="1"/>
  <c r="S529" i="18" a="1"/>
  <c r="S529" i="18" s="1"/>
  <c r="S525" i="18" a="1"/>
  <c r="S525" i="18" s="1"/>
  <c r="S522" i="18" a="1"/>
  <c r="S522" i="18" s="1"/>
  <c r="S505" i="18" a="1"/>
  <c r="S505" i="18" s="1"/>
  <c r="S636" i="18" a="1"/>
  <c r="S636" i="18" s="1"/>
  <c r="S571" i="18" a="1"/>
  <c r="S571" i="18" s="1"/>
  <c r="S552" i="18" a="1"/>
  <c r="S552" i="18" s="1"/>
  <c r="S540" i="18" a="1"/>
  <c r="S540" i="18" s="1"/>
  <c r="S539" i="18" a="1"/>
  <c r="S539" i="18" s="1"/>
  <c r="S526" i="18" a="1"/>
  <c r="S526" i="18" s="1"/>
  <c r="S523" i="18" a="1"/>
  <c r="S523" i="18" s="1"/>
  <c r="S516" i="18" a="1"/>
  <c r="S516" i="18" s="1"/>
  <c r="S506" i="18" a="1"/>
  <c r="S506" i="18" s="1"/>
  <c r="S504" i="18" a="1"/>
  <c r="S504" i="18" s="1"/>
  <c r="S502" i="18" a="1"/>
  <c r="S502" i="18" s="1"/>
  <c r="S492" i="18" a="1"/>
  <c r="S492" i="18" s="1"/>
  <c r="S584" i="18" a="1"/>
  <c r="S584" i="18" s="1"/>
  <c r="S543" i="18" a="1"/>
  <c r="S543" i="18" s="1"/>
  <c r="S530" i="18" a="1"/>
  <c r="S530" i="18" s="1"/>
  <c r="S507" i="18" a="1"/>
  <c r="S507" i="18" s="1"/>
  <c r="S570" i="18" a="1"/>
  <c r="S570" i="18" s="1"/>
  <c r="S564" i="18" a="1"/>
  <c r="S564" i="18" s="1"/>
  <c r="S562" i="18" a="1"/>
  <c r="S562" i="18" s="1"/>
  <c r="S534" i="18" a="1"/>
  <c r="S534" i="18" s="1"/>
  <c r="S533" i="18" a="1"/>
  <c r="S533" i="18" s="1"/>
  <c r="S621" i="18" a="1"/>
  <c r="S621" i="18" s="1"/>
  <c r="S597" i="18" a="1"/>
  <c r="S597" i="18" s="1"/>
  <c r="S560" i="18" a="1"/>
  <c r="S560" i="18" s="1"/>
  <c r="S517" i="18" a="1"/>
  <c r="S517" i="18" s="1"/>
  <c r="S510" i="18" a="1"/>
  <c r="S510" i="18" s="1"/>
  <c r="S531" i="18" a="1"/>
  <c r="S531" i="18" s="1"/>
  <c r="S501" i="18" a="1"/>
  <c r="S501" i="18" s="1"/>
  <c r="S486" i="18" a="1"/>
  <c r="S486" i="18" s="1"/>
  <c r="S483" i="18" a="1"/>
  <c r="S483" i="18" s="1"/>
  <c r="S538" i="18" a="1"/>
  <c r="S538" i="18" s="1"/>
  <c r="S491" i="18" a="1"/>
  <c r="S491" i="18" s="1"/>
  <c r="S484" i="18" a="1"/>
  <c r="S484" i="18" s="1"/>
  <c r="S537" i="18" a="1"/>
  <c r="S537" i="18" s="1"/>
  <c r="S527" i="18" a="1"/>
  <c r="S527" i="18" s="1"/>
  <c r="S488" i="18" a="1"/>
  <c r="S488" i="18" s="1"/>
  <c r="S481" i="18" a="1"/>
  <c r="S481" i="18" s="1"/>
  <c r="S553" i="18" a="1"/>
  <c r="S553" i="18" s="1"/>
  <c r="S521" i="18" a="1"/>
  <c r="S521" i="18" s="1"/>
  <c r="S518" i="18" a="1"/>
  <c r="S518" i="18" s="1"/>
  <c r="S513" i="18" a="1"/>
  <c r="S513" i="18" s="1"/>
  <c r="S512" i="18" a="1"/>
  <c r="S512" i="18" s="1"/>
  <c r="S511" i="18" a="1"/>
  <c r="S511" i="18" s="1"/>
  <c r="S509" i="18" a="1"/>
  <c r="S509" i="18" s="1"/>
  <c r="S508" i="18" a="1"/>
  <c r="S508" i="18" s="1"/>
  <c r="S495" i="18" a="1"/>
  <c r="S495" i="18" s="1"/>
  <c r="S546" i="18" a="1"/>
  <c r="S546" i="18" s="1"/>
  <c r="S520" i="18" a="1"/>
  <c r="S520" i="18" s="1"/>
  <c r="S497" i="18" a="1"/>
  <c r="S497" i="18" s="1"/>
  <c r="S496" i="18" a="1"/>
  <c r="S496" i="18" s="1"/>
  <c r="S536" i="18" a="1"/>
  <c r="S536" i="18" s="1"/>
  <c r="S535" i="18" a="1"/>
  <c r="S535" i="18" s="1"/>
  <c r="S494" i="18" a="1"/>
  <c r="S494" i="18" s="1"/>
  <c r="S493" i="18" a="1"/>
  <c r="S493" i="18" s="1"/>
  <c r="S489" i="18" a="1"/>
  <c r="S489" i="18" s="1"/>
  <c r="S482" i="18" a="1"/>
  <c r="S482" i="18" s="1"/>
  <c r="S524" i="18" a="1"/>
  <c r="S524" i="18" s="1"/>
  <c r="S487" i="18" a="1"/>
  <c r="S487" i="18" s="1"/>
  <c r="S476" i="18" a="1"/>
  <c r="S476" i="18" s="1"/>
  <c r="S462" i="18" a="1"/>
  <c r="S462" i="18" s="1"/>
  <c r="S485" i="18" a="1"/>
  <c r="S485" i="18" s="1"/>
  <c r="S474" i="18" a="1"/>
  <c r="S474" i="18" s="1"/>
  <c r="S473" i="18" a="1"/>
  <c r="S473" i="18" s="1"/>
  <c r="S470" i="18" a="1"/>
  <c r="S470" i="18" s="1"/>
  <c r="S453" i="18" a="1"/>
  <c r="S453" i="18" s="1"/>
  <c r="S451" i="18" a="1"/>
  <c r="S451" i="18" s="1"/>
  <c r="S467" i="18" a="1"/>
  <c r="S467" i="18" s="1"/>
  <c r="S463" i="18" a="1"/>
  <c r="S463" i="18" s="1"/>
  <c r="S461" i="18" a="1"/>
  <c r="S461" i="18" s="1"/>
  <c r="S475" i="18" a="1"/>
  <c r="S475" i="18" s="1"/>
  <c r="S469" i="18" a="1"/>
  <c r="S469" i="18" s="1"/>
  <c r="S459" i="18" a="1"/>
  <c r="S459" i="18" s="1"/>
  <c r="S456" i="18" a="1"/>
  <c r="S456" i="18" s="1"/>
  <c r="S479" i="18" a="1"/>
  <c r="S479" i="18" s="1"/>
  <c r="S468" i="18" a="1"/>
  <c r="S468" i="18" s="1"/>
  <c r="S450" i="18" a="1"/>
  <c r="S450" i="18" s="1"/>
  <c r="S498" i="18" a="1"/>
  <c r="S498" i="18" s="1"/>
  <c r="S472" i="18" a="1"/>
  <c r="S472" i="18" s="1"/>
  <c r="S457" i="18" a="1"/>
  <c r="S457" i="18" s="1"/>
  <c r="S455" i="18" a="1"/>
  <c r="S455" i="18" s="1"/>
  <c r="S490" i="18" a="1"/>
  <c r="S490" i="18" s="1"/>
  <c r="S471" i="18" a="1"/>
  <c r="S471" i="18" s="1"/>
  <c r="S464" i="18" a="1"/>
  <c r="S464" i="18" s="1"/>
  <c r="S460" i="18" a="1"/>
  <c r="S460" i="18" s="1"/>
  <c r="S458" i="18" a="1"/>
  <c r="S458" i="18" s="1"/>
  <c r="S449" i="18" a="1"/>
  <c r="S449" i="18" s="1"/>
  <c r="S440" i="18" a="1"/>
  <c r="S440" i="18" s="1"/>
  <c r="S437" i="18" a="1"/>
  <c r="S437" i="18" s="1"/>
  <c r="S435" i="18" a="1"/>
  <c r="S435" i="18" s="1"/>
  <c r="S431" i="18" a="1"/>
  <c r="S431" i="18" s="1"/>
  <c r="S419" i="18" a="1"/>
  <c r="S419" i="18" s="1"/>
  <c r="S409" i="18" a="1"/>
  <c r="S409" i="18" s="1"/>
  <c r="S407" i="18" a="1"/>
  <c r="S407" i="18" s="1"/>
  <c r="S404" i="18" a="1"/>
  <c r="S404" i="18" s="1"/>
  <c r="S390" i="18" a="1"/>
  <c r="S390" i="18" s="1"/>
  <c r="S447" i="18" a="1"/>
  <c r="S447" i="18" s="1"/>
  <c r="S441" i="18" a="1"/>
  <c r="S441" i="18" s="1"/>
  <c r="S439" i="18" a="1"/>
  <c r="S439" i="18" s="1"/>
  <c r="S438" i="18" a="1"/>
  <c r="S438" i="18" s="1"/>
  <c r="S430" i="18" a="1"/>
  <c r="S430" i="18" s="1"/>
  <c r="S429" i="18" a="1"/>
  <c r="S429" i="18" s="1"/>
  <c r="S427" i="18" a="1"/>
  <c r="S427" i="18" s="1"/>
  <c r="S420" i="18" a="1"/>
  <c r="S420" i="18" s="1"/>
  <c r="S452" i="18" a="1"/>
  <c r="S452" i="18" s="1"/>
  <c r="S428" i="18" a="1"/>
  <c r="S428" i="18" s="1"/>
  <c r="S406" i="18" a="1"/>
  <c r="S406" i="18" s="1"/>
  <c r="S478" i="18" a="1"/>
  <c r="S478" i="18" s="1"/>
  <c r="S477" i="18" a="1"/>
  <c r="S477" i="18" s="1"/>
  <c r="S436" i="18" a="1"/>
  <c r="S436" i="18" s="1"/>
  <c r="S434" i="18" a="1"/>
  <c r="S434" i="18" s="1"/>
  <c r="S418" i="18" a="1"/>
  <c r="S418" i="18" s="1"/>
  <c r="S416" i="18" a="1"/>
  <c r="S416" i="18" s="1"/>
  <c r="S445" i="18" a="1"/>
  <c r="S445" i="18" s="1"/>
  <c r="S443" i="18" a="1"/>
  <c r="S443" i="18" s="1"/>
  <c r="S426" i="18" a="1"/>
  <c r="S426" i="18" s="1"/>
  <c r="S415" i="18" a="1"/>
  <c r="S415" i="18" s="1"/>
  <c r="S414" i="18" a="1"/>
  <c r="S414" i="18" s="1"/>
  <c r="S410" i="18" a="1"/>
  <c r="S410" i="18" s="1"/>
  <c r="S466" i="18" a="1"/>
  <c r="S466" i="18" s="1"/>
  <c r="S454" i="18" a="1"/>
  <c r="S454" i="18" s="1"/>
  <c r="S448" i="18" a="1"/>
  <c r="S448" i="18" s="1"/>
  <c r="S433" i="18" a="1"/>
  <c r="S433" i="18" s="1"/>
  <c r="S425" i="18" a="1"/>
  <c r="S425" i="18" s="1"/>
  <c r="S422" i="18" a="1"/>
  <c r="S422" i="18" s="1"/>
  <c r="S421" i="18" a="1"/>
  <c r="S421" i="18" s="1"/>
  <c r="S412" i="18" a="1"/>
  <c r="S412" i="18" s="1"/>
  <c r="S408" i="18" a="1"/>
  <c r="S408" i="18" s="1"/>
  <c r="S405" i="18" a="1"/>
  <c r="S405" i="18" s="1"/>
  <c r="S401" i="18" a="1"/>
  <c r="S401" i="18" s="1"/>
  <c r="S395" i="18" a="1"/>
  <c r="S395" i="18" s="1"/>
  <c r="S393" i="18" a="1"/>
  <c r="S393" i="18" s="1"/>
  <c r="S432" i="18" a="1"/>
  <c r="S432" i="18" s="1"/>
  <c r="S411" i="18" a="1"/>
  <c r="S411" i="18" s="1"/>
  <c r="S388" i="18" a="1"/>
  <c r="S388" i="18" s="1"/>
  <c r="S383" i="18" a="1"/>
  <c r="S383" i="18" s="1"/>
  <c r="S372" i="18" a="1"/>
  <c r="S372" i="18" s="1"/>
  <c r="S368" i="18" a="1"/>
  <c r="S368" i="18" s="1"/>
  <c r="S351" i="18" a="1"/>
  <c r="S351" i="18" s="1"/>
  <c r="S350" i="18" a="1"/>
  <c r="S350" i="18" s="1"/>
  <c r="S349" i="18" a="1"/>
  <c r="S349" i="18" s="1"/>
  <c r="S345" i="18" a="1"/>
  <c r="S345" i="18" s="1"/>
  <c r="S343" i="18" a="1"/>
  <c r="S343" i="18" s="1"/>
  <c r="S342" i="18" a="1"/>
  <c r="S342" i="18" s="1"/>
  <c r="S446" i="18" a="1"/>
  <c r="S446" i="18" s="1"/>
  <c r="S424" i="18" a="1"/>
  <c r="S424" i="18" s="1"/>
  <c r="S423" i="18" a="1"/>
  <c r="S423" i="18" s="1"/>
  <c r="S417" i="18" a="1"/>
  <c r="S417" i="18" s="1"/>
  <c r="S399" i="18" a="1"/>
  <c r="S399" i="18" s="1"/>
  <c r="S394" i="18" a="1"/>
  <c r="S394" i="18" s="1"/>
  <c r="S391" i="18" a="1"/>
  <c r="S391" i="18" s="1"/>
  <c r="S375" i="18" a="1"/>
  <c r="S375" i="18" s="1"/>
  <c r="S370" i="18" a="1"/>
  <c r="S370" i="18" s="1"/>
  <c r="S369" i="18" a="1"/>
  <c r="S369" i="18" s="1"/>
  <c r="S366" i="18" a="1"/>
  <c r="S366" i="18" s="1"/>
  <c r="S365" i="18" a="1"/>
  <c r="S365" i="18" s="1"/>
  <c r="S354" i="18" a="1"/>
  <c r="S354" i="18" s="1"/>
  <c r="S465" i="18" a="1"/>
  <c r="S465" i="18" s="1"/>
  <c r="S402" i="18" a="1"/>
  <c r="S402" i="18" s="1"/>
  <c r="S389" i="18" a="1"/>
  <c r="S389" i="18" s="1"/>
  <c r="S384" i="18" a="1"/>
  <c r="S384" i="18" s="1"/>
  <c r="S379" i="18" a="1"/>
  <c r="S379" i="18" s="1"/>
  <c r="S371" i="18" a="1"/>
  <c r="S371" i="18" s="1"/>
  <c r="S442" i="18" a="1"/>
  <c r="S442" i="18" s="1"/>
  <c r="S400" i="18" a="1"/>
  <c r="S400" i="18" s="1"/>
  <c r="S396" i="18" a="1"/>
  <c r="S396" i="18" s="1"/>
  <c r="S392" i="18" a="1"/>
  <c r="S392" i="18" s="1"/>
  <c r="S385" i="18" a="1"/>
  <c r="S385" i="18" s="1"/>
  <c r="S377" i="18" a="1"/>
  <c r="S377" i="18" s="1"/>
  <c r="S376" i="18" a="1"/>
  <c r="S376" i="18" s="1"/>
  <c r="S355" i="18" a="1"/>
  <c r="S355" i="18" s="1"/>
  <c r="S353" i="18" a="1"/>
  <c r="S353" i="18" s="1"/>
  <c r="S480" i="18" a="1"/>
  <c r="S480" i="18" s="1"/>
  <c r="S398" i="18" a="1"/>
  <c r="S398" i="18" s="1"/>
  <c r="S386" i="18" a="1"/>
  <c r="S386" i="18" s="1"/>
  <c r="S380" i="18" a="1"/>
  <c r="S380" i="18" s="1"/>
  <c r="S373" i="18" a="1"/>
  <c r="S373" i="18" s="1"/>
  <c r="S348" i="18" a="1"/>
  <c r="S348" i="18" s="1"/>
  <c r="S347" i="18" a="1"/>
  <c r="S347" i="18" s="1"/>
  <c r="S444" i="18" a="1"/>
  <c r="S444" i="18" s="1"/>
  <c r="S397" i="18" a="1"/>
  <c r="S397" i="18" s="1"/>
  <c r="S333" i="18" a="1"/>
  <c r="S333" i="18" s="1"/>
  <c r="S330" i="18" a="1"/>
  <c r="S330" i="18" s="1"/>
  <c r="S328" i="18" a="1"/>
  <c r="S328" i="18" s="1"/>
  <c r="S325" i="18" a="1"/>
  <c r="S325" i="18" s="1"/>
  <c r="S322" i="18" a="1"/>
  <c r="S322" i="18" s="1"/>
  <c r="S318" i="18" a="1"/>
  <c r="S318" i="18" s="1"/>
  <c r="S374" i="18" a="1"/>
  <c r="S374" i="18" s="1"/>
  <c r="S358" i="18" a="1"/>
  <c r="S358" i="18" s="1"/>
  <c r="S339" i="18" a="1"/>
  <c r="S339" i="18" s="1"/>
  <c r="S338" i="18" a="1"/>
  <c r="S338" i="18" s="1"/>
  <c r="S332" i="18" a="1"/>
  <c r="S332" i="18" s="1"/>
  <c r="S331" i="18" a="1"/>
  <c r="S331" i="18" s="1"/>
  <c r="S329" i="18" a="1"/>
  <c r="S329" i="18" s="1"/>
  <c r="S321" i="18" a="1"/>
  <c r="S321" i="18" s="1"/>
  <c r="S382" i="18" a="1"/>
  <c r="S382" i="18" s="1"/>
  <c r="S378" i="18" a="1"/>
  <c r="S378" i="18" s="1"/>
  <c r="S364" i="18" a="1"/>
  <c r="S364" i="18" s="1"/>
  <c r="S360" i="18" a="1"/>
  <c r="S360" i="18" s="1"/>
  <c r="S346" i="18" a="1"/>
  <c r="S346" i="18" s="1"/>
  <c r="S337" i="18" a="1"/>
  <c r="S337" i="18" s="1"/>
  <c r="S323" i="18" a="1"/>
  <c r="S323" i="18" s="1"/>
  <c r="S315" i="18" a="1"/>
  <c r="S315" i="18" s="1"/>
  <c r="S314" i="18" a="1"/>
  <c r="S314" i="18" s="1"/>
  <c r="S387" i="18" a="1"/>
  <c r="S387" i="18" s="1"/>
  <c r="S381" i="18" a="1"/>
  <c r="S381" i="18" s="1"/>
  <c r="S362" i="18" a="1"/>
  <c r="S362" i="18" s="1"/>
  <c r="S357" i="18" a="1"/>
  <c r="S357" i="18" s="1"/>
  <c r="S344" i="18" a="1"/>
  <c r="S344" i="18" s="1"/>
  <c r="S326" i="18" a="1"/>
  <c r="S326" i="18" s="1"/>
  <c r="S317" i="18" a="1"/>
  <c r="S317" i="18" s="1"/>
  <c r="S316" i="18" a="1"/>
  <c r="S316" i="18" s="1"/>
  <c r="S309" i="18" a="1"/>
  <c r="S309" i="18" s="1"/>
  <c r="S303" i="18" a="1"/>
  <c r="S303" i="18" s="1"/>
  <c r="S302" i="18" a="1"/>
  <c r="S302" i="18" s="1"/>
  <c r="S413" i="18" a="1"/>
  <c r="S413" i="18" s="1"/>
  <c r="S363" i="18" a="1"/>
  <c r="S363" i="18" s="1"/>
  <c r="S335" i="18" a="1"/>
  <c r="S335" i="18" s="1"/>
  <c r="S327" i="18" a="1"/>
  <c r="S327" i="18" s="1"/>
  <c r="S324" i="18" a="1"/>
  <c r="S324" i="18" s="1"/>
  <c r="S320" i="18" a="1"/>
  <c r="S320" i="18" s="1"/>
  <c r="S310" i="18" a="1"/>
  <c r="S310" i="18" s="1"/>
  <c r="S300" i="18" a="1"/>
  <c r="S300" i="18" s="1"/>
  <c r="S403" i="18" a="1"/>
  <c r="S403" i="18" s="1"/>
  <c r="S361" i="18" a="1"/>
  <c r="S361" i="18" s="1"/>
  <c r="S359" i="18" a="1"/>
  <c r="S359" i="18" s="1"/>
  <c r="S352" i="18" a="1"/>
  <c r="S352" i="18" s="1"/>
  <c r="S336" i="18" a="1"/>
  <c r="S336" i="18" s="1"/>
  <c r="S334" i="18" a="1"/>
  <c r="S334" i="18" s="1"/>
  <c r="S319" i="18" a="1"/>
  <c r="S319" i="18" s="1"/>
  <c r="S311" i="18" a="1"/>
  <c r="S311" i="18" s="1"/>
  <c r="S305" i="18" a="1"/>
  <c r="S305" i="18" s="1"/>
  <c r="S304" i="18" a="1"/>
  <c r="S304" i="18" s="1"/>
  <c r="S356" i="18" a="1"/>
  <c r="S356" i="18" s="1"/>
  <c r="S308" i="18" a="1"/>
  <c r="S308" i="18" s="1"/>
  <c r="S301" i="18" a="1"/>
  <c r="S301" i="18" s="1"/>
  <c r="S288" i="18" a="1"/>
  <c r="S288" i="18" s="1"/>
  <c r="S279" i="18" a="1"/>
  <c r="S279" i="18" s="1"/>
  <c r="S278" i="18" a="1"/>
  <c r="S278" i="18" s="1"/>
  <c r="S274" i="18" a="1"/>
  <c r="S274" i="18" s="1"/>
  <c r="S272" i="18" a="1"/>
  <c r="S272" i="18" s="1"/>
  <c r="S262" i="18" a="1"/>
  <c r="S262" i="18" s="1"/>
  <c r="S261" i="18" a="1"/>
  <c r="S261" i="18" s="1"/>
  <c r="S260" i="18" a="1"/>
  <c r="S260" i="18" s="1"/>
  <c r="S367" i="18" a="1"/>
  <c r="S367" i="18" s="1"/>
  <c r="S341" i="18" a="1"/>
  <c r="S341" i="18" s="1"/>
  <c r="S299" i="18" a="1"/>
  <c r="S299" i="18" s="1"/>
  <c r="S296" i="18" a="1"/>
  <c r="S296" i="18" s="1"/>
  <c r="S287" i="18" a="1"/>
  <c r="S287" i="18" s="1"/>
  <c r="S283" i="18" a="1"/>
  <c r="S283" i="18" s="1"/>
  <c r="S277" i="18" a="1"/>
  <c r="S277" i="18" s="1"/>
  <c r="S265" i="18" a="1"/>
  <c r="S265" i="18" s="1"/>
  <c r="S257" i="18" a="1"/>
  <c r="S257" i="18" s="1"/>
  <c r="S253" i="18" a="1"/>
  <c r="S253" i="18" s="1"/>
  <c r="S252" i="18" a="1"/>
  <c r="S252" i="18" s="1"/>
  <c r="S250" i="18" a="1"/>
  <c r="S250" i="18" s="1"/>
  <c r="S313" i="18" a="1"/>
  <c r="S313" i="18" s="1"/>
  <c r="S312" i="18" a="1"/>
  <c r="S312" i="18" s="1"/>
  <c r="S286" i="18" a="1"/>
  <c r="S286" i="18" s="1"/>
  <c r="S281" i="18" a="1"/>
  <c r="S281" i="18" s="1"/>
  <c r="S267" i="18" a="1"/>
  <c r="S267" i="18" s="1"/>
  <c r="S264" i="18" a="1"/>
  <c r="S264" i="18" s="1"/>
  <c r="S256" i="18" a="1"/>
  <c r="S256" i="18" s="1"/>
  <c r="S251" i="18" a="1"/>
  <c r="S251" i="18" s="1"/>
  <c r="S242" i="18" a="1"/>
  <c r="S242" i="18" s="1"/>
  <c r="S236" i="18" a="1"/>
  <c r="S236" i="18" s="1"/>
  <c r="S233" i="18" a="1"/>
  <c r="S233" i="18" s="1"/>
  <c r="S307" i="18" a="1"/>
  <c r="S307" i="18" s="1"/>
  <c r="S298" i="18" a="1"/>
  <c r="S298" i="18" s="1"/>
  <c r="S294" i="18" a="1"/>
  <c r="S294" i="18" s="1"/>
  <c r="S293" i="18" a="1"/>
  <c r="S293" i="18" s="1"/>
  <c r="S282" i="18" a="1"/>
  <c r="S282" i="18" s="1"/>
  <c r="S280" i="18" a="1"/>
  <c r="S280" i="18" s="1"/>
  <c r="S276" i="18" a="1"/>
  <c r="S276" i="18" s="1"/>
  <c r="S266" i="18" a="1"/>
  <c r="S266" i="18" s="1"/>
  <c r="S259" i="18" a="1"/>
  <c r="S259" i="18" s="1"/>
  <c r="S258" i="18" a="1"/>
  <c r="S258" i="18" s="1"/>
  <c r="S254" i="18" a="1"/>
  <c r="S254" i="18" s="1"/>
  <c r="S295" i="18" a="1"/>
  <c r="S295" i="18" s="1"/>
  <c r="S271" i="18" a="1"/>
  <c r="S271" i="18" s="1"/>
  <c r="S297" i="18" a="1"/>
  <c r="S297" i="18" s="1"/>
  <c r="S291" i="18" a="1"/>
  <c r="S291" i="18" s="1"/>
  <c r="S284" i="18" a="1"/>
  <c r="S284" i="18" s="1"/>
  <c r="S275" i="18" a="1"/>
  <c r="S275" i="18" s="1"/>
  <c r="S270" i="18" a="1"/>
  <c r="S270" i="18" s="1"/>
  <c r="S269" i="18" a="1"/>
  <c r="S269" i="18" s="1"/>
  <c r="S248" i="18" a="1"/>
  <c r="S248" i="18" s="1"/>
  <c r="W4" i="18" a="1"/>
  <c r="W4" i="18" s="1"/>
  <c r="X4" i="18" s="1"/>
  <c r="W653" i="18" a="1"/>
  <c r="W653" i="18" s="1"/>
  <c r="X653" i="18" s="1"/>
  <c r="W650" i="18" a="1"/>
  <c r="W650" i="18" s="1"/>
  <c r="X650" i="18" s="1"/>
  <c r="W647" i="18" a="1"/>
  <c r="W647" i="18" s="1"/>
  <c r="X647" i="18" s="1"/>
  <c r="W652" i="18" a="1"/>
  <c r="W652" i="18" s="1"/>
  <c r="X652" i="18" s="1"/>
  <c r="W648" i="18" a="1"/>
  <c r="W648" i="18" s="1"/>
  <c r="X648" i="18" s="1"/>
  <c r="W649" i="18" a="1"/>
  <c r="W649" i="18" s="1"/>
  <c r="X649" i="18" s="1"/>
  <c r="W639" i="18" a="1"/>
  <c r="W639" i="18" s="1"/>
  <c r="X639" i="18" s="1"/>
  <c r="W637" i="18" a="1"/>
  <c r="W637" i="18" s="1"/>
  <c r="X637" i="18" s="1"/>
  <c r="W635" i="18" a="1"/>
  <c r="W635" i="18" s="1"/>
  <c r="X635" i="18" s="1"/>
  <c r="W634" i="18" a="1"/>
  <c r="W634" i="18" s="1"/>
  <c r="X634" i="18" s="1"/>
  <c r="W620" i="18" a="1"/>
  <c r="W620" i="18" s="1"/>
  <c r="X620" i="18" s="1"/>
  <c r="W619" i="18" a="1"/>
  <c r="W619" i="18" s="1"/>
  <c r="X619" i="18" s="1"/>
  <c r="W640" i="18" a="1"/>
  <c r="W640" i="18" s="1"/>
  <c r="X640" i="18" s="1"/>
  <c r="W638" i="18" a="1"/>
  <c r="W638" i="18" s="1"/>
  <c r="X638" i="18" s="1"/>
  <c r="W636" i="18" a="1"/>
  <c r="W636" i="18" s="1"/>
  <c r="X636" i="18" s="1"/>
  <c r="W624" i="18" a="1"/>
  <c r="W624" i="18" s="1"/>
  <c r="X624" i="18" s="1"/>
  <c r="W616" i="18" a="1"/>
  <c r="W616" i="18" s="1"/>
  <c r="X616" i="18" s="1"/>
  <c r="W646" i="18" a="1"/>
  <c r="W646" i="18" s="1"/>
  <c r="X646" i="18" s="1"/>
  <c r="W641" i="18" a="1"/>
  <c r="W641" i="18" s="1"/>
  <c r="X641" i="18" s="1"/>
  <c r="W625" i="18" a="1"/>
  <c r="W625" i="18" s="1"/>
  <c r="X625" i="18" s="1"/>
  <c r="W645" i="18" a="1"/>
  <c r="W645" i="18" s="1"/>
  <c r="X645" i="18" s="1"/>
  <c r="W643" i="18" a="1"/>
  <c r="W643" i="18" s="1"/>
  <c r="X643" i="18" s="1"/>
  <c r="W642" i="18" a="1"/>
  <c r="W642" i="18" s="1"/>
  <c r="X642" i="18" s="1"/>
  <c r="W629" i="18" a="1"/>
  <c r="W629" i="18" s="1"/>
  <c r="X629" i="18" s="1"/>
  <c r="W626" i="18" a="1"/>
  <c r="W626" i="18" s="1"/>
  <c r="X626" i="18" s="1"/>
  <c r="W631" i="18" a="1"/>
  <c r="W631" i="18" s="1"/>
  <c r="X631" i="18" s="1"/>
  <c r="W623" i="18" a="1"/>
  <c r="W623" i="18" s="1"/>
  <c r="X623" i="18" s="1"/>
  <c r="W622" i="18" a="1"/>
  <c r="W622" i="18" s="1"/>
  <c r="X622" i="18" s="1"/>
  <c r="W621" i="18" a="1"/>
  <c r="W621" i="18" s="1"/>
  <c r="X621" i="18" s="1"/>
  <c r="W632" i="18" a="1"/>
  <c r="W632" i="18" s="1"/>
  <c r="X632" i="18" s="1"/>
  <c r="W614" i="18" a="1"/>
  <c r="W614" i="18" s="1"/>
  <c r="X614" i="18" s="1"/>
  <c r="W613" i="18" a="1"/>
  <c r="W613" i="18" s="1"/>
  <c r="X613" i="18" s="1"/>
  <c r="W606" i="18" a="1"/>
  <c r="W606" i="18" s="1"/>
  <c r="X606" i="18" s="1"/>
  <c r="W603" i="18" a="1"/>
  <c r="W603" i="18" s="1"/>
  <c r="X603" i="18" s="1"/>
  <c r="W651" i="18" a="1"/>
  <c r="W651" i="18" s="1"/>
  <c r="X651" i="18" s="1"/>
  <c r="W630" i="18" a="1"/>
  <c r="W630" i="18" s="1"/>
  <c r="X630" i="18" s="1"/>
  <c r="W615" i="18" a="1"/>
  <c r="W615" i="18" s="1"/>
  <c r="X615" i="18" s="1"/>
  <c r="W644" i="18" a="1"/>
  <c r="W644" i="18" s="1"/>
  <c r="X644" i="18" s="1"/>
  <c r="W627" i="18" a="1"/>
  <c r="W627" i="18" s="1"/>
  <c r="X627" i="18" s="1"/>
  <c r="W605" i="18" a="1"/>
  <c r="W605" i="18" s="1"/>
  <c r="X605" i="18" s="1"/>
  <c r="W617" i="18" a="1"/>
  <c r="W617" i="18" s="1"/>
  <c r="X617" i="18" s="1"/>
  <c r="W610" i="18" a="1"/>
  <c r="W610" i="18" s="1"/>
  <c r="X610" i="18" s="1"/>
  <c r="W609" i="18" a="1"/>
  <c r="W609" i="18" s="1"/>
  <c r="X609" i="18" s="1"/>
  <c r="W599" i="18" a="1"/>
  <c r="W599" i="18" s="1"/>
  <c r="X599" i="18" s="1"/>
  <c r="W595" i="18" a="1"/>
  <c r="W595" i="18" s="1"/>
  <c r="X595" i="18" s="1"/>
  <c r="W633" i="18" a="1"/>
  <c r="W633" i="18" s="1"/>
  <c r="X633" i="18" s="1"/>
  <c r="W618" i="18" a="1"/>
  <c r="W618" i="18" s="1"/>
  <c r="X618" i="18" s="1"/>
  <c r="W612" i="18" a="1"/>
  <c r="W612" i="18" s="1"/>
  <c r="X612" i="18" s="1"/>
  <c r="W611" i="18" a="1"/>
  <c r="W611" i="18" s="1"/>
  <c r="X611" i="18" s="1"/>
  <c r="W608" i="18" a="1"/>
  <c r="W608" i="18" s="1"/>
  <c r="X608" i="18" s="1"/>
  <c r="W607" i="18" a="1"/>
  <c r="W607" i="18" s="1"/>
  <c r="X607" i="18" s="1"/>
  <c r="W600" i="18" a="1"/>
  <c r="W600" i="18" s="1"/>
  <c r="X600" i="18" s="1"/>
  <c r="W598" i="18" a="1"/>
  <c r="W598" i="18" s="1"/>
  <c r="X598" i="18" s="1"/>
  <c r="W597" i="18" a="1"/>
  <c r="W597" i="18" s="1"/>
  <c r="X597" i="18" s="1"/>
  <c r="W596" i="18" a="1"/>
  <c r="W596" i="18" s="1"/>
  <c r="X596" i="18" s="1"/>
  <c r="W602" i="18" a="1"/>
  <c r="W602" i="18" s="1"/>
  <c r="X602" i="18" s="1"/>
  <c r="W589" i="18" a="1"/>
  <c r="W589" i="18" s="1"/>
  <c r="X589" i="18" s="1"/>
  <c r="W572" i="18" a="1"/>
  <c r="W572" i="18" s="1"/>
  <c r="X572" i="18" s="1"/>
  <c r="W568" i="18" a="1"/>
  <c r="W568" i="18" s="1"/>
  <c r="X568" i="18" s="1"/>
  <c r="W555" i="18" a="1"/>
  <c r="W555" i="18" s="1"/>
  <c r="X555" i="18" s="1"/>
  <c r="W554" i="18" a="1"/>
  <c r="W554" i="18" s="1"/>
  <c r="X554" i="18" s="1"/>
  <c r="W553" i="18" a="1"/>
  <c r="W553" i="18" s="1"/>
  <c r="X553" i="18" s="1"/>
  <c r="W547" i="18" a="1"/>
  <c r="W547" i="18" s="1"/>
  <c r="X547" i="18" s="1"/>
  <c r="W560" i="18" a="1"/>
  <c r="W560" i="18" s="1"/>
  <c r="X560" i="18" s="1"/>
  <c r="W556" i="18" a="1"/>
  <c r="W556" i="18" s="1"/>
  <c r="X556" i="18" s="1"/>
  <c r="W552" i="18" a="1"/>
  <c r="W552" i="18" s="1"/>
  <c r="X552" i="18" s="1"/>
  <c r="W546" i="18" a="1"/>
  <c r="W546" i="18" s="1"/>
  <c r="X546" i="18" s="1"/>
  <c r="W541" i="18" a="1"/>
  <c r="W541" i="18" s="1"/>
  <c r="X541" i="18" s="1"/>
  <c r="W601" i="18" a="1"/>
  <c r="W601" i="18" s="1"/>
  <c r="X601" i="18" s="1"/>
  <c r="W576" i="18" a="1"/>
  <c r="W576" i="18" s="1"/>
  <c r="X576" i="18" s="1"/>
  <c r="W583" i="18" a="1"/>
  <c r="W583" i="18" s="1"/>
  <c r="X583" i="18" s="1"/>
  <c r="W580" i="18" a="1"/>
  <c r="W580" i="18" s="1"/>
  <c r="X580" i="18" s="1"/>
  <c r="W579" i="18" a="1"/>
  <c r="W579" i="18" s="1"/>
  <c r="X579" i="18" s="1"/>
  <c r="W578" i="18" a="1"/>
  <c r="W578" i="18" s="1"/>
  <c r="X578" i="18" s="1"/>
  <c r="W575" i="18" a="1"/>
  <c r="W575" i="18" s="1"/>
  <c r="X575" i="18" s="1"/>
  <c r="W574" i="18" a="1"/>
  <c r="W574" i="18" s="1"/>
  <c r="X574" i="18" s="1"/>
  <c r="W567" i="18" a="1"/>
  <c r="W567" i="18" s="1"/>
  <c r="X567" i="18" s="1"/>
  <c r="W566" i="18" a="1"/>
  <c r="W566" i="18" s="1"/>
  <c r="X566" i="18" s="1"/>
  <c r="W585" i="18" a="1"/>
  <c r="W585" i="18" s="1"/>
  <c r="X585" i="18" s="1"/>
  <c r="W584" i="18" a="1"/>
  <c r="W584" i="18" s="1"/>
  <c r="X584" i="18" s="1"/>
  <c r="W558" i="18" a="1"/>
  <c r="W558" i="18" s="1"/>
  <c r="X558" i="18" s="1"/>
  <c r="W544" i="18" a="1"/>
  <c r="W544" i="18" s="1"/>
  <c r="X544" i="18" s="1"/>
  <c r="W539" i="18" a="1"/>
  <c r="W539" i="18" s="1"/>
  <c r="X539" i="18" s="1"/>
  <c r="W628" i="18" a="1"/>
  <c r="W628" i="18" s="1"/>
  <c r="X628" i="18" s="1"/>
  <c r="W604" i="18" a="1"/>
  <c r="W604" i="18" s="1"/>
  <c r="X604" i="18" s="1"/>
  <c r="W592" i="18" a="1"/>
  <c r="W592" i="18" s="1"/>
  <c r="X592" i="18" s="1"/>
  <c r="W590" i="18" a="1"/>
  <c r="W590" i="18" s="1"/>
  <c r="X590" i="18" s="1"/>
  <c r="W587" i="18" a="1"/>
  <c r="W587" i="18" s="1"/>
  <c r="X587" i="18" s="1"/>
  <c r="W563" i="18" a="1"/>
  <c r="W563" i="18" s="1"/>
  <c r="X563" i="18" s="1"/>
  <c r="W557" i="18" a="1"/>
  <c r="W557" i="18" s="1"/>
  <c r="X557" i="18" s="1"/>
  <c r="W543" i="18" a="1"/>
  <c r="W543" i="18" s="1"/>
  <c r="X543" i="18" s="1"/>
  <c r="W540" i="18" a="1"/>
  <c r="W540" i="18" s="1"/>
  <c r="X540" i="18" s="1"/>
  <c r="W591" i="18" a="1"/>
  <c r="W591" i="18" s="1"/>
  <c r="X591" i="18" s="1"/>
  <c r="W570" i="18" a="1"/>
  <c r="W570" i="18" s="1"/>
  <c r="X570" i="18" s="1"/>
  <c r="W565" i="18" a="1"/>
  <c r="W565" i="18" s="1"/>
  <c r="X565" i="18" s="1"/>
  <c r="W549" i="18" a="1"/>
  <c r="W549" i="18" s="1"/>
  <c r="X549" i="18" s="1"/>
  <c r="W509" i="18" a="1"/>
  <c r="W509" i="18" s="1"/>
  <c r="X509" i="18" s="1"/>
  <c r="W586" i="18" a="1"/>
  <c r="W586" i="18" s="1"/>
  <c r="X586" i="18" s="1"/>
  <c r="W564" i="18" a="1"/>
  <c r="W564" i="18" s="1"/>
  <c r="X564" i="18" s="1"/>
  <c r="W562" i="18" a="1"/>
  <c r="W562" i="18" s="1"/>
  <c r="X562" i="18" s="1"/>
  <c r="W531" i="18" a="1"/>
  <c r="W531" i="18" s="1"/>
  <c r="X531" i="18" s="1"/>
  <c r="W528" i="18" a="1"/>
  <c r="W528" i="18" s="1"/>
  <c r="X528" i="18" s="1"/>
  <c r="W514" i="18" a="1"/>
  <c r="W514" i="18" s="1"/>
  <c r="X514" i="18" s="1"/>
  <c r="W511" i="18" a="1"/>
  <c r="W511" i="18" s="1"/>
  <c r="X511" i="18" s="1"/>
  <c r="W510" i="18" a="1"/>
  <c r="W510" i="18" s="1"/>
  <c r="X510" i="18" s="1"/>
  <c r="W499" i="18" a="1"/>
  <c r="W499" i="18" s="1"/>
  <c r="X499" i="18" s="1"/>
  <c r="W498" i="18" a="1"/>
  <c r="W498" i="18" s="1"/>
  <c r="X498" i="18" s="1"/>
  <c r="W497" i="18" a="1"/>
  <c r="W497" i="18" s="1"/>
  <c r="X497" i="18" s="1"/>
  <c r="W493" i="18" a="1"/>
  <c r="W493" i="18" s="1"/>
  <c r="X493" i="18" s="1"/>
  <c r="W569" i="18" a="1"/>
  <c r="W569" i="18" s="1"/>
  <c r="X569" i="18" s="1"/>
  <c r="W550" i="18" a="1"/>
  <c r="W550" i="18" s="1"/>
  <c r="X550" i="18" s="1"/>
  <c r="W529" i="18" a="1"/>
  <c r="W529" i="18" s="1"/>
  <c r="X529" i="18" s="1"/>
  <c r="W525" i="18" a="1"/>
  <c r="W525" i="18" s="1"/>
  <c r="X525" i="18" s="1"/>
  <c r="W522" i="18" a="1"/>
  <c r="W522" i="18" s="1"/>
  <c r="X522" i="18" s="1"/>
  <c r="W519" i="18" a="1"/>
  <c r="W519" i="18" s="1"/>
  <c r="X519" i="18" s="1"/>
  <c r="W515" i="18" a="1"/>
  <c r="W515" i="18" s="1"/>
  <c r="X515" i="18" s="1"/>
  <c r="W503" i="18" a="1"/>
  <c r="W503" i="18" s="1"/>
  <c r="X503" i="18" s="1"/>
  <c r="W582" i="18" a="1"/>
  <c r="W582" i="18" s="1"/>
  <c r="X582" i="18" s="1"/>
  <c r="W581" i="18" a="1"/>
  <c r="W581" i="18" s="1"/>
  <c r="X581" i="18" s="1"/>
  <c r="W577" i="18" a="1"/>
  <c r="W577" i="18" s="1"/>
  <c r="X577" i="18" s="1"/>
  <c r="W561" i="18" a="1"/>
  <c r="W561" i="18" s="1"/>
  <c r="X561" i="18" s="1"/>
  <c r="W532" i="18" a="1"/>
  <c r="W532" i="18" s="1"/>
  <c r="X532" i="18" s="1"/>
  <c r="W588" i="18" a="1"/>
  <c r="W588" i="18" s="1"/>
  <c r="X588" i="18" s="1"/>
  <c r="W573" i="18" a="1"/>
  <c r="W573" i="18" s="1"/>
  <c r="X573" i="18" s="1"/>
  <c r="W559" i="18" a="1"/>
  <c r="W559" i="18" s="1"/>
  <c r="X559" i="18" s="1"/>
  <c r="W530" i="18" a="1"/>
  <c r="W530" i="18" s="1"/>
  <c r="X530" i="18" s="1"/>
  <c r="W520" i="18" a="1"/>
  <c r="W520" i="18" s="1"/>
  <c r="X520" i="18" s="1"/>
  <c r="W516" i="18" a="1"/>
  <c r="W516" i="18" s="1"/>
  <c r="X516" i="18" s="1"/>
  <c r="W507" i="18" a="1"/>
  <c r="W507" i="18" s="1"/>
  <c r="X507" i="18" s="1"/>
  <c r="W593" i="18" a="1"/>
  <c r="W593" i="18" s="1"/>
  <c r="X593" i="18" s="1"/>
  <c r="W548" i="18" a="1"/>
  <c r="W548" i="18" s="1"/>
  <c r="X548" i="18" s="1"/>
  <c r="W545" i="18" a="1"/>
  <c r="W545" i="18" s="1"/>
  <c r="X545" i="18" s="1"/>
  <c r="W538" i="18" a="1"/>
  <c r="W538" i="18" s="1"/>
  <c r="X538" i="18" s="1"/>
  <c r="W537" i="18" a="1"/>
  <c r="W537" i="18" s="1"/>
  <c r="X537" i="18" s="1"/>
  <c r="W535" i="18" a="1"/>
  <c r="W535" i="18" s="1"/>
  <c r="X535" i="18" s="1"/>
  <c r="W533" i="18" a="1"/>
  <c r="W533" i="18" s="1"/>
  <c r="X533" i="18" s="1"/>
  <c r="W527" i="18" a="1"/>
  <c r="W527" i="18" s="1"/>
  <c r="X527" i="18" s="1"/>
  <c r="W517" i="18" a="1"/>
  <c r="W517" i="18" s="1"/>
  <c r="X517" i="18" s="1"/>
  <c r="W513" i="18" a="1"/>
  <c r="W513" i="18" s="1"/>
  <c r="X513" i="18" s="1"/>
  <c r="W512" i="18" a="1"/>
  <c r="W512" i="18" s="1"/>
  <c r="X512" i="18" s="1"/>
  <c r="W521" i="18" a="1"/>
  <c r="W521" i="18" s="1"/>
  <c r="X521" i="18" s="1"/>
  <c r="W518" i="18" a="1"/>
  <c r="W518" i="18" s="1"/>
  <c r="X518" i="18" s="1"/>
  <c r="W508" i="18" a="1"/>
  <c r="W508" i="18" s="1"/>
  <c r="X508" i="18" s="1"/>
  <c r="W494" i="18" a="1"/>
  <c r="W494" i="18" s="1"/>
  <c r="X494" i="18" s="1"/>
  <c r="W492" i="18" a="1"/>
  <c r="W492" i="18" s="1"/>
  <c r="X492" i="18" s="1"/>
  <c r="W485" i="18" a="1"/>
  <c r="W485" i="18" s="1"/>
  <c r="X485" i="18" s="1"/>
  <c r="W478" i="18" a="1"/>
  <c r="W478" i="18" s="1"/>
  <c r="X478" i="18" s="1"/>
  <c r="W542" i="18" a="1"/>
  <c r="W542" i="18" s="1"/>
  <c r="X542" i="18" s="1"/>
  <c r="W536" i="18" a="1"/>
  <c r="W536" i="18" s="1"/>
  <c r="X536" i="18" s="1"/>
  <c r="W526" i="18" a="1"/>
  <c r="W526" i="18" s="1"/>
  <c r="X526" i="18" s="1"/>
  <c r="W505" i="18" a="1"/>
  <c r="W505" i="18" s="1"/>
  <c r="X505" i="18" s="1"/>
  <c r="W487" i="18" a="1"/>
  <c r="W487" i="18" s="1"/>
  <c r="X487" i="18" s="1"/>
  <c r="W486" i="18" a="1"/>
  <c r="W486" i="18" s="1"/>
  <c r="X486" i="18" s="1"/>
  <c r="W483" i="18" a="1"/>
  <c r="W483" i="18" s="1"/>
  <c r="X483" i="18" s="1"/>
  <c r="W480" i="18" a="1"/>
  <c r="W480" i="18" s="1"/>
  <c r="X480" i="18" s="1"/>
  <c r="W477" i="18" a="1"/>
  <c r="W477" i="18" s="1"/>
  <c r="X477" i="18" s="1"/>
  <c r="W476" i="18" a="1"/>
  <c r="W476" i="18" s="1"/>
  <c r="X476" i="18" s="1"/>
  <c r="W500" i="18" a="1"/>
  <c r="W500" i="18" s="1"/>
  <c r="X500" i="18" s="1"/>
  <c r="W594" i="18" a="1"/>
  <c r="W594" i="18" s="1"/>
  <c r="X594" i="18" s="1"/>
  <c r="W491" i="18" a="1"/>
  <c r="W491" i="18" s="1"/>
  <c r="X491" i="18" s="1"/>
  <c r="W534" i="18" a="1"/>
  <c r="W534" i="18" s="1"/>
  <c r="X534" i="18" s="1"/>
  <c r="W524" i="18" a="1"/>
  <c r="W524" i="18" s="1"/>
  <c r="X524" i="18" s="1"/>
  <c r="W506" i="18" a="1"/>
  <c r="W506" i="18" s="1"/>
  <c r="X506" i="18" s="1"/>
  <c r="W501" i="18" a="1"/>
  <c r="W501" i="18" s="1"/>
  <c r="X501" i="18" s="1"/>
  <c r="W488" i="18" a="1"/>
  <c r="W488" i="18" s="1"/>
  <c r="X488" i="18" s="1"/>
  <c r="W484" i="18" a="1"/>
  <c r="W484" i="18" s="1"/>
  <c r="X484" i="18" s="1"/>
  <c r="W481" i="18" a="1"/>
  <c r="W481" i="18" s="1"/>
  <c r="X481" i="18" s="1"/>
  <c r="W571" i="18" a="1"/>
  <c r="W571" i="18" s="1"/>
  <c r="X571" i="18" s="1"/>
  <c r="W523" i="18" a="1"/>
  <c r="W523" i="18" s="1"/>
  <c r="X523" i="18" s="1"/>
  <c r="W502" i="18" a="1"/>
  <c r="W502" i="18" s="1"/>
  <c r="X502" i="18" s="1"/>
  <c r="W504" i="18" a="1"/>
  <c r="W504" i="18" s="1"/>
  <c r="X504" i="18" s="1"/>
  <c r="W496" i="18" a="1"/>
  <c r="W496" i="18" s="1"/>
  <c r="X496" i="18" s="1"/>
  <c r="W490" i="18" a="1"/>
  <c r="W490" i="18" s="1"/>
  <c r="X490" i="18" s="1"/>
  <c r="W489" i="18" a="1"/>
  <c r="W489" i="18" s="1"/>
  <c r="X489" i="18" s="1"/>
  <c r="W482" i="18" a="1"/>
  <c r="W482" i="18" s="1"/>
  <c r="X482" i="18" s="1"/>
  <c r="W479" i="18" a="1"/>
  <c r="W479" i="18" s="1"/>
  <c r="X479" i="18" s="1"/>
  <c r="W475" i="18" a="1"/>
  <c r="W475" i="18" s="1"/>
  <c r="X475" i="18" s="1"/>
  <c r="W495" i="18" a="1"/>
  <c r="W495" i="18" s="1"/>
  <c r="X495" i="18" s="1"/>
  <c r="W472" i="18" a="1"/>
  <c r="W472" i="18" s="1"/>
  <c r="X472" i="18" s="1"/>
  <c r="W471" i="18" a="1"/>
  <c r="W471" i="18" s="1"/>
  <c r="X471" i="18" s="1"/>
  <c r="W465" i="18" a="1"/>
  <c r="W465" i="18" s="1"/>
  <c r="X465" i="18" s="1"/>
  <c r="W551" i="18" a="1"/>
  <c r="W551" i="18" s="1"/>
  <c r="X551" i="18" s="1"/>
  <c r="W464" i="18" a="1"/>
  <c r="W464" i="18" s="1"/>
  <c r="X464" i="18" s="1"/>
  <c r="W447" i="18" a="1"/>
  <c r="W447" i="18" s="1"/>
  <c r="X447" i="18" s="1"/>
  <c r="W473" i="18" a="1"/>
  <c r="W473" i="18" s="1"/>
  <c r="X473" i="18" s="1"/>
  <c r="W470" i="18" a="1"/>
  <c r="W470" i="18" s="1"/>
  <c r="X470" i="18" s="1"/>
  <c r="W463" i="18" a="1"/>
  <c r="W463" i="18" s="1"/>
  <c r="X463" i="18" s="1"/>
  <c r="W474" i="18" a="1"/>
  <c r="W474" i="18" s="1"/>
  <c r="X474" i="18" s="1"/>
  <c r="W462" i="18" a="1"/>
  <c r="W462" i="18" s="1"/>
  <c r="X462" i="18" s="1"/>
  <c r="W461" i="18" a="1"/>
  <c r="W461" i="18" s="1"/>
  <c r="X461" i="18" s="1"/>
  <c r="W452" i="18" a="1"/>
  <c r="W452" i="18" s="1"/>
  <c r="X452" i="18" s="1"/>
  <c r="W451" i="18" a="1"/>
  <c r="W451" i="18" s="1"/>
  <c r="X451" i="18" s="1"/>
  <c r="W469" i="18" a="1"/>
  <c r="W469" i="18" s="1"/>
  <c r="X469" i="18" s="1"/>
  <c r="W467" i="18" a="1"/>
  <c r="W467" i="18" s="1"/>
  <c r="X467" i="18" s="1"/>
  <c r="W468" i="18" a="1"/>
  <c r="W468" i="18" s="1"/>
  <c r="X468" i="18" s="1"/>
  <c r="W456" i="18" a="1"/>
  <c r="W456" i="18" s="1"/>
  <c r="X456" i="18" s="1"/>
  <c r="W454" i="18" a="1"/>
  <c r="W454" i="18" s="1"/>
  <c r="X454" i="18" s="1"/>
  <c r="W450" i="18" a="1"/>
  <c r="W450" i="18" s="1"/>
  <c r="X450" i="18" s="1"/>
  <c r="W460" i="18" a="1"/>
  <c r="W460" i="18" s="1"/>
  <c r="X460" i="18" s="1"/>
  <c r="W458" i="18" a="1"/>
  <c r="W458" i="18" s="1"/>
  <c r="X458" i="18" s="1"/>
  <c r="W432" i="18" a="1"/>
  <c r="W432" i="18" s="1"/>
  <c r="X432" i="18" s="1"/>
  <c r="W425" i="18" a="1"/>
  <c r="W425" i="18" s="1"/>
  <c r="X425" i="18" s="1"/>
  <c r="W424" i="18" a="1"/>
  <c r="W424" i="18" s="1"/>
  <c r="X424" i="18" s="1"/>
  <c r="W422" i="18" a="1"/>
  <c r="W422" i="18" s="1"/>
  <c r="X422" i="18" s="1"/>
  <c r="W412" i="18" a="1"/>
  <c r="W412" i="18" s="1"/>
  <c r="X412" i="18" s="1"/>
  <c r="W409" i="18" a="1"/>
  <c r="W409" i="18" s="1"/>
  <c r="X409" i="18" s="1"/>
  <c r="W404" i="18" a="1"/>
  <c r="W404" i="18" s="1"/>
  <c r="X404" i="18" s="1"/>
  <c r="W400" i="18" a="1"/>
  <c r="W400" i="18" s="1"/>
  <c r="X400" i="18" s="1"/>
  <c r="W449" i="18" a="1"/>
  <c r="W449" i="18" s="1"/>
  <c r="X449" i="18" s="1"/>
  <c r="W431" i="18" a="1"/>
  <c r="W431" i="18" s="1"/>
  <c r="X431" i="18" s="1"/>
  <c r="W421" i="18" a="1"/>
  <c r="W421" i="18" s="1"/>
  <c r="X421" i="18" s="1"/>
  <c r="W448" i="18" a="1"/>
  <c r="W448" i="18" s="1"/>
  <c r="X448" i="18" s="1"/>
  <c r="W441" i="18" a="1"/>
  <c r="W441" i="18" s="1"/>
  <c r="X441" i="18" s="1"/>
  <c r="W440" i="18" a="1"/>
  <c r="W440" i="18" s="1"/>
  <c r="X440" i="18" s="1"/>
  <c r="W438" i="18" a="1"/>
  <c r="W438" i="18" s="1"/>
  <c r="X438" i="18" s="1"/>
  <c r="W437" i="18" a="1"/>
  <c r="W437" i="18" s="1"/>
  <c r="X437" i="18" s="1"/>
  <c r="W435" i="18" a="1"/>
  <c r="W435" i="18" s="1"/>
  <c r="X435" i="18" s="1"/>
  <c r="W430" i="18" a="1"/>
  <c r="W430" i="18" s="1"/>
  <c r="X430" i="18" s="1"/>
  <c r="W420" i="18" a="1"/>
  <c r="W420" i="18" s="1"/>
  <c r="X420" i="18" s="1"/>
  <c r="W419" i="18" a="1"/>
  <c r="W419" i="18" s="1"/>
  <c r="X419" i="18" s="1"/>
  <c r="W411" i="18" a="1"/>
  <c r="W411" i="18" s="1"/>
  <c r="X411" i="18" s="1"/>
  <c r="W406" i="18" a="1"/>
  <c r="W406" i="18" s="1"/>
  <c r="X406" i="18" s="1"/>
  <c r="W455" i="18" a="1"/>
  <c r="W455" i="18" s="1"/>
  <c r="X455" i="18" s="1"/>
  <c r="W439" i="18" a="1"/>
  <c r="W439" i="18" s="1"/>
  <c r="X439" i="18" s="1"/>
  <c r="W436" i="18" a="1"/>
  <c r="W436" i="18" s="1"/>
  <c r="X436" i="18" s="1"/>
  <c r="W429" i="18" a="1"/>
  <c r="W429" i="18" s="1"/>
  <c r="X429" i="18" s="1"/>
  <c r="W428" i="18" a="1"/>
  <c r="W428" i="18" s="1"/>
  <c r="X428" i="18" s="1"/>
  <c r="W427" i="18" a="1"/>
  <c r="W427" i="18" s="1"/>
  <c r="X427" i="18" s="1"/>
  <c r="W390" i="18" a="1"/>
  <c r="W390" i="18" s="1"/>
  <c r="X390" i="18" s="1"/>
  <c r="W466" i="18" a="1"/>
  <c r="W466" i="18" s="1"/>
  <c r="X466" i="18" s="1"/>
  <c r="W434" i="18" a="1"/>
  <c r="W434" i="18" s="1"/>
  <c r="X434" i="18" s="1"/>
  <c r="W418" i="18" a="1"/>
  <c r="W418" i="18" s="1"/>
  <c r="X418" i="18" s="1"/>
  <c r="W398" i="18" a="1"/>
  <c r="W398" i="18" s="1"/>
  <c r="X398" i="18" s="1"/>
  <c r="W396" i="18" a="1"/>
  <c r="W396" i="18" s="1"/>
  <c r="X396" i="18" s="1"/>
  <c r="W459" i="18" a="1"/>
  <c r="W459" i="18" s="1"/>
  <c r="X459" i="18" s="1"/>
  <c r="W446" i="18" a="1"/>
  <c r="W446" i="18" s="1"/>
  <c r="X446" i="18" s="1"/>
  <c r="W442" i="18" a="1"/>
  <c r="W442" i="18" s="1"/>
  <c r="X442" i="18" s="1"/>
  <c r="W433" i="18" a="1"/>
  <c r="W433" i="18" s="1"/>
  <c r="X433" i="18" s="1"/>
  <c r="W423" i="18" a="1"/>
  <c r="W423" i="18" s="1"/>
  <c r="X423" i="18" s="1"/>
  <c r="W413" i="18" a="1"/>
  <c r="W413" i="18" s="1"/>
  <c r="X413" i="18" s="1"/>
  <c r="W392" i="18" a="1"/>
  <c r="W392" i="18" s="1"/>
  <c r="X392" i="18" s="1"/>
  <c r="W387" i="18" a="1"/>
  <c r="W387" i="18" s="1"/>
  <c r="X387" i="18" s="1"/>
  <c r="W383" i="18" a="1"/>
  <c r="W383" i="18" s="1"/>
  <c r="X383" i="18" s="1"/>
  <c r="W382" i="18" a="1"/>
  <c r="W382" i="18" s="1"/>
  <c r="X382" i="18" s="1"/>
  <c r="W380" i="18" a="1"/>
  <c r="W380" i="18" s="1"/>
  <c r="X380" i="18" s="1"/>
  <c r="W373" i="18" a="1"/>
  <c r="W373" i="18" s="1"/>
  <c r="X373" i="18" s="1"/>
  <c r="W347" i="18" a="1"/>
  <c r="W347" i="18" s="1"/>
  <c r="X347" i="18" s="1"/>
  <c r="W346" i="18" a="1"/>
  <c r="W346" i="18" s="1"/>
  <c r="X346" i="18" s="1"/>
  <c r="W415" i="18" a="1"/>
  <c r="W415" i="18" s="1"/>
  <c r="X415" i="18" s="1"/>
  <c r="W410" i="18" a="1"/>
  <c r="W410" i="18" s="1"/>
  <c r="X410" i="18" s="1"/>
  <c r="W375" i="18" a="1"/>
  <c r="W375" i="18" s="1"/>
  <c r="X375" i="18" s="1"/>
  <c r="W374" i="18" a="1"/>
  <c r="W374" i="18" s="1"/>
  <c r="X374" i="18" s="1"/>
  <c r="W372" i="18" a="1"/>
  <c r="W372" i="18" s="1"/>
  <c r="X372" i="18" s="1"/>
  <c r="W370" i="18" a="1"/>
  <c r="W370" i="18" s="1"/>
  <c r="X370" i="18" s="1"/>
  <c r="W350" i="18" a="1"/>
  <c r="W350" i="18" s="1"/>
  <c r="X350" i="18" s="1"/>
  <c r="W349" i="18" a="1"/>
  <c r="W349" i="18" s="1"/>
  <c r="X349" i="18" s="1"/>
  <c r="W348" i="18" a="1"/>
  <c r="W348" i="18" s="1"/>
  <c r="X348" i="18" s="1"/>
  <c r="W444" i="18" a="1"/>
  <c r="W444" i="18" s="1"/>
  <c r="X444" i="18" s="1"/>
  <c r="W426" i="18" a="1"/>
  <c r="W426" i="18" s="1"/>
  <c r="X426" i="18" s="1"/>
  <c r="W403" i="18" a="1"/>
  <c r="W403" i="18" s="1"/>
  <c r="X403" i="18" s="1"/>
  <c r="W397" i="18" a="1"/>
  <c r="W397" i="18" s="1"/>
  <c r="X397" i="18" s="1"/>
  <c r="W388" i="18" a="1"/>
  <c r="W388" i="18" s="1"/>
  <c r="X388" i="18" s="1"/>
  <c r="W368" i="18" a="1"/>
  <c r="W368" i="18" s="1"/>
  <c r="X368" i="18" s="1"/>
  <c r="W407" i="18" a="1"/>
  <c r="W407" i="18" s="1"/>
  <c r="X407" i="18" s="1"/>
  <c r="W405" i="18" a="1"/>
  <c r="W405" i="18" s="1"/>
  <c r="X405" i="18" s="1"/>
  <c r="W401" i="18" a="1"/>
  <c r="W401" i="18" s="1"/>
  <c r="X401" i="18" s="1"/>
  <c r="W393" i="18" a="1"/>
  <c r="W393" i="18" s="1"/>
  <c r="X393" i="18" s="1"/>
  <c r="W369" i="18" a="1"/>
  <c r="W369" i="18" s="1"/>
  <c r="X369" i="18" s="1"/>
  <c r="W443" i="18" a="1"/>
  <c r="W443" i="18" s="1"/>
  <c r="X443" i="18" s="1"/>
  <c r="W414" i="18" a="1"/>
  <c r="W414" i="18" s="1"/>
  <c r="X414" i="18" s="1"/>
  <c r="W394" i="18" a="1"/>
  <c r="W394" i="18" s="1"/>
  <c r="X394" i="18" s="1"/>
  <c r="W389" i="18" a="1"/>
  <c r="W389" i="18" s="1"/>
  <c r="X389" i="18" s="1"/>
  <c r="W366" i="18" a="1"/>
  <c r="W366" i="18" s="1"/>
  <c r="X366" i="18" s="1"/>
  <c r="W365" i="18" a="1"/>
  <c r="W365" i="18" s="1"/>
  <c r="X365" i="18" s="1"/>
  <c r="W360" i="18" a="1"/>
  <c r="W360" i="18" s="1"/>
  <c r="X360" i="18" s="1"/>
  <c r="W358" i="18" a="1"/>
  <c r="W358" i="18" s="1"/>
  <c r="X358" i="18" s="1"/>
  <c r="W357" i="18" a="1"/>
  <c r="W357" i="18" s="1"/>
  <c r="X357" i="18" s="1"/>
  <c r="W354" i="18" a="1"/>
  <c r="W354" i="18" s="1"/>
  <c r="X354" i="18" s="1"/>
  <c r="W344" i="18" a="1"/>
  <c r="W344" i="18" s="1"/>
  <c r="X344" i="18" s="1"/>
  <c r="W445" i="18" a="1"/>
  <c r="W445" i="18" s="1"/>
  <c r="X445" i="18" s="1"/>
  <c r="W402" i="18" a="1"/>
  <c r="W402" i="18" s="1"/>
  <c r="X402" i="18" s="1"/>
  <c r="W386" i="18" a="1"/>
  <c r="W386" i="18" s="1"/>
  <c r="X386" i="18" s="1"/>
  <c r="W385" i="18" a="1"/>
  <c r="W385" i="18" s="1"/>
  <c r="X385" i="18" s="1"/>
  <c r="W381" i="18" a="1"/>
  <c r="W381" i="18" s="1"/>
  <c r="X381" i="18" s="1"/>
  <c r="W417" i="18" a="1"/>
  <c r="W417" i="18" s="1"/>
  <c r="X417" i="18" s="1"/>
  <c r="W399" i="18" a="1"/>
  <c r="W399" i="18" s="1"/>
  <c r="X399" i="18" s="1"/>
  <c r="W371" i="18" a="1"/>
  <c r="W371" i="18" s="1"/>
  <c r="X371" i="18" s="1"/>
  <c r="W345" i="18" a="1"/>
  <c r="W345" i="18" s="1"/>
  <c r="X345" i="18" s="1"/>
  <c r="W341" i="18" a="1"/>
  <c r="W341" i="18" s="1"/>
  <c r="X341" i="18" s="1"/>
  <c r="W453" i="18" a="1"/>
  <c r="W453" i="18" s="1"/>
  <c r="X453" i="18" s="1"/>
  <c r="W408" i="18" a="1"/>
  <c r="W408" i="18" s="1"/>
  <c r="X408" i="18" s="1"/>
  <c r="W377" i="18" a="1"/>
  <c r="W377" i="18" s="1"/>
  <c r="X377" i="18" s="1"/>
  <c r="W376" i="18" a="1"/>
  <c r="W376" i="18" s="1"/>
  <c r="X376" i="18" s="1"/>
  <c r="W340" i="18" a="1"/>
  <c r="W340" i="18" s="1"/>
  <c r="X340" i="18" s="1"/>
  <c r="W333" i="18" a="1"/>
  <c r="W333" i="18" s="1"/>
  <c r="X333" i="18" s="1"/>
  <c r="W319" i="18" a="1"/>
  <c r="W319" i="18" s="1"/>
  <c r="X319" i="18" s="1"/>
  <c r="W318" i="18" a="1"/>
  <c r="W318" i="18" s="1"/>
  <c r="X318" i="18" s="1"/>
  <c r="W391" i="18" a="1"/>
  <c r="W391" i="18" s="1"/>
  <c r="X391" i="18" s="1"/>
  <c r="W363" i="18" a="1"/>
  <c r="W363" i="18" s="1"/>
  <c r="X363" i="18" s="1"/>
  <c r="W352" i="18" a="1"/>
  <c r="W352" i="18" s="1"/>
  <c r="X352" i="18" s="1"/>
  <c r="W342" i="18" a="1"/>
  <c r="W342" i="18" s="1"/>
  <c r="X342" i="18" s="1"/>
  <c r="W339" i="18" a="1"/>
  <c r="W339" i="18" s="1"/>
  <c r="X339" i="18" s="1"/>
  <c r="W329" i="18" a="1"/>
  <c r="W329" i="18" s="1"/>
  <c r="X329" i="18" s="1"/>
  <c r="W328" i="18" a="1"/>
  <c r="W328" i="18" s="1"/>
  <c r="X328" i="18" s="1"/>
  <c r="W325" i="18" a="1"/>
  <c r="W325" i="18" s="1"/>
  <c r="X325" i="18" s="1"/>
  <c r="W321" i="18" a="1"/>
  <c r="W321" i="18" s="1"/>
  <c r="X321" i="18" s="1"/>
  <c r="W307" i="18" a="1"/>
  <c r="W307" i="18" s="1"/>
  <c r="X307" i="18" s="1"/>
  <c r="W297" i="18" a="1"/>
  <c r="W297" i="18" s="1"/>
  <c r="X297" i="18" s="1"/>
  <c r="W457" i="18" a="1"/>
  <c r="W457" i="18" s="1"/>
  <c r="X457" i="18" s="1"/>
  <c r="W384" i="18" a="1"/>
  <c r="W384" i="18" s="1"/>
  <c r="X384" i="18" s="1"/>
  <c r="W367" i="18" a="1"/>
  <c r="W367" i="18" s="1"/>
  <c r="X367" i="18" s="1"/>
  <c r="W361" i="18" a="1"/>
  <c r="W361" i="18" s="1"/>
  <c r="X361" i="18" s="1"/>
  <c r="W359" i="18" a="1"/>
  <c r="W359" i="18" s="1"/>
  <c r="X359" i="18" s="1"/>
  <c r="W338" i="18" a="1"/>
  <c r="W338" i="18" s="1"/>
  <c r="X338" i="18" s="1"/>
  <c r="W332" i="18" a="1"/>
  <c r="W332" i="18" s="1"/>
  <c r="X332" i="18" s="1"/>
  <c r="W331" i="18" a="1"/>
  <c r="W331" i="18" s="1"/>
  <c r="X331" i="18" s="1"/>
  <c r="W330" i="18" a="1"/>
  <c r="W330" i="18" s="1"/>
  <c r="X330" i="18" s="1"/>
  <c r="W322" i="18" a="1"/>
  <c r="W322" i="18" s="1"/>
  <c r="X322" i="18" s="1"/>
  <c r="W313" i="18" a="1"/>
  <c r="W313" i="18" s="1"/>
  <c r="X313" i="18" s="1"/>
  <c r="W308" i="18" a="1"/>
  <c r="W308" i="18" s="1"/>
  <c r="X308" i="18" s="1"/>
  <c r="W356" i="18" a="1"/>
  <c r="W356" i="18" s="1"/>
  <c r="X356" i="18" s="1"/>
  <c r="W337" i="18" a="1"/>
  <c r="W337" i="18" s="1"/>
  <c r="X337" i="18" s="1"/>
  <c r="W314" i="18" a="1"/>
  <c r="W314" i="18" s="1"/>
  <c r="X314" i="18" s="1"/>
  <c r="W298" i="18" a="1"/>
  <c r="W298" i="18" s="1"/>
  <c r="X298" i="18" s="1"/>
  <c r="W379" i="18" a="1"/>
  <c r="W379" i="18" s="1"/>
  <c r="X379" i="18" s="1"/>
  <c r="W326" i="18" a="1"/>
  <c r="W326" i="18" s="1"/>
  <c r="X326" i="18" s="1"/>
  <c r="W323" i="18" a="1"/>
  <c r="W323" i="18" s="1"/>
  <c r="X323" i="18" s="1"/>
  <c r="W315" i="18" a="1"/>
  <c r="W315" i="18" s="1"/>
  <c r="X315" i="18" s="1"/>
  <c r="W302" i="18" a="1"/>
  <c r="W302" i="18" s="1"/>
  <c r="X302" i="18" s="1"/>
  <c r="W299" i="18" a="1"/>
  <c r="W299" i="18" s="1"/>
  <c r="X299" i="18" s="1"/>
  <c r="W416" i="18" a="1"/>
  <c r="W416" i="18" s="1"/>
  <c r="X416" i="18" s="1"/>
  <c r="W395" i="18" a="1"/>
  <c r="W395" i="18" s="1"/>
  <c r="X395" i="18" s="1"/>
  <c r="W378" i="18" a="1"/>
  <c r="W378" i="18" s="1"/>
  <c r="X378" i="18" s="1"/>
  <c r="W364" i="18" a="1"/>
  <c r="W364" i="18" s="1"/>
  <c r="X364" i="18" s="1"/>
  <c r="W353" i="18" a="1"/>
  <c r="W353" i="18" s="1"/>
  <c r="X353" i="18" s="1"/>
  <c r="W351" i="18" a="1"/>
  <c r="W351" i="18" s="1"/>
  <c r="X351" i="18" s="1"/>
  <c r="W317" i="18" a="1"/>
  <c r="W317" i="18" s="1"/>
  <c r="X317" i="18" s="1"/>
  <c r="W316" i="18" a="1"/>
  <c r="W316" i="18" s="1"/>
  <c r="X316" i="18" s="1"/>
  <c r="W310" i="18" a="1"/>
  <c r="W310" i="18" s="1"/>
  <c r="X310" i="18" s="1"/>
  <c r="W309" i="18" a="1"/>
  <c r="W309" i="18" s="1"/>
  <c r="X309" i="18" s="1"/>
  <c r="W303" i="18" a="1"/>
  <c r="W303" i="18" s="1"/>
  <c r="X303" i="18" s="1"/>
  <c r="W324" i="18" a="1"/>
  <c r="W324" i="18" s="1"/>
  <c r="X324" i="18" s="1"/>
  <c r="W305" i="18" a="1"/>
  <c r="W305" i="18" s="1"/>
  <c r="X305" i="18" s="1"/>
  <c r="W295" i="18" a="1"/>
  <c r="W295" i="18" s="1"/>
  <c r="X295" i="18" s="1"/>
  <c r="W279" i="18" a="1"/>
  <c r="W279" i="18" s="1"/>
  <c r="X279" i="18" s="1"/>
  <c r="W270" i="18" a="1"/>
  <c r="W270" i="18" s="1"/>
  <c r="X270" i="18" s="1"/>
  <c r="W269" i="18" a="1"/>
  <c r="W269" i="18" s="1"/>
  <c r="X269" i="18" s="1"/>
  <c r="W268" i="18" a="1"/>
  <c r="W268" i="18" s="1"/>
  <c r="X268" i="18" s="1"/>
  <c r="W327" i="18" a="1"/>
  <c r="W327" i="18" s="1"/>
  <c r="X327" i="18" s="1"/>
  <c r="W292" i="18" a="1"/>
  <c r="W292" i="18" s="1"/>
  <c r="X292" i="18" s="1"/>
  <c r="W287" i="18" a="1"/>
  <c r="W287" i="18" s="1"/>
  <c r="X287" i="18" s="1"/>
  <c r="W274" i="18" a="1"/>
  <c r="W274" i="18" s="1"/>
  <c r="X274" i="18" s="1"/>
  <c r="W273" i="18" a="1"/>
  <c r="W273" i="18" s="1"/>
  <c r="X273" i="18" s="1"/>
  <c r="W272" i="18" a="1"/>
  <c r="W272" i="18" s="1"/>
  <c r="X272" i="18" s="1"/>
  <c r="W260" i="18" a="1"/>
  <c r="W260" i="18" s="1"/>
  <c r="X260" i="18" s="1"/>
  <c r="W311" i="18" a="1"/>
  <c r="W311" i="18" s="1"/>
  <c r="X311" i="18" s="1"/>
  <c r="W289" i="18" a="1"/>
  <c r="W289" i="18" s="1"/>
  <c r="X289" i="18" s="1"/>
  <c r="W288" i="18" a="1"/>
  <c r="W288" i="18" s="1"/>
  <c r="X288" i="18" s="1"/>
  <c r="W283" i="18" a="1"/>
  <c r="W283" i="18" s="1"/>
  <c r="X283" i="18" s="1"/>
  <c r="W278" i="18" a="1"/>
  <c r="W278" i="18" s="1"/>
  <c r="X278" i="18" s="1"/>
  <c r="W262" i="18" a="1"/>
  <c r="W262" i="18" s="1"/>
  <c r="X262" i="18" s="1"/>
  <c r="W261" i="18" a="1"/>
  <c r="W261" i="18" s="1"/>
  <c r="X261" i="18" s="1"/>
  <c r="W252" i="18" a="1"/>
  <c r="W252" i="18" s="1"/>
  <c r="X252" i="18" s="1"/>
  <c r="W243" i="18" a="1"/>
  <c r="W243" i="18" s="1"/>
  <c r="X243" i="18" s="1"/>
  <c r="W306" i="18" a="1"/>
  <c r="W306" i="18" s="1"/>
  <c r="X306" i="18" s="1"/>
  <c r="W296" i="18" a="1"/>
  <c r="W296" i="18" s="1"/>
  <c r="X296" i="18" s="1"/>
  <c r="W277" i="18" a="1"/>
  <c r="W277" i="18" s="1"/>
  <c r="X277" i="18" s="1"/>
  <c r="W267" i="18" a="1"/>
  <c r="W267" i="18" s="1"/>
  <c r="X267" i="18" s="1"/>
  <c r="W265" i="18" a="1"/>
  <c r="W265" i="18" s="1"/>
  <c r="X265" i="18" s="1"/>
  <c r="W264" i="18" a="1"/>
  <c r="W264" i="18" s="1"/>
  <c r="X264" i="18" s="1"/>
  <c r="W257" i="18" a="1"/>
  <c r="W257" i="18" s="1"/>
  <c r="X257" i="18" s="1"/>
  <c r="W256" i="18" a="1"/>
  <c r="W256" i="18" s="1"/>
  <c r="X256" i="18" s="1"/>
  <c r="W253" i="18" a="1"/>
  <c r="W253" i="18" s="1"/>
  <c r="X253" i="18" s="1"/>
  <c r="W250" i="18" a="1"/>
  <c r="W250" i="18" s="1"/>
  <c r="X250" i="18" s="1"/>
  <c r="W242" i="18" a="1"/>
  <c r="W242" i="18" s="1"/>
  <c r="X242" i="18" s="1"/>
  <c r="W241" i="18" a="1"/>
  <c r="W241" i="18" s="1"/>
  <c r="X241" i="18" s="1"/>
  <c r="W240" i="18" a="1"/>
  <c r="W240" i="18" s="1"/>
  <c r="X240" i="18" s="1"/>
  <c r="W362" i="18" a="1"/>
  <c r="W362" i="18" s="1"/>
  <c r="X362" i="18" s="1"/>
  <c r="W336" i="18" a="1"/>
  <c r="W336" i="18" s="1"/>
  <c r="X336" i="18" s="1"/>
  <c r="W320" i="18" a="1"/>
  <c r="W320" i="18" s="1"/>
  <c r="X320" i="18" s="1"/>
  <c r="W304" i="18" a="1"/>
  <c r="W304" i="18" s="1"/>
  <c r="X304" i="18" s="1"/>
  <c r="W301" i="18" a="1"/>
  <c r="W301" i="18" s="1"/>
  <c r="X301" i="18" s="1"/>
  <c r="W293" i="18" a="1"/>
  <c r="W293" i="18" s="1"/>
  <c r="X293" i="18" s="1"/>
  <c r="W335" i="18" a="1"/>
  <c r="W335" i="18" s="1"/>
  <c r="X335" i="18" s="1"/>
  <c r="W334" i="18" a="1"/>
  <c r="W334" i="18" s="1"/>
  <c r="X334" i="18" s="1"/>
  <c r="W294" i="18" a="1"/>
  <c r="W294" i="18" s="1"/>
  <c r="X294" i="18" s="1"/>
  <c r="W285" i="18" a="1"/>
  <c r="W285" i="18" s="1"/>
  <c r="X285" i="18" s="1"/>
  <c r="W271" i="18" a="1"/>
  <c r="W271" i="18" s="1"/>
  <c r="X271" i="18" s="1"/>
  <c r="W266" i="18" a="1"/>
  <c r="W266" i="18" s="1"/>
  <c r="X266" i="18" s="1"/>
  <c r="W258" i="18" a="1"/>
  <c r="W258" i="18" s="1"/>
  <c r="X258" i="18" s="1"/>
  <c r="W255" i="18" a="1"/>
  <c r="W255" i="18" s="1"/>
  <c r="X255" i="18" s="1"/>
  <c r="W254" i="18" a="1"/>
  <c r="W254" i="18" s="1"/>
  <c r="X254" i="18" s="1"/>
  <c r="W355" i="18" a="1"/>
  <c r="W355" i="18" s="1"/>
  <c r="X355" i="18" s="1"/>
  <c r="W300" i="18" a="1"/>
  <c r="W300" i="18" s="1"/>
  <c r="X300" i="18" s="1"/>
  <c r="W290" i="18" a="1"/>
  <c r="W290" i="18" s="1"/>
  <c r="X290" i="18" s="1"/>
  <c r="AL4" i="18" a="1"/>
  <c r="AL4" i="18" s="1"/>
  <c r="U5" i="18" a="1"/>
  <c r="U5" i="18" s="1"/>
  <c r="S6" i="18" a="1"/>
  <c r="S6" i="18" s="1"/>
  <c r="AA6" i="18" a="1"/>
  <c r="AA6" i="18" s="1"/>
  <c r="AL6" i="18" a="1"/>
  <c r="AL6" i="18" s="1"/>
  <c r="AC7" i="18" a="1"/>
  <c r="AC7" i="18" s="1"/>
  <c r="AD7" i="18" s="1"/>
  <c r="AG7" i="18" a="1"/>
  <c r="AG7" i="18" s="1"/>
  <c r="AH7" i="18" s="1"/>
  <c r="U7" i="18" a="1"/>
  <c r="U7" i="18" s="1"/>
  <c r="AB7" i="18" a="1"/>
  <c r="AB7" i="18" s="1"/>
  <c r="AP7" i="18" a="1"/>
  <c r="AP7" i="18" s="1"/>
  <c r="U8" i="18" a="1"/>
  <c r="U8" i="18" s="1"/>
  <c r="AB8" i="18" a="1"/>
  <c r="AB8" i="18" s="1"/>
  <c r="AP8" i="18" a="1"/>
  <c r="AP8" i="18" s="1"/>
  <c r="Y9" i="18" a="1"/>
  <c r="Y9" i="18" s="1"/>
  <c r="AB207" i="18" a="1"/>
  <c r="AB207" i="18" s="1"/>
  <c r="R208" i="18" a="1"/>
  <c r="R208" i="18" s="1"/>
  <c r="Y208" i="18" a="1"/>
  <c r="Y208" i="18" s="1"/>
  <c r="AB210" i="18" a="1"/>
  <c r="AB210" i="18" s="1"/>
  <c r="S211" i="18" a="1"/>
  <c r="S211" i="18" s="1"/>
  <c r="Y211" i="18" a="1"/>
  <c r="Y211" i="18" s="1"/>
  <c r="Z212" i="18" a="1"/>
  <c r="Z212" i="18" s="1"/>
  <c r="AB213" i="18" a="1"/>
  <c r="AB213" i="18" s="1"/>
  <c r="AP213" i="18" a="1"/>
  <c r="AP213" i="18" s="1"/>
  <c r="W214" i="18" a="1"/>
  <c r="W214" i="18" s="1"/>
  <c r="X214" i="18" s="1"/>
  <c r="Z215" i="18" a="1"/>
  <c r="Z215" i="18" s="1"/>
  <c r="AA217" i="18" a="1"/>
  <c r="AA217" i="18" s="1"/>
  <c r="AP217" i="18" a="1"/>
  <c r="AP217" i="18" s="1"/>
  <c r="W218" i="18" a="1"/>
  <c r="W218" i="18" s="1"/>
  <c r="X218" i="18" s="1"/>
  <c r="AB219" i="18" a="1"/>
  <c r="AB219" i="18" s="1"/>
  <c r="R220" i="18" a="1"/>
  <c r="R220" i="18" s="1"/>
  <c r="Y220" i="18" a="1"/>
  <c r="Y220" i="18" s="1"/>
  <c r="AA221" i="18" a="1"/>
  <c r="AA221" i="18" s="1"/>
  <c r="AP221" i="18" a="1"/>
  <c r="AP221" i="18" s="1"/>
  <c r="AL222" i="18" a="1"/>
  <c r="AL222" i="18" s="1"/>
  <c r="AL223" i="18" a="1"/>
  <c r="AL223" i="18" s="1"/>
  <c r="AB224" i="18" a="1"/>
  <c r="AB224" i="18" s="1"/>
  <c r="AG225" i="18" a="1"/>
  <c r="AG225" i="18" s="1"/>
  <c r="AH225" i="18" s="1"/>
  <c r="AC225" i="18" a="1"/>
  <c r="AC225" i="18" s="1"/>
  <c r="AD225" i="18" s="1"/>
  <c r="AA225" i="18" a="1"/>
  <c r="AA225" i="18" s="1"/>
  <c r="AG226" i="18" a="1"/>
  <c r="AG226" i="18" s="1"/>
  <c r="AH226" i="18" s="1"/>
  <c r="AC226" i="18" a="1"/>
  <c r="AC226" i="18" s="1"/>
  <c r="AD226" i="18" s="1"/>
  <c r="Z226" i="18" a="1"/>
  <c r="Z226" i="18" s="1"/>
  <c r="AL226" i="18" a="1"/>
  <c r="AL226" i="18" s="1"/>
  <c r="AA227" i="18" a="1"/>
  <c r="AA227" i="18" s="1"/>
  <c r="AB228" i="18" a="1"/>
  <c r="AB228" i="18" s="1"/>
  <c r="AP229" i="18" a="1"/>
  <c r="AP229" i="18" s="1"/>
  <c r="AP231" i="18" a="1"/>
  <c r="AP231" i="18" s="1"/>
  <c r="AG232" i="18" a="1"/>
  <c r="AG232" i="18" s="1"/>
  <c r="AH232" i="18" s="1"/>
  <c r="AC232" i="18" a="1"/>
  <c r="AC232" i="18" s="1"/>
  <c r="AD232" i="18" s="1"/>
  <c r="W232" i="18" a="1"/>
  <c r="W232" i="18" s="1"/>
  <c r="X232" i="18" s="1"/>
  <c r="AA233" i="18" a="1"/>
  <c r="AA233" i="18" s="1"/>
  <c r="AA234" i="18" a="1"/>
  <c r="AA234" i="18" s="1"/>
  <c r="W238" i="18" a="1"/>
  <c r="W238" i="18" s="1"/>
  <c r="X238" i="18" s="1"/>
  <c r="S239" i="18" a="1"/>
  <c r="S239" i="18" s="1"/>
  <c r="Z239" i="18" a="1"/>
  <c r="Z239" i="18" s="1"/>
  <c r="AP240" i="18" a="1"/>
  <c r="AP240" i="18" s="1"/>
  <c r="S241" i="18" a="1"/>
  <c r="S241" i="18" s="1"/>
  <c r="AA241" i="18" a="1"/>
  <c r="AA241" i="18" s="1"/>
  <c r="AG242" i="18" a="1"/>
  <c r="AG242" i="18" s="1"/>
  <c r="AH242" i="18" s="1"/>
  <c r="AC242" i="18" a="1"/>
  <c r="AC242" i="18" s="1"/>
  <c r="AD242" i="18" s="1"/>
  <c r="AG244" i="18" a="1"/>
  <c r="AG244" i="18" s="1"/>
  <c r="AH244" i="18" s="1"/>
  <c r="AC244" i="18" a="1"/>
  <c r="AC244" i="18" s="1"/>
  <c r="AD244" i="18" s="1"/>
  <c r="S245" i="18" a="1"/>
  <c r="S245" i="18" s="1"/>
  <c r="AB245" i="18" a="1"/>
  <c r="AB245" i="18" s="1"/>
  <c r="R246" i="18" a="1"/>
  <c r="R246" i="18" s="1"/>
  <c r="Y246" i="18" a="1"/>
  <c r="Y246" i="18" s="1"/>
  <c r="AL246" i="18" a="1"/>
  <c r="AL246" i="18" s="1"/>
  <c r="W247" i="18" a="1"/>
  <c r="W247" i="18" s="1"/>
  <c r="X247" i="18" s="1"/>
  <c r="AP251" i="18" a="1"/>
  <c r="AP251" i="18" s="1"/>
  <c r="AB261" i="18" a="1"/>
  <c r="AB261" i="18" s="1"/>
  <c r="S263" i="18" a="1"/>
  <c r="S263" i="18" s="1"/>
  <c r="AP264" i="18" a="1"/>
  <c r="AP264" i="18" s="1"/>
  <c r="R266" i="18" a="1"/>
  <c r="R266" i="18" s="1"/>
  <c r="AA268" i="18" a="1"/>
  <c r="AA268" i="18" s="1"/>
  <c r="Y278" i="18" a="1"/>
  <c r="Y278" i="18" s="1"/>
  <c r="R281" i="18" a="1"/>
  <c r="R281" i="18" s="1"/>
  <c r="AB288" i="18" a="1"/>
  <c r="AB288" i="18" s="1"/>
  <c r="S290" i="18" a="1"/>
  <c r="S290" i="18" s="1"/>
  <c r="R293" i="18" a="1"/>
  <c r="R293" i="18" s="1"/>
  <c r="AA302" i="18" a="1"/>
  <c r="AA302" i="18" s="1"/>
  <c r="AB303" i="18" a="1"/>
  <c r="AB303" i="18" s="1"/>
  <c r="AL374" i="18" a="1"/>
  <c r="AL374" i="18" s="1"/>
  <c r="R415" i="18" a="1"/>
  <c r="R415" i="18" s="1"/>
  <c r="AP649" i="18" a="1"/>
  <c r="AP649" i="18" s="1"/>
  <c r="AP646" i="18" a="1"/>
  <c r="AP646" i="18" s="1"/>
  <c r="AP653" i="18" a="1"/>
  <c r="AP653" i="18" s="1"/>
  <c r="AP650" i="18" a="1"/>
  <c r="AP650" i="18" s="1"/>
  <c r="AP651" i="18" a="1"/>
  <c r="AP651" i="18" s="1"/>
  <c r="AP648" i="18" a="1"/>
  <c r="AP648" i="18" s="1"/>
  <c r="AP645" i="18" a="1"/>
  <c r="AP645" i="18" s="1"/>
  <c r="AP638" i="18" a="1"/>
  <c r="AP638" i="18" s="1"/>
  <c r="AP617" i="18" a="1"/>
  <c r="AP617" i="18" s="1"/>
  <c r="AP640" i="18" a="1"/>
  <c r="AP640" i="18" s="1"/>
  <c r="AP631" i="18" a="1"/>
  <c r="AP631" i="18" s="1"/>
  <c r="AP623" i="18" a="1"/>
  <c r="AP623" i="18" s="1"/>
  <c r="AP619" i="18" a="1"/>
  <c r="AP619" i="18" s="1"/>
  <c r="AP616" i="18" a="1"/>
  <c r="AP616" i="18" s="1"/>
  <c r="AP647" i="18" a="1"/>
  <c r="AP647" i="18" s="1"/>
  <c r="AP642" i="18" a="1"/>
  <c r="AP642" i="18" s="1"/>
  <c r="AP628" i="18" a="1"/>
  <c r="AP628" i="18" s="1"/>
  <c r="AP652" i="18" a="1"/>
  <c r="AP652" i="18" s="1"/>
  <c r="AP633" i="18" a="1"/>
  <c r="AP633" i="18" s="1"/>
  <c r="AP625" i="18" a="1"/>
  <c r="AP625" i="18" s="1"/>
  <c r="AP624" i="18" a="1"/>
  <c r="AP624" i="18" s="1"/>
  <c r="AP626" i="18" a="1"/>
  <c r="AP626" i="18" s="1"/>
  <c r="AP643" i="18" a="1"/>
  <c r="AP643" i="18" s="1"/>
  <c r="AP641" i="18" a="1"/>
  <c r="AP641" i="18" s="1"/>
  <c r="AP632" i="18" a="1"/>
  <c r="AP632" i="18" s="1"/>
  <c r="AP622" i="18" a="1"/>
  <c r="AP622" i="18" s="1"/>
  <c r="AP637" i="18" a="1"/>
  <c r="AP637" i="18" s="1"/>
  <c r="AP612" i="18" a="1"/>
  <c r="AP612" i="18" s="1"/>
  <c r="AP610" i="18" a="1"/>
  <c r="AP610" i="18" s="1"/>
  <c r="AP607" i="18" a="1"/>
  <c r="AP607" i="18" s="1"/>
  <c r="AP606" i="18" a="1"/>
  <c r="AP606" i="18" s="1"/>
  <c r="AP598" i="18" a="1"/>
  <c r="AP598" i="18" s="1"/>
  <c r="AP596" i="18" a="1"/>
  <c r="AP596" i="18" s="1"/>
  <c r="AP636" i="18" a="1"/>
  <c r="AP636" i="18" s="1"/>
  <c r="AP630" i="18" a="1"/>
  <c r="AP630" i="18" s="1"/>
  <c r="AP621" i="18" a="1"/>
  <c r="AP621" i="18" s="1"/>
  <c r="AP614" i="18" a="1"/>
  <c r="AP614" i="18" s="1"/>
  <c r="AP613" i="18" a="1"/>
  <c r="AP613" i="18" s="1"/>
  <c r="AP602" i="18" a="1"/>
  <c r="AP602" i="18" s="1"/>
  <c r="AP644" i="18" a="1"/>
  <c r="AP644" i="18" s="1"/>
  <c r="AP635" i="18" a="1"/>
  <c r="AP635" i="18" s="1"/>
  <c r="AP639" i="18" a="1"/>
  <c r="AP639" i="18" s="1"/>
  <c r="AP604" i="18" a="1"/>
  <c r="AP604" i="18" s="1"/>
  <c r="AP609" i="18" a="1"/>
  <c r="AP609" i="18" s="1"/>
  <c r="AP595" i="18" a="1"/>
  <c r="AP595" i="18" s="1"/>
  <c r="AP608" i="18" a="1"/>
  <c r="AP608" i="18" s="1"/>
  <c r="AP586" i="18" a="1"/>
  <c r="AP586" i="18" s="1"/>
  <c r="AP572" i="18" a="1"/>
  <c r="AP572" i="18" s="1"/>
  <c r="AP570" i="18" a="1"/>
  <c r="AP570" i="18" s="1"/>
  <c r="AP563" i="18" a="1"/>
  <c r="AP563" i="18" s="1"/>
  <c r="AP562" i="18" a="1"/>
  <c r="AP562" i="18" s="1"/>
  <c r="AP543" i="18" a="1"/>
  <c r="AP543" i="18" s="1"/>
  <c r="AP603" i="18" a="1"/>
  <c r="AP603" i="18" s="1"/>
  <c r="AP601" i="18" a="1"/>
  <c r="AP601" i="18" s="1"/>
  <c r="AP594" i="18" a="1"/>
  <c r="AP594" i="18" s="1"/>
  <c r="AP593" i="18" a="1"/>
  <c r="AP593" i="18" s="1"/>
  <c r="AP592" i="18" a="1"/>
  <c r="AP592" i="18" s="1"/>
  <c r="AP588" i="18" a="1"/>
  <c r="AP588" i="18" s="1"/>
  <c r="AP571" i="18" a="1"/>
  <c r="AP571" i="18" s="1"/>
  <c r="AP569" i="18" a="1"/>
  <c r="AP569" i="18" s="1"/>
  <c r="AP568" i="18" a="1"/>
  <c r="AP568" i="18" s="1"/>
  <c r="AP561" i="18" a="1"/>
  <c r="AP561" i="18" s="1"/>
  <c r="AP560" i="18" a="1"/>
  <c r="AP560" i="18" s="1"/>
  <c r="AP556" i="18" a="1"/>
  <c r="AP556" i="18" s="1"/>
  <c r="AP554" i="18" a="1"/>
  <c r="AP554" i="18" s="1"/>
  <c r="AP547" i="18" a="1"/>
  <c r="AP547" i="18" s="1"/>
  <c r="AP546" i="18" a="1"/>
  <c r="AP546" i="18" s="1"/>
  <c r="AP540" i="18" a="1"/>
  <c r="AP540" i="18" s="1"/>
  <c r="AP634" i="18" a="1"/>
  <c r="AP634" i="18" s="1"/>
  <c r="AP627" i="18" a="1"/>
  <c r="AP627" i="18" s="1"/>
  <c r="AP576" i="18" a="1"/>
  <c r="AP576" i="18" s="1"/>
  <c r="AP555" i="18" a="1"/>
  <c r="AP555" i="18" s="1"/>
  <c r="AP611" i="18" a="1"/>
  <c r="AP611" i="18" s="1"/>
  <c r="AP599" i="18" a="1"/>
  <c r="AP599" i="18" s="1"/>
  <c r="AP597" i="18" a="1"/>
  <c r="AP597" i="18" s="1"/>
  <c r="AP581" i="18" a="1"/>
  <c r="AP581" i="18" s="1"/>
  <c r="AP567" i="18" a="1"/>
  <c r="AP567" i="18" s="1"/>
  <c r="AP583" i="18" a="1"/>
  <c r="AP583" i="18" s="1"/>
  <c r="AP582" i="18" a="1"/>
  <c r="AP582" i="18" s="1"/>
  <c r="AP580" i="18" a="1"/>
  <c r="AP580" i="18" s="1"/>
  <c r="AP578" i="18" a="1"/>
  <c r="AP578" i="18" s="1"/>
  <c r="AP575" i="18" a="1"/>
  <c r="AP575" i="18" s="1"/>
  <c r="AP574" i="18" a="1"/>
  <c r="AP574" i="18" s="1"/>
  <c r="AP566" i="18" a="1"/>
  <c r="AP566" i="18" s="1"/>
  <c r="AP538" i="18" a="1"/>
  <c r="AP538" i="18" s="1"/>
  <c r="AP620" i="18" a="1"/>
  <c r="AP620" i="18" s="1"/>
  <c r="AP605" i="18" a="1"/>
  <c r="AP605" i="18" s="1"/>
  <c r="AP600" i="18" a="1"/>
  <c r="AP600" i="18" s="1"/>
  <c r="AP591" i="18" a="1"/>
  <c r="AP591" i="18" s="1"/>
  <c r="AP577" i="18" a="1"/>
  <c r="AP577" i="18" s="1"/>
  <c r="AP558" i="18" a="1"/>
  <c r="AP558" i="18" s="1"/>
  <c r="AP557" i="18" a="1"/>
  <c r="AP557" i="18" s="1"/>
  <c r="AP539" i="18" a="1"/>
  <c r="AP539" i="18" s="1"/>
  <c r="AP584" i="18" a="1"/>
  <c r="AP584" i="18" s="1"/>
  <c r="AP579" i="18" a="1"/>
  <c r="AP579" i="18" s="1"/>
  <c r="AP533" i="18" a="1"/>
  <c r="AP533" i="18" s="1"/>
  <c r="AP530" i="18" a="1"/>
  <c r="AP530" i="18" s="1"/>
  <c r="AP517" i="18" a="1"/>
  <c r="AP517" i="18" s="1"/>
  <c r="AP587" i="18" a="1"/>
  <c r="AP587" i="18" s="1"/>
  <c r="AP550" i="18" a="1"/>
  <c r="AP550" i="18" s="1"/>
  <c r="AP527" i="18" a="1"/>
  <c r="AP527" i="18" s="1"/>
  <c r="AP524" i="18" a="1"/>
  <c r="AP524" i="18" s="1"/>
  <c r="AP518" i="18" a="1"/>
  <c r="AP518" i="18" s="1"/>
  <c r="AP513" i="18" a="1"/>
  <c r="AP513" i="18" s="1"/>
  <c r="AP509" i="18" a="1"/>
  <c r="AP509" i="18" s="1"/>
  <c r="AP508" i="18" a="1"/>
  <c r="AP508" i="18" s="1"/>
  <c r="AP615" i="18" a="1"/>
  <c r="AP615" i="18" s="1"/>
  <c r="AP585" i="18" a="1"/>
  <c r="AP585" i="18" s="1"/>
  <c r="AP564" i="18" a="1"/>
  <c r="AP564" i="18" s="1"/>
  <c r="AP541" i="18" a="1"/>
  <c r="AP541" i="18" s="1"/>
  <c r="AP535" i="18" a="1"/>
  <c r="AP535" i="18" s="1"/>
  <c r="AP521" i="18" a="1"/>
  <c r="AP521" i="18" s="1"/>
  <c r="AP514" i="18" a="1"/>
  <c r="AP514" i="18" s="1"/>
  <c r="AP497" i="18" a="1"/>
  <c r="AP497" i="18" s="1"/>
  <c r="AP496" i="18" a="1"/>
  <c r="AP496" i="18" s="1"/>
  <c r="AP495" i="18" a="1"/>
  <c r="AP495" i="18" s="1"/>
  <c r="AP493" i="18" a="1"/>
  <c r="AP493" i="18" s="1"/>
  <c r="AP618" i="18" a="1"/>
  <c r="AP618" i="18" s="1"/>
  <c r="AP551" i="18" a="1"/>
  <c r="AP551" i="18" s="1"/>
  <c r="AP544" i="18" a="1"/>
  <c r="AP544" i="18" s="1"/>
  <c r="AP542" i="18" a="1"/>
  <c r="AP542" i="18" s="1"/>
  <c r="AP531" i="18" a="1"/>
  <c r="AP531" i="18" s="1"/>
  <c r="AP510" i="18" a="1"/>
  <c r="AP510" i="18" s="1"/>
  <c r="AP629" i="18" a="1"/>
  <c r="AP629" i="18" s="1"/>
  <c r="AP590" i="18" a="1"/>
  <c r="AP590" i="18" s="1"/>
  <c r="AP573" i="18" a="1"/>
  <c r="AP573" i="18" s="1"/>
  <c r="AP553" i="18" a="1"/>
  <c r="AP553" i="18" s="1"/>
  <c r="AP548" i="18" a="1"/>
  <c r="AP548" i="18" s="1"/>
  <c r="AP545" i="18" a="1"/>
  <c r="AP545" i="18" s="1"/>
  <c r="AP529" i="18" a="1"/>
  <c r="AP529" i="18" s="1"/>
  <c r="AP526" i="18" a="1"/>
  <c r="AP526" i="18" s="1"/>
  <c r="AP515" i="18" a="1"/>
  <c r="AP515" i="18" s="1"/>
  <c r="AP511" i="18" a="1"/>
  <c r="AP511" i="18" s="1"/>
  <c r="AP506" i="18" a="1"/>
  <c r="AP506" i="18" s="1"/>
  <c r="AP589" i="18" a="1"/>
  <c r="AP589" i="18" s="1"/>
  <c r="AP532" i="18" a="1"/>
  <c r="AP532" i="18" s="1"/>
  <c r="AP520" i="18" a="1"/>
  <c r="AP520" i="18" s="1"/>
  <c r="AP519" i="18" a="1"/>
  <c r="AP519" i="18" s="1"/>
  <c r="AP537" i="18" a="1"/>
  <c r="AP537" i="18" s="1"/>
  <c r="AP528" i="18" a="1"/>
  <c r="AP528" i="18" s="1"/>
  <c r="AP505" i="18" a="1"/>
  <c r="AP505" i="18" s="1"/>
  <c r="AP489" i="18" a="1"/>
  <c r="AP489" i="18" s="1"/>
  <c r="AP478" i="18" a="1"/>
  <c r="AP478" i="18" s="1"/>
  <c r="AP536" i="18" a="1"/>
  <c r="AP536" i="18" s="1"/>
  <c r="AP500" i="18" a="1"/>
  <c r="AP500" i="18" s="1"/>
  <c r="AP486" i="18" a="1"/>
  <c r="AP486" i="18" s="1"/>
  <c r="AP482" i="18" a="1"/>
  <c r="AP482" i="18" s="1"/>
  <c r="AP552" i="18" a="1"/>
  <c r="AP552" i="18" s="1"/>
  <c r="AP512" i="18" a="1"/>
  <c r="AP512" i="18" s="1"/>
  <c r="AP502" i="18" a="1"/>
  <c r="AP502" i="18" s="1"/>
  <c r="AP501" i="18" a="1"/>
  <c r="AP501" i="18" s="1"/>
  <c r="AP475" i="18" a="1"/>
  <c r="AP475" i="18" s="1"/>
  <c r="AP525" i="18" a="1"/>
  <c r="AP525" i="18" s="1"/>
  <c r="AP516" i="18" a="1"/>
  <c r="AP516" i="18" s="1"/>
  <c r="AP507" i="18" a="1"/>
  <c r="AP507" i="18" s="1"/>
  <c r="AP490" i="18" a="1"/>
  <c r="AP490" i="18" s="1"/>
  <c r="AP485" i="18" a="1"/>
  <c r="AP485" i="18" s="1"/>
  <c r="AP480" i="18" a="1"/>
  <c r="AP480" i="18" s="1"/>
  <c r="AP479" i="18" a="1"/>
  <c r="AP479" i="18" s="1"/>
  <c r="AP534" i="18" a="1"/>
  <c r="AP534" i="18" s="1"/>
  <c r="AP494" i="18" a="1"/>
  <c r="AP494" i="18" s="1"/>
  <c r="AP483" i="18" a="1"/>
  <c r="AP483" i="18" s="1"/>
  <c r="AP504" i="18" a="1"/>
  <c r="AP504" i="18" s="1"/>
  <c r="AP498" i="18" a="1"/>
  <c r="AP498" i="18" s="1"/>
  <c r="AP492" i="18" a="1"/>
  <c r="AP492" i="18" s="1"/>
  <c r="AP487" i="18" a="1"/>
  <c r="AP487" i="18" s="1"/>
  <c r="AP549" i="18" a="1"/>
  <c r="AP549" i="18" s="1"/>
  <c r="AP488" i="18" a="1"/>
  <c r="AP488" i="18" s="1"/>
  <c r="AP481" i="18" a="1"/>
  <c r="AP481" i="18" s="1"/>
  <c r="AP484" i="18" a="1"/>
  <c r="AP484" i="18" s="1"/>
  <c r="AP459" i="18" a="1"/>
  <c r="AP459" i="18" s="1"/>
  <c r="AP456" i="18" a="1"/>
  <c r="AP456" i="18" s="1"/>
  <c r="AP465" i="18" a="1"/>
  <c r="AP465" i="18" s="1"/>
  <c r="AP458" i="18" a="1"/>
  <c r="AP458" i="18" s="1"/>
  <c r="AP457" i="18" a="1"/>
  <c r="AP457" i="18" s="1"/>
  <c r="AP447" i="18" a="1"/>
  <c r="AP447" i="18" s="1"/>
  <c r="AP559" i="18" a="1"/>
  <c r="AP559" i="18" s="1"/>
  <c r="AP472" i="18" a="1"/>
  <c r="AP472" i="18" s="1"/>
  <c r="AP471" i="18" a="1"/>
  <c r="AP471" i="18" s="1"/>
  <c r="AP470" i="18" a="1"/>
  <c r="AP470" i="18" s="1"/>
  <c r="AP464" i="18" a="1"/>
  <c r="AP464" i="18" s="1"/>
  <c r="AP463" i="18" a="1"/>
  <c r="AP463" i="18" s="1"/>
  <c r="AP461" i="18" a="1"/>
  <c r="AP461" i="18" s="1"/>
  <c r="AP522" i="18" a="1"/>
  <c r="AP522" i="18" s="1"/>
  <c r="AP476" i="18" a="1"/>
  <c r="AP476" i="18" s="1"/>
  <c r="AP462" i="18" a="1"/>
  <c r="AP462" i="18" s="1"/>
  <c r="AP453" i="18" a="1"/>
  <c r="AP453" i="18" s="1"/>
  <c r="AP451" i="18" a="1"/>
  <c r="AP451" i="18" s="1"/>
  <c r="AP503" i="18" a="1"/>
  <c r="AP503" i="18" s="1"/>
  <c r="AP499" i="18" a="1"/>
  <c r="AP499" i="18" s="1"/>
  <c r="AP474" i="18" a="1"/>
  <c r="AP474" i="18" s="1"/>
  <c r="AP473" i="18" a="1"/>
  <c r="AP473" i="18" s="1"/>
  <c r="AP469" i="18" a="1"/>
  <c r="AP469" i="18" s="1"/>
  <c r="AP468" i="18" a="1"/>
  <c r="AP468" i="18" s="1"/>
  <c r="AP523" i="18" a="1"/>
  <c r="AP523" i="18" s="1"/>
  <c r="AP491" i="18" a="1"/>
  <c r="AP491" i="18" s="1"/>
  <c r="AP477" i="18" a="1"/>
  <c r="AP477" i="18" s="1"/>
  <c r="AP467" i="18" a="1"/>
  <c r="AP467" i="18" s="1"/>
  <c r="AP460" i="18" a="1"/>
  <c r="AP460" i="18" s="1"/>
  <c r="AP455" i="18" a="1"/>
  <c r="AP455" i="18" s="1"/>
  <c r="AP449" i="18" a="1"/>
  <c r="AP449" i="18" s="1"/>
  <c r="AP452" i="18" a="1"/>
  <c r="AP452" i="18" s="1"/>
  <c r="AP423" i="18" a="1"/>
  <c r="AP423" i="18" s="1"/>
  <c r="AP416" i="18" a="1"/>
  <c r="AP416" i="18" s="1"/>
  <c r="AP414" i="18" a="1"/>
  <c r="AP414" i="18" s="1"/>
  <c r="AP409" i="18" a="1"/>
  <c r="AP409" i="18" s="1"/>
  <c r="AP399" i="18" a="1"/>
  <c r="AP399" i="18" s="1"/>
  <c r="AP396" i="18" a="1"/>
  <c r="AP396" i="18" s="1"/>
  <c r="AP444" i="18" a="1"/>
  <c r="AP444" i="18" s="1"/>
  <c r="AP442" i="18" a="1"/>
  <c r="AP442" i="18" s="1"/>
  <c r="AP441" i="18" a="1"/>
  <c r="AP441" i="18" s="1"/>
  <c r="AP431" i="18" a="1"/>
  <c r="AP431" i="18" s="1"/>
  <c r="AP421" i="18" a="1"/>
  <c r="AP421" i="18" s="1"/>
  <c r="AP437" i="18" a="1"/>
  <c r="AP437" i="18" s="1"/>
  <c r="AP432" i="18" a="1"/>
  <c r="AP432" i="18" s="1"/>
  <c r="AP424" i="18" a="1"/>
  <c r="AP424" i="18" s="1"/>
  <c r="AP422" i="18" a="1"/>
  <c r="AP422" i="18" s="1"/>
  <c r="AP412" i="18" a="1"/>
  <c r="AP412" i="18" s="1"/>
  <c r="AP411" i="18" a="1"/>
  <c r="AP411" i="18" s="1"/>
  <c r="AP403" i="18" a="1"/>
  <c r="AP403" i="18" s="1"/>
  <c r="AP446" i="18" a="1"/>
  <c r="AP446" i="18" s="1"/>
  <c r="AP439" i="18" a="1"/>
  <c r="AP439" i="18" s="1"/>
  <c r="AP429" i="18" a="1"/>
  <c r="AP429" i="18" s="1"/>
  <c r="AP420" i="18" a="1"/>
  <c r="AP420" i="18" s="1"/>
  <c r="AP419" i="18" a="1"/>
  <c r="AP419" i="18" s="1"/>
  <c r="AP408" i="18" a="1"/>
  <c r="AP408" i="18" s="1"/>
  <c r="AP405" i="18" a="1"/>
  <c r="AP405" i="18" s="1"/>
  <c r="AP404" i="18" a="1"/>
  <c r="AP404" i="18" s="1"/>
  <c r="AP402" i="18" a="1"/>
  <c r="AP402" i="18" s="1"/>
  <c r="AP395" i="18" a="1"/>
  <c r="AP395" i="18" s="1"/>
  <c r="AP440" i="18" a="1"/>
  <c r="AP440" i="18" s="1"/>
  <c r="AP436" i="18" a="1"/>
  <c r="AP436" i="18" s="1"/>
  <c r="AP435" i="18" a="1"/>
  <c r="AP435" i="18" s="1"/>
  <c r="AP430" i="18" a="1"/>
  <c r="AP430" i="18" s="1"/>
  <c r="AP427" i="18" a="1"/>
  <c r="AP427" i="18" s="1"/>
  <c r="AP406" i="18" a="1"/>
  <c r="AP406" i="18" s="1"/>
  <c r="AP397" i="18" a="1"/>
  <c r="AP397" i="18" s="1"/>
  <c r="AP394" i="18" a="1"/>
  <c r="AP394" i="18" s="1"/>
  <c r="AP448" i="18" a="1"/>
  <c r="AP448" i="18" s="1"/>
  <c r="AP443" i="18" a="1"/>
  <c r="AP443" i="18" s="1"/>
  <c r="AP425" i="18" a="1"/>
  <c r="AP425" i="18" s="1"/>
  <c r="AP410" i="18" a="1"/>
  <c r="AP410" i="18" s="1"/>
  <c r="AP398" i="18" a="1"/>
  <c r="AP398" i="18" s="1"/>
  <c r="AP391" i="18" a="1"/>
  <c r="AP391" i="18" s="1"/>
  <c r="AP445" i="18" a="1"/>
  <c r="AP445" i="18" s="1"/>
  <c r="AP413" i="18" a="1"/>
  <c r="AP413" i="18" s="1"/>
  <c r="AP393" i="18" a="1"/>
  <c r="AP393" i="18" s="1"/>
  <c r="AP383" i="18" a="1"/>
  <c r="AP383" i="18" s="1"/>
  <c r="AP379" i="18" a="1"/>
  <c r="AP379" i="18" s="1"/>
  <c r="AP376" i="18" a="1"/>
  <c r="AP376" i="18" s="1"/>
  <c r="AP373" i="18" a="1"/>
  <c r="AP373" i="18" s="1"/>
  <c r="AP362" i="18" a="1"/>
  <c r="AP362" i="18" s="1"/>
  <c r="AP415" i="18" a="1"/>
  <c r="AP415" i="18" s="1"/>
  <c r="AP387" i="18" a="1"/>
  <c r="AP387" i="18" s="1"/>
  <c r="AP386" i="18" a="1"/>
  <c r="AP386" i="18" s="1"/>
  <c r="AP380" i="18" a="1"/>
  <c r="AP380" i="18" s="1"/>
  <c r="AP375" i="18" a="1"/>
  <c r="AP375" i="18" s="1"/>
  <c r="AP371" i="18" a="1"/>
  <c r="AP371" i="18" s="1"/>
  <c r="AP370" i="18" a="1"/>
  <c r="AP370" i="18" s="1"/>
  <c r="AP433" i="18" a="1"/>
  <c r="AP433" i="18" s="1"/>
  <c r="AP426" i="18" a="1"/>
  <c r="AP426" i="18" s="1"/>
  <c r="AP407" i="18" a="1"/>
  <c r="AP407" i="18" s="1"/>
  <c r="AP401" i="18" a="1"/>
  <c r="AP401" i="18" s="1"/>
  <c r="AP390" i="18" a="1"/>
  <c r="AP390" i="18" s="1"/>
  <c r="AP389" i="18" a="1"/>
  <c r="AP389" i="18" s="1"/>
  <c r="AP382" i="18" a="1"/>
  <c r="AP382" i="18" s="1"/>
  <c r="AP372" i="18" a="1"/>
  <c r="AP372" i="18" s="1"/>
  <c r="AP454" i="18" a="1"/>
  <c r="AP454" i="18" s="1"/>
  <c r="AP438" i="18" a="1"/>
  <c r="AP438" i="18" s="1"/>
  <c r="AP418" i="18" a="1"/>
  <c r="AP418" i="18" s="1"/>
  <c r="AP374" i="18" a="1"/>
  <c r="AP374" i="18" s="1"/>
  <c r="AP369" i="18" a="1"/>
  <c r="AP369" i="18" s="1"/>
  <c r="AP368" i="18" a="1"/>
  <c r="AP368" i="18" s="1"/>
  <c r="AP365" i="18" a="1"/>
  <c r="AP365" i="18" s="1"/>
  <c r="AP466" i="18" a="1"/>
  <c r="AP466" i="18" s="1"/>
  <c r="AP434" i="18" a="1"/>
  <c r="AP434" i="18" s="1"/>
  <c r="AP400" i="18" a="1"/>
  <c r="AP400" i="18" s="1"/>
  <c r="AP392" i="18" a="1"/>
  <c r="AP392" i="18" s="1"/>
  <c r="AP385" i="18" a="1"/>
  <c r="AP385" i="18" s="1"/>
  <c r="AP384" i="18" a="1"/>
  <c r="AP384" i="18" s="1"/>
  <c r="AP381" i="18" a="1"/>
  <c r="AP381" i="18" s="1"/>
  <c r="AP378" i="18" a="1"/>
  <c r="AP378" i="18" s="1"/>
  <c r="AP366" i="18" a="1"/>
  <c r="AP366" i="18" s="1"/>
  <c r="AP361" i="18" a="1"/>
  <c r="AP361" i="18" s="1"/>
  <c r="AP355" i="18" a="1"/>
  <c r="AP355" i="18" s="1"/>
  <c r="AP354" i="18" a="1"/>
  <c r="AP354" i="18" s="1"/>
  <c r="AP352" i="18" a="1"/>
  <c r="AP352" i="18" s="1"/>
  <c r="AP428" i="18" a="1"/>
  <c r="AP428" i="18" s="1"/>
  <c r="AP349" i="18" a="1"/>
  <c r="AP349" i="18" s="1"/>
  <c r="AP334" i="18" a="1"/>
  <c r="AP334" i="18" s="1"/>
  <c r="AP323" i="18" a="1"/>
  <c r="AP323" i="18" s="1"/>
  <c r="AP314" i="18" a="1"/>
  <c r="AP314" i="18" s="1"/>
  <c r="AP450" i="18" a="1"/>
  <c r="AP450" i="18" s="1"/>
  <c r="AP417" i="18" a="1"/>
  <c r="AP417" i="18" s="1"/>
  <c r="AP377" i="18" a="1"/>
  <c r="AP377" i="18" s="1"/>
  <c r="AP363" i="18" a="1"/>
  <c r="AP363" i="18" s="1"/>
  <c r="AP357" i="18" a="1"/>
  <c r="AP357" i="18" s="1"/>
  <c r="AP350" i="18" a="1"/>
  <c r="AP350" i="18" s="1"/>
  <c r="AP340" i="18" a="1"/>
  <c r="AP340" i="18" s="1"/>
  <c r="AP335" i="18" a="1"/>
  <c r="AP335" i="18" s="1"/>
  <c r="AP318" i="18" a="1"/>
  <c r="AP318" i="18" s="1"/>
  <c r="AP317" i="18" a="1"/>
  <c r="AP317" i="18" s="1"/>
  <c r="AP388" i="18" a="1"/>
  <c r="AP388" i="18" s="1"/>
  <c r="AP367" i="18" a="1"/>
  <c r="AP367" i="18" s="1"/>
  <c r="AP341" i="18" a="1"/>
  <c r="AP341" i="18" s="1"/>
  <c r="AP332" i="18" a="1"/>
  <c r="AP332" i="18" s="1"/>
  <c r="AP328" i="18" a="1"/>
  <c r="AP328" i="18" s="1"/>
  <c r="AP327" i="18" a="1"/>
  <c r="AP327" i="18" s="1"/>
  <c r="AP324" i="18" a="1"/>
  <c r="AP324" i="18" s="1"/>
  <c r="AP321" i="18" a="1"/>
  <c r="AP321" i="18" s="1"/>
  <c r="AP320" i="18" a="1"/>
  <c r="AP320" i="18" s="1"/>
  <c r="AP310" i="18" a="1"/>
  <c r="AP310" i="18" s="1"/>
  <c r="AP359" i="18" a="1"/>
  <c r="AP359" i="18" s="1"/>
  <c r="AP356" i="18" a="1"/>
  <c r="AP356" i="18" s="1"/>
  <c r="AP346" i="18" a="1"/>
  <c r="AP346" i="18" s="1"/>
  <c r="AP345" i="18" a="1"/>
  <c r="AP345" i="18" s="1"/>
  <c r="AP333" i="18" a="1"/>
  <c r="AP333" i="18" s="1"/>
  <c r="AP329" i="18" a="1"/>
  <c r="AP329" i="18" s="1"/>
  <c r="AP313" i="18" a="1"/>
  <c r="AP313" i="18" s="1"/>
  <c r="AP304" i="18" a="1"/>
  <c r="AP304" i="18" s="1"/>
  <c r="AP347" i="18" a="1"/>
  <c r="AP347" i="18" s="1"/>
  <c r="AP343" i="18" a="1"/>
  <c r="AP343" i="18" s="1"/>
  <c r="AP339" i="18" a="1"/>
  <c r="AP339" i="18" s="1"/>
  <c r="AP337" i="18" a="1"/>
  <c r="AP337" i="18" s="1"/>
  <c r="AP330" i="18" a="1"/>
  <c r="AP330" i="18" s="1"/>
  <c r="AP322" i="18" a="1"/>
  <c r="AP322" i="18" s="1"/>
  <c r="AP312" i="18" a="1"/>
  <c r="AP312" i="18" s="1"/>
  <c r="AP301" i="18" a="1"/>
  <c r="AP301" i="18" s="1"/>
  <c r="AP300" i="18" a="1"/>
  <c r="AP300" i="18" s="1"/>
  <c r="AP297" i="18" a="1"/>
  <c r="AP297" i="18" s="1"/>
  <c r="AP353" i="18" a="1"/>
  <c r="AP353" i="18" s="1"/>
  <c r="AP338" i="18" a="1"/>
  <c r="AP338" i="18" s="1"/>
  <c r="AP319" i="18" a="1"/>
  <c r="AP319" i="18" s="1"/>
  <c r="AP315" i="18" a="1"/>
  <c r="AP315" i="18" s="1"/>
  <c r="AP309" i="18" a="1"/>
  <c r="AP309" i="18" s="1"/>
  <c r="AP306" i="18" a="1"/>
  <c r="AP306" i="18" s="1"/>
  <c r="AP299" i="18" a="1"/>
  <c r="AP299" i="18" s="1"/>
  <c r="AP565" i="18" a="1"/>
  <c r="AP565" i="18" s="1"/>
  <c r="AP364" i="18" a="1"/>
  <c r="AP364" i="18" s="1"/>
  <c r="AP360" i="18" a="1"/>
  <c r="AP360" i="18" s="1"/>
  <c r="AP358" i="18" a="1"/>
  <c r="AP358" i="18" s="1"/>
  <c r="AP351" i="18" a="1"/>
  <c r="AP351" i="18" s="1"/>
  <c r="AP348" i="18" a="1"/>
  <c r="AP348" i="18" s="1"/>
  <c r="AP342" i="18" a="1"/>
  <c r="AP342" i="18" s="1"/>
  <c r="AP336" i="18" a="1"/>
  <c r="AP336" i="18" s="1"/>
  <c r="AP331" i="18" a="1"/>
  <c r="AP331" i="18" s="1"/>
  <c r="AP325" i="18" a="1"/>
  <c r="AP325" i="18" s="1"/>
  <c r="AP316" i="18" a="1"/>
  <c r="AP316" i="18" s="1"/>
  <c r="AP303" i="18" a="1"/>
  <c r="AP303" i="18" s="1"/>
  <c r="AP296" i="18" a="1"/>
  <c r="AP296" i="18" s="1"/>
  <c r="AP291" i="18" a="1"/>
  <c r="AP291" i="18" s="1"/>
  <c r="AP284" i="18" a="1"/>
  <c r="AP284" i="18" s="1"/>
  <c r="AP279" i="18" a="1"/>
  <c r="AP279" i="18" s="1"/>
  <c r="AP311" i="18" a="1"/>
  <c r="AP311" i="18" s="1"/>
  <c r="AP295" i="18" a="1"/>
  <c r="AP295" i="18" s="1"/>
  <c r="AP290" i="18" a="1"/>
  <c r="AP290" i="18" s="1"/>
  <c r="AP287" i="18" a="1"/>
  <c r="AP287" i="18" s="1"/>
  <c r="AP274" i="18" a="1"/>
  <c r="AP274" i="18" s="1"/>
  <c r="AP262" i="18" a="1"/>
  <c r="AP262" i="18" s="1"/>
  <c r="AP283" i="18" a="1"/>
  <c r="AP283" i="18" s="1"/>
  <c r="AP278" i="18" a="1"/>
  <c r="AP278" i="18" s="1"/>
  <c r="AP272" i="18" a="1"/>
  <c r="AP272" i="18" s="1"/>
  <c r="AP268" i="18" a="1"/>
  <c r="AP268" i="18" s="1"/>
  <c r="AP248" i="18" a="1"/>
  <c r="AP248" i="18" s="1"/>
  <c r="AP246" i="18" a="1"/>
  <c r="AP246" i="18" s="1"/>
  <c r="AP243" i="18" a="1"/>
  <c r="AP243" i="18" s="1"/>
  <c r="AP344" i="18" a="1"/>
  <c r="AP344" i="18" s="1"/>
  <c r="AP286" i="18" a="1"/>
  <c r="AP286" i="18" s="1"/>
  <c r="AP269" i="18" a="1"/>
  <c r="AP269" i="18" s="1"/>
  <c r="AP267" i="18" a="1"/>
  <c r="AP267" i="18" s="1"/>
  <c r="AP260" i="18" a="1"/>
  <c r="AP260" i="18" s="1"/>
  <c r="AP242" i="18" a="1"/>
  <c r="AP242" i="18" s="1"/>
  <c r="AP237" i="18" a="1"/>
  <c r="AP237" i="18" s="1"/>
  <c r="AP326" i="18" a="1"/>
  <c r="AP326" i="18" s="1"/>
  <c r="AP308" i="18" a="1"/>
  <c r="AP308" i="18" s="1"/>
  <c r="AP293" i="18" a="1"/>
  <c r="AP293" i="18" s="1"/>
  <c r="AP298" i="18" a="1"/>
  <c r="AP298" i="18" s="1"/>
  <c r="AP288" i="18" a="1"/>
  <c r="AP288" i="18" s="1"/>
  <c r="AP280" i="18" a="1"/>
  <c r="AP280" i="18" s="1"/>
  <c r="AP277" i="18" a="1"/>
  <c r="AP277" i="18" s="1"/>
  <c r="AP276" i="18" a="1"/>
  <c r="AP276" i="18" s="1"/>
  <c r="AP271" i="18" a="1"/>
  <c r="AP271" i="18" s="1"/>
  <c r="AP266" i="18" a="1"/>
  <c r="AP266" i="18" s="1"/>
  <c r="AP261" i="18" a="1"/>
  <c r="AP261" i="18" s="1"/>
  <c r="AP255" i="18" a="1"/>
  <c r="AP255" i="18" s="1"/>
  <c r="AP307" i="18" a="1"/>
  <c r="AP307" i="18" s="1"/>
  <c r="AP292" i="18" a="1"/>
  <c r="AP292" i="18" s="1"/>
  <c r="AP265" i="18" a="1"/>
  <c r="AP265" i="18" s="1"/>
  <c r="AP258" i="18" a="1"/>
  <c r="AP258" i="18" s="1"/>
  <c r="AP257" i="18" a="1"/>
  <c r="AP257" i="18" s="1"/>
  <c r="AP254" i="18" a="1"/>
  <c r="AP254" i="18" s="1"/>
  <c r="AP253" i="18" a="1"/>
  <c r="AP253" i="18" s="1"/>
  <c r="AP4" i="18" a="1"/>
  <c r="AP4" i="18" s="1"/>
  <c r="AG5" i="18" a="1"/>
  <c r="AG5" i="18" s="1"/>
  <c r="AH5" i="18" s="1"/>
  <c r="AC5" i="18" a="1"/>
  <c r="AC5" i="18" s="1"/>
  <c r="AD5" i="18" s="1"/>
  <c r="R7" i="18" a="1"/>
  <c r="R7" i="18" s="1"/>
  <c r="AG8" i="18" a="1"/>
  <c r="AG8" i="18" s="1"/>
  <c r="AH8" i="18" s="1"/>
  <c r="AC8" i="18" a="1"/>
  <c r="AC8" i="18" s="1"/>
  <c r="AD8" i="18" s="1"/>
  <c r="S9" i="18" a="1"/>
  <c r="S9" i="18" s="1"/>
  <c r="Z9" i="18" a="1"/>
  <c r="Z9" i="18" s="1"/>
  <c r="AL9" i="18" a="1"/>
  <c r="AL9" i="18" s="1"/>
  <c r="AG207" i="18" a="1"/>
  <c r="AG207" i="18" s="1"/>
  <c r="AH207" i="18" s="1"/>
  <c r="AC207" i="18" a="1"/>
  <c r="AC207" i="18" s="1"/>
  <c r="AD207" i="18" s="1"/>
  <c r="S208" i="18" a="1"/>
  <c r="S208" i="18" s="1"/>
  <c r="Z208" i="18" a="1"/>
  <c r="Z208" i="18" s="1"/>
  <c r="AA209" i="18" a="1"/>
  <c r="AA209" i="18" s="1"/>
  <c r="AG210" i="18" a="1"/>
  <c r="AG210" i="18" s="1"/>
  <c r="AH210" i="18" s="1"/>
  <c r="AC210" i="18" a="1"/>
  <c r="AC210" i="18" s="1"/>
  <c r="AD210" i="18" s="1"/>
  <c r="Z211" i="18" a="1"/>
  <c r="Z211" i="18" s="1"/>
  <c r="AL211" i="18" a="1"/>
  <c r="AL211" i="18" s="1"/>
  <c r="AL212" i="18" a="1"/>
  <c r="AL212" i="18" s="1"/>
  <c r="R214" i="18" a="1"/>
  <c r="R214" i="18" s="1"/>
  <c r="Y214" i="18" a="1"/>
  <c r="Y214" i="18" s="1"/>
  <c r="AA215" i="18" a="1"/>
  <c r="AA215" i="18" s="1"/>
  <c r="AP215" i="18" a="1"/>
  <c r="AP215" i="18" s="1"/>
  <c r="AG216" i="18" a="1"/>
  <c r="AG216" i="18" s="1"/>
  <c r="AH216" i="18" s="1"/>
  <c r="AC216" i="18" a="1"/>
  <c r="AC216" i="18" s="1"/>
  <c r="AD216" i="18" s="1"/>
  <c r="W216" i="18" a="1"/>
  <c r="W216" i="18" s="1"/>
  <c r="X216" i="18" s="1"/>
  <c r="AB217" i="18" a="1"/>
  <c r="AB217" i="18" s="1"/>
  <c r="R218" i="18" a="1"/>
  <c r="R218" i="18" s="1"/>
  <c r="Y218" i="18" a="1"/>
  <c r="Y218" i="18" s="1"/>
  <c r="S220" i="18" a="1"/>
  <c r="S220" i="18" s="1"/>
  <c r="Z220" i="18" a="1"/>
  <c r="Z220" i="18" s="1"/>
  <c r="AB221" i="18" a="1"/>
  <c r="AB221" i="18" s="1"/>
  <c r="AB222" i="18" a="1"/>
  <c r="AB222" i="18" s="1"/>
  <c r="AG223" i="18" a="1"/>
  <c r="AG223" i="18" s="1"/>
  <c r="AH223" i="18" s="1"/>
  <c r="AC223" i="18" a="1"/>
  <c r="AC223" i="18" s="1"/>
  <c r="AD223" i="18" s="1"/>
  <c r="AA223" i="18" a="1"/>
  <c r="AA223" i="18" s="1"/>
  <c r="AP224" i="18" a="1"/>
  <c r="AP224" i="18" s="1"/>
  <c r="AP225" i="18" a="1"/>
  <c r="AP225" i="18" s="1"/>
  <c r="AB227" i="18" a="1"/>
  <c r="AB227" i="18" s="1"/>
  <c r="AG228" i="18" a="1"/>
  <c r="AG228" i="18" s="1"/>
  <c r="AH228" i="18" s="1"/>
  <c r="AC228" i="18" a="1"/>
  <c r="AC228" i="18" s="1"/>
  <c r="AD228" i="18" s="1"/>
  <c r="AP228" i="18" a="1"/>
  <c r="AP228" i="18" s="1"/>
  <c r="AB229" i="18" a="1"/>
  <c r="AB229" i="18" s="1"/>
  <c r="W230" i="18" a="1"/>
  <c r="W230" i="18" s="1"/>
  <c r="X230" i="18" s="1"/>
  <c r="AB230" i="18" a="1"/>
  <c r="AB230" i="18" s="1"/>
  <c r="AP230" i="18" a="1"/>
  <c r="AP230" i="18" s="1"/>
  <c r="AG231" i="18" a="1"/>
  <c r="AG231" i="18" s="1"/>
  <c r="AH231" i="18" s="1"/>
  <c r="AC231" i="18" a="1"/>
  <c r="AC231" i="18" s="1"/>
  <c r="AD231" i="18" s="1"/>
  <c r="W231" i="18" a="1"/>
  <c r="W231" i="18" s="1"/>
  <c r="X231" i="18" s="1"/>
  <c r="R232" i="18" a="1"/>
  <c r="R232" i="18" s="1"/>
  <c r="Z232" i="18" a="1"/>
  <c r="Z232" i="18" s="1"/>
  <c r="AL232" i="18" a="1"/>
  <c r="AL232" i="18" s="1"/>
  <c r="AP233" i="18" a="1"/>
  <c r="AP233" i="18" s="1"/>
  <c r="AB234" i="18" a="1"/>
  <c r="AB234" i="18" s="1"/>
  <c r="AP234" i="18" a="1"/>
  <c r="AP234" i="18" s="1"/>
  <c r="AC235" i="18" a="1"/>
  <c r="AC235" i="18" s="1"/>
  <c r="AD235" i="18" s="1"/>
  <c r="AG235" i="18" a="1"/>
  <c r="AG235" i="18" s="1"/>
  <c r="AH235" i="18" s="1"/>
  <c r="W235" i="18" a="1"/>
  <c r="W235" i="18" s="1"/>
  <c r="X235" i="18" s="1"/>
  <c r="AA236" i="18" a="1"/>
  <c r="AA236" i="18" s="1"/>
  <c r="AL236" i="18" a="1"/>
  <c r="AL236" i="18" s="1"/>
  <c r="Z237" i="18" a="1"/>
  <c r="Z237" i="18" s="1"/>
  <c r="AL239" i="18" a="1"/>
  <c r="AL239" i="18" s="1"/>
  <c r="AP241" i="18" a="1"/>
  <c r="AP241" i="18" s="1"/>
  <c r="Y242" i="18" a="1"/>
  <c r="Y242" i="18" s="1"/>
  <c r="AA243" i="18" a="1"/>
  <c r="AA243" i="18" s="1"/>
  <c r="R244" i="18" a="1"/>
  <c r="R244" i="18" s="1"/>
  <c r="W244" i="18" a="1"/>
  <c r="W244" i="18" s="1"/>
  <c r="X244" i="18" s="1"/>
  <c r="S246" i="18" a="1"/>
  <c r="S246" i="18" s="1"/>
  <c r="R247" i="18" a="1"/>
  <c r="R247" i="18" s="1"/>
  <c r="AL250" i="18" a="1"/>
  <c r="AL250" i="18" s="1"/>
  <c r="R256" i="18" a="1"/>
  <c r="R256" i="18" s="1"/>
  <c r="AL259" i="18" a="1"/>
  <c r="AL259" i="18" s="1"/>
  <c r="Y269" i="18" a="1"/>
  <c r="Y269" i="18" s="1"/>
  <c r="AG271" i="18" a="1"/>
  <c r="AG271" i="18" s="1"/>
  <c r="AH271" i="18" s="1"/>
  <c r="AC271" i="18" a="1"/>
  <c r="AC271" i="18" s="1"/>
  <c r="AD271" i="18" s="1"/>
  <c r="AP273" i="18" a="1"/>
  <c r="AP273" i="18" s="1"/>
  <c r="AL274" i="18" a="1"/>
  <c r="AL274" i="18" s="1"/>
  <c r="AA278" i="18" a="1"/>
  <c r="AA278" i="18" s="1"/>
  <c r="Z279" i="18" a="1"/>
  <c r="Z279" i="18" s="1"/>
  <c r="AG282" i="18" a="1"/>
  <c r="AG282" i="18" s="1"/>
  <c r="AH282" i="18" s="1"/>
  <c r="AC282" i="18" a="1"/>
  <c r="AC282" i="18" s="1"/>
  <c r="AD282" i="18" s="1"/>
  <c r="AL293" i="18" a="1"/>
  <c r="AL293" i="18" s="1"/>
  <c r="AP294" i="18" a="1"/>
  <c r="AP294" i="18" s="1"/>
  <c r="AA296" i="18" a="1"/>
  <c r="AA296" i="18" s="1"/>
  <c r="AL330" i="18" a="1"/>
  <c r="AL330" i="18" s="1"/>
  <c r="R336" i="18" a="1"/>
  <c r="R336" i="18" s="1"/>
  <c r="Y348" i="18" a="1"/>
  <c r="Y348" i="18" s="1"/>
  <c r="Z231" i="18" a="1"/>
  <c r="Z231" i="18" s="1"/>
  <c r="AC6" i="18" a="1"/>
  <c r="AC6" i="18" s="1"/>
  <c r="AD6" i="18" s="1"/>
  <c r="AG6" i="18" a="1"/>
  <c r="AG6" i="18" s="1"/>
  <c r="AH6" i="18" s="1"/>
  <c r="AG9" i="18" a="1"/>
  <c r="AG9" i="18" s="1"/>
  <c r="AH9" i="18" s="1"/>
  <c r="AC9" i="18" a="1"/>
  <c r="AC9" i="18" s="1"/>
  <c r="AD9" i="18" s="1"/>
  <c r="AB4" i="18" a="1"/>
  <c r="AB4" i="18" s="1"/>
  <c r="AB649" i="18" a="1"/>
  <c r="AB649" i="18" s="1"/>
  <c r="AB650" i="18" a="1"/>
  <c r="AB650" i="18" s="1"/>
  <c r="AB651" i="18" a="1"/>
  <c r="AB651" i="18" s="1"/>
  <c r="AB648" i="18" a="1"/>
  <c r="AB648" i="18" s="1"/>
  <c r="AB647" i="18" a="1"/>
  <c r="AB647" i="18" s="1"/>
  <c r="AB631" i="18" a="1"/>
  <c r="AB631" i="18" s="1"/>
  <c r="AB621" i="18" a="1"/>
  <c r="AB621" i="18" s="1"/>
  <c r="AB617" i="18" a="1"/>
  <c r="AB617" i="18" s="1"/>
  <c r="AB653" i="18" a="1"/>
  <c r="AB653" i="18" s="1"/>
  <c r="AB652" i="18" a="1"/>
  <c r="AB652" i="18" s="1"/>
  <c r="AB636" i="18" a="1"/>
  <c r="AB636" i="18" s="1"/>
  <c r="AB634" i="18" a="1"/>
  <c r="AB634" i="18" s="1"/>
  <c r="AB623" i="18" a="1"/>
  <c r="AB623" i="18" s="1"/>
  <c r="AB619" i="18" a="1"/>
  <c r="AB619" i="18" s="1"/>
  <c r="AB640" i="18" a="1"/>
  <c r="AB640" i="18" s="1"/>
  <c r="AB638" i="18" a="1"/>
  <c r="AB638" i="18" s="1"/>
  <c r="AB633" i="18" a="1"/>
  <c r="AB633" i="18" s="1"/>
  <c r="AB639" i="18" a="1"/>
  <c r="AB639" i="18" s="1"/>
  <c r="AB637" i="18" a="1"/>
  <c r="AB637" i="18" s="1"/>
  <c r="AB635" i="18" a="1"/>
  <c r="AB635" i="18" s="1"/>
  <c r="AB625" i="18" a="1"/>
  <c r="AB625" i="18" s="1"/>
  <c r="AB624" i="18" a="1"/>
  <c r="AB624" i="18" s="1"/>
  <c r="AB641" i="18" a="1"/>
  <c r="AB641" i="18" s="1"/>
  <c r="AB630" i="18" a="1"/>
  <c r="AB630" i="18" s="1"/>
  <c r="AB626" i="18" a="1"/>
  <c r="AB626" i="18" s="1"/>
  <c r="AB646" i="18" a="1"/>
  <c r="AB646" i="18" s="1"/>
  <c r="AB644" i="18" a="1"/>
  <c r="AB644" i="18" s="1"/>
  <c r="AB643" i="18" a="1"/>
  <c r="AB643" i="18" s="1"/>
  <c r="AB629" i="18" a="1"/>
  <c r="AB629" i="18" s="1"/>
  <c r="AB627" i="18" a="1"/>
  <c r="AB627" i="18" s="1"/>
  <c r="AB622" i="18" a="1"/>
  <c r="AB622" i="18" s="1"/>
  <c r="AB645" i="18" a="1"/>
  <c r="AB645" i="18" s="1"/>
  <c r="AB610" i="18" a="1"/>
  <c r="AB610" i="18" s="1"/>
  <c r="AB607" i="18" a="1"/>
  <c r="AB607" i="18" s="1"/>
  <c r="AB606" i="18" a="1"/>
  <c r="AB606" i="18" s="1"/>
  <c r="AB598" i="18" a="1"/>
  <c r="AB598" i="18" s="1"/>
  <c r="AB597" i="18" a="1"/>
  <c r="AB597" i="18" s="1"/>
  <c r="AB596" i="18" a="1"/>
  <c r="AB596" i="18" s="1"/>
  <c r="AB614" i="18" a="1"/>
  <c r="AB614" i="18" s="1"/>
  <c r="AB612" i="18" a="1"/>
  <c r="AB612" i="18" s="1"/>
  <c r="AB603" i="18" a="1"/>
  <c r="AB603" i="18" s="1"/>
  <c r="AB642" i="18" a="1"/>
  <c r="AB642" i="18" s="1"/>
  <c r="AB613" i="18" a="1"/>
  <c r="AB613" i="18" s="1"/>
  <c r="AB618" i="18" a="1"/>
  <c r="AB618" i="18" s="1"/>
  <c r="AB616" i="18" a="1"/>
  <c r="AB616" i="18" s="1"/>
  <c r="AB632" i="18" a="1"/>
  <c r="AB632" i="18" s="1"/>
  <c r="AB628" i="18" a="1"/>
  <c r="AB628" i="18" s="1"/>
  <c r="AB602" i="18" a="1"/>
  <c r="AB602" i="18" s="1"/>
  <c r="AB620" i="18" a="1"/>
  <c r="AB620" i="18" s="1"/>
  <c r="AB615" i="18" a="1"/>
  <c r="AB615" i="18" s="1"/>
  <c r="AB609" i="18" a="1"/>
  <c r="AB609" i="18" s="1"/>
  <c r="AB604" i="18" a="1"/>
  <c r="AB604" i="18" s="1"/>
  <c r="AB595" i="18" a="1"/>
  <c r="AB595" i="18" s="1"/>
  <c r="AB601" i="18" a="1"/>
  <c r="AB601" i="18" s="1"/>
  <c r="AB592" i="18" a="1"/>
  <c r="AB592" i="18" s="1"/>
  <c r="AB590" i="18" a="1"/>
  <c r="AB590" i="18" s="1"/>
  <c r="AB586" i="18" a="1"/>
  <c r="AB586" i="18" s="1"/>
  <c r="AB570" i="18" a="1"/>
  <c r="AB570" i="18" s="1"/>
  <c r="AB564" i="18" a="1"/>
  <c r="AB564" i="18" s="1"/>
  <c r="AB563" i="18" a="1"/>
  <c r="AB563" i="18" s="1"/>
  <c r="AB562" i="18" a="1"/>
  <c r="AB562" i="18" s="1"/>
  <c r="AB611" i="18" a="1"/>
  <c r="AB611" i="18" s="1"/>
  <c r="AB599" i="18" a="1"/>
  <c r="AB599" i="18" s="1"/>
  <c r="AB594" i="18" a="1"/>
  <c r="AB594" i="18" s="1"/>
  <c r="AB593" i="18" a="1"/>
  <c r="AB593" i="18" s="1"/>
  <c r="AB589" i="18" a="1"/>
  <c r="AB589" i="18" s="1"/>
  <c r="AB588" i="18" a="1"/>
  <c r="AB588" i="18" s="1"/>
  <c r="AB572" i="18" a="1"/>
  <c r="AB572" i="18" s="1"/>
  <c r="AB571" i="18" a="1"/>
  <c r="AB571" i="18" s="1"/>
  <c r="AB568" i="18" a="1"/>
  <c r="AB568" i="18" s="1"/>
  <c r="AB554" i="18" a="1"/>
  <c r="AB554" i="18" s="1"/>
  <c r="AB546" i="18" a="1"/>
  <c r="AB546" i="18" s="1"/>
  <c r="AB540" i="18" a="1"/>
  <c r="AB540" i="18" s="1"/>
  <c r="AB569" i="18" a="1"/>
  <c r="AB569" i="18" s="1"/>
  <c r="AB561" i="18" a="1"/>
  <c r="AB561" i="18" s="1"/>
  <c r="AB560" i="18" a="1"/>
  <c r="AB560" i="18" s="1"/>
  <c r="AB556" i="18" a="1"/>
  <c r="AB556" i="18" s="1"/>
  <c r="AB555" i="18" a="1"/>
  <c r="AB555" i="18" s="1"/>
  <c r="AB576" i="18" a="1"/>
  <c r="AB576" i="18" s="1"/>
  <c r="AB567" i="18" a="1"/>
  <c r="AB567" i="18" s="1"/>
  <c r="AB605" i="18" a="1"/>
  <c r="AB605" i="18" s="1"/>
  <c r="AB585" i="18" a="1"/>
  <c r="AB585" i="18" s="1"/>
  <c r="AB583" i="18" a="1"/>
  <c r="AB583" i="18" s="1"/>
  <c r="AB581" i="18" a="1"/>
  <c r="AB581" i="18" s="1"/>
  <c r="AB580" i="18" a="1"/>
  <c r="AB580" i="18" s="1"/>
  <c r="AB573" i="18" a="1"/>
  <c r="AB573" i="18" s="1"/>
  <c r="AB550" i="18" a="1"/>
  <c r="AB550" i="18" s="1"/>
  <c r="AB544" i="18" a="1"/>
  <c r="AB544" i="18" s="1"/>
  <c r="AB608" i="18" a="1"/>
  <c r="AB608" i="18" s="1"/>
  <c r="AB591" i="18" a="1"/>
  <c r="AB591" i="18" s="1"/>
  <c r="AB582" i="18" a="1"/>
  <c r="AB582" i="18" s="1"/>
  <c r="AB578" i="18" a="1"/>
  <c r="AB578" i="18" s="1"/>
  <c r="AB574" i="18" a="1"/>
  <c r="AB574" i="18" s="1"/>
  <c r="AB566" i="18" a="1"/>
  <c r="AB566" i="18" s="1"/>
  <c r="AB557" i="18" a="1"/>
  <c r="AB557" i="18" s="1"/>
  <c r="AB539" i="18" a="1"/>
  <c r="AB539" i="18" s="1"/>
  <c r="AB538" i="18" a="1"/>
  <c r="AB538" i="18" s="1"/>
  <c r="AB536" i="18" a="1"/>
  <c r="AB536" i="18" s="1"/>
  <c r="AB534" i="18" a="1"/>
  <c r="AB534" i="18" s="1"/>
  <c r="AB530" i="18" a="1"/>
  <c r="AB530" i="18" s="1"/>
  <c r="AB517" i="18" a="1"/>
  <c r="AB517" i="18" s="1"/>
  <c r="AB516" i="18" a="1"/>
  <c r="AB516" i="18" s="1"/>
  <c r="AB512" i="18" a="1"/>
  <c r="AB512" i="18" s="1"/>
  <c r="AB577" i="18" a="1"/>
  <c r="AB577" i="18" s="1"/>
  <c r="AB575" i="18" a="1"/>
  <c r="AB575" i="18" s="1"/>
  <c r="AB541" i="18" a="1"/>
  <c r="AB541" i="18" s="1"/>
  <c r="AB535" i="18" a="1"/>
  <c r="AB535" i="18" s="1"/>
  <c r="AB527" i="18" a="1"/>
  <c r="AB527" i="18" s="1"/>
  <c r="AB518" i="18" a="1"/>
  <c r="AB518" i="18" s="1"/>
  <c r="AB513" i="18" a="1"/>
  <c r="AB513" i="18" s="1"/>
  <c r="AB508" i="18" a="1"/>
  <c r="AB508" i="18" s="1"/>
  <c r="AB496" i="18" a="1"/>
  <c r="AB496" i="18" s="1"/>
  <c r="AB494" i="18" a="1"/>
  <c r="AB494" i="18" s="1"/>
  <c r="AB551" i="18" a="1"/>
  <c r="AB551" i="18" s="1"/>
  <c r="AB542" i="18" a="1"/>
  <c r="AB542" i="18" s="1"/>
  <c r="AB524" i="18" a="1"/>
  <c r="AB524" i="18" s="1"/>
  <c r="AB521" i="18" a="1"/>
  <c r="AB521" i="18" s="1"/>
  <c r="AB509" i="18" a="1"/>
  <c r="AB509" i="18" s="1"/>
  <c r="AB497" i="18" a="1"/>
  <c r="AB497" i="18" s="1"/>
  <c r="AB495" i="18" a="1"/>
  <c r="AB495" i="18" s="1"/>
  <c r="AB493" i="18" a="1"/>
  <c r="AB493" i="18" s="1"/>
  <c r="AB559" i="18" a="1"/>
  <c r="AB559" i="18" s="1"/>
  <c r="AB552" i="18" a="1"/>
  <c r="AB552" i="18" s="1"/>
  <c r="AB548" i="18" a="1"/>
  <c r="AB548" i="18" s="1"/>
  <c r="AB531" i="18" a="1"/>
  <c r="AB531" i="18" s="1"/>
  <c r="AB514" i="18" a="1"/>
  <c r="AB514" i="18" s="1"/>
  <c r="AB553" i="18" a="1"/>
  <c r="AB553" i="18" s="1"/>
  <c r="AB526" i="18" a="1"/>
  <c r="AB526" i="18" s="1"/>
  <c r="AB519" i="18" a="1"/>
  <c r="AB519" i="18" s="1"/>
  <c r="AB584" i="18" a="1"/>
  <c r="AB584" i="18" s="1"/>
  <c r="AB565" i="18" a="1"/>
  <c r="AB565" i="18" s="1"/>
  <c r="AB558" i="18" a="1"/>
  <c r="AB558" i="18" s="1"/>
  <c r="AB549" i="18" a="1"/>
  <c r="AB549" i="18" s="1"/>
  <c r="AB523" i="18" a="1"/>
  <c r="AB523" i="18" s="1"/>
  <c r="AB520" i="18" a="1"/>
  <c r="AB520" i="18" s="1"/>
  <c r="AB506" i="18" a="1"/>
  <c r="AB506" i="18" s="1"/>
  <c r="AB500" i="18" a="1"/>
  <c r="AB500" i="18" s="1"/>
  <c r="AB489" i="18" a="1"/>
  <c r="AB489" i="18" s="1"/>
  <c r="AB600" i="18" a="1"/>
  <c r="AB600" i="18" s="1"/>
  <c r="AB547" i="18" a="1"/>
  <c r="AB547" i="18" s="1"/>
  <c r="AB545" i="18" a="1"/>
  <c r="AB545" i="18" s="1"/>
  <c r="AB543" i="18" a="1"/>
  <c r="AB543" i="18" s="1"/>
  <c r="AB507" i="18" a="1"/>
  <c r="AB507" i="18" s="1"/>
  <c r="AB501" i="18" a="1"/>
  <c r="AB501" i="18" s="1"/>
  <c r="AB478" i="18" a="1"/>
  <c r="AB478" i="18" s="1"/>
  <c r="AB525" i="18" a="1"/>
  <c r="AB525" i="18" s="1"/>
  <c r="AB502" i="18" a="1"/>
  <c r="AB502" i="18" s="1"/>
  <c r="AB486" i="18" a="1"/>
  <c r="AB486" i="18" s="1"/>
  <c r="AB485" i="18" a="1"/>
  <c r="AB485" i="18" s="1"/>
  <c r="AB482" i="18" a="1"/>
  <c r="AB482" i="18" s="1"/>
  <c r="AB479" i="18" a="1"/>
  <c r="AB479" i="18" s="1"/>
  <c r="AB476" i="18" a="1"/>
  <c r="AB476" i="18" s="1"/>
  <c r="AB490" i="18" a="1"/>
  <c r="AB490" i="18" s="1"/>
  <c r="AB480" i="18" a="1"/>
  <c r="AB480" i="18" s="1"/>
  <c r="AB579" i="18" a="1"/>
  <c r="AB579" i="18" s="1"/>
  <c r="AB529" i="18" a="1"/>
  <c r="AB529" i="18" s="1"/>
  <c r="AB504" i="18" a="1"/>
  <c r="AB504" i="18" s="1"/>
  <c r="AB492" i="18" a="1"/>
  <c r="AB492" i="18" s="1"/>
  <c r="AB483" i="18" a="1"/>
  <c r="AB483" i="18" s="1"/>
  <c r="AB587" i="18" a="1"/>
  <c r="AB587" i="18" s="1"/>
  <c r="AB533" i="18" a="1"/>
  <c r="AB533" i="18" s="1"/>
  <c r="AB532" i="18" a="1"/>
  <c r="AB532" i="18" s="1"/>
  <c r="AB522" i="18" a="1"/>
  <c r="AB522" i="18" s="1"/>
  <c r="AB515" i="18" a="1"/>
  <c r="AB515" i="18" s="1"/>
  <c r="AB499" i="18" a="1"/>
  <c r="AB499" i="18" s="1"/>
  <c r="AB498" i="18" a="1"/>
  <c r="AB498" i="18" s="1"/>
  <c r="AB487" i="18" a="1"/>
  <c r="AB487" i="18" s="1"/>
  <c r="AB528" i="18" a="1"/>
  <c r="AB528" i="18" s="1"/>
  <c r="AB511" i="18" a="1"/>
  <c r="AB511" i="18" s="1"/>
  <c r="AB510" i="18" a="1"/>
  <c r="AB510" i="18" s="1"/>
  <c r="AB505" i="18" a="1"/>
  <c r="AB505" i="18" s="1"/>
  <c r="AB460" i="18" a="1"/>
  <c r="AB460" i="18" s="1"/>
  <c r="AB488" i="18" a="1"/>
  <c r="AB488" i="18" s="1"/>
  <c r="AB472" i="18" a="1"/>
  <c r="AB472" i="18" s="1"/>
  <c r="AB471" i="18" a="1"/>
  <c r="AB471" i="18" s="1"/>
  <c r="AB459" i="18" a="1"/>
  <c r="AB459" i="18" s="1"/>
  <c r="AB458" i="18" a="1"/>
  <c r="AB458" i="18" s="1"/>
  <c r="AB457" i="18" a="1"/>
  <c r="AB457" i="18" s="1"/>
  <c r="AB448" i="18" a="1"/>
  <c r="AB448" i="18" s="1"/>
  <c r="AB447" i="18" a="1"/>
  <c r="AB447" i="18" s="1"/>
  <c r="AB465" i="18" a="1"/>
  <c r="AB465" i="18" s="1"/>
  <c r="AB464" i="18" a="1"/>
  <c r="AB464" i="18" s="1"/>
  <c r="AB537" i="18" a="1"/>
  <c r="AB537" i="18" s="1"/>
  <c r="AB503" i="18" a="1"/>
  <c r="AB503" i="18" s="1"/>
  <c r="AB475" i="18" a="1"/>
  <c r="AB475" i="18" s="1"/>
  <c r="AB470" i="18" a="1"/>
  <c r="AB470" i="18" s="1"/>
  <c r="AB463" i="18" a="1"/>
  <c r="AB463" i="18" s="1"/>
  <c r="AB461" i="18" a="1"/>
  <c r="AB461" i="18" s="1"/>
  <c r="AB473" i="18" a="1"/>
  <c r="AB473" i="18" s="1"/>
  <c r="AB453" i="18" a="1"/>
  <c r="AB453" i="18" s="1"/>
  <c r="AB491" i="18" a="1"/>
  <c r="AB491" i="18" s="1"/>
  <c r="AB481" i="18" a="1"/>
  <c r="AB481" i="18" s="1"/>
  <c r="AB462" i="18" a="1"/>
  <c r="AB462" i="18" s="1"/>
  <c r="AB452" i="18" a="1"/>
  <c r="AB452" i="18" s="1"/>
  <c r="AB451" i="18" a="1"/>
  <c r="AB451" i="18" s="1"/>
  <c r="AB466" i="18" a="1"/>
  <c r="AB466" i="18" s="1"/>
  <c r="AB456" i="18" a="1"/>
  <c r="AB456" i="18" s="1"/>
  <c r="AB455" i="18" a="1"/>
  <c r="AB455" i="18" s="1"/>
  <c r="AB454" i="18" a="1"/>
  <c r="AB454" i="18" s="1"/>
  <c r="AB450" i="18" a="1"/>
  <c r="AB450" i="18" s="1"/>
  <c r="AB477" i="18" a="1"/>
  <c r="AB477" i="18" s="1"/>
  <c r="AB445" i="18" a="1"/>
  <c r="AB445" i="18" s="1"/>
  <c r="AB444" i="18" a="1"/>
  <c r="AB444" i="18" s="1"/>
  <c r="AB443" i="18" a="1"/>
  <c r="AB443" i="18" s="1"/>
  <c r="AB425" i="18" a="1"/>
  <c r="AB425" i="18" s="1"/>
  <c r="AB423" i="18" a="1"/>
  <c r="AB423" i="18" s="1"/>
  <c r="AB414" i="18" a="1"/>
  <c r="AB414" i="18" s="1"/>
  <c r="AB413" i="18" a="1"/>
  <c r="AB413" i="18" s="1"/>
  <c r="AB399" i="18" a="1"/>
  <c r="AB399" i="18" s="1"/>
  <c r="AB442" i="18" a="1"/>
  <c r="AB442" i="18" s="1"/>
  <c r="AB424" i="18" a="1"/>
  <c r="AB424" i="18" s="1"/>
  <c r="AB441" i="18" a="1"/>
  <c r="AB441" i="18" s="1"/>
  <c r="AB432" i="18" a="1"/>
  <c r="AB432" i="18" s="1"/>
  <c r="AB431" i="18" a="1"/>
  <c r="AB431" i="18" s="1"/>
  <c r="AB407" i="18" a="1"/>
  <c r="AB407" i="18" s="1"/>
  <c r="AB404" i="18" a="1"/>
  <c r="AB404" i="18" s="1"/>
  <c r="AB401" i="18" a="1"/>
  <c r="AB401" i="18" s="1"/>
  <c r="AB467" i="18" a="1"/>
  <c r="AB467" i="18" s="1"/>
  <c r="AB446" i="18" a="1"/>
  <c r="AB446" i="18" s="1"/>
  <c r="AB439" i="18" a="1"/>
  <c r="AB439" i="18" s="1"/>
  <c r="AB422" i="18" a="1"/>
  <c r="AB422" i="18" s="1"/>
  <c r="AB421" i="18" a="1"/>
  <c r="AB421" i="18" s="1"/>
  <c r="AB420" i="18" a="1"/>
  <c r="AB420" i="18" s="1"/>
  <c r="AB408" i="18" a="1"/>
  <c r="AB408" i="18" s="1"/>
  <c r="AB403" i="18" a="1"/>
  <c r="AB403" i="18" s="1"/>
  <c r="AB402" i="18" a="1"/>
  <c r="AB402" i="18" s="1"/>
  <c r="AB393" i="18" a="1"/>
  <c r="AB393" i="18" s="1"/>
  <c r="AB468" i="18" a="1"/>
  <c r="AB468" i="18" s="1"/>
  <c r="AB440" i="18" a="1"/>
  <c r="AB440" i="18" s="1"/>
  <c r="AB437" i="18" a="1"/>
  <c r="AB437" i="18" s="1"/>
  <c r="AB435" i="18" a="1"/>
  <c r="AB435" i="18" s="1"/>
  <c r="AB430" i="18" a="1"/>
  <c r="AB430" i="18" s="1"/>
  <c r="AB428" i="18" a="1"/>
  <c r="AB428" i="18" s="1"/>
  <c r="AB419" i="18" a="1"/>
  <c r="AB419" i="18" s="1"/>
  <c r="AB411" i="18" a="1"/>
  <c r="AB411" i="18" s="1"/>
  <c r="AB406" i="18" a="1"/>
  <c r="AB406" i="18" s="1"/>
  <c r="AB405" i="18" a="1"/>
  <c r="AB405" i="18" s="1"/>
  <c r="AB395" i="18" a="1"/>
  <c r="AB395" i="18" s="1"/>
  <c r="AB394" i="18" a="1"/>
  <c r="AB394" i="18" s="1"/>
  <c r="AB484" i="18" a="1"/>
  <c r="AB484" i="18" s="1"/>
  <c r="AB433" i="18" a="1"/>
  <c r="AB433" i="18" s="1"/>
  <c r="AB416" i="18" a="1"/>
  <c r="AB416" i="18" s="1"/>
  <c r="AB410" i="18" a="1"/>
  <c r="AB410" i="18" s="1"/>
  <c r="AB398" i="18" a="1"/>
  <c r="AB398" i="18" s="1"/>
  <c r="AB396" i="18" a="1"/>
  <c r="AB396" i="18" s="1"/>
  <c r="AB391" i="18" a="1"/>
  <c r="AB391" i="18" s="1"/>
  <c r="AB429" i="18" a="1"/>
  <c r="AB429" i="18" s="1"/>
  <c r="AB385" i="18" a="1"/>
  <c r="AB385" i="18" s="1"/>
  <c r="AB383" i="18" a="1"/>
  <c r="AB383" i="18" s="1"/>
  <c r="AB381" i="18" a="1"/>
  <c r="AB381" i="18" s="1"/>
  <c r="AB366" i="18" a="1"/>
  <c r="AB366" i="18" s="1"/>
  <c r="AB362" i="18" a="1"/>
  <c r="AB362" i="18" s="1"/>
  <c r="AB474" i="18" a="1"/>
  <c r="AB474" i="18" s="1"/>
  <c r="AB449" i="18" a="1"/>
  <c r="AB449" i="18" s="1"/>
  <c r="AB438" i="18" a="1"/>
  <c r="AB438" i="18" s="1"/>
  <c r="AB426" i="18" a="1"/>
  <c r="AB426" i="18" s="1"/>
  <c r="AB418" i="18" a="1"/>
  <c r="AB418" i="18" s="1"/>
  <c r="AB390" i="18" a="1"/>
  <c r="AB390" i="18" s="1"/>
  <c r="AB386" i="18" a="1"/>
  <c r="AB386" i="18" s="1"/>
  <c r="AB380" i="18" a="1"/>
  <c r="AB380" i="18" s="1"/>
  <c r="AB379" i="18" a="1"/>
  <c r="AB379" i="18" s="1"/>
  <c r="AB375" i="18" a="1"/>
  <c r="AB375" i="18" s="1"/>
  <c r="AB373" i="18" a="1"/>
  <c r="AB373" i="18" s="1"/>
  <c r="AB371" i="18" a="1"/>
  <c r="AB371" i="18" s="1"/>
  <c r="AB347" i="18" a="1"/>
  <c r="AB347" i="18" s="1"/>
  <c r="AB387" i="18" a="1"/>
  <c r="AB387" i="18" s="1"/>
  <c r="AB382" i="18" a="1"/>
  <c r="AB382" i="18" s="1"/>
  <c r="AB372" i="18" a="1"/>
  <c r="AB372" i="18" s="1"/>
  <c r="AB370" i="18" a="1"/>
  <c r="AB370" i="18" s="1"/>
  <c r="AB469" i="18" a="1"/>
  <c r="AB469" i="18" s="1"/>
  <c r="AB374" i="18" a="1"/>
  <c r="AB374" i="18" s="1"/>
  <c r="AB368" i="18" a="1"/>
  <c r="AB368" i="18" s="1"/>
  <c r="AB417" i="18" a="1"/>
  <c r="AB417" i="18" s="1"/>
  <c r="AB409" i="18" a="1"/>
  <c r="AB409" i="18" s="1"/>
  <c r="AB389" i="18" a="1"/>
  <c r="AB389" i="18" s="1"/>
  <c r="AB369" i="18" a="1"/>
  <c r="AB369" i="18" s="1"/>
  <c r="AB349" i="18" a="1"/>
  <c r="AB349" i="18" s="1"/>
  <c r="AB344" i="18" a="1"/>
  <c r="AB344" i="18" s="1"/>
  <c r="AB343" i="18" a="1"/>
  <c r="AB343" i="18" s="1"/>
  <c r="AB415" i="18" a="1"/>
  <c r="AB415" i="18" s="1"/>
  <c r="AB378" i="18" a="1"/>
  <c r="AB378" i="18" s="1"/>
  <c r="AB377" i="18" a="1"/>
  <c r="AB377" i="18" s="1"/>
  <c r="AB376" i="18" a="1"/>
  <c r="AB376" i="18" s="1"/>
  <c r="AB364" i="18" a="1"/>
  <c r="AB364" i="18" s="1"/>
  <c r="AB361" i="18" a="1"/>
  <c r="AB361" i="18" s="1"/>
  <c r="AB359" i="18" a="1"/>
  <c r="AB359" i="18" s="1"/>
  <c r="AB357" i="18" a="1"/>
  <c r="AB357" i="18" s="1"/>
  <c r="AB354" i="18" a="1"/>
  <c r="AB354" i="18" s="1"/>
  <c r="AB352" i="18" a="1"/>
  <c r="AB352" i="18" s="1"/>
  <c r="AB434" i="18" a="1"/>
  <c r="AB434" i="18" s="1"/>
  <c r="AB388" i="18" a="1"/>
  <c r="AB388" i="18" s="1"/>
  <c r="AB367" i="18" a="1"/>
  <c r="AB367" i="18" s="1"/>
  <c r="AB365" i="18" a="1"/>
  <c r="AB365" i="18" s="1"/>
  <c r="AB363" i="18" a="1"/>
  <c r="AB363" i="18" s="1"/>
  <c r="AB326" i="18" a="1"/>
  <c r="AB326" i="18" s="1"/>
  <c r="AB323" i="18" a="1"/>
  <c r="AB323" i="18" s="1"/>
  <c r="AB316" i="18" a="1"/>
  <c r="AB316" i="18" s="1"/>
  <c r="AB392" i="18" a="1"/>
  <c r="AB392" i="18" s="1"/>
  <c r="AB350" i="18" a="1"/>
  <c r="AB350" i="18" s="1"/>
  <c r="AB335" i="18" a="1"/>
  <c r="AB335" i="18" s="1"/>
  <c r="AB334" i="18" a="1"/>
  <c r="AB334" i="18" s="1"/>
  <c r="AB327" i="18" a="1"/>
  <c r="AB327" i="18" s="1"/>
  <c r="AB324" i="18" a="1"/>
  <c r="AB324" i="18" s="1"/>
  <c r="AB320" i="18" a="1"/>
  <c r="AB320" i="18" s="1"/>
  <c r="AB317" i="18" a="1"/>
  <c r="AB317" i="18" s="1"/>
  <c r="AB310" i="18" a="1"/>
  <c r="AB310" i="18" s="1"/>
  <c r="AB384" i="18" a="1"/>
  <c r="AB384" i="18" s="1"/>
  <c r="AB356" i="18" a="1"/>
  <c r="AB356" i="18" s="1"/>
  <c r="AB340" i="18" a="1"/>
  <c r="AB340" i="18" s="1"/>
  <c r="AB318" i="18" a="1"/>
  <c r="AB318" i="18" s="1"/>
  <c r="AB305" i="18" a="1"/>
  <c r="AB305" i="18" s="1"/>
  <c r="AB304" i="18" a="1"/>
  <c r="AB304" i="18" s="1"/>
  <c r="AB346" i="18" a="1"/>
  <c r="AB346" i="18" s="1"/>
  <c r="AB345" i="18" a="1"/>
  <c r="AB345" i="18" s="1"/>
  <c r="AB341" i="18" a="1"/>
  <c r="AB341" i="18" s="1"/>
  <c r="AB339" i="18" a="1"/>
  <c r="AB339" i="18" s="1"/>
  <c r="AB332" i="18" a="1"/>
  <c r="AB332" i="18" s="1"/>
  <c r="AB328" i="18" a="1"/>
  <c r="AB328" i="18" s="1"/>
  <c r="AB321" i="18" a="1"/>
  <c r="AB321" i="18" s="1"/>
  <c r="AB312" i="18" a="1"/>
  <c r="AB312" i="18" s="1"/>
  <c r="AB307" i="18" a="1"/>
  <c r="AB307" i="18" s="1"/>
  <c r="AB427" i="18" a="1"/>
  <c r="AB427" i="18" s="1"/>
  <c r="AB412" i="18" a="1"/>
  <c r="AB412" i="18" s="1"/>
  <c r="AB358" i="18" a="1"/>
  <c r="AB358" i="18" s="1"/>
  <c r="AB353" i="18" a="1"/>
  <c r="AB353" i="18" s="1"/>
  <c r="AB351" i="18" a="1"/>
  <c r="AB351" i="18" s="1"/>
  <c r="AB348" i="18" a="1"/>
  <c r="AB348" i="18" s="1"/>
  <c r="AB333" i="18" a="1"/>
  <c r="AB333" i="18" s="1"/>
  <c r="AB329" i="18" a="1"/>
  <c r="AB329" i="18" s="1"/>
  <c r="AB319" i="18" a="1"/>
  <c r="AB319" i="18" s="1"/>
  <c r="AB313" i="18" a="1"/>
  <c r="AB313" i="18" s="1"/>
  <c r="AB306" i="18" a="1"/>
  <c r="AB306" i="18" s="1"/>
  <c r="AB301" i="18" a="1"/>
  <c r="AB301" i="18" s="1"/>
  <c r="AB297" i="18" a="1"/>
  <c r="AB297" i="18" s="1"/>
  <c r="AB397" i="18" a="1"/>
  <c r="AB397" i="18" s="1"/>
  <c r="AB360" i="18" a="1"/>
  <c r="AB360" i="18" s="1"/>
  <c r="AB355" i="18" a="1"/>
  <c r="AB355" i="18" s="1"/>
  <c r="AB337" i="18" a="1"/>
  <c r="AB337" i="18" s="1"/>
  <c r="AB330" i="18" a="1"/>
  <c r="AB330" i="18" s="1"/>
  <c r="AB342" i="18" a="1"/>
  <c r="AB342" i="18" s="1"/>
  <c r="AB338" i="18" a="1"/>
  <c r="AB338" i="18" s="1"/>
  <c r="AB331" i="18" a="1"/>
  <c r="AB331" i="18" s="1"/>
  <c r="AB325" i="18" a="1"/>
  <c r="AB325" i="18" s="1"/>
  <c r="AB322" i="18" a="1"/>
  <c r="AB322" i="18" s="1"/>
  <c r="AB315" i="18" a="1"/>
  <c r="AB315" i="18" s="1"/>
  <c r="AB311" i="18" a="1"/>
  <c r="AB311" i="18" s="1"/>
  <c r="AB290" i="18" a="1"/>
  <c r="AB290" i="18" s="1"/>
  <c r="AB275" i="18" a="1"/>
  <c r="AB275" i="18" s="1"/>
  <c r="AB270" i="18" a="1"/>
  <c r="AB270" i="18" s="1"/>
  <c r="AB263" i="18" a="1"/>
  <c r="AB263" i="18" s="1"/>
  <c r="AB436" i="18" a="1"/>
  <c r="AB436" i="18" s="1"/>
  <c r="AB314" i="18" a="1"/>
  <c r="AB314" i="18" s="1"/>
  <c r="AB309" i="18" a="1"/>
  <c r="AB309" i="18" s="1"/>
  <c r="AB299" i="18" a="1"/>
  <c r="AB299" i="18" s="1"/>
  <c r="AB291" i="18" a="1"/>
  <c r="AB291" i="18" s="1"/>
  <c r="AB284" i="18" a="1"/>
  <c r="AB284" i="18" s="1"/>
  <c r="AB279" i="18" a="1"/>
  <c r="AB279" i="18" s="1"/>
  <c r="AB274" i="18" a="1"/>
  <c r="AB274" i="18" s="1"/>
  <c r="AB308" i="18" a="1"/>
  <c r="AB308" i="18" s="1"/>
  <c r="AB295" i="18" a="1"/>
  <c r="AB295" i="18" s="1"/>
  <c r="AB287" i="18" a="1"/>
  <c r="AB287" i="18" s="1"/>
  <c r="AB278" i="18" a="1"/>
  <c r="AB278" i="18" s="1"/>
  <c r="AB269" i="18" a="1"/>
  <c r="AB269" i="18" s="1"/>
  <c r="AB262" i="18" a="1"/>
  <c r="AB262" i="18" s="1"/>
  <c r="AB247" i="18" a="1"/>
  <c r="AB247" i="18" s="1"/>
  <c r="AB237" i="18" a="1"/>
  <c r="AB237" i="18" s="1"/>
  <c r="AB336" i="18" a="1"/>
  <c r="AB336" i="18" s="1"/>
  <c r="AB298" i="18" a="1"/>
  <c r="AB298" i="18" s="1"/>
  <c r="AB289" i="18" a="1"/>
  <c r="AB289" i="18" s="1"/>
  <c r="AB283" i="18" a="1"/>
  <c r="AB283" i="18" s="1"/>
  <c r="AB273" i="18" a="1"/>
  <c r="AB273" i="18" s="1"/>
  <c r="AB272" i="18" a="1"/>
  <c r="AB272" i="18" s="1"/>
  <c r="AB268" i="18" a="1"/>
  <c r="AB268" i="18" s="1"/>
  <c r="AB249" i="18" a="1"/>
  <c r="AB249" i="18" s="1"/>
  <c r="AB248" i="18" a="1"/>
  <c r="AB248" i="18" s="1"/>
  <c r="AB243" i="18" a="1"/>
  <c r="AB243" i="18" s="1"/>
  <c r="AB242" i="18" a="1"/>
  <c r="AB242" i="18" s="1"/>
  <c r="AB400" i="18" a="1"/>
  <c r="AB400" i="18" s="1"/>
  <c r="AB300" i="18" a="1"/>
  <c r="AB300" i="18" s="1"/>
  <c r="AB293" i="18" a="1"/>
  <c r="AB293" i="18" s="1"/>
  <c r="AB292" i="18" a="1"/>
  <c r="AB292" i="18" s="1"/>
  <c r="AB266" i="18" a="1"/>
  <c r="AB266" i="18" s="1"/>
  <c r="AB265" i="18" a="1"/>
  <c r="AB265" i="18" s="1"/>
  <c r="AB264" i="18" a="1"/>
  <c r="AB264" i="18" s="1"/>
  <c r="AB259" i="18" a="1"/>
  <c r="AB259" i="18" s="1"/>
  <c r="AB257" i="18" a="1"/>
  <c r="AB257" i="18" s="1"/>
  <c r="AB256" i="18" a="1"/>
  <c r="AB256" i="18" s="1"/>
  <c r="AB253" i="18" a="1"/>
  <c r="AB253" i="18" s="1"/>
  <c r="AB252" i="18" a="1"/>
  <c r="AB252" i="18" s="1"/>
  <c r="AB251" i="18" a="1"/>
  <c r="AB251" i="18" s="1"/>
  <c r="AB302" i="18" a="1"/>
  <c r="AB302" i="18" s="1"/>
  <c r="AB296" i="18" a="1"/>
  <c r="AB296" i="18" s="1"/>
  <c r="AB285" i="18" a="1"/>
  <c r="AB285" i="18" s="1"/>
  <c r="AB281" i="18" a="1"/>
  <c r="AB281" i="18" s="1"/>
  <c r="AB280" i="18" a="1"/>
  <c r="AB280" i="18" s="1"/>
  <c r="AB276" i="18" a="1"/>
  <c r="AB276" i="18" s="1"/>
  <c r="AB271" i="18" a="1"/>
  <c r="AB271" i="18" s="1"/>
  <c r="AB258" i="18" a="1"/>
  <c r="AB258" i="18" s="1"/>
  <c r="AB255" i="18" a="1"/>
  <c r="AB255" i="18" s="1"/>
  <c r="AB254" i="18" a="1"/>
  <c r="AB254" i="18" s="1"/>
  <c r="W5" i="18" a="1"/>
  <c r="W5" i="18" s="1"/>
  <c r="X5" i="18" s="1"/>
  <c r="AB6" i="18" a="1"/>
  <c r="AB6" i="18" s="1"/>
  <c r="W7" i="18" a="1"/>
  <c r="W7" i="18" s="1"/>
  <c r="X7" i="18" s="1"/>
  <c r="W8" i="18" a="1"/>
  <c r="W8" i="18" s="1"/>
  <c r="X8" i="18" s="1"/>
  <c r="AA9" i="18" a="1"/>
  <c r="AA9" i="18" s="1"/>
  <c r="W207" i="18" a="1"/>
  <c r="W207" i="18" s="1"/>
  <c r="X207" i="18" s="1"/>
  <c r="AL208" i="18" a="1"/>
  <c r="AL208" i="18" s="1"/>
  <c r="AB209" i="18" a="1"/>
  <c r="AB209" i="18" s="1"/>
  <c r="AP209" i="18" a="1"/>
  <c r="AP209" i="18" s="1"/>
  <c r="W210" i="18" a="1"/>
  <c r="W210" i="18" s="1"/>
  <c r="X210" i="18" s="1"/>
  <c r="AA211" i="18" a="1"/>
  <c r="AA211" i="18" s="1"/>
  <c r="AA212" i="18" a="1"/>
  <c r="AA212" i="18" s="1"/>
  <c r="S214" i="18" a="1"/>
  <c r="S214" i="18" s="1"/>
  <c r="AB215" i="18" a="1"/>
  <c r="AB215" i="18" s="1"/>
  <c r="R216" i="18" a="1"/>
  <c r="R216" i="18" s="1"/>
  <c r="Y216" i="18" a="1"/>
  <c r="Y216" i="18" s="1"/>
  <c r="AL220" i="18" a="1"/>
  <c r="AL220" i="18" s="1"/>
  <c r="AG222" i="18" a="1"/>
  <c r="AG222" i="18" s="1"/>
  <c r="AH222" i="18" s="1"/>
  <c r="AC222" i="18" a="1"/>
  <c r="AC222" i="18" s="1"/>
  <c r="AD222" i="18" s="1"/>
  <c r="R223" i="18" a="1"/>
  <c r="R223" i="18" s="1"/>
  <c r="AB223" i="18" a="1"/>
  <c r="AB223" i="18" s="1"/>
  <c r="AG224" i="18" a="1"/>
  <c r="AG224" i="18" s="1"/>
  <c r="AH224" i="18" s="1"/>
  <c r="AC224" i="18" a="1"/>
  <c r="AC224" i="18" s="1"/>
  <c r="AD224" i="18" s="1"/>
  <c r="AB225" i="18" a="1"/>
  <c r="AB225" i="18" s="1"/>
  <c r="AA226" i="18" a="1"/>
  <c r="AA226" i="18" s="1"/>
  <c r="AP227" i="18" a="1"/>
  <c r="AP227" i="18" s="1"/>
  <c r="R228" i="18" a="1"/>
  <c r="R228" i="18" s="1"/>
  <c r="R230" i="18" a="1"/>
  <c r="R230" i="18" s="1"/>
  <c r="R231" i="18" a="1"/>
  <c r="R231" i="18" s="1"/>
  <c r="S232" i="18" a="1"/>
  <c r="S232" i="18" s="1"/>
  <c r="AA232" i="18" a="1"/>
  <c r="AA232" i="18" s="1"/>
  <c r="AB233" i="18" a="1"/>
  <c r="AB233" i="18" s="1"/>
  <c r="AG234" i="18" a="1"/>
  <c r="AG234" i="18" s="1"/>
  <c r="AH234" i="18" s="1"/>
  <c r="AC234" i="18" a="1"/>
  <c r="AC234" i="18" s="1"/>
  <c r="AD234" i="18" s="1"/>
  <c r="R235" i="18" a="1"/>
  <c r="R235" i="18" s="1"/>
  <c r="Z235" i="18" a="1"/>
  <c r="Z235" i="18" s="1"/>
  <c r="AG237" i="18" a="1"/>
  <c r="AG237" i="18" s="1"/>
  <c r="AH237" i="18" s="1"/>
  <c r="AC237" i="18" a="1"/>
  <c r="AC237" i="18" s="1"/>
  <c r="AD237" i="18" s="1"/>
  <c r="AA237" i="18" a="1"/>
  <c r="AA237" i="18" s="1"/>
  <c r="R238" i="18" a="1"/>
  <c r="R238" i="18" s="1"/>
  <c r="AA239" i="18" a="1"/>
  <c r="AA239" i="18" s="1"/>
  <c r="AB241" i="18" a="1"/>
  <c r="AB241" i="18" s="1"/>
  <c r="Y244" i="18" a="1"/>
  <c r="Y244" i="18" s="1"/>
  <c r="Z246" i="18" a="1"/>
  <c r="Z246" i="18" s="1"/>
  <c r="S247" i="18" a="1"/>
  <c r="S247" i="18" s="1"/>
  <c r="AL247" i="18" a="1"/>
  <c r="AL247" i="18" s="1"/>
  <c r="W248" i="18" a="1"/>
  <c r="W248" i="18" s="1"/>
  <c r="X248" i="18" s="1"/>
  <c r="AL248" i="18" a="1"/>
  <c r="AL248" i="18" s="1"/>
  <c r="W249" i="18" a="1"/>
  <c r="W249" i="18" s="1"/>
  <c r="X249" i="18" s="1"/>
  <c r="AG250" i="18" a="1"/>
  <c r="AG250" i="18" s="1"/>
  <c r="AH250" i="18" s="1"/>
  <c r="AC250" i="18" a="1"/>
  <c r="AC250" i="18" s="1"/>
  <c r="AD250" i="18" s="1"/>
  <c r="Z250" i="18" a="1"/>
  <c r="Z250" i="18" s="1"/>
  <c r="AG251" i="18" a="1"/>
  <c r="AG251" i="18" s="1"/>
  <c r="AH251" i="18" s="1"/>
  <c r="AC251" i="18" a="1"/>
  <c r="AC251" i="18" s="1"/>
  <c r="AD251" i="18" s="1"/>
  <c r="AL252" i="18" a="1"/>
  <c r="AL252" i="18" s="1"/>
  <c r="AL256" i="18" a="1"/>
  <c r="AL256" i="18" s="1"/>
  <c r="W259" i="18" a="1"/>
  <c r="W259" i="18" s="1"/>
  <c r="X259" i="18" s="1"/>
  <c r="AG261" i="18" a="1"/>
  <c r="AG261" i="18" s="1"/>
  <c r="AH261" i="18" s="1"/>
  <c r="AC261" i="18" a="1"/>
  <c r="AC261" i="18" s="1"/>
  <c r="AD261" i="18" s="1"/>
  <c r="AA269" i="18" a="1"/>
  <c r="AA269" i="18" s="1"/>
  <c r="W276" i="18" a="1"/>
  <c r="W276" i="18" s="1"/>
  <c r="X276" i="18" s="1"/>
  <c r="AL277" i="18" a="1"/>
  <c r="AL277" i="18" s="1"/>
  <c r="W280" i="18" a="1"/>
  <c r="W280" i="18" s="1"/>
  <c r="X280" i="18" s="1"/>
  <c r="AP281" i="18" a="1"/>
  <c r="AP281" i="18" s="1"/>
  <c r="S285" i="18" a="1"/>
  <c r="S285" i="18" s="1"/>
  <c r="W286" i="18" a="1"/>
  <c r="W286" i="18" s="1"/>
  <c r="X286" i="18" s="1"/>
  <c r="AP289" i="18" a="1"/>
  <c r="AP289" i="18" s="1"/>
  <c r="Z292" i="18" a="1"/>
  <c r="Z292" i="18" s="1"/>
  <c r="Z297" i="18" a="1"/>
  <c r="Z297" i="18" s="1"/>
  <c r="S340" i="18" a="1"/>
  <c r="S340" i="18" s="1"/>
  <c r="AG217" i="18" a="1"/>
  <c r="AG217" i="18" s="1"/>
  <c r="AH217" i="18" s="1"/>
  <c r="AC217" i="18" a="1"/>
  <c r="AC217" i="18" s="1"/>
  <c r="AD217" i="18" s="1"/>
  <c r="AG272" i="18" a="1"/>
  <c r="AG272" i="18" s="1"/>
  <c r="AH272" i="18" s="1"/>
  <c r="AC272" i="18" a="1"/>
  <c r="AC272" i="18" s="1"/>
  <c r="AD272" i="18" s="1"/>
  <c r="AA4" i="18" a="1"/>
  <c r="AA4" i="18" s="1"/>
  <c r="AA652" i="18" a="1"/>
  <c r="AA652" i="18" s="1"/>
  <c r="AA648" i="18" a="1"/>
  <c r="AA648" i="18" s="1"/>
  <c r="AA647" i="18" a="1"/>
  <c r="AA647" i="18" s="1"/>
  <c r="AA649" i="18" a="1"/>
  <c r="AA649" i="18" s="1"/>
  <c r="AA646" i="18" a="1"/>
  <c r="AA646" i="18" s="1"/>
  <c r="AA653" i="18" a="1"/>
  <c r="AA653" i="18" s="1"/>
  <c r="AA645" i="18" a="1"/>
  <c r="AA645" i="18" s="1"/>
  <c r="AA644" i="18" a="1"/>
  <c r="AA644" i="18" s="1"/>
  <c r="AA632" i="18" a="1"/>
  <c r="AA632" i="18" s="1"/>
  <c r="AA631" i="18" a="1"/>
  <c r="AA631" i="18" s="1"/>
  <c r="AA617" i="18" a="1"/>
  <c r="AA617" i="18" s="1"/>
  <c r="AA651" i="18" a="1"/>
  <c r="AA651" i="18" s="1"/>
  <c r="AA636" i="18" a="1"/>
  <c r="AA636" i="18" s="1"/>
  <c r="AA634" i="18" a="1"/>
  <c r="AA634" i="18" s="1"/>
  <c r="AA633" i="18" a="1"/>
  <c r="AA633" i="18" s="1"/>
  <c r="AA624" i="18" a="1"/>
  <c r="AA624" i="18" s="1"/>
  <c r="AA650" i="18" a="1"/>
  <c r="AA650" i="18" s="1"/>
  <c r="AA642" i="18" a="1"/>
  <c r="AA642" i="18" s="1"/>
  <c r="AA641" i="18" a="1"/>
  <c r="AA641" i="18" s="1"/>
  <c r="AA628" i="18" a="1"/>
  <c r="AA628" i="18" s="1"/>
  <c r="AA626" i="18" a="1"/>
  <c r="AA626" i="18" s="1"/>
  <c r="AA622" i="18" a="1"/>
  <c r="AA622" i="18" s="1"/>
  <c r="AA621" i="18" a="1"/>
  <c r="AA621" i="18" s="1"/>
  <c r="AA615" i="18" a="1"/>
  <c r="AA615" i="18" s="1"/>
  <c r="AA611" i="18" a="1"/>
  <c r="AA611" i="18" s="1"/>
  <c r="AA595" i="18" a="1"/>
  <c r="AA595" i="18" s="1"/>
  <c r="AA594" i="18" a="1"/>
  <c r="AA594" i="18" s="1"/>
  <c r="AA640" i="18" a="1"/>
  <c r="AA640" i="18" s="1"/>
  <c r="AA635" i="18" a="1"/>
  <c r="AA635" i="18" s="1"/>
  <c r="AA630" i="18" a="1"/>
  <c r="AA630" i="18" s="1"/>
  <c r="AA608" i="18" a="1"/>
  <c r="AA608" i="18" s="1"/>
  <c r="AA606" i="18" a="1"/>
  <c r="AA606" i="18" s="1"/>
  <c r="AA600" i="18" a="1"/>
  <c r="AA600" i="18" s="1"/>
  <c r="AA599" i="18" a="1"/>
  <c r="AA599" i="18" s="1"/>
  <c r="AA598" i="18" a="1"/>
  <c r="AA598" i="18" s="1"/>
  <c r="AA643" i="18" a="1"/>
  <c r="AA643" i="18" s="1"/>
  <c r="AA627" i="18" a="1"/>
  <c r="AA627" i="18" s="1"/>
  <c r="AA614" i="18" a="1"/>
  <c r="AA614" i="18" s="1"/>
  <c r="AA612" i="18" a="1"/>
  <c r="AA612" i="18" s="1"/>
  <c r="AA610" i="18" a="1"/>
  <c r="AA610" i="18" s="1"/>
  <c r="AA607" i="18" a="1"/>
  <c r="AA607" i="18" s="1"/>
  <c r="AA603" i="18" a="1"/>
  <c r="AA603" i="18" s="1"/>
  <c r="AA597" i="18" a="1"/>
  <c r="AA597" i="18" s="1"/>
  <c r="AA639" i="18" a="1"/>
  <c r="AA639" i="18" s="1"/>
  <c r="AA625" i="18" a="1"/>
  <c r="AA625" i="18" s="1"/>
  <c r="AA629" i="18" a="1"/>
  <c r="AA629" i="18" s="1"/>
  <c r="AA618" i="18" a="1"/>
  <c r="AA618" i="18" s="1"/>
  <c r="AA616" i="18" a="1"/>
  <c r="AA616" i="18" s="1"/>
  <c r="AA601" i="18" a="1"/>
  <c r="AA601" i="18" s="1"/>
  <c r="AA593" i="18" a="1"/>
  <c r="AA593" i="18" s="1"/>
  <c r="AA637" i="18" a="1"/>
  <c r="AA637" i="18" s="1"/>
  <c r="AA605" i="18" a="1"/>
  <c r="AA605" i="18" s="1"/>
  <c r="AA638" i="18" a="1"/>
  <c r="AA638" i="18" s="1"/>
  <c r="AA591" i="18" a="1"/>
  <c r="AA591" i="18" s="1"/>
  <c r="AA577" i="18" a="1"/>
  <c r="AA577" i="18" s="1"/>
  <c r="AA574" i="18" a="1"/>
  <c r="AA574" i="18" s="1"/>
  <c r="AA566" i="18" a="1"/>
  <c r="AA566" i="18" s="1"/>
  <c r="AA590" i="18" a="1"/>
  <c r="AA590" i="18" s="1"/>
  <c r="AA587" i="18" a="1"/>
  <c r="AA587" i="18" s="1"/>
  <c r="AA586" i="18" a="1"/>
  <c r="AA586" i="18" s="1"/>
  <c r="AA584" i="18" a="1"/>
  <c r="AA584" i="18" s="1"/>
  <c r="AA570" i="18" a="1"/>
  <c r="AA570" i="18" s="1"/>
  <c r="AA562" i="18" a="1"/>
  <c r="AA562" i="18" s="1"/>
  <c r="AA558" i="18" a="1"/>
  <c r="AA558" i="18" s="1"/>
  <c r="AA543" i="18" a="1"/>
  <c r="AA543" i="18" s="1"/>
  <c r="AA613" i="18" a="1"/>
  <c r="AA613" i="18" s="1"/>
  <c r="AA592" i="18" a="1"/>
  <c r="AA592" i="18" s="1"/>
  <c r="AA588" i="18" a="1"/>
  <c r="AA588" i="18" s="1"/>
  <c r="AA568" i="18" a="1"/>
  <c r="AA568" i="18" s="1"/>
  <c r="AA564" i="18" a="1"/>
  <c r="AA564" i="18" s="1"/>
  <c r="AA563" i="18" a="1"/>
  <c r="AA563" i="18" s="1"/>
  <c r="AA589" i="18" a="1"/>
  <c r="AA589" i="18" s="1"/>
  <c r="AA572" i="18" a="1"/>
  <c r="AA572" i="18" s="1"/>
  <c r="AA571" i="18" a="1"/>
  <c r="AA571" i="18" s="1"/>
  <c r="AA560" i="18" a="1"/>
  <c r="AA560" i="18" s="1"/>
  <c r="AA604" i="18" a="1"/>
  <c r="AA604" i="18" s="1"/>
  <c r="AA567" i="18" a="1"/>
  <c r="AA567" i="18" s="1"/>
  <c r="AA565" i="18" a="1"/>
  <c r="AA565" i="18" s="1"/>
  <c r="AA553" i="18" a="1"/>
  <c r="AA553" i="18" s="1"/>
  <c r="AA549" i="18" a="1"/>
  <c r="AA549" i="18" s="1"/>
  <c r="AA548" i="18" a="1"/>
  <c r="AA548" i="18" s="1"/>
  <c r="AA545" i="18" a="1"/>
  <c r="AA545" i="18" s="1"/>
  <c r="AA542" i="18" a="1"/>
  <c r="AA542" i="18" s="1"/>
  <c r="AA541" i="18" a="1"/>
  <c r="AA541" i="18" s="1"/>
  <c r="AA585" i="18" a="1"/>
  <c r="AA585" i="18" s="1"/>
  <c r="AA580" i="18" a="1"/>
  <c r="AA580" i="18" s="1"/>
  <c r="AA579" i="18" a="1"/>
  <c r="AA579" i="18" s="1"/>
  <c r="AA575" i="18" a="1"/>
  <c r="AA575" i="18" s="1"/>
  <c r="AA573" i="18" a="1"/>
  <c r="AA573" i="18" s="1"/>
  <c r="AA559" i="18" a="1"/>
  <c r="AA559" i="18" s="1"/>
  <c r="AA551" i="18" a="1"/>
  <c r="AA551" i="18" s="1"/>
  <c r="AA550" i="18" a="1"/>
  <c r="AA550" i="18" s="1"/>
  <c r="AA583" i="18" a="1"/>
  <c r="AA583" i="18" s="1"/>
  <c r="AA547" i="18" a="1"/>
  <c r="AA547" i="18" s="1"/>
  <c r="AA537" i="18" a="1"/>
  <c r="AA537" i="18" s="1"/>
  <c r="AA532" i="18" a="1"/>
  <c r="AA532" i="18" s="1"/>
  <c r="AA507" i="18" a="1"/>
  <c r="AA507" i="18" s="1"/>
  <c r="AA623" i="18" a="1"/>
  <c r="AA623" i="18" s="1"/>
  <c r="AA578" i="18" a="1"/>
  <c r="AA578" i="18" s="1"/>
  <c r="AA569" i="18" a="1"/>
  <c r="AA569" i="18" s="1"/>
  <c r="AA539" i="18" a="1"/>
  <c r="AA539" i="18" s="1"/>
  <c r="AA534" i="18" a="1"/>
  <c r="AA534" i="18" s="1"/>
  <c r="AA533" i="18" a="1"/>
  <c r="AA533" i="18" s="1"/>
  <c r="AA517" i="18" a="1"/>
  <c r="AA517" i="18" s="1"/>
  <c r="AA512" i="18" a="1"/>
  <c r="AA512" i="18" s="1"/>
  <c r="AA492" i="18" a="1"/>
  <c r="AA492" i="18" s="1"/>
  <c r="AA620" i="18" a="1"/>
  <c r="AA620" i="18" s="1"/>
  <c r="AA619" i="18" a="1"/>
  <c r="AA619" i="18" s="1"/>
  <c r="AA596" i="18" a="1"/>
  <c r="AA596" i="18" s="1"/>
  <c r="AA582" i="18" a="1"/>
  <c r="AA582" i="18" s="1"/>
  <c r="AA581" i="18" a="1"/>
  <c r="AA581" i="18" s="1"/>
  <c r="AA561" i="18" a="1"/>
  <c r="AA561" i="18" s="1"/>
  <c r="AA555" i="18" a="1"/>
  <c r="AA555" i="18" s="1"/>
  <c r="AA538" i="18" a="1"/>
  <c r="AA538" i="18" s="1"/>
  <c r="AA536" i="18" a="1"/>
  <c r="AA536" i="18" s="1"/>
  <c r="AA535" i="18" a="1"/>
  <c r="AA535" i="18" s="1"/>
  <c r="AA530" i="18" a="1"/>
  <c r="AA530" i="18" s="1"/>
  <c r="AA527" i="18" a="1"/>
  <c r="AA527" i="18" s="1"/>
  <c r="AA518" i="18" a="1"/>
  <c r="AA518" i="18" s="1"/>
  <c r="AA516" i="18" a="1"/>
  <c r="AA516" i="18" s="1"/>
  <c r="AA513" i="18" a="1"/>
  <c r="AA513" i="18" s="1"/>
  <c r="AA494" i="18" a="1"/>
  <c r="AA494" i="18" s="1"/>
  <c r="AA602" i="18" a="1"/>
  <c r="AA602" i="18" s="1"/>
  <c r="AA544" i="18" a="1"/>
  <c r="AA544" i="18" s="1"/>
  <c r="AA521" i="18" a="1"/>
  <c r="AA521" i="18" s="1"/>
  <c r="AA509" i="18" a="1"/>
  <c r="AA509" i="18" s="1"/>
  <c r="AA508" i="18" a="1"/>
  <c r="AA508" i="18" s="1"/>
  <c r="AA576" i="18" a="1"/>
  <c r="AA576" i="18" s="1"/>
  <c r="AA546" i="18" a="1"/>
  <c r="AA546" i="18" s="1"/>
  <c r="AA528" i="18" a="1"/>
  <c r="AA528" i="18" s="1"/>
  <c r="AA515" i="18" a="1"/>
  <c r="AA515" i="18" s="1"/>
  <c r="AA514" i="18" a="1"/>
  <c r="AA514" i="18" s="1"/>
  <c r="AA510" i="18" a="1"/>
  <c r="AA510" i="18" s="1"/>
  <c r="AA505" i="18" a="1"/>
  <c r="AA505" i="18" s="1"/>
  <c r="AA556" i="18" a="1"/>
  <c r="AA556" i="18" s="1"/>
  <c r="AA554" i="18" a="1"/>
  <c r="AA554" i="18" s="1"/>
  <c r="AA529" i="18" a="1"/>
  <c r="AA529" i="18" s="1"/>
  <c r="AA525" i="18" a="1"/>
  <c r="AA525" i="18" s="1"/>
  <c r="AA522" i="18" a="1"/>
  <c r="AA522" i="18" s="1"/>
  <c r="AA511" i="18" a="1"/>
  <c r="AA511" i="18" s="1"/>
  <c r="AA504" i="18" a="1"/>
  <c r="AA504" i="18" s="1"/>
  <c r="AA491" i="18" a="1"/>
  <c r="AA491" i="18" s="1"/>
  <c r="AA490" i="18" a="1"/>
  <c r="AA490" i="18" s="1"/>
  <c r="AA552" i="18" a="1"/>
  <c r="AA552" i="18" s="1"/>
  <c r="AA526" i="18" a="1"/>
  <c r="AA526" i="18" s="1"/>
  <c r="AA519" i="18" a="1"/>
  <c r="AA519" i="18" s="1"/>
  <c r="AA488" i="18" a="1"/>
  <c r="AA488" i="18" s="1"/>
  <c r="AA484" i="18" a="1"/>
  <c r="AA484" i="18" s="1"/>
  <c r="AA540" i="18" a="1"/>
  <c r="AA540" i="18" s="1"/>
  <c r="AA500" i="18" a="1"/>
  <c r="AA500" i="18" s="1"/>
  <c r="AA489" i="18" a="1"/>
  <c r="AA489" i="18" s="1"/>
  <c r="AA557" i="18" a="1"/>
  <c r="AA557" i="18" s="1"/>
  <c r="AA501" i="18" a="1"/>
  <c r="AA501" i="18" s="1"/>
  <c r="AA524" i="18" a="1"/>
  <c r="AA524" i="18" s="1"/>
  <c r="AA506" i="18" a="1"/>
  <c r="AA506" i="18" s="1"/>
  <c r="AA502" i="18" a="1"/>
  <c r="AA502" i="18" s="1"/>
  <c r="AA497" i="18" a="1"/>
  <c r="AA497" i="18" s="1"/>
  <c r="AA496" i="18" a="1"/>
  <c r="AA496" i="18" s="1"/>
  <c r="AA486" i="18" a="1"/>
  <c r="AA486" i="18" s="1"/>
  <c r="AA482" i="18" a="1"/>
  <c r="AA482" i="18" s="1"/>
  <c r="AA479" i="18" a="1"/>
  <c r="AA479" i="18" s="1"/>
  <c r="AA478" i="18" a="1"/>
  <c r="AA478" i="18" s="1"/>
  <c r="AA475" i="18" a="1"/>
  <c r="AA475" i="18" s="1"/>
  <c r="AA472" i="18" a="1"/>
  <c r="AA472" i="18" s="1"/>
  <c r="AA531" i="18" a="1"/>
  <c r="AA531" i="18" s="1"/>
  <c r="AA523" i="18" a="1"/>
  <c r="AA523" i="18" s="1"/>
  <c r="AA495" i="18" a="1"/>
  <c r="AA495" i="18" s="1"/>
  <c r="AA485" i="18" a="1"/>
  <c r="AA485" i="18" s="1"/>
  <c r="AA493" i="18" a="1"/>
  <c r="AA493" i="18" s="1"/>
  <c r="AA483" i="18" a="1"/>
  <c r="AA483" i="18" s="1"/>
  <c r="AA480" i="18" a="1"/>
  <c r="AA480" i="18" s="1"/>
  <c r="AA609" i="18" a="1"/>
  <c r="AA609" i="18" s="1"/>
  <c r="AA520" i="18" a="1"/>
  <c r="AA520" i="18" s="1"/>
  <c r="AA503" i="18" a="1"/>
  <c r="AA503" i="18" s="1"/>
  <c r="AA481" i="18" a="1"/>
  <c r="AA481" i="18" s="1"/>
  <c r="AA468" i="18" a="1"/>
  <c r="AA468" i="18" s="1"/>
  <c r="AA467" i="18" a="1"/>
  <c r="AA467" i="18" s="1"/>
  <c r="AA466" i="18" a="1"/>
  <c r="AA466" i="18" s="1"/>
  <c r="AA456" i="18" a="1"/>
  <c r="AA456" i="18" s="1"/>
  <c r="AA450" i="18" a="1"/>
  <c r="AA450" i="18" s="1"/>
  <c r="AA487" i="18" a="1"/>
  <c r="AA487" i="18" s="1"/>
  <c r="AA455" i="18" a="1"/>
  <c r="AA455" i="18" s="1"/>
  <c r="AA454" i="18" a="1"/>
  <c r="AA454" i="18" s="1"/>
  <c r="AA498" i="18" a="1"/>
  <c r="AA498" i="18" s="1"/>
  <c r="AA460" i="18" a="1"/>
  <c r="AA460" i="18" s="1"/>
  <c r="AA459" i="18" a="1"/>
  <c r="AA459" i="18" s="1"/>
  <c r="AA458" i="18" a="1"/>
  <c r="AA458" i="18" s="1"/>
  <c r="AA499" i="18" a="1"/>
  <c r="AA499" i="18" s="1"/>
  <c r="AA476" i="18" a="1"/>
  <c r="AA476" i="18" s="1"/>
  <c r="AA471" i="18" a="1"/>
  <c r="AA471" i="18" s="1"/>
  <c r="AA464" i="18" a="1"/>
  <c r="AA464" i="18" s="1"/>
  <c r="AA457" i="18" a="1"/>
  <c r="AA457" i="18" s="1"/>
  <c r="AA465" i="18" a="1"/>
  <c r="AA465" i="18" s="1"/>
  <c r="AA461" i="18" a="1"/>
  <c r="AA461" i="18" s="1"/>
  <c r="AA446" i="18" a="1"/>
  <c r="AA446" i="18" s="1"/>
  <c r="AA473" i="18" a="1"/>
  <c r="AA473" i="18" s="1"/>
  <c r="AA470" i="18" a="1"/>
  <c r="AA470" i="18" s="1"/>
  <c r="AA463" i="18" a="1"/>
  <c r="AA463" i="18" s="1"/>
  <c r="AA453" i="18" a="1"/>
  <c r="AA453" i="18" s="1"/>
  <c r="AA477" i="18" a="1"/>
  <c r="AA477" i="18" s="1"/>
  <c r="AA474" i="18" a="1"/>
  <c r="AA474" i="18" s="1"/>
  <c r="AA469" i="18" a="1"/>
  <c r="AA469" i="18" s="1"/>
  <c r="AA462" i="18" a="1"/>
  <c r="AA462" i="18" s="1"/>
  <c r="AA451" i="18" a="1"/>
  <c r="AA451" i="18" s="1"/>
  <c r="AA447" i="18" a="1"/>
  <c r="AA447" i="18" s="1"/>
  <c r="AA417" i="18" a="1"/>
  <c r="AA417" i="18" s="1"/>
  <c r="AA415" i="18" a="1"/>
  <c r="AA415" i="18" s="1"/>
  <c r="AA410" i="18" a="1"/>
  <c r="AA410" i="18" s="1"/>
  <c r="AA398" i="18" a="1"/>
  <c r="AA398" i="18" s="1"/>
  <c r="AA445" i="18" a="1"/>
  <c r="AA445" i="18" s="1"/>
  <c r="AA444" i="18" a="1"/>
  <c r="AA444" i="18" s="1"/>
  <c r="AA433" i="18" a="1"/>
  <c r="AA433" i="18" s="1"/>
  <c r="AA416" i="18" a="1"/>
  <c r="AA416" i="18" s="1"/>
  <c r="AA443" i="18" a="1"/>
  <c r="AA443" i="18" s="1"/>
  <c r="AA442" i="18" a="1"/>
  <c r="AA442" i="18" s="1"/>
  <c r="AA425" i="18" a="1"/>
  <c r="AA425" i="18" s="1"/>
  <c r="AA423" i="18" a="1"/>
  <c r="AA423" i="18" s="1"/>
  <c r="AA413" i="18" a="1"/>
  <c r="AA413" i="18" s="1"/>
  <c r="AA412" i="18" a="1"/>
  <c r="AA412" i="18" s="1"/>
  <c r="AA424" i="18" a="1"/>
  <c r="AA424" i="18" s="1"/>
  <c r="AA409" i="18" a="1"/>
  <c r="AA409" i="18" s="1"/>
  <c r="AA404" i="18" a="1"/>
  <c r="AA404" i="18" s="1"/>
  <c r="AA400" i="18" a="1"/>
  <c r="AA400" i="18" s="1"/>
  <c r="AA441" i="18" a="1"/>
  <c r="AA441" i="18" s="1"/>
  <c r="AA432" i="18" a="1"/>
  <c r="AA432" i="18" s="1"/>
  <c r="AA431" i="18" a="1"/>
  <c r="AA431" i="18" s="1"/>
  <c r="AA422" i="18" a="1"/>
  <c r="AA422" i="18" s="1"/>
  <c r="AA421" i="18" a="1"/>
  <c r="AA421" i="18" s="1"/>
  <c r="AA420" i="18" a="1"/>
  <c r="AA420" i="18" s="1"/>
  <c r="AA407" i="18" a="1"/>
  <c r="AA407" i="18" s="1"/>
  <c r="AA402" i="18" a="1"/>
  <c r="AA402" i="18" s="1"/>
  <c r="AA401" i="18" a="1"/>
  <c r="AA401" i="18" s="1"/>
  <c r="AA449" i="18" a="1"/>
  <c r="AA449" i="18" s="1"/>
  <c r="AA434" i="18" a="1"/>
  <c r="AA434" i="18" s="1"/>
  <c r="AA427" i="18" a="1"/>
  <c r="AA427" i="18" s="1"/>
  <c r="AA426" i="18" a="1"/>
  <c r="AA426" i="18" s="1"/>
  <c r="AA397" i="18" a="1"/>
  <c r="AA397" i="18" s="1"/>
  <c r="AA403" i="18" a="1"/>
  <c r="AA403" i="18" s="1"/>
  <c r="AA393" i="18" a="1"/>
  <c r="AA393" i="18" s="1"/>
  <c r="AA378" i="18" a="1"/>
  <c r="AA378" i="18" s="1"/>
  <c r="AA376" i="18" a="1"/>
  <c r="AA376" i="18" s="1"/>
  <c r="AA357" i="18" a="1"/>
  <c r="AA357" i="18" s="1"/>
  <c r="AA355" i="18" a="1"/>
  <c r="AA355" i="18" s="1"/>
  <c r="AA435" i="18" a="1"/>
  <c r="AA435" i="18" s="1"/>
  <c r="AA429" i="18" a="1"/>
  <c r="AA429" i="18" s="1"/>
  <c r="AA405" i="18" a="1"/>
  <c r="AA405" i="18" s="1"/>
  <c r="AA394" i="18" a="1"/>
  <c r="AA394" i="18" s="1"/>
  <c r="AA381" i="18" a="1"/>
  <c r="AA381" i="18" s="1"/>
  <c r="AA377" i="18" a="1"/>
  <c r="AA377" i="18" s="1"/>
  <c r="AA366" i="18" a="1"/>
  <c r="AA366" i="18" s="1"/>
  <c r="AA364" i="18" a="1"/>
  <c r="AA364" i="18" s="1"/>
  <c r="AA362" i="18" a="1"/>
  <c r="AA362" i="18" s="1"/>
  <c r="AA361" i="18" a="1"/>
  <c r="AA361" i="18" s="1"/>
  <c r="AA359" i="18" a="1"/>
  <c r="AA359" i="18" s="1"/>
  <c r="AA354" i="18" a="1"/>
  <c r="AA354" i="18" s="1"/>
  <c r="AA352" i="18" a="1"/>
  <c r="AA352" i="18" s="1"/>
  <c r="AA438" i="18" a="1"/>
  <c r="AA438" i="18" s="1"/>
  <c r="AA437" i="18" a="1"/>
  <c r="AA437" i="18" s="1"/>
  <c r="AA418" i="18" a="1"/>
  <c r="AA418" i="18" s="1"/>
  <c r="AA390" i="18" a="1"/>
  <c r="AA390" i="18" s="1"/>
  <c r="AA386" i="18" a="1"/>
  <c r="AA386" i="18" s="1"/>
  <c r="AA385" i="18" a="1"/>
  <c r="AA385" i="18" s="1"/>
  <c r="AA383" i="18" a="1"/>
  <c r="AA383" i="18" s="1"/>
  <c r="AA379" i="18" a="1"/>
  <c r="AA379" i="18" s="1"/>
  <c r="AA373" i="18" a="1"/>
  <c r="AA373" i="18" s="1"/>
  <c r="AA371" i="18" a="1"/>
  <c r="AA371" i="18" s="1"/>
  <c r="AA448" i="18" a="1"/>
  <c r="AA448" i="18" s="1"/>
  <c r="AA440" i="18" a="1"/>
  <c r="AA440" i="18" s="1"/>
  <c r="AA414" i="18" a="1"/>
  <c r="AA414" i="18" s="1"/>
  <c r="AA411" i="18" a="1"/>
  <c r="AA411" i="18" s="1"/>
  <c r="AA408" i="18" a="1"/>
  <c r="AA408" i="18" s="1"/>
  <c r="AA399" i="18" a="1"/>
  <c r="AA399" i="18" s="1"/>
  <c r="AA391" i="18" a="1"/>
  <c r="AA391" i="18" s="1"/>
  <c r="AA380" i="18" a="1"/>
  <c r="AA380" i="18" s="1"/>
  <c r="AA375" i="18" a="1"/>
  <c r="AA375" i="18" s="1"/>
  <c r="AA370" i="18" a="1"/>
  <c r="AA370" i="18" s="1"/>
  <c r="AA428" i="18" a="1"/>
  <c r="AA428" i="18" s="1"/>
  <c r="AA395" i="18" a="1"/>
  <c r="AA395" i="18" s="1"/>
  <c r="AA387" i="18" a="1"/>
  <c r="AA387" i="18" s="1"/>
  <c r="AA382" i="18" a="1"/>
  <c r="AA382" i="18" s="1"/>
  <c r="AA372" i="18" a="1"/>
  <c r="AA372" i="18" s="1"/>
  <c r="AA368" i="18" a="1"/>
  <c r="AA368" i="18" s="1"/>
  <c r="AA350" i="18" a="1"/>
  <c r="AA350" i="18" s="1"/>
  <c r="AA342" i="18" a="1"/>
  <c r="AA342" i="18" s="1"/>
  <c r="AA430" i="18" a="1"/>
  <c r="AA430" i="18" s="1"/>
  <c r="AA388" i="18" a="1"/>
  <c r="AA388" i="18" s="1"/>
  <c r="AA384" i="18" a="1"/>
  <c r="AA384" i="18" s="1"/>
  <c r="AA367" i="18" a="1"/>
  <c r="AA367" i="18" s="1"/>
  <c r="AA363" i="18" a="1"/>
  <c r="AA363" i="18" s="1"/>
  <c r="AA360" i="18" a="1"/>
  <c r="AA360" i="18" s="1"/>
  <c r="AA358" i="18" a="1"/>
  <c r="AA358" i="18" s="1"/>
  <c r="AA356" i="18" a="1"/>
  <c r="AA356" i="18" s="1"/>
  <c r="AA353" i="18" a="1"/>
  <c r="AA353" i="18" s="1"/>
  <c r="AA351" i="18" a="1"/>
  <c r="AA351" i="18" s="1"/>
  <c r="AA452" i="18" a="1"/>
  <c r="AA452" i="18" s="1"/>
  <c r="AA439" i="18" a="1"/>
  <c r="AA439" i="18" s="1"/>
  <c r="AA436" i="18" a="1"/>
  <c r="AA436" i="18" s="1"/>
  <c r="AA406" i="18" a="1"/>
  <c r="AA406" i="18" s="1"/>
  <c r="AA338" i="18" a="1"/>
  <c r="AA338" i="18" s="1"/>
  <c r="AA331" i="18" a="1"/>
  <c r="AA331" i="18" s="1"/>
  <c r="AA315" i="18" a="1"/>
  <c r="AA315" i="18" s="1"/>
  <c r="AA314" i="18" a="1"/>
  <c r="AA314" i="18" s="1"/>
  <c r="AA365" i="18" a="1"/>
  <c r="AA365" i="18" s="1"/>
  <c r="AA349" i="18" a="1"/>
  <c r="AA349" i="18" s="1"/>
  <c r="AA344" i="18" a="1"/>
  <c r="AA344" i="18" s="1"/>
  <c r="AA336" i="18" a="1"/>
  <c r="AA336" i="18" s="1"/>
  <c r="AA326" i="18" a="1"/>
  <c r="AA326" i="18" s="1"/>
  <c r="AA316" i="18" a="1"/>
  <c r="AA316" i="18" s="1"/>
  <c r="AA309" i="18" a="1"/>
  <c r="AA309" i="18" s="1"/>
  <c r="AA392" i="18" a="1"/>
  <c r="AA392" i="18" s="1"/>
  <c r="AA334" i="18" a="1"/>
  <c r="AA334" i="18" s="1"/>
  <c r="AA324" i="18" a="1"/>
  <c r="AA324" i="18" s="1"/>
  <c r="AA323" i="18" a="1"/>
  <c r="AA323" i="18" s="1"/>
  <c r="AA317" i="18" a="1"/>
  <c r="AA317" i="18" s="1"/>
  <c r="AA311" i="18" a="1"/>
  <c r="AA311" i="18" s="1"/>
  <c r="AA310" i="18" a="1"/>
  <c r="AA310" i="18" s="1"/>
  <c r="AA347" i="18" a="1"/>
  <c r="AA347" i="18" s="1"/>
  <c r="AA340" i="18" a="1"/>
  <c r="AA340" i="18" s="1"/>
  <c r="AA335" i="18" a="1"/>
  <c r="AA335" i="18" s="1"/>
  <c r="AA327" i="18" a="1"/>
  <c r="AA327" i="18" s="1"/>
  <c r="AA320" i="18" a="1"/>
  <c r="AA320" i="18" s="1"/>
  <c r="AA374" i="18" a="1"/>
  <c r="AA374" i="18" s="1"/>
  <c r="AA346" i="18" a="1"/>
  <c r="AA346" i="18" s="1"/>
  <c r="AA345" i="18" a="1"/>
  <c r="AA345" i="18" s="1"/>
  <c r="AA343" i="18" a="1"/>
  <c r="AA343" i="18" s="1"/>
  <c r="AA341" i="18" a="1"/>
  <c r="AA341" i="18" s="1"/>
  <c r="AA321" i="18" a="1"/>
  <c r="AA321" i="18" s="1"/>
  <c r="AA318" i="18" a="1"/>
  <c r="AA318" i="18" s="1"/>
  <c r="AA312" i="18" a="1"/>
  <c r="AA312" i="18" s="1"/>
  <c r="AA305" i="18" a="1"/>
  <c r="AA305" i="18" s="1"/>
  <c r="AA300" i="18" a="1"/>
  <c r="AA300" i="18" s="1"/>
  <c r="AA396" i="18" a="1"/>
  <c r="AA396" i="18" s="1"/>
  <c r="AA369" i="18" a="1"/>
  <c r="AA369" i="18" s="1"/>
  <c r="AA348" i="18" a="1"/>
  <c r="AA348" i="18" s="1"/>
  <c r="AA339" i="18" a="1"/>
  <c r="AA339" i="18" s="1"/>
  <c r="AA333" i="18" a="1"/>
  <c r="AA333" i="18" s="1"/>
  <c r="AA332" i="18" a="1"/>
  <c r="AA332" i="18" s="1"/>
  <c r="AA329" i="18" a="1"/>
  <c r="AA329" i="18" s="1"/>
  <c r="AA328" i="18" a="1"/>
  <c r="AA328" i="18" s="1"/>
  <c r="AA319" i="18" a="1"/>
  <c r="AA319" i="18" s="1"/>
  <c r="AA307" i="18" a="1"/>
  <c r="AA307" i="18" s="1"/>
  <c r="AA306" i="18" a="1"/>
  <c r="AA306" i="18" s="1"/>
  <c r="AA389" i="18" a="1"/>
  <c r="AA389" i="18" s="1"/>
  <c r="AA337" i="18" a="1"/>
  <c r="AA337" i="18" s="1"/>
  <c r="AA330" i="18" a="1"/>
  <c r="AA330" i="18" s="1"/>
  <c r="AA313" i="18" a="1"/>
  <c r="AA313" i="18" s="1"/>
  <c r="AA301" i="18" a="1"/>
  <c r="AA301" i="18" s="1"/>
  <c r="AA297" i="18" a="1"/>
  <c r="AA297" i="18" s="1"/>
  <c r="AA322" i="18" a="1"/>
  <c r="AA322" i="18" s="1"/>
  <c r="AA294" i="18" a="1"/>
  <c r="AA294" i="18" s="1"/>
  <c r="AA285" i="18" a="1"/>
  <c r="AA285" i="18" s="1"/>
  <c r="AA281" i="18" a="1"/>
  <c r="AA281" i="18" s="1"/>
  <c r="AA276" i="18" a="1"/>
  <c r="AA276" i="18" s="1"/>
  <c r="AA258" i="18" a="1"/>
  <c r="AA258" i="18" s="1"/>
  <c r="AA254" i="18" a="1"/>
  <c r="AA254" i="18" s="1"/>
  <c r="AA303" i="18" a="1"/>
  <c r="AA303" i="18" s="1"/>
  <c r="AA290" i="18" a="1"/>
  <c r="AA290" i="18" s="1"/>
  <c r="AA275" i="18" a="1"/>
  <c r="AA275" i="18" s="1"/>
  <c r="AA263" i="18" a="1"/>
  <c r="AA263" i="18" s="1"/>
  <c r="AA325" i="18" a="1"/>
  <c r="AA325" i="18" s="1"/>
  <c r="AA299" i="18" a="1"/>
  <c r="AA299" i="18" s="1"/>
  <c r="AA291" i="18" a="1"/>
  <c r="AA291" i="18" s="1"/>
  <c r="AA279" i="18" a="1"/>
  <c r="AA279" i="18" s="1"/>
  <c r="AA270" i="18" a="1"/>
  <c r="AA270" i="18" s="1"/>
  <c r="AA245" i="18" a="1"/>
  <c r="AA245" i="18" s="1"/>
  <c r="AA238" i="18" a="1"/>
  <c r="AA238" i="18" s="1"/>
  <c r="AA229" i="18" a="1"/>
  <c r="AA229" i="18" s="1"/>
  <c r="AA419" i="18" a="1"/>
  <c r="AA419" i="18" s="1"/>
  <c r="AA308" i="18" a="1"/>
  <c r="AA308" i="18" s="1"/>
  <c r="AA304" i="18" a="1"/>
  <c r="AA304" i="18" s="1"/>
  <c r="AA287" i="18" a="1"/>
  <c r="AA287" i="18" s="1"/>
  <c r="AA284" i="18" a="1"/>
  <c r="AA284" i="18" s="1"/>
  <c r="AA274" i="18" a="1"/>
  <c r="AA274" i="18" s="1"/>
  <c r="AA247" i="18" a="1"/>
  <c r="AA247" i="18" s="1"/>
  <c r="AA246" i="18" a="1"/>
  <c r="AA246" i="18" s="1"/>
  <c r="AA244" i="18" a="1"/>
  <c r="AA244" i="18" s="1"/>
  <c r="AA298" i="18" a="1"/>
  <c r="AA298" i="18" s="1"/>
  <c r="AA295" i="18" a="1"/>
  <c r="AA295" i="18" s="1"/>
  <c r="AA289" i="18" a="1"/>
  <c r="AA289" i="18" s="1"/>
  <c r="AA288" i="18" a="1"/>
  <c r="AA288" i="18" s="1"/>
  <c r="AA273" i="18" a="1"/>
  <c r="AA273" i="18" s="1"/>
  <c r="AA267" i="18" a="1"/>
  <c r="AA267" i="18" s="1"/>
  <c r="AA260" i="18" a="1"/>
  <c r="AA260" i="18" s="1"/>
  <c r="AA292" i="18" a="1"/>
  <c r="AA292" i="18" s="1"/>
  <c r="AA286" i="18" a="1"/>
  <c r="AA286" i="18" s="1"/>
  <c r="AA282" i="18" a="1"/>
  <c r="AA282" i="18" s="1"/>
  <c r="AA277" i="18" a="1"/>
  <c r="AA277" i="18" s="1"/>
  <c r="AA264" i="18" a="1"/>
  <c r="AA264" i="18" s="1"/>
  <c r="AA261" i="18" a="1"/>
  <c r="AA261" i="18" s="1"/>
  <c r="AA259" i="18" a="1"/>
  <c r="AA259" i="18" s="1"/>
  <c r="AA256" i="18" a="1"/>
  <c r="AA256" i="18" s="1"/>
  <c r="AA252" i="18" a="1"/>
  <c r="AA252" i="18" s="1"/>
  <c r="AA251" i="18" a="1"/>
  <c r="AA251" i="18" s="1"/>
  <c r="AA250" i="18" a="1"/>
  <c r="AA250" i="18" s="1"/>
  <c r="R5" i="18" a="1"/>
  <c r="R5" i="18" s="1"/>
  <c r="Y5" i="18" a="1"/>
  <c r="Y5" i="18" s="1"/>
  <c r="U6" i="18" a="1"/>
  <c r="U6" i="18" s="1"/>
  <c r="AP6" i="18" a="1"/>
  <c r="AP6" i="18" s="1"/>
  <c r="S7" i="18" a="1"/>
  <c r="S7" i="18" s="1"/>
  <c r="R8" i="18" a="1"/>
  <c r="R8" i="18" s="1"/>
  <c r="Y8" i="18" a="1"/>
  <c r="Y8" i="18" s="1"/>
  <c r="AP9" i="18" a="1"/>
  <c r="AP9" i="18" s="1"/>
  <c r="R207" i="18" a="1"/>
  <c r="R207" i="18" s="1"/>
  <c r="AA208" i="18" a="1"/>
  <c r="AA208" i="18" s="1"/>
  <c r="AG209" i="18" a="1"/>
  <c r="AG209" i="18" s="1"/>
  <c r="AH209" i="18" s="1"/>
  <c r="AC209" i="18" a="1"/>
  <c r="AC209" i="18" s="1"/>
  <c r="AD209" i="18" s="1"/>
  <c r="R210" i="18" a="1"/>
  <c r="R210" i="18" s="1"/>
  <c r="Y210" i="18" a="1"/>
  <c r="Y210" i="18" s="1"/>
  <c r="AP211" i="18" a="1"/>
  <c r="AP211" i="18" s="1"/>
  <c r="AC212" i="18" a="1"/>
  <c r="AC212" i="18" s="1"/>
  <c r="AD212" i="18" s="1"/>
  <c r="AG212" i="18" a="1"/>
  <c r="AG212" i="18" s="1"/>
  <c r="AH212" i="18" s="1"/>
  <c r="AB212" i="18" a="1"/>
  <c r="AB212" i="18" s="1"/>
  <c r="AG213" i="18" a="1"/>
  <c r="AG213" i="18" s="1"/>
  <c r="AH213" i="18" s="1"/>
  <c r="AC213" i="18" a="1"/>
  <c r="AC213" i="18" s="1"/>
  <c r="AD213" i="18" s="1"/>
  <c r="Z214" i="18" a="1"/>
  <c r="Z214" i="18" s="1"/>
  <c r="AL214" i="18" a="1"/>
  <c r="AL214" i="18" s="1"/>
  <c r="AG215" i="18" a="1"/>
  <c r="AG215" i="18" s="1"/>
  <c r="AH215" i="18" s="1"/>
  <c r="AC215" i="18" a="1"/>
  <c r="AC215" i="18" s="1"/>
  <c r="AD215" i="18" s="1"/>
  <c r="S216" i="18" a="1"/>
  <c r="S216" i="18" s="1"/>
  <c r="Z216" i="18" a="1"/>
  <c r="Z216" i="18" s="1"/>
  <c r="S218" i="18" a="1"/>
  <c r="S218" i="18" s="1"/>
  <c r="Z218" i="18" a="1"/>
  <c r="Z218" i="18" s="1"/>
  <c r="AC219" i="18" a="1"/>
  <c r="AC219" i="18" s="1"/>
  <c r="AD219" i="18" s="1"/>
  <c r="AG219" i="18" a="1"/>
  <c r="AG219" i="18" s="1"/>
  <c r="AH219" i="18" s="1"/>
  <c r="W219" i="18" a="1"/>
  <c r="W219" i="18" s="1"/>
  <c r="X219" i="18" s="1"/>
  <c r="AA220" i="18" a="1"/>
  <c r="AA220" i="18" s="1"/>
  <c r="AC221" i="18" a="1"/>
  <c r="AC221" i="18" s="1"/>
  <c r="AD221" i="18" s="1"/>
  <c r="AG221" i="18" a="1"/>
  <c r="AG221" i="18" s="1"/>
  <c r="AH221" i="18" s="1"/>
  <c r="W222" i="18" a="1"/>
  <c r="W222" i="18" s="1"/>
  <c r="X222" i="18" s="1"/>
  <c r="AP222" i="18" a="1"/>
  <c r="AP222" i="18" s="1"/>
  <c r="AP223" i="18" a="1"/>
  <c r="AP223" i="18" s="1"/>
  <c r="R224" i="18" a="1"/>
  <c r="R224" i="18" s="1"/>
  <c r="W224" i="18" a="1"/>
  <c r="W224" i="18" s="1"/>
  <c r="X224" i="18" s="1"/>
  <c r="R225" i="18" a="1"/>
  <c r="R225" i="18" s="1"/>
  <c r="W225" i="18" a="1"/>
  <c r="W225" i="18" s="1"/>
  <c r="X225" i="18" s="1"/>
  <c r="R226" i="18" a="1"/>
  <c r="R226" i="18" s="1"/>
  <c r="W226" i="18" a="1"/>
  <c r="W226" i="18" s="1"/>
  <c r="X226" i="18" s="1"/>
  <c r="AB226" i="18" a="1"/>
  <c r="AB226" i="18" s="1"/>
  <c r="AP226" i="18" a="1"/>
  <c r="AP226" i="18" s="1"/>
  <c r="AG227" i="18" a="1"/>
  <c r="AG227" i="18" s="1"/>
  <c r="AH227" i="18" s="1"/>
  <c r="AC227" i="18" a="1"/>
  <c r="AC227" i="18" s="1"/>
  <c r="AD227" i="18" s="1"/>
  <c r="W228" i="18" a="1"/>
  <c r="W228" i="18" s="1"/>
  <c r="X228" i="18" s="1"/>
  <c r="R229" i="18" a="1"/>
  <c r="R229" i="18" s="1"/>
  <c r="W229" i="18" a="1"/>
  <c r="W229" i="18" s="1"/>
  <c r="X229" i="18" s="1"/>
  <c r="S230" i="18" a="1"/>
  <c r="S230" i="18" s="1"/>
  <c r="S231" i="18" a="1"/>
  <c r="S231" i="18" s="1"/>
  <c r="Y231" i="18" a="1"/>
  <c r="Y231" i="18" s="1"/>
  <c r="AB232" i="18" a="1"/>
  <c r="AB232" i="18" s="1"/>
  <c r="AC233" i="18" a="1"/>
  <c r="AC233" i="18" s="1"/>
  <c r="AD233" i="18" s="1"/>
  <c r="AG233" i="18" a="1"/>
  <c r="AG233" i="18" s="1"/>
  <c r="AH233" i="18" s="1"/>
  <c r="W234" i="18" a="1"/>
  <c r="W234" i="18" s="1"/>
  <c r="X234" i="18" s="1"/>
  <c r="S235" i="18" a="1"/>
  <c r="S235" i="18" s="1"/>
  <c r="AL235" i="18" a="1"/>
  <c r="AL235" i="18" s="1"/>
  <c r="AB236" i="18" a="1"/>
  <c r="AB236" i="18" s="1"/>
  <c r="S238" i="18" a="1"/>
  <c r="S238" i="18" s="1"/>
  <c r="Y238" i="18" a="1"/>
  <c r="Y238" i="18" s="1"/>
  <c r="AB239" i="18" a="1"/>
  <c r="AB239" i="18" s="1"/>
  <c r="AG240" i="18" a="1"/>
  <c r="AG240" i="18" s="1"/>
  <c r="AH240" i="18" s="1"/>
  <c r="AC240" i="18" a="1"/>
  <c r="AC240" i="18" s="1"/>
  <c r="AD240" i="18" s="1"/>
  <c r="Z242" i="18" a="1"/>
  <c r="Z242" i="18" s="1"/>
  <c r="AL242" i="18" a="1"/>
  <c r="AL242" i="18" s="1"/>
  <c r="S244" i="18" a="1"/>
  <c r="S244" i="18" s="1"/>
  <c r="Z244" i="18" a="1"/>
  <c r="Z244" i="18" s="1"/>
  <c r="AB246" i="18" a="1"/>
  <c r="AB246" i="18" s="1"/>
  <c r="Z247" i="18" a="1"/>
  <c r="Z247" i="18" s="1"/>
  <c r="AG248" i="18" a="1"/>
  <c r="AG248" i="18" s="1"/>
  <c r="AH248" i="18" s="1"/>
  <c r="AC248" i="18" a="1"/>
  <c r="AC248" i="18" s="1"/>
  <c r="AD248" i="18" s="1"/>
  <c r="Y248" i="18" a="1"/>
  <c r="Y248" i="18" s="1"/>
  <c r="Y249" i="18" a="1"/>
  <c r="Y249" i="18" s="1"/>
  <c r="AP250" i="18" a="1"/>
  <c r="AP250" i="18" s="1"/>
  <c r="R251" i="18" a="1"/>
  <c r="R251" i="18" s="1"/>
  <c r="AG254" i="18" a="1"/>
  <c r="AG254" i="18" s="1"/>
  <c r="AH254" i="18" s="1"/>
  <c r="AC254" i="18" a="1"/>
  <c r="AC254" i="18" s="1"/>
  <c r="AD254" i="18" s="1"/>
  <c r="AA255" i="18" a="1"/>
  <c r="AA255" i="18" s="1"/>
  <c r="AG258" i="18" a="1"/>
  <c r="AG258" i="18" s="1"/>
  <c r="AH258" i="18" s="1"/>
  <c r="AC258" i="18" a="1"/>
  <c r="AC258" i="18" s="1"/>
  <c r="AD258" i="18" s="1"/>
  <c r="AP259" i="18" a="1"/>
  <c r="AP259" i="18" s="1"/>
  <c r="Y262" i="18" a="1"/>
  <c r="Y262" i="18" s="1"/>
  <c r="AA265" i="18" a="1"/>
  <c r="AA265" i="18" s="1"/>
  <c r="R267" i="18" a="1"/>
  <c r="R267" i="18" s="1"/>
  <c r="Y274" i="18" a="1"/>
  <c r="Y274" i="18" s="1"/>
  <c r="AG278" i="18" a="1"/>
  <c r="AG278" i="18" s="1"/>
  <c r="AH278" i="18" s="1"/>
  <c r="AC278" i="18" a="1"/>
  <c r="AC278" i="18" s="1"/>
  <c r="AD278" i="18" s="1"/>
  <c r="AA280" i="18" a="1"/>
  <c r="AA280" i="18" s="1"/>
  <c r="W281" i="18" a="1"/>
  <c r="W281" i="18" s="1"/>
  <c r="X281" i="18" s="1"/>
  <c r="R282" i="18" a="1"/>
  <c r="R282" i="18" s="1"/>
  <c r="Y283" i="18" a="1"/>
  <c r="Y283" i="18" s="1"/>
  <c r="Z286" i="18" a="1"/>
  <c r="Z286" i="18" s="1"/>
  <c r="AL287" i="18" a="1"/>
  <c r="AL287" i="18" s="1"/>
  <c r="Y290" i="18" a="1"/>
  <c r="Y290" i="18" s="1"/>
  <c r="W291" i="18" a="1"/>
  <c r="W291" i="18" s="1"/>
  <c r="X291" i="18" s="1"/>
  <c r="AB294" i="18" a="1"/>
  <c r="AB294" i="18" s="1"/>
  <c r="S306" i="18" a="1"/>
  <c r="S306" i="18" s="1"/>
  <c r="Y307" i="18" a="1"/>
  <c r="Y307" i="18" s="1"/>
  <c r="AG255" i="18" a="1"/>
  <c r="AG255" i="18" s="1"/>
  <c r="AH255" i="18" s="1"/>
  <c r="AC255" i="18" a="1"/>
  <c r="AC255" i="18" s="1"/>
  <c r="AD255" i="18" s="1"/>
  <c r="AG259" i="18" a="1"/>
  <c r="AG259" i="18" s="1"/>
  <c r="AH259" i="18" s="1"/>
  <c r="AC259" i="18" a="1"/>
  <c r="AC259" i="18" s="1"/>
  <c r="AD259" i="18" s="1"/>
  <c r="AG264" i="18" a="1"/>
  <c r="AG264" i="18" s="1"/>
  <c r="AH264" i="18" s="1"/>
  <c r="AC264" i="18" a="1"/>
  <c r="AC264" i="18" s="1"/>
  <c r="AD264" i="18" s="1"/>
  <c r="AC276" i="18" a="1"/>
  <c r="AC276" i="18" s="1"/>
  <c r="AD276" i="18" s="1"/>
  <c r="AG276" i="18" a="1"/>
  <c r="AG276" i="18" s="1"/>
  <c r="AH276" i="18" s="1"/>
  <c r="AG277" i="18" a="1"/>
  <c r="AG277" i="18" s="1"/>
  <c r="AH277" i="18" s="1"/>
  <c r="AC277" i="18" a="1"/>
  <c r="AC277" i="18" s="1"/>
  <c r="AD277" i="18" s="1"/>
  <c r="AG281" i="18" a="1"/>
  <c r="AG281" i="18" s="1"/>
  <c r="AH281" i="18" s="1"/>
  <c r="AC281" i="18" a="1"/>
  <c r="AC281" i="18" s="1"/>
  <c r="AD281" i="18" s="1"/>
  <c r="AG286" i="18" a="1"/>
  <c r="AG286" i="18" s="1"/>
  <c r="AH286" i="18" s="1"/>
  <c r="AC286" i="18" a="1"/>
  <c r="AC286" i="18" s="1"/>
  <c r="AD286" i="18" s="1"/>
  <c r="AC290" i="18" a="1"/>
  <c r="AC290" i="18" s="1"/>
  <c r="AD290" i="18" s="1"/>
  <c r="AG290" i="18" a="1"/>
  <c r="AG290" i="18" s="1"/>
  <c r="AH290" i="18" s="1"/>
  <c r="AC293" i="18" a="1"/>
  <c r="AC293" i="18" s="1"/>
  <c r="AD293" i="18" s="1"/>
  <c r="AG293" i="18" a="1"/>
  <c r="AG293" i="18" s="1"/>
  <c r="AH293" i="18" s="1"/>
  <c r="AG294" i="18" a="1"/>
  <c r="AG294" i="18" s="1"/>
  <c r="AH294" i="18" s="1"/>
  <c r="AC294" i="18" a="1"/>
  <c r="AC294" i="18" s="1"/>
  <c r="AD294" i="18" s="1"/>
  <c r="AG302" i="18" a="1"/>
  <c r="AG302" i="18" s="1"/>
  <c r="AH302" i="18" s="1"/>
  <c r="AC302" i="18" a="1"/>
  <c r="AC302" i="18" s="1"/>
  <c r="AD302" i="18" s="1"/>
  <c r="AG309" i="18" a="1"/>
  <c r="AG309" i="18" s="1"/>
  <c r="AH309" i="18" s="1"/>
  <c r="AC309" i="18" a="1"/>
  <c r="AC309" i="18" s="1"/>
  <c r="AD309" i="18" s="1"/>
  <c r="AC326" i="18" a="1"/>
  <c r="AC326" i="18" s="1"/>
  <c r="AD326" i="18" s="1"/>
  <c r="AG326" i="18" a="1"/>
  <c r="AG326" i="18" s="1"/>
  <c r="AH326" i="18" s="1"/>
  <c r="AG354" i="18" a="1"/>
  <c r="AG354" i="18" s="1"/>
  <c r="AH354" i="18" s="1"/>
  <c r="AC354" i="18" a="1"/>
  <c r="AC354" i="18" s="1"/>
  <c r="AD354" i="18" s="1"/>
  <c r="AG253" i="18" a="1"/>
  <c r="AG253" i="18" s="1"/>
  <c r="AH253" i="18" s="1"/>
  <c r="AC253" i="18" a="1"/>
  <c r="AC253" i="18" s="1"/>
  <c r="AD253" i="18" s="1"/>
  <c r="AG256" i="18" a="1"/>
  <c r="AG256" i="18" s="1"/>
  <c r="AH256" i="18" s="1"/>
  <c r="AC256" i="18" a="1"/>
  <c r="AC256" i="18" s="1"/>
  <c r="AD256" i="18" s="1"/>
  <c r="AG257" i="18" a="1"/>
  <c r="AG257" i="18" s="1"/>
  <c r="AH257" i="18" s="1"/>
  <c r="AC257" i="18" a="1"/>
  <c r="AC257" i="18" s="1"/>
  <c r="AD257" i="18" s="1"/>
  <c r="AG265" i="18" a="1"/>
  <c r="AG265" i="18" s="1"/>
  <c r="AH265" i="18" s="1"/>
  <c r="AC265" i="18" a="1"/>
  <c r="AC265" i="18" s="1"/>
  <c r="AD265" i="18" s="1"/>
  <c r="AG267" i="18" a="1"/>
  <c r="AG267" i="18" s="1"/>
  <c r="AH267" i="18" s="1"/>
  <c r="AC267" i="18" a="1"/>
  <c r="AC267" i="18" s="1"/>
  <c r="AD267" i="18" s="1"/>
  <c r="AG310" i="18" a="1"/>
  <c r="AG310" i="18" s="1"/>
  <c r="AH310" i="18" s="1"/>
  <c r="AC310" i="18" a="1"/>
  <c r="AC310" i="18" s="1"/>
  <c r="AD310" i="18" s="1"/>
  <c r="AG296" i="18" a="1"/>
  <c r="AG296" i="18" s="1"/>
  <c r="AH296" i="18" s="1"/>
  <c r="AC296" i="18" a="1"/>
  <c r="AC296" i="18" s="1"/>
  <c r="AD296" i="18" s="1"/>
  <c r="AG298" i="18" a="1"/>
  <c r="AG298" i="18" s="1"/>
  <c r="AH298" i="18" s="1"/>
  <c r="AC298" i="18" a="1"/>
  <c r="AC298" i="18" s="1"/>
  <c r="AD298" i="18" s="1"/>
  <c r="AG300" i="18" a="1"/>
  <c r="AG300" i="18" s="1"/>
  <c r="AH300" i="18" s="1"/>
  <c r="AC300" i="18" a="1"/>
  <c r="AC300" i="18" s="1"/>
  <c r="AD300" i="18" s="1"/>
  <c r="AG361" i="18" a="1"/>
  <c r="AG361" i="18" s="1"/>
  <c r="AH361" i="18" s="1"/>
  <c r="AC361" i="18" a="1"/>
  <c r="AC361" i="18" s="1"/>
  <c r="AD361" i="18" s="1"/>
  <c r="AG243" i="18" a="1"/>
  <c r="AG243" i="18" s="1"/>
  <c r="AH243" i="18" s="1"/>
  <c r="AC243" i="18" a="1"/>
  <c r="AC243" i="18" s="1"/>
  <c r="AD243" i="18" s="1"/>
  <c r="AG249" i="18" a="1"/>
  <c r="AG249" i="18" s="1"/>
  <c r="AH249" i="18" s="1"/>
  <c r="AC249" i="18" a="1"/>
  <c r="AC249" i="18" s="1"/>
  <c r="AD249" i="18" s="1"/>
  <c r="AG260" i="18" a="1"/>
  <c r="AG260" i="18" s="1"/>
  <c r="AH260" i="18" s="1"/>
  <c r="AC260" i="18" a="1"/>
  <c r="AC260" i="18" s="1"/>
  <c r="AD260" i="18" s="1"/>
  <c r="AC269" i="18" a="1"/>
  <c r="AC269" i="18" s="1"/>
  <c r="AD269" i="18" s="1"/>
  <c r="AG269" i="18" a="1"/>
  <c r="AG269" i="18" s="1"/>
  <c r="AH269" i="18" s="1"/>
  <c r="AG273" i="18" a="1"/>
  <c r="AG273" i="18" s="1"/>
  <c r="AH273" i="18" s="1"/>
  <c r="AC273" i="18" a="1"/>
  <c r="AC273" i="18" s="1"/>
  <c r="AD273" i="18" s="1"/>
  <c r="AG287" i="18" a="1"/>
  <c r="AG287" i="18" s="1"/>
  <c r="AH287" i="18" s="1"/>
  <c r="AC287" i="18" a="1"/>
  <c r="AC287" i="18" s="1"/>
  <c r="AD287" i="18" s="1"/>
  <c r="AG288" i="18" a="1"/>
  <c r="AG288" i="18" s="1"/>
  <c r="AH288" i="18" s="1"/>
  <c r="AC288" i="18" a="1"/>
  <c r="AC288" i="18" s="1"/>
  <c r="AD288" i="18" s="1"/>
  <c r="AG289" i="18" a="1"/>
  <c r="AG289" i="18" s="1"/>
  <c r="AH289" i="18" s="1"/>
  <c r="AC289" i="18" a="1"/>
  <c r="AC289" i="18" s="1"/>
  <c r="AD289" i="18" s="1"/>
  <c r="AG304" i="18" a="1"/>
  <c r="AG304" i="18" s="1"/>
  <c r="AH304" i="18" s="1"/>
  <c r="AC304" i="18" a="1"/>
  <c r="AC304" i="18" s="1"/>
  <c r="AD304" i="18" s="1"/>
  <c r="AC349" i="18" a="1"/>
  <c r="AC349" i="18" s="1"/>
  <c r="AD349" i="18" s="1"/>
  <c r="AG349" i="18" a="1"/>
  <c r="AG349" i="18" s="1"/>
  <c r="AH349" i="18" s="1"/>
  <c r="AG229" i="18" a="1"/>
  <c r="AG229" i="18" s="1"/>
  <c r="AH229" i="18" s="1"/>
  <c r="AC229" i="18" a="1"/>
  <c r="AC229" i="18" s="1"/>
  <c r="AD229" i="18" s="1"/>
  <c r="AG230" i="18" a="1"/>
  <c r="AG230" i="18" s="1"/>
  <c r="AH230" i="18" s="1"/>
  <c r="AC230" i="18" a="1"/>
  <c r="AC230" i="18" s="1"/>
  <c r="AD230" i="18" s="1"/>
  <c r="AG238" i="18" a="1"/>
  <c r="AG238" i="18" s="1"/>
  <c r="AH238" i="18" s="1"/>
  <c r="AC238" i="18" a="1"/>
  <c r="AC238" i="18" s="1"/>
  <c r="AD238" i="18" s="1"/>
  <c r="AG246" i="18" a="1"/>
  <c r="AG246" i="18" s="1"/>
  <c r="AH246" i="18" s="1"/>
  <c r="AC246" i="18" a="1"/>
  <c r="AC246" i="18" s="1"/>
  <c r="AD246" i="18" s="1"/>
  <c r="AG247" i="18" a="1"/>
  <c r="AG247" i="18" s="1"/>
  <c r="AH247" i="18" s="1"/>
  <c r="AC247" i="18" a="1"/>
  <c r="AC247" i="18" s="1"/>
  <c r="AD247" i="18" s="1"/>
  <c r="AG268" i="18" a="1"/>
  <c r="AG268" i="18" s="1"/>
  <c r="AH268" i="18" s="1"/>
  <c r="AC268" i="18" a="1"/>
  <c r="AC268" i="18" s="1"/>
  <c r="AD268" i="18" s="1"/>
  <c r="AG270" i="18" a="1"/>
  <c r="AG270" i="18" s="1"/>
  <c r="AH270" i="18" s="1"/>
  <c r="AC270" i="18" a="1"/>
  <c r="AC270" i="18" s="1"/>
  <c r="AD270" i="18" s="1"/>
  <c r="AG279" i="18" a="1"/>
  <c r="AG279" i="18" s="1"/>
  <c r="AH279" i="18" s="1"/>
  <c r="AC279" i="18" a="1"/>
  <c r="AC279" i="18" s="1"/>
  <c r="AD279" i="18" s="1"/>
  <c r="AG292" i="18" a="1"/>
  <c r="AG292" i="18" s="1"/>
  <c r="AH292" i="18" s="1"/>
  <c r="AC292" i="18" a="1"/>
  <c r="AC292" i="18" s="1"/>
  <c r="AD292" i="18" s="1"/>
  <c r="AG263" i="18" a="1"/>
  <c r="AG263" i="18" s="1"/>
  <c r="AH263" i="18" s="1"/>
  <c r="AC263" i="18" a="1"/>
  <c r="AC263" i="18" s="1"/>
  <c r="AD263" i="18" s="1"/>
  <c r="AC275" i="18" a="1"/>
  <c r="AC275" i="18" s="1"/>
  <c r="AD275" i="18" s="1"/>
  <c r="AG275" i="18" a="1"/>
  <c r="AG275" i="18" s="1"/>
  <c r="AH275" i="18" s="1"/>
  <c r="AG284" i="18" a="1"/>
  <c r="AG284" i="18" s="1"/>
  <c r="AH284" i="18" s="1"/>
  <c r="AC284" i="18" a="1"/>
  <c r="AC284" i="18" s="1"/>
  <c r="AD284" i="18" s="1"/>
  <c r="AG285" i="18" a="1"/>
  <c r="AG285" i="18" s="1"/>
  <c r="AH285" i="18" s="1"/>
  <c r="AC285" i="18" a="1"/>
  <c r="AC285" i="18" s="1"/>
  <c r="AD285" i="18" s="1"/>
  <c r="AC291" i="18" a="1"/>
  <c r="AC291" i="18" s="1"/>
  <c r="AD291" i="18" s="1"/>
  <c r="AG291" i="18" a="1"/>
  <c r="AG291" i="18" s="1"/>
  <c r="AH291" i="18" s="1"/>
  <c r="AG316" i="18" a="1"/>
  <c r="AG316" i="18" s="1"/>
  <c r="AH316" i="18" s="1"/>
  <c r="AC316" i="18" a="1"/>
  <c r="AC316" i="18" s="1"/>
  <c r="AD316" i="18" s="1"/>
  <c r="AG297" i="18" a="1"/>
  <c r="AG297" i="18" s="1"/>
  <c r="AH297" i="18" s="1"/>
  <c r="AC297" i="18" a="1"/>
  <c r="AC297" i="18" s="1"/>
  <c r="AD297" i="18" s="1"/>
  <c r="AG303" i="18" a="1"/>
  <c r="AG303" i="18" s="1"/>
  <c r="AH303" i="18" s="1"/>
  <c r="AC303" i="18" a="1"/>
  <c r="AC303" i="18" s="1"/>
  <c r="AD303" i="18" s="1"/>
  <c r="AG299" i="18" a="1"/>
  <c r="AG299" i="18" s="1"/>
  <c r="AH299" i="18" s="1"/>
  <c r="AC299" i="18" a="1"/>
  <c r="AC299" i="18" s="1"/>
  <c r="AD299" i="18" s="1"/>
  <c r="AG314" i="18" a="1"/>
  <c r="AG314" i="18" s="1"/>
  <c r="AH314" i="18" s="1"/>
  <c r="AC314" i="18" a="1"/>
  <c r="AC314" i="18" s="1"/>
  <c r="AD314" i="18" s="1"/>
  <c r="AG315" i="18" a="1"/>
  <c r="AG315" i="18" s="1"/>
  <c r="AH315" i="18" s="1"/>
  <c r="AC315" i="18" a="1"/>
  <c r="AC315" i="18" s="1"/>
  <c r="AD315" i="18" s="1"/>
  <c r="AG317" i="18" a="1"/>
  <c r="AG317" i="18" s="1"/>
  <c r="AH317" i="18" s="1"/>
  <c r="AC317" i="18" a="1"/>
  <c r="AC317" i="18" s="1"/>
  <c r="AD317" i="18" s="1"/>
  <c r="AG323" i="18" a="1"/>
  <c r="AG323" i="18" s="1"/>
  <c r="AH323" i="18" s="1"/>
  <c r="AC323" i="18" a="1"/>
  <c r="AC323" i="18" s="1"/>
  <c r="AD323" i="18" s="1"/>
  <c r="AG337" i="18" a="1"/>
  <c r="AG337" i="18" s="1"/>
  <c r="AH337" i="18" s="1"/>
  <c r="AC337" i="18" a="1"/>
  <c r="AC337" i="18" s="1"/>
  <c r="AD337" i="18" s="1"/>
  <c r="AG339" i="18" a="1"/>
  <c r="AG339" i="18" s="1"/>
  <c r="AH339" i="18" s="1"/>
  <c r="AC339" i="18" a="1"/>
  <c r="AC339" i="18" s="1"/>
  <c r="AD339" i="18" s="1"/>
  <c r="AG344" i="18" a="1"/>
  <c r="AG344" i="18" s="1"/>
  <c r="AH344" i="18" s="1"/>
  <c r="AC344" i="18" a="1"/>
  <c r="AC344" i="18" s="1"/>
  <c r="AD344" i="18" s="1"/>
  <c r="AG392" i="18" a="1"/>
  <c r="AG392" i="18" s="1"/>
  <c r="AH392" i="18" s="1"/>
  <c r="AC392" i="18" a="1"/>
  <c r="AC392" i="18" s="1"/>
  <c r="AD392" i="18" s="1"/>
  <c r="AG331" i="18" a="1"/>
  <c r="AG331" i="18" s="1"/>
  <c r="AH331" i="18" s="1"/>
  <c r="AC331" i="18" a="1"/>
  <c r="AC331" i="18" s="1"/>
  <c r="AD331" i="18" s="1"/>
  <c r="AG332" i="18" a="1"/>
  <c r="AG332" i="18" s="1"/>
  <c r="AH332" i="18" s="1"/>
  <c r="AC332" i="18" a="1"/>
  <c r="AC332" i="18" s="1"/>
  <c r="AD332" i="18" s="1"/>
  <c r="AG346" i="18" a="1"/>
  <c r="AG346" i="18" s="1"/>
  <c r="AH346" i="18" s="1"/>
  <c r="AC346" i="18" a="1"/>
  <c r="AC346" i="18" s="1"/>
  <c r="AD346" i="18" s="1"/>
  <c r="AG348" i="18" a="1"/>
  <c r="AG348" i="18" s="1"/>
  <c r="AH348" i="18" s="1"/>
  <c r="AC348" i="18" a="1"/>
  <c r="AC348" i="18" s="1"/>
  <c r="AD348" i="18" s="1"/>
  <c r="AG357" i="18" a="1"/>
  <c r="AG357" i="18" s="1"/>
  <c r="AH357" i="18" s="1"/>
  <c r="AC357" i="18" a="1"/>
  <c r="AC357" i="18" s="1"/>
  <c r="AD357" i="18" s="1"/>
  <c r="AG301" i="18" a="1"/>
  <c r="AG301" i="18" s="1"/>
  <c r="AH301" i="18" s="1"/>
  <c r="AC301" i="18" a="1"/>
  <c r="AC301" i="18" s="1"/>
  <c r="AD301" i="18" s="1"/>
  <c r="AC306" i="18" a="1"/>
  <c r="AC306" i="18" s="1"/>
  <c r="AD306" i="18" s="1"/>
  <c r="AG306" i="18" a="1"/>
  <c r="AG306" i="18" s="1"/>
  <c r="AH306" i="18" s="1"/>
  <c r="AG308" i="18" a="1"/>
  <c r="AG308" i="18" s="1"/>
  <c r="AH308" i="18" s="1"/>
  <c r="AC308" i="18" a="1"/>
  <c r="AC308" i="18" s="1"/>
  <c r="AD308" i="18" s="1"/>
  <c r="AG329" i="18" a="1"/>
  <c r="AG329" i="18" s="1"/>
  <c r="AH329" i="18" s="1"/>
  <c r="AC329" i="18" a="1"/>
  <c r="AC329" i="18" s="1"/>
  <c r="AD329" i="18" s="1"/>
  <c r="AG338" i="18" a="1"/>
  <c r="AG338" i="18" s="1"/>
  <c r="AH338" i="18" s="1"/>
  <c r="AC338" i="18" a="1"/>
  <c r="AC338" i="18" s="1"/>
  <c r="AD338" i="18" s="1"/>
  <c r="AC360" i="18" a="1"/>
  <c r="AC360" i="18" s="1"/>
  <c r="AD360" i="18" s="1"/>
  <c r="AG360" i="18" a="1"/>
  <c r="AG360" i="18" s="1"/>
  <c r="AH360" i="18" s="1"/>
  <c r="AG368" i="18" a="1"/>
  <c r="AG368" i="18" s="1"/>
  <c r="AH368" i="18" s="1"/>
  <c r="AC368" i="18" a="1"/>
  <c r="AC368" i="18" s="1"/>
  <c r="AD368" i="18" s="1"/>
  <c r="AG389" i="18" a="1"/>
  <c r="AG389" i="18" s="1"/>
  <c r="AH389" i="18" s="1"/>
  <c r="AC389" i="18" a="1"/>
  <c r="AC389" i="18" s="1"/>
  <c r="AD389" i="18" s="1"/>
  <c r="AG400" i="18" a="1"/>
  <c r="AG400" i="18" s="1"/>
  <c r="AH400" i="18" s="1"/>
  <c r="AC400" i="18" a="1"/>
  <c r="AC400" i="18" s="1"/>
  <c r="AD400" i="18" s="1"/>
  <c r="AG307" i="18" a="1"/>
  <c r="AG307" i="18" s="1"/>
  <c r="AH307" i="18" s="1"/>
  <c r="AC307" i="18" a="1"/>
  <c r="AC307" i="18" s="1"/>
  <c r="AD307" i="18" s="1"/>
  <c r="AG313" i="18" a="1"/>
  <c r="AG313" i="18" s="1"/>
  <c r="AH313" i="18" s="1"/>
  <c r="AC313" i="18" a="1"/>
  <c r="AC313" i="18" s="1"/>
  <c r="AD313" i="18" s="1"/>
  <c r="AG318" i="18" a="1"/>
  <c r="AG318" i="18" s="1"/>
  <c r="AH318" i="18" s="1"/>
  <c r="AC318" i="18" a="1"/>
  <c r="AC318" i="18" s="1"/>
  <c r="AD318" i="18" s="1"/>
  <c r="AG321" i="18" a="1"/>
  <c r="AG321" i="18" s="1"/>
  <c r="AH321" i="18" s="1"/>
  <c r="AC321" i="18" a="1"/>
  <c r="AC321" i="18" s="1"/>
  <c r="AD321" i="18" s="1"/>
  <c r="AG322" i="18" a="1"/>
  <c r="AG322" i="18" s="1"/>
  <c r="AH322" i="18" s="1"/>
  <c r="AC322" i="18" a="1"/>
  <c r="AC322" i="18" s="1"/>
  <c r="AD322" i="18" s="1"/>
  <c r="AG325" i="18" a="1"/>
  <c r="AG325" i="18" s="1"/>
  <c r="AH325" i="18" s="1"/>
  <c r="AC325" i="18" a="1"/>
  <c r="AC325" i="18" s="1"/>
  <c r="AD325" i="18" s="1"/>
  <c r="AC328" i="18" a="1"/>
  <c r="AC328" i="18" s="1"/>
  <c r="AD328" i="18" s="1"/>
  <c r="AG328" i="18" a="1"/>
  <c r="AG328" i="18" s="1"/>
  <c r="AH328" i="18" s="1"/>
  <c r="AG330" i="18" a="1"/>
  <c r="AG330" i="18" s="1"/>
  <c r="AH330" i="18" s="1"/>
  <c r="AC330" i="18" a="1"/>
  <c r="AC330" i="18" s="1"/>
  <c r="AD330" i="18" s="1"/>
  <c r="AG333" i="18" a="1"/>
  <c r="AG333" i="18" s="1"/>
  <c r="AH333" i="18" s="1"/>
  <c r="AC333" i="18" a="1"/>
  <c r="AC333" i="18" s="1"/>
  <c r="AD333" i="18" s="1"/>
  <c r="AG340" i="18" a="1"/>
  <c r="AG340" i="18" s="1"/>
  <c r="AH340" i="18" s="1"/>
  <c r="AC340" i="18" a="1"/>
  <c r="AC340" i="18" s="1"/>
  <c r="AD340" i="18" s="1"/>
  <c r="AG406" i="18" a="1"/>
  <c r="AG406" i="18" s="1"/>
  <c r="AH406" i="18" s="1"/>
  <c r="AC406" i="18" a="1"/>
  <c r="AC406" i="18" s="1"/>
  <c r="AD406" i="18" s="1"/>
  <c r="AG305" i="18" a="1"/>
  <c r="AG305" i="18" s="1"/>
  <c r="AH305" i="18" s="1"/>
  <c r="AC305" i="18" a="1"/>
  <c r="AC305" i="18" s="1"/>
  <c r="AD305" i="18" s="1"/>
  <c r="AG312" i="18" a="1"/>
  <c r="AG312" i="18" s="1"/>
  <c r="AH312" i="18" s="1"/>
  <c r="AC312" i="18" a="1"/>
  <c r="AC312" i="18" s="1"/>
  <c r="AD312" i="18" s="1"/>
  <c r="AG319" i="18" a="1"/>
  <c r="AG319" i="18" s="1"/>
  <c r="AH319" i="18" s="1"/>
  <c r="AC319" i="18" a="1"/>
  <c r="AC319" i="18" s="1"/>
  <c r="AD319" i="18" s="1"/>
  <c r="AC334" i="18" a="1"/>
  <c r="AC334" i="18" s="1"/>
  <c r="AD334" i="18" s="1"/>
  <c r="AG334" i="18" a="1"/>
  <c r="AG334" i="18" s="1"/>
  <c r="AH334" i="18" s="1"/>
  <c r="AG311" i="18" a="1"/>
  <c r="AG311" i="18" s="1"/>
  <c r="AH311" i="18" s="1"/>
  <c r="AC311" i="18" a="1"/>
  <c r="AC311" i="18" s="1"/>
  <c r="AD311" i="18" s="1"/>
  <c r="AG324" i="18" a="1"/>
  <c r="AG324" i="18" s="1"/>
  <c r="AH324" i="18" s="1"/>
  <c r="AC324" i="18" a="1"/>
  <c r="AC324" i="18" s="1"/>
  <c r="AD324" i="18" s="1"/>
  <c r="AG327" i="18" a="1"/>
  <c r="AG327" i="18" s="1"/>
  <c r="AH327" i="18" s="1"/>
  <c r="AC327" i="18" a="1"/>
  <c r="AC327" i="18" s="1"/>
  <c r="AD327" i="18" s="1"/>
  <c r="AG335" i="18" a="1"/>
  <c r="AG335" i="18" s="1"/>
  <c r="AH335" i="18" s="1"/>
  <c r="AC335" i="18" a="1"/>
  <c r="AC335" i="18" s="1"/>
  <c r="AD335" i="18" s="1"/>
  <c r="AC336" i="18" a="1"/>
  <c r="AC336" i="18" s="1"/>
  <c r="AD336" i="18" s="1"/>
  <c r="AG336" i="18" a="1"/>
  <c r="AG336" i="18" s="1"/>
  <c r="AH336" i="18" s="1"/>
  <c r="AG341" i="18" a="1"/>
  <c r="AG341" i="18" s="1"/>
  <c r="AH341" i="18" s="1"/>
  <c r="AC341" i="18" a="1"/>
  <c r="AC341" i="18" s="1"/>
  <c r="AD341" i="18" s="1"/>
  <c r="AG396" i="18" a="1"/>
  <c r="AG396" i="18" s="1"/>
  <c r="AH396" i="18" s="1"/>
  <c r="AC396" i="18" a="1"/>
  <c r="AC396" i="18" s="1"/>
  <c r="AD396" i="18" s="1"/>
  <c r="AG345" i="18" a="1"/>
  <c r="AG345" i="18" s="1"/>
  <c r="AH345" i="18" s="1"/>
  <c r="AC345" i="18" a="1"/>
  <c r="AC345" i="18" s="1"/>
  <c r="AD345" i="18" s="1"/>
  <c r="AG365" i="18" a="1"/>
  <c r="AG365" i="18" s="1"/>
  <c r="AH365" i="18" s="1"/>
  <c r="AC365" i="18" a="1"/>
  <c r="AC365" i="18" s="1"/>
  <c r="AD365" i="18" s="1"/>
  <c r="AC352" i="18" a="1"/>
  <c r="AC352" i="18" s="1"/>
  <c r="AD352" i="18" s="1"/>
  <c r="AG352" i="18" a="1"/>
  <c r="AG352" i="18" s="1"/>
  <c r="AH352" i="18" s="1"/>
  <c r="AG353" i="18" a="1"/>
  <c r="AG353" i="18" s="1"/>
  <c r="AH353" i="18" s="1"/>
  <c r="AC353" i="18" a="1"/>
  <c r="AC353" i="18" s="1"/>
  <c r="AD353" i="18" s="1"/>
  <c r="AG356" i="18" a="1"/>
  <c r="AG356" i="18" s="1"/>
  <c r="AH356" i="18" s="1"/>
  <c r="AC356" i="18" a="1"/>
  <c r="AC356" i="18" s="1"/>
  <c r="AD356" i="18" s="1"/>
  <c r="AG358" i="18" a="1"/>
  <c r="AG358" i="18" s="1"/>
  <c r="AH358" i="18" s="1"/>
  <c r="AC358" i="18" a="1"/>
  <c r="AC358" i="18" s="1"/>
  <c r="AD358" i="18" s="1"/>
  <c r="AG359" i="18" a="1"/>
  <c r="AG359" i="18" s="1"/>
  <c r="AH359" i="18" s="1"/>
  <c r="AC359" i="18" a="1"/>
  <c r="AC359" i="18" s="1"/>
  <c r="AD359" i="18" s="1"/>
  <c r="AG363" i="18" a="1"/>
  <c r="AG363" i="18" s="1"/>
  <c r="AH363" i="18" s="1"/>
  <c r="AC363" i="18" a="1"/>
  <c r="AC363" i="18" s="1"/>
  <c r="AD363" i="18" s="1"/>
  <c r="AG364" i="18" a="1"/>
  <c r="AG364" i="18" s="1"/>
  <c r="AH364" i="18" s="1"/>
  <c r="AC364" i="18" a="1"/>
  <c r="AC364" i="18" s="1"/>
  <c r="AD364" i="18" s="1"/>
  <c r="AG377" i="18" a="1"/>
  <c r="AG377" i="18" s="1"/>
  <c r="AH377" i="18" s="1"/>
  <c r="AC377" i="18" a="1"/>
  <c r="AC377" i="18" s="1"/>
  <c r="AD377" i="18" s="1"/>
  <c r="AG379" i="18" a="1"/>
  <c r="AG379" i="18" s="1"/>
  <c r="AH379" i="18" s="1"/>
  <c r="AC379" i="18" a="1"/>
  <c r="AC379" i="18" s="1"/>
  <c r="AD379" i="18" s="1"/>
  <c r="AG385" i="18" a="1"/>
  <c r="AG385" i="18" s="1"/>
  <c r="AH385" i="18" s="1"/>
  <c r="AC385" i="18" a="1"/>
  <c r="AC385" i="18" s="1"/>
  <c r="AD385" i="18" s="1"/>
  <c r="AG413" i="18" a="1"/>
  <c r="AG413" i="18" s="1"/>
  <c r="AH413" i="18" s="1"/>
  <c r="AC413" i="18" a="1"/>
  <c r="AC413" i="18" s="1"/>
  <c r="AD413" i="18" s="1"/>
  <c r="AG418" i="18" a="1"/>
  <c r="AG418" i="18" s="1"/>
  <c r="AH418" i="18" s="1"/>
  <c r="AC418" i="18" a="1"/>
  <c r="AC418" i="18" s="1"/>
  <c r="AD418" i="18" s="1"/>
  <c r="AG342" i="18" a="1"/>
  <c r="AG342" i="18" s="1"/>
  <c r="AH342" i="18" s="1"/>
  <c r="AC342" i="18" a="1"/>
  <c r="AC342" i="18" s="1"/>
  <c r="AD342" i="18" s="1"/>
  <c r="AG343" i="18" a="1"/>
  <c r="AG343" i="18" s="1"/>
  <c r="AH343" i="18" s="1"/>
  <c r="AC343" i="18" a="1"/>
  <c r="AC343" i="18" s="1"/>
  <c r="AD343" i="18" s="1"/>
  <c r="AG347" i="18" a="1"/>
  <c r="AG347" i="18" s="1"/>
  <c r="AH347" i="18" s="1"/>
  <c r="AC347" i="18" a="1"/>
  <c r="AC347" i="18" s="1"/>
  <c r="AD347" i="18" s="1"/>
  <c r="AG350" i="18" a="1"/>
  <c r="AG350" i="18" s="1"/>
  <c r="AH350" i="18" s="1"/>
  <c r="AC350" i="18" a="1"/>
  <c r="AC350" i="18" s="1"/>
  <c r="AD350" i="18" s="1"/>
  <c r="AG351" i="18" a="1"/>
  <c r="AG351" i="18" s="1"/>
  <c r="AH351" i="18" s="1"/>
  <c r="AC351" i="18" a="1"/>
  <c r="AC351" i="18" s="1"/>
  <c r="AD351" i="18" s="1"/>
  <c r="AG366" i="18" a="1"/>
  <c r="AG366" i="18" s="1"/>
  <c r="AH366" i="18" s="1"/>
  <c r="AC366" i="18" a="1"/>
  <c r="AC366" i="18" s="1"/>
  <c r="AD366" i="18" s="1"/>
  <c r="AG370" i="18" a="1"/>
  <c r="AG370" i="18" s="1"/>
  <c r="AH370" i="18" s="1"/>
  <c r="AC370" i="18" a="1"/>
  <c r="AC370" i="18" s="1"/>
  <c r="AD370" i="18" s="1"/>
  <c r="AG375" i="18" a="1"/>
  <c r="AG375" i="18" s="1"/>
  <c r="AH375" i="18" s="1"/>
  <c r="AC375" i="18" a="1"/>
  <c r="AC375" i="18" s="1"/>
  <c r="AD375" i="18" s="1"/>
  <c r="AG436" i="18" a="1"/>
  <c r="AG436" i="18" s="1"/>
  <c r="AH436" i="18" s="1"/>
  <c r="AC436" i="18" a="1"/>
  <c r="AC436" i="18" s="1"/>
  <c r="AD436" i="18" s="1"/>
  <c r="AG369" i="18" a="1"/>
  <c r="AG369" i="18" s="1"/>
  <c r="AH369" i="18" s="1"/>
  <c r="AC369" i="18" a="1"/>
  <c r="AC369" i="18" s="1"/>
  <c r="AD369" i="18" s="1"/>
  <c r="AC383" i="18" a="1"/>
  <c r="AC383" i="18" s="1"/>
  <c r="AD383" i="18" s="1"/>
  <c r="AG383" i="18" a="1"/>
  <c r="AG383" i="18" s="1"/>
  <c r="AH383" i="18" s="1"/>
  <c r="AG388" i="18" a="1"/>
  <c r="AG388" i="18" s="1"/>
  <c r="AH388" i="18" s="1"/>
  <c r="AC388" i="18" a="1"/>
  <c r="AC388" i="18" s="1"/>
  <c r="AD388" i="18" s="1"/>
  <c r="AG391" i="18" a="1"/>
  <c r="AG391" i="18" s="1"/>
  <c r="AH391" i="18" s="1"/>
  <c r="AC391" i="18" a="1"/>
  <c r="AC391" i="18" s="1"/>
  <c r="AD391" i="18" s="1"/>
  <c r="AG439" i="18" a="1"/>
  <c r="AG439" i="18" s="1"/>
  <c r="AH439" i="18" s="1"/>
  <c r="AC439" i="18" a="1"/>
  <c r="AC439" i="18" s="1"/>
  <c r="AD439" i="18" s="1"/>
  <c r="AG372" i="18" a="1"/>
  <c r="AG372" i="18" s="1"/>
  <c r="AH372" i="18" s="1"/>
  <c r="AC372" i="18" a="1"/>
  <c r="AC372" i="18" s="1"/>
  <c r="AD372" i="18" s="1"/>
  <c r="AG373" i="18" a="1"/>
  <c r="AG373" i="18" s="1"/>
  <c r="AH373" i="18" s="1"/>
  <c r="AC373" i="18" a="1"/>
  <c r="AC373" i="18" s="1"/>
  <c r="AD373" i="18" s="1"/>
  <c r="AG427" i="18" a="1"/>
  <c r="AG427" i="18" s="1"/>
  <c r="AH427" i="18" s="1"/>
  <c r="AC427" i="18" a="1"/>
  <c r="AC427" i="18" s="1"/>
  <c r="AD427" i="18" s="1"/>
  <c r="AG374" i="18" a="1"/>
  <c r="AG374" i="18" s="1"/>
  <c r="AH374" i="18" s="1"/>
  <c r="AC374" i="18" a="1"/>
  <c r="AC374" i="18" s="1"/>
  <c r="AD374" i="18" s="1"/>
  <c r="AG376" i="18" a="1"/>
  <c r="AG376" i="18" s="1"/>
  <c r="AH376" i="18" s="1"/>
  <c r="AC376" i="18" a="1"/>
  <c r="AC376" i="18" s="1"/>
  <c r="AD376" i="18" s="1"/>
  <c r="AG380" i="18" a="1"/>
  <c r="AG380" i="18" s="1"/>
  <c r="AH380" i="18" s="1"/>
  <c r="AC380" i="18" a="1"/>
  <c r="AC380" i="18" s="1"/>
  <c r="AD380" i="18" s="1"/>
  <c r="AG381" i="18" a="1"/>
  <c r="AG381" i="18" s="1"/>
  <c r="AH381" i="18" s="1"/>
  <c r="AC381" i="18" a="1"/>
  <c r="AC381" i="18" s="1"/>
  <c r="AD381" i="18" s="1"/>
  <c r="AG386" i="18" a="1"/>
  <c r="AG386" i="18" s="1"/>
  <c r="AH386" i="18" s="1"/>
  <c r="AC386" i="18" a="1"/>
  <c r="AC386" i="18" s="1"/>
  <c r="AD386" i="18" s="1"/>
  <c r="AG387" i="18" a="1"/>
  <c r="AG387" i="18" s="1"/>
  <c r="AH387" i="18" s="1"/>
  <c r="AC387" i="18" a="1"/>
  <c r="AC387" i="18" s="1"/>
  <c r="AD387" i="18" s="1"/>
  <c r="AC411" i="18" a="1"/>
  <c r="AC411" i="18" s="1"/>
  <c r="AD411" i="18" s="1"/>
  <c r="AG411" i="18" a="1"/>
  <c r="AG411" i="18" s="1"/>
  <c r="AH411" i="18" s="1"/>
  <c r="AG428" i="18" a="1"/>
  <c r="AG428" i="18" s="1"/>
  <c r="AH428" i="18" s="1"/>
  <c r="AC428" i="18" a="1"/>
  <c r="AC428" i="18" s="1"/>
  <c r="AD428" i="18" s="1"/>
  <c r="AG355" i="18" a="1"/>
  <c r="AG355" i="18" s="1"/>
  <c r="AH355" i="18" s="1"/>
  <c r="AC355" i="18" a="1"/>
  <c r="AC355" i="18" s="1"/>
  <c r="AD355" i="18" s="1"/>
  <c r="AG362" i="18" a="1"/>
  <c r="AG362" i="18" s="1"/>
  <c r="AH362" i="18" s="1"/>
  <c r="AC362" i="18" a="1"/>
  <c r="AC362" i="18" s="1"/>
  <c r="AD362" i="18" s="1"/>
  <c r="AG367" i="18" a="1"/>
  <c r="AG367" i="18" s="1"/>
  <c r="AH367" i="18" s="1"/>
  <c r="AC367" i="18" a="1"/>
  <c r="AC367" i="18" s="1"/>
  <c r="AD367" i="18" s="1"/>
  <c r="AG371" i="18" a="1"/>
  <c r="AG371" i="18" s="1"/>
  <c r="AH371" i="18" s="1"/>
  <c r="AC371" i="18" a="1"/>
  <c r="AC371" i="18" s="1"/>
  <c r="AD371" i="18" s="1"/>
  <c r="AG378" i="18" a="1"/>
  <c r="AG378" i="18" s="1"/>
  <c r="AH378" i="18" s="1"/>
  <c r="AC378" i="18" a="1"/>
  <c r="AC378" i="18" s="1"/>
  <c r="AD378" i="18" s="1"/>
  <c r="AG382" i="18" a="1"/>
  <c r="AG382" i="18" s="1"/>
  <c r="AH382" i="18" s="1"/>
  <c r="AC382" i="18" a="1"/>
  <c r="AC382" i="18" s="1"/>
  <c r="AD382" i="18" s="1"/>
  <c r="AG384" i="18" a="1"/>
  <c r="AG384" i="18" s="1"/>
  <c r="AH384" i="18" s="1"/>
  <c r="AC384" i="18" a="1"/>
  <c r="AC384" i="18" s="1"/>
  <c r="AD384" i="18" s="1"/>
  <c r="AG393" i="18" a="1"/>
  <c r="AG393" i="18" s="1"/>
  <c r="AH393" i="18" s="1"/>
  <c r="AC393" i="18" a="1"/>
  <c r="AC393" i="18" s="1"/>
  <c r="AD393" i="18" s="1"/>
  <c r="AG398" i="18" a="1"/>
  <c r="AG398" i="18" s="1"/>
  <c r="AH398" i="18" s="1"/>
  <c r="AC398" i="18" a="1"/>
  <c r="AC398" i="18" s="1"/>
  <c r="AD398" i="18" s="1"/>
  <c r="AG401" i="18" a="1"/>
  <c r="AG401" i="18" s="1"/>
  <c r="AH401" i="18" s="1"/>
  <c r="AC401" i="18" a="1"/>
  <c r="AC401" i="18" s="1"/>
  <c r="AD401" i="18" s="1"/>
  <c r="AG420" i="18" a="1"/>
  <c r="AG420" i="18" s="1"/>
  <c r="AH420" i="18" s="1"/>
  <c r="AC420" i="18" a="1"/>
  <c r="AC420" i="18" s="1"/>
  <c r="AD420" i="18" s="1"/>
  <c r="AG488" i="18" a="1"/>
  <c r="AG488" i="18" s="1"/>
  <c r="AH488" i="18" s="1"/>
  <c r="AC488" i="18" a="1"/>
  <c r="AC488" i="18" s="1"/>
  <c r="AD488" i="18" s="1"/>
  <c r="AG399" i="18" a="1"/>
  <c r="AG399" i="18" s="1"/>
  <c r="AH399" i="18" s="1"/>
  <c r="AC399" i="18" a="1"/>
  <c r="AC399" i="18" s="1"/>
  <c r="AD399" i="18" s="1"/>
  <c r="AG414" i="18" a="1"/>
  <c r="AG414" i="18" s="1"/>
  <c r="AH414" i="18" s="1"/>
  <c r="AC414" i="18" a="1"/>
  <c r="AC414" i="18" s="1"/>
  <c r="AD414" i="18" s="1"/>
  <c r="AG416" i="18" a="1"/>
  <c r="AG416" i="18" s="1"/>
  <c r="AH416" i="18" s="1"/>
  <c r="AC416" i="18" a="1"/>
  <c r="AC416" i="18" s="1"/>
  <c r="AD416" i="18" s="1"/>
  <c r="AG417" i="18" a="1"/>
  <c r="AG417" i="18" s="1"/>
  <c r="AH417" i="18" s="1"/>
  <c r="AC417" i="18" a="1"/>
  <c r="AC417" i="18" s="1"/>
  <c r="AD417" i="18" s="1"/>
  <c r="AG426" i="18" a="1"/>
  <c r="AG426" i="18" s="1"/>
  <c r="AH426" i="18" s="1"/>
  <c r="AC426" i="18" a="1"/>
  <c r="AC426" i="18" s="1"/>
  <c r="AD426" i="18" s="1"/>
  <c r="AG434" i="18" a="1"/>
  <c r="AG434" i="18" s="1"/>
  <c r="AH434" i="18" s="1"/>
  <c r="AC434" i="18" a="1"/>
  <c r="AC434" i="18" s="1"/>
  <c r="AD434" i="18" s="1"/>
  <c r="AG394" i="18" a="1"/>
  <c r="AG394" i="18" s="1"/>
  <c r="AH394" i="18" s="1"/>
  <c r="AC394" i="18" a="1"/>
  <c r="AC394" i="18" s="1"/>
  <c r="AD394" i="18" s="1"/>
  <c r="AG407" i="18" a="1"/>
  <c r="AG407" i="18" s="1"/>
  <c r="AH407" i="18" s="1"/>
  <c r="AC407" i="18" a="1"/>
  <c r="AC407" i="18" s="1"/>
  <c r="AD407" i="18" s="1"/>
  <c r="AG419" i="18" a="1"/>
  <c r="AG419" i="18" s="1"/>
  <c r="AH419" i="18" s="1"/>
  <c r="AC419" i="18" a="1"/>
  <c r="AC419" i="18" s="1"/>
  <c r="AD419" i="18" s="1"/>
  <c r="AG429" i="18" a="1"/>
  <c r="AG429" i="18" s="1"/>
  <c r="AH429" i="18" s="1"/>
  <c r="AC429" i="18" a="1"/>
  <c r="AC429" i="18" s="1"/>
  <c r="AD429" i="18" s="1"/>
  <c r="AC430" i="18" a="1"/>
  <c r="AC430" i="18" s="1"/>
  <c r="AD430" i="18" s="1"/>
  <c r="AG430" i="18" a="1"/>
  <c r="AG430" i="18" s="1"/>
  <c r="AH430" i="18" s="1"/>
  <c r="AG431" i="18" a="1"/>
  <c r="AG431" i="18" s="1"/>
  <c r="AH431" i="18" s="1"/>
  <c r="AC431" i="18" a="1"/>
  <c r="AC431" i="18" s="1"/>
  <c r="AD431" i="18" s="1"/>
  <c r="AG435" i="18" a="1"/>
  <c r="AG435" i="18" s="1"/>
  <c r="AH435" i="18" s="1"/>
  <c r="AC435" i="18" a="1"/>
  <c r="AC435" i="18" s="1"/>
  <c r="AD435" i="18" s="1"/>
  <c r="AG438" i="18" a="1"/>
  <c r="AG438" i="18" s="1"/>
  <c r="AH438" i="18" s="1"/>
  <c r="AC438" i="18" a="1"/>
  <c r="AC438" i="18" s="1"/>
  <c r="AD438" i="18" s="1"/>
  <c r="AG440" i="18" a="1"/>
  <c r="AG440" i="18" s="1"/>
  <c r="AH440" i="18" s="1"/>
  <c r="AC440" i="18" a="1"/>
  <c r="AC440" i="18" s="1"/>
  <c r="AD440" i="18" s="1"/>
  <c r="AG447" i="18" a="1"/>
  <c r="AG447" i="18" s="1"/>
  <c r="AH447" i="18" s="1"/>
  <c r="AC447" i="18" a="1"/>
  <c r="AC447" i="18" s="1"/>
  <c r="AD447" i="18" s="1"/>
  <c r="AG461" i="18" a="1"/>
  <c r="AG461" i="18" s="1"/>
  <c r="AH461" i="18" s="1"/>
  <c r="AC461" i="18" a="1"/>
  <c r="AC461" i="18" s="1"/>
  <c r="AD461" i="18" s="1"/>
  <c r="AC390" i="18" a="1"/>
  <c r="AC390" i="18" s="1"/>
  <c r="AD390" i="18" s="1"/>
  <c r="AG390" i="18" a="1"/>
  <c r="AG390" i="18" s="1"/>
  <c r="AH390" i="18" s="1"/>
  <c r="AG395" i="18" a="1"/>
  <c r="AG395" i="18" s="1"/>
  <c r="AH395" i="18" s="1"/>
  <c r="AC395" i="18" a="1"/>
  <c r="AC395" i="18" s="1"/>
  <c r="AD395" i="18" s="1"/>
  <c r="AG402" i="18" a="1"/>
  <c r="AG402" i="18" s="1"/>
  <c r="AH402" i="18" s="1"/>
  <c r="AC402" i="18" a="1"/>
  <c r="AC402" i="18" s="1"/>
  <c r="AD402" i="18" s="1"/>
  <c r="AG404" i="18" a="1"/>
  <c r="AG404" i="18" s="1"/>
  <c r="AH404" i="18" s="1"/>
  <c r="AC404" i="18" a="1"/>
  <c r="AC404" i="18" s="1"/>
  <c r="AD404" i="18" s="1"/>
  <c r="AG409" i="18" a="1"/>
  <c r="AG409" i="18" s="1"/>
  <c r="AH409" i="18" s="1"/>
  <c r="AC409" i="18" a="1"/>
  <c r="AC409" i="18" s="1"/>
  <c r="AD409" i="18" s="1"/>
  <c r="AG412" i="18" a="1"/>
  <c r="AG412" i="18" s="1"/>
  <c r="AH412" i="18" s="1"/>
  <c r="AC412" i="18" a="1"/>
  <c r="AC412" i="18" s="1"/>
  <c r="AD412" i="18" s="1"/>
  <c r="AG437" i="18" a="1"/>
  <c r="AG437" i="18" s="1"/>
  <c r="AH437" i="18" s="1"/>
  <c r="AC437" i="18" a="1"/>
  <c r="AC437" i="18" s="1"/>
  <c r="AD437" i="18" s="1"/>
  <c r="AG441" i="18" a="1"/>
  <c r="AG441" i="18" s="1"/>
  <c r="AH441" i="18" s="1"/>
  <c r="AC441" i="18" a="1"/>
  <c r="AC441" i="18" s="1"/>
  <c r="AD441" i="18" s="1"/>
  <c r="AG403" i="18" a="1"/>
  <c r="AG403" i="18" s="1"/>
  <c r="AH403" i="18" s="1"/>
  <c r="AC403" i="18" a="1"/>
  <c r="AC403" i="18" s="1"/>
  <c r="AD403" i="18" s="1"/>
  <c r="AG405" i="18" a="1"/>
  <c r="AG405" i="18" s="1"/>
  <c r="AH405" i="18" s="1"/>
  <c r="AC405" i="18" a="1"/>
  <c r="AC405" i="18" s="1"/>
  <c r="AD405" i="18" s="1"/>
  <c r="AG408" i="18" a="1"/>
  <c r="AG408" i="18" s="1"/>
  <c r="AH408" i="18" s="1"/>
  <c r="AC408" i="18" a="1"/>
  <c r="AC408" i="18" s="1"/>
  <c r="AD408" i="18" s="1"/>
  <c r="AG421" i="18" a="1"/>
  <c r="AG421" i="18" s="1"/>
  <c r="AH421" i="18" s="1"/>
  <c r="AC421" i="18" a="1"/>
  <c r="AC421" i="18" s="1"/>
  <c r="AD421" i="18" s="1"/>
  <c r="AC422" i="18" a="1"/>
  <c r="AC422" i="18" s="1"/>
  <c r="AD422" i="18" s="1"/>
  <c r="AG422" i="18" a="1"/>
  <c r="AG422" i="18" s="1"/>
  <c r="AH422" i="18" s="1"/>
  <c r="AG423" i="18" a="1"/>
  <c r="AG423" i="18" s="1"/>
  <c r="AH423" i="18" s="1"/>
  <c r="AC423" i="18" a="1"/>
  <c r="AC423" i="18" s="1"/>
  <c r="AD423" i="18" s="1"/>
  <c r="AG424" i="18" a="1"/>
  <c r="AG424" i="18" s="1"/>
  <c r="AH424" i="18" s="1"/>
  <c r="AC424" i="18" a="1"/>
  <c r="AC424" i="18" s="1"/>
  <c r="AD424" i="18" s="1"/>
  <c r="AG432" i="18" a="1"/>
  <c r="AG432" i="18" s="1"/>
  <c r="AH432" i="18" s="1"/>
  <c r="AC432" i="18" a="1"/>
  <c r="AC432" i="18" s="1"/>
  <c r="AD432" i="18" s="1"/>
  <c r="AC442" i="18" a="1"/>
  <c r="AC442" i="18" s="1"/>
  <c r="AD442" i="18" s="1"/>
  <c r="AG442" i="18" a="1"/>
  <c r="AG442" i="18" s="1"/>
  <c r="AH442" i="18" s="1"/>
  <c r="AG448" i="18" a="1"/>
  <c r="AG448" i="18" s="1"/>
  <c r="AH448" i="18" s="1"/>
  <c r="AC448" i="18" a="1"/>
  <c r="AC448" i="18" s="1"/>
  <c r="AD448" i="18" s="1"/>
  <c r="AG469" i="18" a="1"/>
  <c r="AG469" i="18" s="1"/>
  <c r="AH469" i="18" s="1"/>
  <c r="AC469" i="18" a="1"/>
  <c r="AC469" i="18" s="1"/>
  <c r="AD469" i="18" s="1"/>
  <c r="AG425" i="18" a="1"/>
  <c r="AG425" i="18" s="1"/>
  <c r="AH425" i="18" s="1"/>
  <c r="AC425" i="18" a="1"/>
  <c r="AC425" i="18" s="1"/>
  <c r="AD425" i="18" s="1"/>
  <c r="AG433" i="18" a="1"/>
  <c r="AG433" i="18" s="1"/>
  <c r="AH433" i="18" s="1"/>
  <c r="AC433" i="18" a="1"/>
  <c r="AC433" i="18" s="1"/>
  <c r="AD433" i="18" s="1"/>
  <c r="AG444" i="18" a="1"/>
  <c r="AG444" i="18" s="1"/>
  <c r="AH444" i="18" s="1"/>
  <c r="AC444" i="18" a="1"/>
  <c r="AC444" i="18" s="1"/>
  <c r="AD444" i="18" s="1"/>
  <c r="AG397" i="18" a="1"/>
  <c r="AG397" i="18" s="1"/>
  <c r="AH397" i="18" s="1"/>
  <c r="AC397" i="18" a="1"/>
  <c r="AC397" i="18" s="1"/>
  <c r="AD397" i="18" s="1"/>
  <c r="AG410" i="18" a="1"/>
  <c r="AG410" i="18" s="1"/>
  <c r="AH410" i="18" s="1"/>
  <c r="AC410" i="18" a="1"/>
  <c r="AC410" i="18" s="1"/>
  <c r="AD410" i="18" s="1"/>
  <c r="AG415" i="18" a="1"/>
  <c r="AG415" i="18" s="1"/>
  <c r="AH415" i="18" s="1"/>
  <c r="AC415" i="18" a="1"/>
  <c r="AC415" i="18" s="1"/>
  <c r="AD415" i="18" s="1"/>
  <c r="AG443" i="18" a="1"/>
  <c r="AG443" i="18" s="1"/>
  <c r="AH443" i="18" s="1"/>
  <c r="AC443" i="18" a="1"/>
  <c r="AC443" i="18" s="1"/>
  <c r="AD443" i="18" s="1"/>
  <c r="AG445" i="18" a="1"/>
  <c r="AG445" i="18" s="1"/>
  <c r="AH445" i="18" s="1"/>
  <c r="AC445" i="18" a="1"/>
  <c r="AC445" i="18" s="1"/>
  <c r="AD445" i="18" s="1"/>
  <c r="AG446" i="18" a="1"/>
  <c r="AG446" i="18" s="1"/>
  <c r="AH446" i="18" s="1"/>
  <c r="AC446" i="18" a="1"/>
  <c r="AC446" i="18" s="1"/>
  <c r="AD446" i="18" s="1"/>
  <c r="AC450" i="18" a="1"/>
  <c r="AC450" i="18" s="1"/>
  <c r="AD450" i="18" s="1"/>
  <c r="AG450" i="18" a="1"/>
  <c r="AG450" i="18" s="1"/>
  <c r="AH450" i="18" s="1"/>
  <c r="AG455" i="18" a="1"/>
  <c r="AG455" i="18" s="1"/>
  <c r="AH455" i="18" s="1"/>
  <c r="AC455" i="18" a="1"/>
  <c r="AC455" i="18" s="1"/>
  <c r="AD455" i="18" s="1"/>
  <c r="AG467" i="18" a="1"/>
  <c r="AG467" i="18" s="1"/>
  <c r="AH467" i="18" s="1"/>
  <c r="AC467" i="18" a="1"/>
  <c r="AC467" i="18" s="1"/>
  <c r="AD467" i="18" s="1"/>
  <c r="AG468" i="18" a="1"/>
  <c r="AG468" i="18" s="1"/>
  <c r="AH468" i="18" s="1"/>
  <c r="AC468" i="18" a="1"/>
  <c r="AC468" i="18" s="1"/>
  <c r="AD468" i="18" s="1"/>
  <c r="AG475" i="18" a="1"/>
  <c r="AG475" i="18" s="1"/>
  <c r="AH475" i="18" s="1"/>
  <c r="AC475" i="18" a="1"/>
  <c r="AC475" i="18" s="1"/>
  <c r="AD475" i="18" s="1"/>
  <c r="AG451" i="18" a="1"/>
  <c r="AG451" i="18" s="1"/>
  <c r="AH451" i="18" s="1"/>
  <c r="AC451" i="18" a="1"/>
  <c r="AC451" i="18" s="1"/>
  <c r="AD451" i="18" s="1"/>
  <c r="AC452" i="18" a="1"/>
  <c r="AC452" i="18" s="1"/>
  <c r="AD452" i="18" s="1"/>
  <c r="AG452" i="18" a="1"/>
  <c r="AG452" i="18" s="1"/>
  <c r="AH452" i="18" s="1"/>
  <c r="AG453" i="18" a="1"/>
  <c r="AG453" i="18" s="1"/>
  <c r="AH453" i="18" s="1"/>
  <c r="AC453" i="18" a="1"/>
  <c r="AC453" i="18" s="1"/>
  <c r="AD453" i="18" s="1"/>
  <c r="AG454" i="18" a="1"/>
  <c r="AG454" i="18" s="1"/>
  <c r="AH454" i="18" s="1"/>
  <c r="AC454" i="18" a="1"/>
  <c r="AC454" i="18" s="1"/>
  <c r="AD454" i="18" s="1"/>
  <c r="AG463" i="18" a="1"/>
  <c r="AG463" i="18" s="1"/>
  <c r="AH463" i="18" s="1"/>
  <c r="AC463" i="18" a="1"/>
  <c r="AC463" i="18" s="1"/>
  <c r="AD463" i="18" s="1"/>
  <c r="AG470" i="18" a="1"/>
  <c r="AG470" i="18" s="1"/>
  <c r="AH470" i="18" s="1"/>
  <c r="AC470" i="18" a="1"/>
  <c r="AC470" i="18" s="1"/>
  <c r="AD470" i="18" s="1"/>
  <c r="AG471" i="18" a="1"/>
  <c r="AG471" i="18" s="1"/>
  <c r="AH471" i="18" s="1"/>
  <c r="AC471" i="18" a="1"/>
  <c r="AC471" i="18" s="1"/>
  <c r="AD471" i="18" s="1"/>
  <c r="AC473" i="18" a="1"/>
  <c r="AC473" i="18" s="1"/>
  <c r="AD473" i="18" s="1"/>
  <c r="AG473" i="18" a="1"/>
  <c r="AG473" i="18" s="1"/>
  <c r="AH473" i="18" s="1"/>
  <c r="AG474" i="18" a="1"/>
  <c r="AG474" i="18" s="1"/>
  <c r="AH474" i="18" s="1"/>
  <c r="AC474" i="18" a="1"/>
  <c r="AC474" i="18" s="1"/>
  <c r="AD474" i="18" s="1"/>
  <c r="AG462" i="18" a="1"/>
  <c r="AG462" i="18" s="1"/>
  <c r="AH462" i="18" s="1"/>
  <c r="AC462" i="18" a="1"/>
  <c r="AC462" i="18" s="1"/>
  <c r="AD462" i="18" s="1"/>
  <c r="AG464" i="18" a="1"/>
  <c r="AG464" i="18" s="1"/>
  <c r="AH464" i="18" s="1"/>
  <c r="AC464" i="18" a="1"/>
  <c r="AC464" i="18" s="1"/>
  <c r="AD464" i="18" s="1"/>
  <c r="AC496" i="18" a="1"/>
  <c r="AC496" i="18" s="1"/>
  <c r="AD496" i="18" s="1"/>
  <c r="AG496" i="18" a="1"/>
  <c r="AG496" i="18" s="1"/>
  <c r="AH496" i="18" s="1"/>
  <c r="AG458" i="18" a="1"/>
  <c r="AG458" i="18" s="1"/>
  <c r="AH458" i="18" s="1"/>
  <c r="AC458" i="18" a="1"/>
  <c r="AC458" i="18" s="1"/>
  <c r="AD458" i="18" s="1"/>
  <c r="AG466" i="18" a="1"/>
  <c r="AG466" i="18" s="1"/>
  <c r="AH466" i="18" s="1"/>
  <c r="AC466" i="18" a="1"/>
  <c r="AC466" i="18" s="1"/>
  <c r="AD466" i="18" s="1"/>
  <c r="AG449" i="18" a="1"/>
  <c r="AG449" i="18" s="1"/>
  <c r="AH449" i="18" s="1"/>
  <c r="AC449" i="18" a="1"/>
  <c r="AC449" i="18" s="1"/>
  <c r="AD449" i="18" s="1"/>
  <c r="AG460" i="18" a="1"/>
  <c r="AG460" i="18" s="1"/>
  <c r="AH460" i="18" s="1"/>
  <c r="AC460" i="18" a="1"/>
  <c r="AC460" i="18" s="1"/>
  <c r="AD460" i="18" s="1"/>
  <c r="AG465" i="18" a="1"/>
  <c r="AG465" i="18" s="1"/>
  <c r="AH465" i="18" s="1"/>
  <c r="AC465" i="18" a="1"/>
  <c r="AC465" i="18" s="1"/>
  <c r="AD465" i="18" s="1"/>
  <c r="AG472" i="18" a="1"/>
  <c r="AG472" i="18" s="1"/>
  <c r="AH472" i="18" s="1"/>
  <c r="AC472" i="18" a="1"/>
  <c r="AC472" i="18" s="1"/>
  <c r="AD472" i="18" s="1"/>
  <c r="AC481" i="18" a="1"/>
  <c r="AC481" i="18" s="1"/>
  <c r="AD481" i="18" s="1"/>
  <c r="AG481" i="18" a="1"/>
  <c r="AG481" i="18" s="1"/>
  <c r="AH481" i="18" s="1"/>
  <c r="AG456" i="18" a="1"/>
  <c r="AG456" i="18" s="1"/>
  <c r="AH456" i="18" s="1"/>
  <c r="AC456" i="18" a="1"/>
  <c r="AC456" i="18" s="1"/>
  <c r="AD456" i="18" s="1"/>
  <c r="AC457" i="18" a="1"/>
  <c r="AC457" i="18" s="1"/>
  <c r="AD457" i="18" s="1"/>
  <c r="AG457" i="18" a="1"/>
  <c r="AG457" i="18" s="1"/>
  <c r="AH457" i="18" s="1"/>
  <c r="AG459" i="18" a="1"/>
  <c r="AG459" i="18" s="1"/>
  <c r="AH459" i="18" s="1"/>
  <c r="AC459" i="18" a="1"/>
  <c r="AC459" i="18" s="1"/>
  <c r="AD459" i="18" s="1"/>
  <c r="AG482" i="18" a="1"/>
  <c r="AG482" i="18" s="1"/>
  <c r="AH482" i="18" s="1"/>
  <c r="AC482" i="18" a="1"/>
  <c r="AC482" i="18" s="1"/>
  <c r="AD482" i="18" s="1"/>
  <c r="AG499" i="18" a="1"/>
  <c r="AG499" i="18" s="1"/>
  <c r="AH499" i="18" s="1"/>
  <c r="AC499" i="18" a="1"/>
  <c r="AC499" i="18" s="1"/>
  <c r="AD499" i="18" s="1"/>
  <c r="AC507" i="18" a="1"/>
  <c r="AC507" i="18" s="1"/>
  <c r="AD507" i="18" s="1"/>
  <c r="AG507" i="18" a="1"/>
  <c r="AG507" i="18" s="1"/>
  <c r="AH507" i="18" s="1"/>
  <c r="AG548" i="18" a="1"/>
  <c r="AG548" i="18" s="1"/>
  <c r="AH548" i="18" s="1"/>
  <c r="AC548" i="18" a="1"/>
  <c r="AC548" i="18" s="1"/>
  <c r="AD548" i="18" s="1"/>
  <c r="AC484" i="18" a="1"/>
  <c r="AC484" i="18" s="1"/>
  <c r="AD484" i="18" s="1"/>
  <c r="AG484" i="18" a="1"/>
  <c r="AG484" i="18" s="1"/>
  <c r="AH484" i="18" s="1"/>
  <c r="AG495" i="18" a="1"/>
  <c r="AG495" i="18" s="1"/>
  <c r="AH495" i="18" s="1"/>
  <c r="AC495" i="18" a="1"/>
  <c r="AC495" i="18" s="1"/>
  <c r="AD495" i="18" s="1"/>
  <c r="AC520" i="18" a="1"/>
  <c r="AC520" i="18" s="1"/>
  <c r="AD520" i="18" s="1"/>
  <c r="AG520" i="18" a="1"/>
  <c r="AG520" i="18" s="1"/>
  <c r="AH520" i="18" s="1"/>
  <c r="AC574" i="18" a="1"/>
  <c r="AC574" i="18" s="1"/>
  <c r="AD574" i="18" s="1"/>
  <c r="AG574" i="18" a="1"/>
  <c r="AG574" i="18" s="1"/>
  <c r="AH574" i="18" s="1"/>
  <c r="AG503" i="18" a="1"/>
  <c r="AG503" i="18" s="1"/>
  <c r="AH503" i="18" s="1"/>
  <c r="AC503" i="18" a="1"/>
  <c r="AC503" i="18" s="1"/>
  <c r="AD503" i="18" s="1"/>
  <c r="AG512" i="18" a="1"/>
  <c r="AG512" i="18" s="1"/>
  <c r="AH512" i="18" s="1"/>
  <c r="AC512" i="18" a="1"/>
  <c r="AC512" i="18" s="1"/>
  <c r="AD512" i="18" s="1"/>
  <c r="AG521" i="18" a="1"/>
  <c r="AG521" i="18" s="1"/>
  <c r="AH521" i="18" s="1"/>
  <c r="AC521" i="18" a="1"/>
  <c r="AC521" i="18" s="1"/>
  <c r="AD521" i="18" s="1"/>
  <c r="AG477" i="18" a="1"/>
  <c r="AG477" i="18" s="1"/>
  <c r="AH477" i="18" s="1"/>
  <c r="AC477" i="18" a="1"/>
  <c r="AC477" i="18" s="1"/>
  <c r="AD477" i="18" s="1"/>
  <c r="AC483" i="18" a="1"/>
  <c r="AC483" i="18" s="1"/>
  <c r="AD483" i="18" s="1"/>
  <c r="AG483" i="18" a="1"/>
  <c r="AG483" i="18" s="1"/>
  <c r="AH483" i="18" s="1"/>
  <c r="AG486" i="18" a="1"/>
  <c r="AG486" i="18" s="1"/>
  <c r="AH486" i="18" s="1"/>
  <c r="AC486" i="18" a="1"/>
  <c r="AC486" i="18" s="1"/>
  <c r="AD486" i="18" s="1"/>
  <c r="AG502" i="18" a="1"/>
  <c r="AG502" i="18" s="1"/>
  <c r="AH502" i="18" s="1"/>
  <c r="AC502" i="18" a="1"/>
  <c r="AC502" i="18" s="1"/>
  <c r="AD502" i="18" s="1"/>
  <c r="AC515" i="18" a="1"/>
  <c r="AC515" i="18" s="1"/>
  <c r="AD515" i="18" s="1"/>
  <c r="AG515" i="18" a="1"/>
  <c r="AG515" i="18" s="1"/>
  <c r="AH515" i="18" s="1"/>
  <c r="AC476" i="18" a="1"/>
  <c r="AC476" i="18" s="1"/>
  <c r="AD476" i="18" s="1"/>
  <c r="AG476" i="18" a="1"/>
  <c r="AG476" i="18" s="1"/>
  <c r="AH476" i="18" s="1"/>
  <c r="AG478" i="18" a="1"/>
  <c r="AG478" i="18" s="1"/>
  <c r="AH478" i="18" s="1"/>
  <c r="AC478" i="18" a="1"/>
  <c r="AC478" i="18" s="1"/>
  <c r="AD478" i="18" s="1"/>
  <c r="AG479" i="18" a="1"/>
  <c r="AG479" i="18" s="1"/>
  <c r="AH479" i="18" s="1"/>
  <c r="AC479" i="18" a="1"/>
  <c r="AC479" i="18" s="1"/>
  <c r="AD479" i="18" s="1"/>
  <c r="AG480" i="18" a="1"/>
  <c r="AG480" i="18" s="1"/>
  <c r="AH480" i="18" s="1"/>
  <c r="AC480" i="18" a="1"/>
  <c r="AC480" i="18" s="1"/>
  <c r="AD480" i="18" s="1"/>
  <c r="AG487" i="18" a="1"/>
  <c r="AG487" i="18" s="1"/>
  <c r="AH487" i="18" s="1"/>
  <c r="AC487" i="18" a="1"/>
  <c r="AC487" i="18" s="1"/>
  <c r="AD487" i="18" s="1"/>
  <c r="AC529" i="18" a="1"/>
  <c r="AC529" i="18" s="1"/>
  <c r="AD529" i="18" s="1"/>
  <c r="AG529" i="18" a="1"/>
  <c r="AG529" i="18" s="1"/>
  <c r="AH529" i="18" s="1"/>
  <c r="AG533" i="18" a="1"/>
  <c r="AG533" i="18" s="1"/>
  <c r="AH533" i="18" s="1"/>
  <c r="AC533" i="18" a="1"/>
  <c r="AC533" i="18" s="1"/>
  <c r="AD533" i="18" s="1"/>
  <c r="AC538" i="18" a="1"/>
  <c r="AC538" i="18" s="1"/>
  <c r="AD538" i="18" s="1"/>
  <c r="AG538" i="18" a="1"/>
  <c r="AG538" i="18" s="1"/>
  <c r="AH538" i="18" s="1"/>
  <c r="AG581" i="18" a="1"/>
  <c r="AG581" i="18" s="1"/>
  <c r="AH581" i="18" s="1"/>
  <c r="AC581" i="18" a="1"/>
  <c r="AC581" i="18" s="1"/>
  <c r="AD581" i="18" s="1"/>
  <c r="AC530" i="18" a="1"/>
  <c r="AC530" i="18" s="1"/>
  <c r="AD530" i="18" s="1"/>
  <c r="AG530" i="18" a="1"/>
  <c r="AG530" i="18" s="1"/>
  <c r="AH530" i="18" s="1"/>
  <c r="AG549" i="18" a="1"/>
  <c r="AG549" i="18" s="1"/>
  <c r="AH549" i="18" s="1"/>
  <c r="AC549" i="18" a="1"/>
  <c r="AC549" i="18" s="1"/>
  <c r="AD549" i="18" s="1"/>
  <c r="AG560" i="18" a="1"/>
  <c r="AG560" i="18" s="1"/>
  <c r="AH560" i="18" s="1"/>
  <c r="AC560" i="18" a="1"/>
  <c r="AC560" i="18" s="1"/>
  <c r="AD560" i="18" s="1"/>
  <c r="AG485" i="18" a="1"/>
  <c r="AG485" i="18" s="1"/>
  <c r="AH485" i="18" s="1"/>
  <c r="AC485" i="18" a="1"/>
  <c r="AC485" i="18" s="1"/>
  <c r="AD485" i="18" s="1"/>
  <c r="AC489" i="18" a="1"/>
  <c r="AC489" i="18" s="1"/>
  <c r="AD489" i="18" s="1"/>
  <c r="AG489" i="18" a="1"/>
  <c r="AG489" i="18" s="1"/>
  <c r="AH489" i="18" s="1"/>
  <c r="AC490" i="18" a="1"/>
  <c r="AC490" i="18" s="1"/>
  <c r="AD490" i="18" s="1"/>
  <c r="AG490" i="18" a="1"/>
  <c r="AG490" i="18" s="1"/>
  <c r="AH490" i="18" s="1"/>
  <c r="AG500" i="18" a="1"/>
  <c r="AG500" i="18" s="1"/>
  <c r="AH500" i="18" s="1"/>
  <c r="AC500" i="18" a="1"/>
  <c r="AC500" i="18" s="1"/>
  <c r="AD500" i="18" s="1"/>
  <c r="AG506" i="18" a="1"/>
  <c r="AG506" i="18" s="1"/>
  <c r="AH506" i="18" s="1"/>
  <c r="AC506" i="18" a="1"/>
  <c r="AC506" i="18" s="1"/>
  <c r="AD506" i="18" s="1"/>
  <c r="AC524" i="18" a="1"/>
  <c r="AC524" i="18" s="1"/>
  <c r="AD524" i="18" s="1"/>
  <c r="AG524" i="18" a="1"/>
  <c r="AG524" i="18" s="1"/>
  <c r="AH524" i="18" s="1"/>
  <c r="AC491" i="18" a="1"/>
  <c r="AC491" i="18" s="1"/>
  <c r="AD491" i="18" s="1"/>
  <c r="AG491" i="18" a="1"/>
  <c r="AG491" i="18" s="1"/>
  <c r="AH491" i="18" s="1"/>
  <c r="AG492" i="18" a="1"/>
  <c r="AG492" i="18" s="1"/>
  <c r="AH492" i="18" s="1"/>
  <c r="AC492" i="18" a="1"/>
  <c r="AC492" i="18" s="1"/>
  <c r="AD492" i="18" s="1"/>
  <c r="AG501" i="18" a="1"/>
  <c r="AG501" i="18" s="1"/>
  <c r="AH501" i="18" s="1"/>
  <c r="AC501" i="18" a="1"/>
  <c r="AC501" i="18" s="1"/>
  <c r="AD501" i="18" s="1"/>
  <c r="AC504" i="18" a="1"/>
  <c r="AC504" i="18" s="1"/>
  <c r="AD504" i="18" s="1"/>
  <c r="AG504" i="18" a="1"/>
  <c r="AG504" i="18" s="1"/>
  <c r="AH504" i="18" s="1"/>
  <c r="AC523" i="18" a="1"/>
  <c r="AC523" i="18" s="1"/>
  <c r="AD523" i="18" s="1"/>
  <c r="AG523" i="18" a="1"/>
  <c r="AG523" i="18" s="1"/>
  <c r="AH523" i="18" s="1"/>
  <c r="AC527" i="18" a="1"/>
  <c r="AC527" i="18" s="1"/>
  <c r="AD527" i="18" s="1"/>
  <c r="AG527" i="18" a="1"/>
  <c r="AG527" i="18" s="1"/>
  <c r="AH527" i="18" s="1"/>
  <c r="AC546" i="18" a="1"/>
  <c r="AC546" i="18" s="1"/>
  <c r="AD546" i="18" s="1"/>
  <c r="AG546" i="18" a="1"/>
  <c r="AG546" i="18" s="1"/>
  <c r="AH546" i="18" s="1"/>
  <c r="AG602" i="18" a="1"/>
  <c r="AG602" i="18" s="1"/>
  <c r="AH602" i="18" s="1"/>
  <c r="AC602" i="18" a="1"/>
  <c r="AC602" i="18" s="1"/>
  <c r="AD602" i="18" s="1"/>
  <c r="AG505" i="18" a="1"/>
  <c r="AG505" i="18" s="1"/>
  <c r="AH505" i="18" s="1"/>
  <c r="AC505" i="18" a="1"/>
  <c r="AC505" i="18" s="1"/>
  <c r="AD505" i="18" s="1"/>
  <c r="AC516" i="18" a="1"/>
  <c r="AC516" i="18" s="1"/>
  <c r="AD516" i="18" s="1"/>
  <c r="AG516" i="18" a="1"/>
  <c r="AG516" i="18" s="1"/>
  <c r="AH516" i="18" s="1"/>
  <c r="AG526" i="18" a="1"/>
  <c r="AG526" i="18" s="1"/>
  <c r="AH526" i="18" s="1"/>
  <c r="AC526" i="18" a="1"/>
  <c r="AC526" i="18" s="1"/>
  <c r="AD526" i="18" s="1"/>
  <c r="AC544" i="18" a="1"/>
  <c r="AC544" i="18" s="1"/>
  <c r="AD544" i="18" s="1"/>
  <c r="AG544" i="18" a="1"/>
  <c r="AG544" i="18" s="1"/>
  <c r="AH544" i="18" s="1"/>
  <c r="AG545" i="18" a="1"/>
  <c r="AG545" i="18" s="1"/>
  <c r="AH545" i="18" s="1"/>
  <c r="AC545" i="18" a="1"/>
  <c r="AC545" i="18" s="1"/>
  <c r="AD545" i="18" s="1"/>
  <c r="AG552" i="18" a="1"/>
  <c r="AG552" i="18" s="1"/>
  <c r="AH552" i="18" s="1"/>
  <c r="AC552" i="18" a="1"/>
  <c r="AC552" i="18" s="1"/>
  <c r="AD552" i="18" s="1"/>
  <c r="AG556" i="18" a="1"/>
  <c r="AG556" i="18" s="1"/>
  <c r="AH556" i="18" s="1"/>
  <c r="AC556" i="18" a="1"/>
  <c r="AC556" i="18" s="1"/>
  <c r="AD556" i="18" s="1"/>
  <c r="AG563" i="18" a="1"/>
  <c r="AG563" i="18" s="1"/>
  <c r="AH563" i="18" s="1"/>
  <c r="AC563" i="18" a="1"/>
  <c r="AC563" i="18" s="1"/>
  <c r="AD563" i="18" s="1"/>
  <c r="AG565" i="18" a="1"/>
  <c r="AG565" i="18" s="1"/>
  <c r="AH565" i="18" s="1"/>
  <c r="AC565" i="18" a="1"/>
  <c r="AC565" i="18" s="1"/>
  <c r="AD565" i="18" s="1"/>
  <c r="AC583" i="18" a="1"/>
  <c r="AC583" i="18" s="1"/>
  <c r="AD583" i="18" s="1"/>
  <c r="AG583" i="18" a="1"/>
  <c r="AG583" i="18" s="1"/>
  <c r="AH583" i="18" s="1"/>
  <c r="AC584" i="18" a="1"/>
  <c r="AC584" i="18" s="1"/>
  <c r="AD584" i="18" s="1"/>
  <c r="AG584" i="18" a="1"/>
  <c r="AG584" i="18" s="1"/>
  <c r="AH584" i="18" s="1"/>
  <c r="AG511" i="18" a="1"/>
  <c r="AG511" i="18" s="1"/>
  <c r="AH511" i="18" s="1"/>
  <c r="AC511" i="18" a="1"/>
  <c r="AC511" i="18" s="1"/>
  <c r="AD511" i="18" s="1"/>
  <c r="AG519" i="18" a="1"/>
  <c r="AG519" i="18" s="1"/>
  <c r="AH519" i="18" s="1"/>
  <c r="AC519" i="18" a="1"/>
  <c r="AC519" i="18" s="1"/>
  <c r="AD519" i="18" s="1"/>
  <c r="AC522" i="18" a="1"/>
  <c r="AC522" i="18" s="1"/>
  <c r="AD522" i="18" s="1"/>
  <c r="AG522" i="18" a="1"/>
  <c r="AG522" i="18" s="1"/>
  <c r="AH522" i="18" s="1"/>
  <c r="AG525" i="18" a="1"/>
  <c r="AG525" i="18" s="1"/>
  <c r="AH525" i="18" s="1"/>
  <c r="AC525" i="18" a="1"/>
  <c r="AC525" i="18" s="1"/>
  <c r="AD525" i="18" s="1"/>
  <c r="AC531" i="18" a="1"/>
  <c r="AC531" i="18" s="1"/>
  <c r="AD531" i="18" s="1"/>
  <c r="AG531" i="18" a="1"/>
  <c r="AG531" i="18" s="1"/>
  <c r="AH531" i="18" s="1"/>
  <c r="AG532" i="18" a="1"/>
  <c r="AG532" i="18" s="1"/>
  <c r="AH532" i="18" s="1"/>
  <c r="AC532" i="18" a="1"/>
  <c r="AC532" i="18" s="1"/>
  <c r="AD532" i="18" s="1"/>
  <c r="AG539" i="18" a="1"/>
  <c r="AG539" i="18" s="1"/>
  <c r="AH539" i="18" s="1"/>
  <c r="AC539" i="18" a="1"/>
  <c r="AC539" i="18" s="1"/>
  <c r="AD539" i="18" s="1"/>
  <c r="AC551" i="18" a="1"/>
  <c r="AC551" i="18" s="1"/>
  <c r="AD551" i="18" s="1"/>
  <c r="AG551" i="18" a="1"/>
  <c r="AG551" i="18" s="1"/>
  <c r="AH551" i="18" s="1"/>
  <c r="AG494" i="18" a="1"/>
  <c r="AG494" i="18" s="1"/>
  <c r="AH494" i="18" s="1"/>
  <c r="AC494" i="18" a="1"/>
  <c r="AC494" i="18" s="1"/>
  <c r="AD494" i="18" s="1"/>
  <c r="AC497" i="18" a="1"/>
  <c r="AC497" i="18" s="1"/>
  <c r="AD497" i="18" s="1"/>
  <c r="AG497" i="18" a="1"/>
  <c r="AG497" i="18" s="1"/>
  <c r="AH497" i="18" s="1"/>
  <c r="AG498" i="18" a="1"/>
  <c r="AG498" i="18" s="1"/>
  <c r="AH498" i="18" s="1"/>
  <c r="AC498" i="18" a="1"/>
  <c r="AC498" i="18" s="1"/>
  <c r="AD498" i="18" s="1"/>
  <c r="AG510" i="18" a="1"/>
  <c r="AG510" i="18" s="1"/>
  <c r="AH510" i="18" s="1"/>
  <c r="AC510" i="18" a="1"/>
  <c r="AC510" i="18" s="1"/>
  <c r="AD510" i="18" s="1"/>
  <c r="AG514" i="18" a="1"/>
  <c r="AG514" i="18" s="1"/>
  <c r="AH514" i="18" s="1"/>
  <c r="AC514" i="18" a="1"/>
  <c r="AC514" i="18" s="1"/>
  <c r="AD514" i="18" s="1"/>
  <c r="AC528" i="18" a="1"/>
  <c r="AC528" i="18" s="1"/>
  <c r="AD528" i="18" s="1"/>
  <c r="AG528" i="18" a="1"/>
  <c r="AG528" i="18" s="1"/>
  <c r="AH528" i="18" s="1"/>
  <c r="AG573" i="18" a="1"/>
  <c r="AG573" i="18" s="1"/>
  <c r="AH573" i="18" s="1"/>
  <c r="AC573" i="18" a="1"/>
  <c r="AC573" i="18" s="1"/>
  <c r="AD573" i="18" s="1"/>
  <c r="AG493" i="18" a="1"/>
  <c r="AG493" i="18" s="1"/>
  <c r="AH493" i="18" s="1"/>
  <c r="AC493" i="18" a="1"/>
  <c r="AC493" i="18" s="1"/>
  <c r="AD493" i="18" s="1"/>
  <c r="AG509" i="18" a="1"/>
  <c r="AG509" i="18" s="1"/>
  <c r="AH509" i="18" s="1"/>
  <c r="AC509" i="18" a="1"/>
  <c r="AC509" i="18" s="1"/>
  <c r="AD509" i="18" s="1"/>
  <c r="AG534" i="18" a="1"/>
  <c r="AG534" i="18" s="1"/>
  <c r="AH534" i="18" s="1"/>
  <c r="AC534" i="18" a="1"/>
  <c r="AC534" i="18" s="1"/>
  <c r="AD534" i="18" s="1"/>
  <c r="AC536" i="18" a="1"/>
  <c r="AC536" i="18" s="1"/>
  <c r="AD536" i="18" s="1"/>
  <c r="AG536" i="18" a="1"/>
  <c r="AG536" i="18" s="1"/>
  <c r="AH536" i="18" s="1"/>
  <c r="AC566" i="18" a="1"/>
  <c r="AC566" i="18" s="1"/>
  <c r="AD566" i="18" s="1"/>
  <c r="AG566" i="18" a="1"/>
  <c r="AG566" i="18" s="1"/>
  <c r="AH566" i="18" s="1"/>
  <c r="AG508" i="18" a="1"/>
  <c r="AG508" i="18" s="1"/>
  <c r="AH508" i="18" s="1"/>
  <c r="AC508" i="18" a="1"/>
  <c r="AC508" i="18" s="1"/>
  <c r="AD508" i="18" s="1"/>
  <c r="AC513" i="18" a="1"/>
  <c r="AC513" i="18" s="1"/>
  <c r="AD513" i="18" s="1"/>
  <c r="AG513" i="18" a="1"/>
  <c r="AG513" i="18" s="1"/>
  <c r="AH513" i="18" s="1"/>
  <c r="AC517" i="18" a="1"/>
  <c r="AC517" i="18" s="1"/>
  <c r="AD517" i="18" s="1"/>
  <c r="AG517" i="18" a="1"/>
  <c r="AG517" i="18" s="1"/>
  <c r="AH517" i="18" s="1"/>
  <c r="AG518" i="18" a="1"/>
  <c r="AG518" i="18" s="1"/>
  <c r="AH518" i="18" s="1"/>
  <c r="AC518" i="18" a="1"/>
  <c r="AC518" i="18" s="1"/>
  <c r="AD518" i="18" s="1"/>
  <c r="AC535" i="18" a="1"/>
  <c r="AC535" i="18" s="1"/>
  <c r="AD535" i="18" s="1"/>
  <c r="AG535" i="18" a="1"/>
  <c r="AG535" i="18" s="1"/>
  <c r="AH535" i="18" s="1"/>
  <c r="AC537" i="18" a="1"/>
  <c r="AC537" i="18" s="1"/>
  <c r="AD537" i="18" s="1"/>
  <c r="AG537" i="18" a="1"/>
  <c r="AG537" i="18" s="1"/>
  <c r="AH537" i="18" s="1"/>
  <c r="AG541" i="18" a="1"/>
  <c r="AG541" i="18" s="1"/>
  <c r="AH541" i="18" s="1"/>
  <c r="AC541" i="18" a="1"/>
  <c r="AC541" i="18" s="1"/>
  <c r="AD541" i="18" s="1"/>
  <c r="AG550" i="18" a="1"/>
  <c r="AG550" i="18" s="1"/>
  <c r="AH550" i="18" s="1"/>
  <c r="AC550" i="18" a="1"/>
  <c r="AC550" i="18" s="1"/>
  <c r="AD550" i="18" s="1"/>
  <c r="AC554" i="18" a="1"/>
  <c r="AC554" i="18" s="1"/>
  <c r="AD554" i="18" s="1"/>
  <c r="AG554" i="18" a="1"/>
  <c r="AG554" i="18" s="1"/>
  <c r="AH554" i="18" s="1"/>
  <c r="AG540" i="18" a="1"/>
  <c r="AG540" i="18" s="1"/>
  <c r="AH540" i="18" s="1"/>
  <c r="AC540" i="18" a="1"/>
  <c r="AC540" i="18" s="1"/>
  <c r="AD540" i="18" s="1"/>
  <c r="AC543" i="18" a="1"/>
  <c r="AC543" i="18" s="1"/>
  <c r="AD543" i="18" s="1"/>
  <c r="AG543" i="18" a="1"/>
  <c r="AG543" i="18" s="1"/>
  <c r="AH543" i="18" s="1"/>
  <c r="AG558" i="18" a="1"/>
  <c r="AG558" i="18" s="1"/>
  <c r="AH558" i="18" s="1"/>
  <c r="AC558" i="18" a="1"/>
  <c r="AC558" i="18" s="1"/>
  <c r="AD558" i="18" s="1"/>
  <c r="AG559" i="18" a="1"/>
  <c r="AG559" i="18" s="1"/>
  <c r="AH559" i="18" s="1"/>
  <c r="AC559" i="18" a="1"/>
  <c r="AC559" i="18" s="1"/>
  <c r="AD559" i="18" s="1"/>
  <c r="AG580" i="18" a="1"/>
  <c r="AG580" i="18" s="1"/>
  <c r="AH580" i="18" s="1"/>
  <c r="AC580" i="18" a="1"/>
  <c r="AC580" i="18" s="1"/>
  <c r="AD580" i="18" s="1"/>
  <c r="AC582" i="18" a="1"/>
  <c r="AC582" i="18" s="1"/>
  <c r="AD582" i="18" s="1"/>
  <c r="AG582" i="18" a="1"/>
  <c r="AG582" i="18" s="1"/>
  <c r="AH582" i="18" s="1"/>
  <c r="AC585" i="18" a="1"/>
  <c r="AC585" i="18" s="1"/>
  <c r="AD585" i="18" s="1"/>
  <c r="AG585" i="18" a="1"/>
  <c r="AG585" i="18" s="1"/>
  <c r="AH585" i="18" s="1"/>
  <c r="AC591" i="18" a="1"/>
  <c r="AC591" i="18" s="1"/>
  <c r="AD591" i="18" s="1"/>
  <c r="AG591" i="18" a="1"/>
  <c r="AG591" i="18" s="1"/>
  <c r="AH591" i="18" s="1"/>
  <c r="AC631" i="18" a="1"/>
  <c r="AC631" i="18" s="1"/>
  <c r="AD631" i="18" s="1"/>
  <c r="AG631" i="18" a="1"/>
  <c r="AG631" i="18" s="1"/>
  <c r="AH631" i="18" s="1"/>
  <c r="AG542" i="18" a="1"/>
  <c r="AG542" i="18" s="1"/>
  <c r="AH542" i="18" s="1"/>
  <c r="AC542" i="18" a="1"/>
  <c r="AC542" i="18" s="1"/>
  <c r="AD542" i="18" s="1"/>
  <c r="AC567" i="18" a="1"/>
  <c r="AC567" i="18" s="1"/>
  <c r="AD567" i="18" s="1"/>
  <c r="AG567" i="18" a="1"/>
  <c r="AG567" i="18" s="1"/>
  <c r="AH567" i="18" s="1"/>
  <c r="AG575" i="18" a="1"/>
  <c r="AG575" i="18" s="1"/>
  <c r="AH575" i="18" s="1"/>
  <c r="AC575" i="18" a="1"/>
  <c r="AC575" i="18" s="1"/>
  <c r="AD575" i="18" s="1"/>
  <c r="AC576" i="18" a="1"/>
  <c r="AC576" i="18" s="1"/>
  <c r="AD576" i="18" s="1"/>
  <c r="AG576" i="18" a="1"/>
  <c r="AG576" i="18" s="1"/>
  <c r="AH576" i="18" s="1"/>
  <c r="AC578" i="18" a="1"/>
  <c r="AC578" i="18" s="1"/>
  <c r="AD578" i="18" s="1"/>
  <c r="AG578" i="18" a="1"/>
  <c r="AG578" i="18" s="1"/>
  <c r="AH578" i="18" s="1"/>
  <c r="AG579" i="18" a="1"/>
  <c r="AG579" i="18" s="1"/>
  <c r="AH579" i="18" s="1"/>
  <c r="AC579" i="18" a="1"/>
  <c r="AC579" i="18" s="1"/>
  <c r="AD579" i="18" s="1"/>
  <c r="AG586" i="18" a="1"/>
  <c r="AG586" i="18" s="1"/>
  <c r="AH586" i="18" s="1"/>
  <c r="AC586" i="18" a="1"/>
  <c r="AC586" i="18" s="1"/>
  <c r="AD586" i="18" s="1"/>
  <c r="AG612" i="18" a="1"/>
  <c r="AG612" i="18" s="1"/>
  <c r="AH612" i="18" s="1"/>
  <c r="AC612" i="18" a="1"/>
  <c r="AC612" i="18" s="1"/>
  <c r="AD612" i="18" s="1"/>
  <c r="AG568" i="18" a="1"/>
  <c r="AG568" i="18" s="1"/>
  <c r="AH568" i="18" s="1"/>
  <c r="AC568" i="18" a="1"/>
  <c r="AC568" i="18" s="1"/>
  <c r="AD568" i="18" s="1"/>
  <c r="AG594" i="18" a="1"/>
  <c r="AG594" i="18" s="1"/>
  <c r="AH594" i="18" s="1"/>
  <c r="AC594" i="18" a="1"/>
  <c r="AC594" i="18" s="1"/>
  <c r="AD594" i="18" s="1"/>
  <c r="AG604" i="18" a="1"/>
  <c r="AG604" i="18" s="1"/>
  <c r="AH604" i="18" s="1"/>
  <c r="AC604" i="18" a="1"/>
  <c r="AC604" i="18" s="1"/>
  <c r="AD604" i="18" s="1"/>
  <c r="AG562" i="18" a="1"/>
  <c r="AG562" i="18" s="1"/>
  <c r="AH562" i="18" s="1"/>
  <c r="AC562" i="18" a="1"/>
  <c r="AC562" i="18" s="1"/>
  <c r="AD562" i="18" s="1"/>
  <c r="AC570" i="18" a="1"/>
  <c r="AC570" i="18" s="1"/>
  <c r="AD570" i="18" s="1"/>
  <c r="AG570" i="18" a="1"/>
  <c r="AG570" i="18" s="1"/>
  <c r="AH570" i="18" s="1"/>
  <c r="AG572" i="18" a="1"/>
  <c r="AG572" i="18" s="1"/>
  <c r="AH572" i="18" s="1"/>
  <c r="AC572" i="18" a="1"/>
  <c r="AC572" i="18" s="1"/>
  <c r="AD572" i="18" s="1"/>
  <c r="AG595" i="18" a="1"/>
  <c r="AG595" i="18" s="1"/>
  <c r="AH595" i="18" s="1"/>
  <c r="AC595" i="18" a="1"/>
  <c r="AC595" i="18" s="1"/>
  <c r="AD595" i="18" s="1"/>
  <c r="AG609" i="18" a="1"/>
  <c r="AG609" i="18" s="1"/>
  <c r="AH609" i="18" s="1"/>
  <c r="AC609" i="18" a="1"/>
  <c r="AC609" i="18" s="1"/>
  <c r="AD609" i="18" s="1"/>
  <c r="AG553" i="18" a="1"/>
  <c r="AG553" i="18" s="1"/>
  <c r="AH553" i="18" s="1"/>
  <c r="AC553" i="18" a="1"/>
  <c r="AC553" i="18" s="1"/>
  <c r="AD553" i="18" s="1"/>
  <c r="AG555" i="18" a="1"/>
  <c r="AG555" i="18" s="1"/>
  <c r="AH555" i="18" s="1"/>
  <c r="AC555" i="18" a="1"/>
  <c r="AC555" i="18" s="1"/>
  <c r="AD555" i="18" s="1"/>
  <c r="AG557" i="18" a="1"/>
  <c r="AG557" i="18" s="1"/>
  <c r="AH557" i="18" s="1"/>
  <c r="AC557" i="18" a="1"/>
  <c r="AC557" i="18" s="1"/>
  <c r="AD557" i="18" s="1"/>
  <c r="AC564" i="18" a="1"/>
  <c r="AC564" i="18" s="1"/>
  <c r="AD564" i="18" s="1"/>
  <c r="AG564" i="18" a="1"/>
  <c r="AG564" i="18" s="1"/>
  <c r="AH564" i="18" s="1"/>
  <c r="AC577" i="18" a="1"/>
  <c r="AC577" i="18" s="1"/>
  <c r="AD577" i="18" s="1"/>
  <c r="AG577" i="18" a="1"/>
  <c r="AG577" i="18" s="1"/>
  <c r="AH577" i="18" s="1"/>
  <c r="AG588" i="18" a="1"/>
  <c r="AG588" i="18" s="1"/>
  <c r="AH588" i="18" s="1"/>
  <c r="AC588" i="18" a="1"/>
  <c r="AC588" i="18" s="1"/>
  <c r="AD588" i="18" s="1"/>
  <c r="AC590" i="18" a="1"/>
  <c r="AC590" i="18" s="1"/>
  <c r="AD590" i="18" s="1"/>
  <c r="AG590" i="18" a="1"/>
  <c r="AG590" i="18" s="1"/>
  <c r="AH590" i="18" s="1"/>
  <c r="AC599" i="18" a="1"/>
  <c r="AC599" i="18" s="1"/>
  <c r="AD599" i="18" s="1"/>
  <c r="AG599" i="18" a="1"/>
  <c r="AG599" i="18" s="1"/>
  <c r="AH599" i="18" s="1"/>
  <c r="AG547" i="18" a="1"/>
  <c r="AG547" i="18" s="1"/>
  <c r="AH547" i="18" s="1"/>
  <c r="AC547" i="18" a="1"/>
  <c r="AC547" i="18" s="1"/>
  <c r="AD547" i="18" s="1"/>
  <c r="AG561" i="18" a="1"/>
  <c r="AG561" i="18" s="1"/>
  <c r="AH561" i="18" s="1"/>
  <c r="AC561" i="18" a="1"/>
  <c r="AC561" i="18" s="1"/>
  <c r="AD561" i="18" s="1"/>
  <c r="AC569" i="18" a="1"/>
  <c r="AC569" i="18" s="1"/>
  <c r="AD569" i="18" s="1"/>
  <c r="AG569" i="18" a="1"/>
  <c r="AG569" i="18" s="1"/>
  <c r="AH569" i="18" s="1"/>
  <c r="AC571" i="18" a="1"/>
  <c r="AC571" i="18" s="1"/>
  <c r="AD571" i="18" s="1"/>
  <c r="AG571" i="18" a="1"/>
  <c r="AG571" i="18" s="1"/>
  <c r="AH571" i="18" s="1"/>
  <c r="AG587" i="18" a="1"/>
  <c r="AG587" i="18" s="1"/>
  <c r="AH587" i="18" s="1"/>
  <c r="AC587" i="18" a="1"/>
  <c r="AC587" i="18" s="1"/>
  <c r="AD587" i="18" s="1"/>
  <c r="AC589" i="18" a="1"/>
  <c r="AC589" i="18" s="1"/>
  <c r="AD589" i="18" s="1"/>
  <c r="AG589" i="18" a="1"/>
  <c r="AG589" i="18" s="1"/>
  <c r="AH589" i="18" s="1"/>
  <c r="AG592" i="18" a="1"/>
  <c r="AG592" i="18" s="1"/>
  <c r="AH592" i="18" s="1"/>
  <c r="AC592" i="18" a="1"/>
  <c r="AC592" i="18" s="1"/>
  <c r="AD592" i="18" s="1"/>
  <c r="AG593" i="18" a="1"/>
  <c r="AG593" i="18" s="1"/>
  <c r="AH593" i="18" s="1"/>
  <c r="AC593" i="18" a="1"/>
  <c r="AC593" i="18" s="1"/>
  <c r="AD593" i="18" s="1"/>
  <c r="AC597" i="18" a="1"/>
  <c r="AC597" i="18" s="1"/>
  <c r="AD597" i="18" s="1"/>
  <c r="AG597" i="18" a="1"/>
  <c r="AG597" i="18" s="1"/>
  <c r="AH597" i="18" s="1"/>
  <c r="AG603" i="18" a="1"/>
  <c r="AG603" i="18" s="1"/>
  <c r="AH603" i="18" s="1"/>
  <c r="AC603" i="18" a="1"/>
  <c r="AC603" i="18" s="1"/>
  <c r="AD603" i="18" s="1"/>
  <c r="AG647" i="18" a="1"/>
  <c r="AG647" i="18" s="1"/>
  <c r="AH647" i="18" s="1"/>
  <c r="AC647" i="18" a="1"/>
  <c r="AC647" i="18" s="1"/>
  <c r="AD647" i="18" s="1"/>
  <c r="AG601" i="18" a="1"/>
  <c r="AG601" i="18" s="1"/>
  <c r="AH601" i="18" s="1"/>
  <c r="AC605" i="18" a="1"/>
  <c r="AC605" i="18" s="1"/>
  <c r="AD605" i="18" s="1"/>
  <c r="AG605" i="18" a="1"/>
  <c r="AG605" i="18" s="1"/>
  <c r="AH605" i="18" s="1"/>
  <c r="AG610" i="18" a="1"/>
  <c r="AG610" i="18" s="1"/>
  <c r="AH610" i="18" s="1"/>
  <c r="AC610" i="18" a="1"/>
  <c r="AC610" i="18" s="1"/>
  <c r="AD610" i="18" s="1"/>
  <c r="AG619" i="18" a="1"/>
  <c r="AG619" i="18" s="1"/>
  <c r="AH619" i="18" s="1"/>
  <c r="AC619" i="18" a="1"/>
  <c r="AC619" i="18" s="1"/>
  <c r="AD619" i="18" s="1"/>
  <c r="AC641" i="18" a="1"/>
  <c r="AC641" i="18" s="1"/>
  <c r="AD641" i="18" s="1"/>
  <c r="AG641" i="18" a="1"/>
  <c r="AG641" i="18" s="1"/>
  <c r="AH641" i="18" s="1"/>
  <c r="AC642" i="18" a="1"/>
  <c r="AC642" i="18" s="1"/>
  <c r="AD642" i="18" s="1"/>
  <c r="AG642" i="18" a="1"/>
  <c r="AG642" i="18" s="1"/>
  <c r="AH642" i="18" s="1"/>
  <c r="AC606" i="18" a="1"/>
  <c r="AC606" i="18" s="1"/>
  <c r="AD606" i="18" s="1"/>
  <c r="AG606" i="18" a="1"/>
  <c r="AG606" i="18" s="1"/>
  <c r="AH606" i="18" s="1"/>
  <c r="AC614" i="18" a="1"/>
  <c r="AC614" i="18" s="1"/>
  <c r="AD614" i="18" s="1"/>
  <c r="AG614" i="18" a="1"/>
  <c r="AG614" i="18" s="1"/>
  <c r="AH614" i="18" s="1"/>
  <c r="AG632" i="18" a="1"/>
  <c r="AG632" i="18" s="1"/>
  <c r="AH632" i="18" s="1"/>
  <c r="AC598" i="18" a="1"/>
  <c r="AC598" i="18" s="1"/>
  <c r="AD598" i="18" s="1"/>
  <c r="AG598" i="18" a="1"/>
  <c r="AG598" i="18" s="1"/>
  <c r="AH598" i="18" s="1"/>
  <c r="AG611" i="18" a="1"/>
  <c r="AG611" i="18" s="1"/>
  <c r="AH611" i="18" s="1"/>
  <c r="AC611" i="18" a="1"/>
  <c r="AC611" i="18" s="1"/>
  <c r="AD611" i="18" s="1"/>
  <c r="AC613" i="18" a="1"/>
  <c r="AC613" i="18" s="1"/>
  <c r="AD613" i="18" s="1"/>
  <c r="AG613" i="18" a="1"/>
  <c r="AG613" i="18" s="1"/>
  <c r="AH613" i="18" s="1"/>
  <c r="AC615" i="18" a="1"/>
  <c r="AC615" i="18" s="1"/>
  <c r="AD615" i="18" s="1"/>
  <c r="AG615" i="18" a="1"/>
  <c r="AG615" i="18" s="1"/>
  <c r="AH615" i="18" s="1"/>
  <c r="AG616" i="18" a="1"/>
  <c r="AG616" i="18" s="1"/>
  <c r="AH616" i="18" s="1"/>
  <c r="AC616" i="18" a="1"/>
  <c r="AC616" i="18" s="1"/>
  <c r="AD616" i="18" s="1"/>
  <c r="AG625" i="18" a="1"/>
  <c r="AG625" i="18" s="1"/>
  <c r="AH625" i="18" s="1"/>
  <c r="AC625" i="18" a="1"/>
  <c r="AC625" i="18" s="1"/>
  <c r="AD625" i="18" s="1"/>
  <c r="AC601" i="18" a="1"/>
  <c r="AC601" i="18" s="1"/>
  <c r="AD601" i="18" s="1"/>
  <c r="AG596" i="18" a="1"/>
  <c r="AG596" i="18" s="1"/>
  <c r="AH596" i="18" s="1"/>
  <c r="AC596" i="18" a="1"/>
  <c r="AC596" i="18" s="1"/>
  <c r="AD596" i="18" s="1"/>
  <c r="AC600" i="18" a="1"/>
  <c r="AC600" i="18" s="1"/>
  <c r="AD600" i="18" s="1"/>
  <c r="AG600" i="18" a="1"/>
  <c r="AG600" i="18" s="1"/>
  <c r="AH600" i="18" s="1"/>
  <c r="AC607" i="18" a="1"/>
  <c r="AC607" i="18" s="1"/>
  <c r="AD607" i="18" s="1"/>
  <c r="AG607" i="18" a="1"/>
  <c r="AG607" i="18" s="1"/>
  <c r="AH607" i="18" s="1"/>
  <c r="AC608" i="18" a="1"/>
  <c r="AC608" i="18" s="1"/>
  <c r="AD608" i="18" s="1"/>
  <c r="AG608" i="18" a="1"/>
  <c r="AG608" i="18" s="1"/>
  <c r="AH608" i="18" s="1"/>
  <c r="AC632" i="18" a="1"/>
  <c r="AC632" i="18" s="1"/>
  <c r="AD632" i="18" s="1"/>
  <c r="AC623" i="18" a="1"/>
  <c r="AC623" i="18" s="1"/>
  <c r="AD623" i="18" s="1"/>
  <c r="AG623" i="18" a="1"/>
  <c r="AG623" i="18" s="1"/>
  <c r="AH623" i="18" s="1"/>
  <c r="AC627" i="18" a="1"/>
  <c r="AC627" i="18" s="1"/>
  <c r="AD627" i="18" s="1"/>
  <c r="AG645" i="18" a="1"/>
  <c r="AG645" i="18" s="1"/>
  <c r="AH645" i="18" s="1"/>
  <c r="AC645" i="18" a="1"/>
  <c r="AC645" i="18" s="1"/>
  <c r="AD645" i="18" s="1"/>
  <c r="AC621" i="18" a="1"/>
  <c r="AC621" i="18" s="1"/>
  <c r="AD621" i="18" s="1"/>
  <c r="AG621" i="18" a="1"/>
  <c r="AG621" i="18" s="1"/>
  <c r="AH621" i="18" s="1"/>
  <c r="AC628" i="18" a="1"/>
  <c r="AC628" i="18" s="1"/>
  <c r="AD628" i="18" s="1"/>
  <c r="AG628" i="18" a="1"/>
  <c r="AG628" i="18" s="1"/>
  <c r="AH628" i="18" s="1"/>
  <c r="AC629" i="18" a="1"/>
  <c r="AC629" i="18" s="1"/>
  <c r="AD629" i="18" s="1"/>
  <c r="AG629" i="18" a="1"/>
  <c r="AG629" i="18" s="1"/>
  <c r="AH629" i="18" s="1"/>
  <c r="AC630" i="18" a="1"/>
  <c r="AC630" i="18" s="1"/>
  <c r="AD630" i="18" s="1"/>
  <c r="AG630" i="18" a="1"/>
  <c r="AG630" i="18" s="1"/>
  <c r="AH630" i="18" s="1"/>
  <c r="AG643" i="18" a="1"/>
  <c r="AG643" i="18" s="1"/>
  <c r="AH643" i="18" s="1"/>
  <c r="AG644" i="18" a="1"/>
  <c r="AG644" i="18" s="1"/>
  <c r="AH644" i="18" s="1"/>
  <c r="AC644" i="18" a="1"/>
  <c r="AC644" i="18" s="1"/>
  <c r="AD644" i="18" s="1"/>
  <c r="AG648" i="18" a="1"/>
  <c r="AG648" i="18" s="1"/>
  <c r="AH648" i="18" s="1"/>
  <c r="AC648" i="18" a="1"/>
  <c r="AC648" i="18" s="1"/>
  <c r="AD648" i="18" s="1"/>
  <c r="AC624" i="18" a="1"/>
  <c r="AC624" i="18" s="1"/>
  <c r="AD624" i="18" s="1"/>
  <c r="AG626" i="18" a="1"/>
  <c r="AG626" i="18" s="1"/>
  <c r="AH626" i="18" s="1"/>
  <c r="AC626" i="18" a="1"/>
  <c r="AC626" i="18" s="1"/>
  <c r="AD626" i="18" s="1"/>
  <c r="AC639" i="18" a="1"/>
  <c r="AC639" i="18" s="1"/>
  <c r="AD639" i="18" s="1"/>
  <c r="AG639" i="18" a="1"/>
  <c r="AG639" i="18" s="1"/>
  <c r="AH639" i="18" s="1"/>
  <c r="AC643" i="18" a="1"/>
  <c r="AC643" i="18" s="1"/>
  <c r="AD643" i="18" s="1"/>
  <c r="AG635" i="18" a="1"/>
  <c r="AG635" i="18" s="1"/>
  <c r="AH635" i="18" s="1"/>
  <c r="AC635" i="18" a="1"/>
  <c r="AC635" i="18" s="1"/>
  <c r="AD635" i="18" s="1"/>
  <c r="AC636" i="18" a="1"/>
  <c r="AC636" i="18" s="1"/>
  <c r="AD636" i="18" s="1"/>
  <c r="AG636" i="18" a="1"/>
  <c r="AG636" i="18" s="1"/>
  <c r="AH636" i="18" s="1"/>
  <c r="AC638" i="18" a="1"/>
  <c r="AC638" i="18" s="1"/>
  <c r="AD638" i="18" s="1"/>
  <c r="AG638" i="18" a="1"/>
  <c r="AG638" i="18" s="1"/>
  <c r="AH638" i="18" s="1"/>
  <c r="AG640" i="18" a="1"/>
  <c r="AG640" i="18" s="1"/>
  <c r="AH640" i="18" s="1"/>
  <c r="AC640" i="18" a="1"/>
  <c r="AC640" i="18" s="1"/>
  <c r="AD640" i="18" s="1"/>
  <c r="AG617" i="18" a="1"/>
  <c r="AG617" i="18" s="1"/>
  <c r="AH617" i="18" s="1"/>
  <c r="AC617" i="18" a="1"/>
  <c r="AC617" i="18" s="1"/>
  <c r="AD617" i="18" s="1"/>
  <c r="AG620" i="18" a="1"/>
  <c r="AG620" i="18" s="1"/>
  <c r="AH620" i="18" s="1"/>
  <c r="AC620" i="18" a="1"/>
  <c r="AC620" i="18" s="1"/>
  <c r="AD620" i="18" s="1"/>
  <c r="AG633" i="18" a="1"/>
  <c r="AG633" i="18" s="1"/>
  <c r="AH633" i="18" s="1"/>
  <c r="AC633" i="18" a="1"/>
  <c r="AC633" i="18" s="1"/>
  <c r="AD633" i="18" s="1"/>
  <c r="AG634" i="18" a="1"/>
  <c r="AG634" i="18" s="1"/>
  <c r="AH634" i="18" s="1"/>
  <c r="AC634" i="18" a="1"/>
  <c r="AC634" i="18" s="1"/>
  <c r="AD634" i="18" s="1"/>
  <c r="AG651" i="18" a="1"/>
  <c r="AG651" i="18" s="1"/>
  <c r="AH651" i="18" s="1"/>
  <c r="AG627" i="18" a="1"/>
  <c r="AG627" i="18" s="1"/>
  <c r="AH627" i="18" s="1"/>
  <c r="AG618" i="18" a="1"/>
  <c r="AG618" i="18" s="1"/>
  <c r="AH618" i="18" s="1"/>
  <c r="AC618" i="18" a="1"/>
  <c r="AC618" i="18" s="1"/>
  <c r="AD618" i="18" s="1"/>
  <c r="AC622" i="18" a="1"/>
  <c r="AC622" i="18" s="1"/>
  <c r="AD622" i="18" s="1"/>
  <c r="AG622" i="18" a="1"/>
  <c r="AG622" i="18" s="1"/>
  <c r="AH622" i="18" s="1"/>
  <c r="AG637" i="18" a="1"/>
  <c r="AG637" i="18" s="1"/>
  <c r="AH637" i="18" s="1"/>
  <c r="AG652" i="18" a="1"/>
  <c r="AG652" i="18" s="1"/>
  <c r="AH652" i="18" s="1"/>
  <c r="AC652" i="18" a="1"/>
  <c r="AC652" i="18" s="1"/>
  <c r="AD652" i="18" s="1"/>
  <c r="AG646" i="18" a="1"/>
  <c r="AG646" i="18" s="1"/>
  <c r="AH646" i="18" s="1"/>
  <c r="AC646" i="18" a="1"/>
  <c r="AC646" i="18" s="1"/>
  <c r="AD646" i="18" s="1"/>
  <c r="AG650" i="18" a="1"/>
  <c r="AG650" i="18" s="1"/>
  <c r="AH650" i="18" s="1"/>
  <c r="AC650" i="18" a="1"/>
  <c r="AC650" i="18" s="1"/>
  <c r="AD650" i="18" s="1"/>
  <c r="AG653" i="18" a="1"/>
  <c r="AG653" i="18" s="1"/>
  <c r="AH653" i="18" s="1"/>
  <c r="AC653" i="18" a="1"/>
  <c r="AC653" i="18" s="1"/>
  <c r="AD653" i="18" s="1"/>
  <c r="AG649" i="18" a="1"/>
  <c r="AG649" i="18" s="1"/>
  <c r="AH649" i="18" s="1"/>
  <c r="Y4" i="18" a="1"/>
  <c r="Y4" i="18" s="1"/>
  <c r="F473" i="22"/>
  <c r="F481" i="22"/>
  <c r="F482" i="22"/>
  <c r="F483" i="22"/>
  <c r="F465" i="22"/>
  <c r="F463" i="22"/>
  <c r="F459" i="22"/>
  <c r="F456" i="22"/>
  <c r="F455" i="22"/>
  <c r="F448" i="22"/>
  <c r="F446" i="22"/>
  <c r="F445" i="22"/>
  <c r="F443" i="22"/>
  <c r="F441" i="22"/>
  <c r="F440" i="22"/>
  <c r="F439" i="22"/>
  <c r="F437" i="22"/>
  <c r="F435" i="22"/>
  <c r="F434" i="22"/>
  <c r="F433" i="22"/>
  <c r="F432" i="22"/>
  <c r="F422" i="22"/>
  <c r="F421" i="22"/>
  <c r="F420" i="22"/>
  <c r="F414" i="22"/>
  <c r="F413" i="22"/>
  <c r="F412" i="22"/>
  <c r="F410" i="22"/>
  <c r="F411" i="22"/>
  <c r="F408" i="22"/>
  <c r="F404" i="22"/>
  <c r="F403" i="22"/>
  <c r="F402" i="22"/>
  <c r="F401" i="22"/>
  <c r="F399" i="22"/>
  <c r="F400" i="22"/>
  <c r="F396" i="22"/>
  <c r="F395" i="22"/>
  <c r="F394" i="22"/>
  <c r="F392" i="22"/>
  <c r="F393" i="22"/>
  <c r="F391" i="22"/>
  <c r="F390" i="22"/>
  <c r="F389" i="22"/>
  <c r="F387" i="22"/>
  <c r="F388" i="22"/>
  <c r="F386" i="22"/>
  <c r="F385" i="22"/>
  <c r="F383" i="22"/>
  <c r="F384" i="22"/>
  <c r="F382" i="22"/>
  <c r="F380" i="22"/>
  <c r="F378" i="22"/>
  <c r="F379" i="22"/>
  <c r="F377" i="22"/>
  <c r="F376" i="22"/>
  <c r="F374" i="22"/>
  <c r="F375" i="22"/>
  <c r="F373" i="22"/>
  <c r="F371" i="22"/>
  <c r="F347" i="22"/>
  <c r="F345" i="22"/>
  <c r="F343" i="22"/>
  <c r="F342" i="22"/>
  <c r="F339" i="22"/>
  <c r="F337" i="22"/>
  <c r="F336" i="22"/>
  <c r="F335" i="22"/>
  <c r="F331" i="22"/>
  <c r="F329" i="22"/>
  <c r="F328" i="22"/>
  <c r="F327" i="22"/>
  <c r="F325" i="22"/>
  <c r="F324" i="22"/>
  <c r="F323" i="22"/>
  <c r="F317" i="22"/>
  <c r="F316" i="22"/>
  <c r="F315" i="22"/>
  <c r="F314" i="22"/>
  <c r="F307" i="22"/>
  <c r="F306" i="22"/>
  <c r="F305" i="22"/>
  <c r="F304" i="22"/>
  <c r="F303" i="22"/>
  <c r="F302" i="22"/>
  <c r="F301" i="22"/>
  <c r="F296" i="22"/>
  <c r="F295" i="22"/>
  <c r="F294" i="22"/>
  <c r="F293" i="22"/>
  <c r="F292" i="22"/>
  <c r="F291" i="22"/>
  <c r="F289" i="22"/>
  <c r="F288" i="22"/>
  <c r="F287" i="22"/>
  <c r="F285" i="22"/>
  <c r="F284" i="22"/>
  <c r="F283" i="22"/>
  <c r="F282" i="22"/>
  <c r="F280" i="22"/>
  <c r="F279" i="22"/>
  <c r="F278" i="22"/>
  <c r="F277" i="22"/>
  <c r="F276" i="22"/>
  <c r="F275" i="22"/>
  <c r="F274" i="22"/>
  <c r="AG76" i="18" l="1" a="1"/>
  <c r="AG76" i="18" s="1"/>
  <c r="AH76" i="18" s="1"/>
  <c r="AG21" i="18" a="1"/>
  <c r="AG21" i="18" s="1"/>
  <c r="AH21" i="18" s="1"/>
  <c r="AC21" i="18" a="1"/>
  <c r="AC21" i="18" s="1"/>
  <c r="AD21" i="18" s="1"/>
  <c r="AC19" i="18" a="1"/>
  <c r="AC19" i="18" s="1"/>
  <c r="AD19" i="18" s="1"/>
  <c r="Q21" i="18"/>
  <c r="AC25" i="18" a="1"/>
  <c r="AC25" i="18" s="1"/>
  <c r="AD25" i="18" s="1"/>
  <c r="Q62" i="18"/>
  <c r="O62" i="18"/>
  <c r="AG82" i="18" a="1"/>
  <c r="AG82" i="18" s="1"/>
  <c r="AH82" i="18" s="1"/>
  <c r="Q24" i="18"/>
  <c r="O24" i="18"/>
  <c r="Q59" i="18"/>
  <c r="O59" i="18"/>
  <c r="AC83" i="18" a="1"/>
  <c r="AC83" i="18" s="1"/>
  <c r="AD83" i="18" s="1"/>
  <c r="AG83" i="18" a="1"/>
  <c r="AG83" i="18" s="1"/>
  <c r="AH83" i="18" s="1"/>
  <c r="AG67" i="18" a="1"/>
  <c r="AG67" i="18" s="1"/>
  <c r="AH67" i="18" s="1"/>
  <c r="AG78" i="18" a="1"/>
  <c r="AG78" i="18" s="1"/>
  <c r="AH78" i="18" s="1"/>
  <c r="AC78" i="18" a="1"/>
  <c r="AC78" i="18" s="1"/>
  <c r="AD78" i="18" s="1"/>
  <c r="Q15" i="18"/>
  <c r="O15" i="18"/>
  <c r="Q4" i="18"/>
  <c r="O4" i="18"/>
  <c r="Q51" i="18"/>
  <c r="O51" i="18"/>
  <c r="AG72" i="18" a="1"/>
  <c r="AG72" i="18" s="1"/>
  <c r="AH72" i="18" s="1"/>
  <c r="Q48" i="18"/>
  <c r="O48" i="18"/>
  <c r="Q45" i="18"/>
  <c r="O45" i="18"/>
  <c r="Q65" i="18"/>
  <c r="O65" i="18"/>
  <c r="Q42" i="18"/>
  <c r="O42" i="18"/>
  <c r="AG25" i="18" a="1"/>
  <c r="AG25" i="18" s="1"/>
  <c r="AH25" i="18" s="1"/>
  <c r="Q87" i="18"/>
  <c r="O87" i="18"/>
  <c r="Q69" i="18"/>
  <c r="O69" i="18"/>
  <c r="AG84" i="18" a="1"/>
  <c r="AG84" i="18" s="1"/>
  <c r="AH84" i="18" s="1"/>
  <c r="AC84" i="18" a="1"/>
  <c r="AC84" i="18" s="1"/>
  <c r="AD84" i="18" s="1"/>
  <c r="M82" i="18" a="1"/>
  <c r="M82" i="18" s="1"/>
  <c r="M78" i="18" a="1"/>
  <c r="M78" i="18" s="1"/>
  <c r="M73" i="18" a="1"/>
  <c r="M73" i="18" s="1"/>
  <c r="M85" i="18" a="1"/>
  <c r="M85" i="18" s="1"/>
  <c r="M81" i="18" a="1"/>
  <c r="M81" i="18" s="1"/>
  <c r="M79" i="18" a="1"/>
  <c r="M79" i="18" s="1"/>
  <c r="M77" i="18" a="1"/>
  <c r="M77" i="18" s="1"/>
  <c r="M86" i="18" a="1"/>
  <c r="M86" i="18" s="1"/>
  <c r="M76" i="18" a="1"/>
  <c r="M76" i="18" s="1"/>
  <c r="M83" i="18" a="1"/>
  <c r="M83" i="18" s="1"/>
  <c r="M80" i="18" a="1"/>
  <c r="M80" i="18" s="1"/>
  <c r="M75" i="18" a="1"/>
  <c r="M75" i="18" s="1"/>
  <c r="M74" i="18" a="1"/>
  <c r="M74" i="18" s="1"/>
  <c r="M72" i="18" a="1"/>
  <c r="M72" i="18" s="1"/>
  <c r="M84" i="18" a="1"/>
  <c r="M84" i="18" s="1"/>
  <c r="M67" i="18" a="1"/>
  <c r="M67" i="18" s="1"/>
  <c r="M226" i="18" a="1"/>
  <c r="M226" i="18" s="1"/>
  <c r="M8" i="18" a="1"/>
  <c r="M8" i="18" s="1"/>
  <c r="M9" i="18" a="1"/>
  <c r="M9" i="18" s="1"/>
  <c r="M4" i="18" a="1"/>
  <c r="M4" i="18" s="1"/>
  <c r="M267" i="18" a="1"/>
  <c r="M267" i="18" s="1"/>
  <c r="M7" i="18" a="1"/>
  <c r="M7" i="18" s="1"/>
  <c r="M6" i="18" a="1"/>
  <c r="M6" i="18" s="1"/>
  <c r="M3" i="18" a="1"/>
  <c r="M3" i="18" s="1"/>
  <c r="M5" i="18" a="1"/>
  <c r="M5" i="18" s="1"/>
  <c r="M235" i="18" a="1"/>
  <c r="M235" i="18" s="1"/>
  <c r="M223" i="18" a="1"/>
  <c r="M223" i="18" s="1"/>
  <c r="M336" i="18" a="1"/>
  <c r="M336" i="18" s="1"/>
  <c r="M244" i="18" a="1"/>
  <c r="M244" i="18" s="1"/>
  <c r="M218" i="18" a="1"/>
  <c r="M218" i="18" s="1"/>
  <c r="M224" i="18" a="1"/>
  <c r="M224" i="18" s="1"/>
  <c r="M415" i="18" a="1"/>
  <c r="M415" i="18" s="1"/>
  <c r="M266" i="18" a="1"/>
  <c r="M266" i="18" s="1"/>
  <c r="M229" i="18" a="1"/>
  <c r="M229" i="18" s="1"/>
  <c r="M208" i="18" a="1"/>
  <c r="M208" i="18" s="1"/>
  <c r="M239" i="18" a="1"/>
  <c r="M239" i="18" s="1"/>
  <c r="M282" i="18" a="1"/>
  <c r="M282" i="18" s="1"/>
  <c r="M210" i="18" a="1"/>
  <c r="M210" i="18" s="1"/>
  <c r="M231" i="18" a="1"/>
  <c r="M231" i="18" s="1"/>
  <c r="M238" i="18" a="1"/>
  <c r="M238" i="18" s="1"/>
  <c r="M230" i="18" a="1"/>
  <c r="M230" i="18" s="1"/>
  <c r="M228" i="18" a="1"/>
  <c r="M228" i="18" s="1"/>
  <c r="M293" i="18" a="1"/>
  <c r="M293" i="18" s="1"/>
  <c r="M236" i="18" a="1"/>
  <c r="M236" i="18" s="1"/>
  <c r="M216" i="18" a="1"/>
  <c r="M216" i="18" s="1"/>
  <c r="M251" i="18" a="1"/>
  <c r="M251" i="18" s="1"/>
  <c r="M207" i="18" a="1"/>
  <c r="M207" i="18" s="1"/>
  <c r="M256" i="18" a="1"/>
  <c r="M256" i="18" s="1"/>
  <c r="M232" i="18" a="1"/>
  <c r="M232" i="18" s="1"/>
  <c r="M214" i="18" a="1"/>
  <c r="M214" i="18" s="1"/>
  <c r="M281" i="18" a="1"/>
  <c r="M281" i="18" s="1"/>
  <c r="M247" i="18" a="1"/>
  <c r="M247" i="18" s="1"/>
  <c r="M276" i="18" a="1"/>
  <c r="M276" i="18" s="1"/>
  <c r="M252" i="18" a="1"/>
  <c r="M252" i="18" s="1"/>
  <c r="M250" i="18" a="1"/>
  <c r="M250" i="18" s="1"/>
  <c r="M233" i="18" a="1"/>
  <c r="M233" i="18" s="1"/>
  <c r="M280" i="18" a="1"/>
  <c r="M280" i="18" s="1"/>
  <c r="M253" i="18" a="1"/>
  <c r="M253" i="18" s="1"/>
  <c r="M260" i="18" a="1"/>
  <c r="M260" i="18" s="1"/>
  <c r="M246" i="18" a="1"/>
  <c r="M246" i="18" s="1"/>
  <c r="M225" i="18" a="1"/>
  <c r="M225" i="18" s="1"/>
  <c r="M220" i="18" a="1"/>
  <c r="M220" i="18" s="1"/>
  <c r="M426" i="18" a="1"/>
  <c r="M426" i="18" s="1"/>
  <c r="M245" i="18" a="1"/>
  <c r="M245" i="18" s="1"/>
  <c r="M264" i="18" a="1"/>
  <c r="M264" i="18" s="1"/>
  <c r="M217" i="18" a="1"/>
  <c r="M217" i="18" s="1"/>
  <c r="M307" i="18" a="1"/>
  <c r="M307" i="18" s="1"/>
  <c r="M283" i="18" a="1"/>
  <c r="M283" i="18" s="1"/>
  <c r="M288" i="18" a="1"/>
  <c r="M288" i="18" s="1"/>
  <c r="M284" i="18" a="1"/>
  <c r="M284" i="18" s="1"/>
  <c r="M303" i="18" a="1"/>
  <c r="M303" i="18" s="1"/>
  <c r="M377" i="18" a="1"/>
  <c r="M377" i="18" s="1"/>
  <c r="M301" i="18" a="1"/>
  <c r="M301" i="18" s="1"/>
  <c r="M328" i="18" a="1"/>
  <c r="M328" i="18" s="1"/>
  <c r="M379" i="18" a="1"/>
  <c r="M379" i="18" s="1"/>
  <c r="M357" i="18" a="1"/>
  <c r="M357" i="18" s="1"/>
  <c r="M390" i="18" a="1"/>
  <c r="M390" i="18" s="1"/>
  <c r="M388" i="18" a="1"/>
  <c r="M388" i="18" s="1"/>
  <c r="M489" i="18" a="1"/>
  <c r="M489" i="18" s="1"/>
  <c r="M407" i="18" a="1"/>
  <c r="M407" i="18" s="1"/>
  <c r="M448" i="18" a="1"/>
  <c r="M448" i="18" s="1"/>
  <c r="M433" i="18" a="1"/>
  <c r="M433" i="18" s="1"/>
  <c r="M467" i="18" a="1"/>
  <c r="M467" i="18" s="1"/>
  <c r="M464" i="18" a="1"/>
  <c r="M464" i="18" s="1"/>
  <c r="M496" i="18" a="1"/>
  <c r="M496" i="18" s="1"/>
  <c r="M483" i="18" a="1"/>
  <c r="M483" i="18" s="1"/>
  <c r="M508" i="18" a="1"/>
  <c r="M508" i="18" s="1"/>
  <c r="M527" i="18" a="1"/>
  <c r="M527" i="18" s="1"/>
  <c r="M503" i="18" a="1"/>
  <c r="M503" i="18" s="1"/>
  <c r="M514" i="18" a="1"/>
  <c r="M514" i="18" s="1"/>
  <c r="M561" i="18" a="1"/>
  <c r="M561" i="18" s="1"/>
  <c r="M565" i="18" a="1"/>
  <c r="M565" i="18" s="1"/>
  <c r="M591" i="18" a="1"/>
  <c r="M591" i="18" s="1"/>
  <c r="M605" i="18" a="1"/>
  <c r="M605" i="18" s="1"/>
  <c r="M600" i="18" a="1"/>
  <c r="M600" i="18" s="1"/>
  <c r="M614" i="18" a="1"/>
  <c r="M614" i="18" s="1"/>
  <c r="M632" i="18" a="1"/>
  <c r="M632" i="18" s="1"/>
  <c r="M639" i="18" a="1"/>
  <c r="M639" i="18" s="1"/>
  <c r="M182" i="18" a="1"/>
  <c r="M182" i="18" s="1"/>
  <c r="M184" i="18" a="1"/>
  <c r="M184" i="18" s="1"/>
  <c r="M196" i="18" a="1"/>
  <c r="M196" i="18" s="1"/>
  <c r="M177" i="18" a="1"/>
  <c r="M177" i="18" s="1"/>
  <c r="M152" i="18" a="1"/>
  <c r="M152" i="18" s="1"/>
  <c r="M160" i="18" a="1"/>
  <c r="M160" i="18" s="1"/>
  <c r="M172" i="18" a="1"/>
  <c r="M172" i="18" s="1"/>
  <c r="M132" i="18" a="1"/>
  <c r="M132" i="18" s="1"/>
  <c r="M143" i="18" a="1"/>
  <c r="M143" i="18" s="1"/>
  <c r="M109" i="18" a="1"/>
  <c r="M109" i="18" s="1"/>
  <c r="M106" i="18" a="1"/>
  <c r="M106" i="18" s="1"/>
  <c r="M70" i="18" a="1"/>
  <c r="M70" i="18" s="1"/>
  <c r="M40" i="18" a="1"/>
  <c r="M40" i="18" s="1"/>
  <c r="M18" i="18" a="1"/>
  <c r="M18" i="18" s="1"/>
  <c r="M28" i="18" a="1"/>
  <c r="M28" i="18" s="1"/>
  <c r="M271" i="18" a="1"/>
  <c r="M271" i="18" s="1"/>
  <c r="M310" i="18" a="1"/>
  <c r="M310" i="18" s="1"/>
  <c r="M286" i="18" a="1"/>
  <c r="M286" i="18" s="1"/>
  <c r="M304" i="18" a="1"/>
  <c r="M304" i="18" s="1"/>
  <c r="M289" i="18" a="1"/>
  <c r="M289" i="18" s="1"/>
  <c r="M309" i="18" a="1"/>
  <c r="M309" i="18" s="1"/>
  <c r="M308" i="18" a="1"/>
  <c r="M308" i="18" s="1"/>
  <c r="M306" i="18" a="1"/>
  <c r="M306" i="18" s="1"/>
  <c r="M333" i="18" a="1"/>
  <c r="M333" i="18" s="1"/>
  <c r="M410" i="18" a="1"/>
  <c r="M410" i="18" s="1"/>
  <c r="M361" i="18" a="1"/>
  <c r="M361" i="18" s="1"/>
  <c r="M391" i="18" a="1"/>
  <c r="M391" i="18" s="1"/>
  <c r="M416" i="18" a="1"/>
  <c r="M416" i="18" s="1"/>
  <c r="M398" i="18" a="1"/>
  <c r="M398" i="18" s="1"/>
  <c r="M411" i="18" a="1"/>
  <c r="M411" i="18" s="1"/>
  <c r="M393" i="18" a="1"/>
  <c r="M393" i="18" s="1"/>
  <c r="M442" i="18" a="1"/>
  <c r="M442" i="18" s="1"/>
  <c r="M452" i="18" a="1"/>
  <c r="M452" i="18" s="1"/>
  <c r="M471" i="18" a="1"/>
  <c r="M471" i="18" s="1"/>
  <c r="M497" i="18" a="1"/>
  <c r="M497" i="18" s="1"/>
  <c r="M486" i="18" a="1"/>
  <c r="M486" i="18" s="1"/>
  <c r="M518" i="18" a="1"/>
  <c r="M518" i="18" s="1"/>
  <c r="M530" i="18" a="1"/>
  <c r="M530" i="18" s="1"/>
  <c r="M505" i="18" a="1"/>
  <c r="M505" i="18" s="1"/>
  <c r="M519" i="18" a="1"/>
  <c r="M519" i="18" s="1"/>
  <c r="M569" i="18" a="1"/>
  <c r="M569" i="18" s="1"/>
  <c r="M573" i="18" a="1"/>
  <c r="M573" i="18" s="1"/>
  <c r="M608" i="18" a="1"/>
  <c r="M608" i="18" s="1"/>
  <c r="M546" i="18" a="1"/>
  <c r="M546" i="18" s="1"/>
  <c r="M607" i="18" a="1"/>
  <c r="M607" i="18" s="1"/>
  <c r="M629" i="18" a="1"/>
  <c r="M629" i="18" s="1"/>
  <c r="M628" i="18" a="1"/>
  <c r="M628" i="18" s="1"/>
  <c r="M633" i="18" a="1"/>
  <c r="M633" i="18" s="1"/>
  <c r="M201" i="18" a="1"/>
  <c r="M201" i="18" s="1"/>
  <c r="M200" i="18" a="1"/>
  <c r="M200" i="18" s="1"/>
  <c r="M204" i="18" a="1"/>
  <c r="M204" i="18" s="1"/>
  <c r="M146" i="18" a="1"/>
  <c r="M146" i="18" s="1"/>
  <c r="M156" i="18" a="1"/>
  <c r="M156" i="18" s="1"/>
  <c r="M168" i="18" a="1"/>
  <c r="M168" i="18" s="1"/>
  <c r="M189" i="18" a="1"/>
  <c r="M189" i="18" s="1"/>
  <c r="M122" i="18" a="1"/>
  <c r="M122" i="18" s="1"/>
  <c r="M131" i="18" a="1"/>
  <c r="M131" i="18" s="1"/>
  <c r="M126" i="18" a="1"/>
  <c r="M126" i="18" s="1"/>
  <c r="M97" i="18" a="1"/>
  <c r="M97" i="18" s="1"/>
  <c r="M58" i="18" a="1"/>
  <c r="M58" i="18" s="1"/>
  <c r="M56" i="18" a="1"/>
  <c r="M56" i="18" s="1"/>
  <c r="M15" i="18" a="1"/>
  <c r="M15" i="18" s="1"/>
  <c r="M36" i="18" a="1"/>
  <c r="M36" i="18" s="1"/>
  <c r="M215" i="18" a="1"/>
  <c r="M215" i="18" s="1"/>
  <c r="M285" i="18" a="1"/>
  <c r="M285" i="18" s="1"/>
  <c r="M327" i="18" a="1"/>
  <c r="M327" i="18" s="1"/>
  <c r="M300" i="18" a="1"/>
  <c r="M300" i="18" s="1"/>
  <c r="M262" i="18" a="1"/>
  <c r="M262" i="18" s="1"/>
  <c r="M291" i="18" a="1"/>
  <c r="M291" i="18" s="1"/>
  <c r="M314" i="18" a="1"/>
  <c r="M314" i="18" s="1"/>
  <c r="M329" i="18" a="1"/>
  <c r="M329" i="18" s="1"/>
  <c r="M321" i="18" a="1"/>
  <c r="M321" i="18" s="1"/>
  <c r="M342" i="18" a="1"/>
  <c r="M342" i="18" s="1"/>
  <c r="M362" i="18" a="1"/>
  <c r="M362" i="18" s="1"/>
  <c r="M365" i="18" a="1"/>
  <c r="M365" i="18" s="1"/>
  <c r="M395" i="18" a="1"/>
  <c r="M395" i="18" s="1"/>
  <c r="M346" i="18" a="1"/>
  <c r="M346" i="18" s="1"/>
  <c r="M406" i="18" a="1"/>
  <c r="M406" i="18" s="1"/>
  <c r="M420" i="18" a="1"/>
  <c r="M420" i="18" s="1"/>
  <c r="M400" i="18" a="1"/>
  <c r="M400" i="18" s="1"/>
  <c r="M450" i="18" a="1"/>
  <c r="M450" i="18" s="1"/>
  <c r="M453" i="18" a="1"/>
  <c r="M453" i="18" s="1"/>
  <c r="M493" i="18" a="1"/>
  <c r="M493" i="18" s="1"/>
  <c r="M547" i="18" a="1"/>
  <c r="M547" i="18" s="1"/>
  <c r="M502" i="18" a="1"/>
  <c r="M502" i="18" s="1"/>
  <c r="M521" i="18" a="1"/>
  <c r="M521" i="18" s="1"/>
  <c r="M538" i="18" a="1"/>
  <c r="M538" i="18" s="1"/>
  <c r="M515" i="18" a="1"/>
  <c r="M515" i="18" s="1"/>
  <c r="M528" i="18" a="1"/>
  <c r="M528" i="18" s="1"/>
  <c r="M571" i="18" a="1"/>
  <c r="M571" i="18" s="1"/>
  <c r="M582" i="18" a="1"/>
  <c r="M582" i="18" s="1"/>
  <c r="M645" i="18" a="1"/>
  <c r="M645" i="18" s="1"/>
  <c r="M553" i="18" a="1"/>
  <c r="M553" i="18" s="1"/>
  <c r="M634" i="18" a="1"/>
  <c r="M634" i="18" s="1"/>
  <c r="M598" i="18" a="1"/>
  <c r="M598" i="18" s="1"/>
  <c r="M630" i="18" a="1"/>
  <c r="M630" i="18" s="1"/>
  <c r="M636" i="18" a="1"/>
  <c r="M636" i="18" s="1"/>
  <c r="M180" i="18" a="1"/>
  <c r="M180" i="18" s="1"/>
  <c r="M183" i="18" a="1"/>
  <c r="M183" i="18" s="1"/>
  <c r="M195" i="18" a="1"/>
  <c r="M195" i="18" s="1"/>
  <c r="M171" i="18" a="1"/>
  <c r="M171" i="18" s="1"/>
  <c r="M159" i="18" a="1"/>
  <c r="M159" i="18" s="1"/>
  <c r="M139" i="18" a="1"/>
  <c r="M139" i="18" s="1"/>
  <c r="M134" i="18" a="1"/>
  <c r="M134" i="18" s="1"/>
  <c r="M91" i="18" a="1"/>
  <c r="M91" i="18" s="1"/>
  <c r="M105" i="18" a="1"/>
  <c r="M105" i="18" s="1"/>
  <c r="M39" i="18" a="1"/>
  <c r="M39" i="18" s="1"/>
  <c r="M46" i="18" a="1"/>
  <c r="M46" i="18" s="1"/>
  <c r="M27" i="18" a="1"/>
  <c r="M27" i="18" s="1"/>
  <c r="M23" i="18" a="1"/>
  <c r="M23" i="18" s="1"/>
  <c r="M35" i="18" a="1"/>
  <c r="M35" i="18" s="1"/>
  <c r="M295" i="18" a="1"/>
  <c r="M295" i="18" s="1"/>
  <c r="M345" i="18" a="1"/>
  <c r="M345" i="18" s="1"/>
  <c r="M305" i="18" a="1"/>
  <c r="M305" i="18" s="1"/>
  <c r="M268" i="18" a="1"/>
  <c r="M268" i="18" s="1"/>
  <c r="M335" i="18" a="1"/>
  <c r="M335" i="18" s="1"/>
  <c r="M316" i="18" a="1"/>
  <c r="M316" i="18" s="1"/>
  <c r="M331" i="18" a="1"/>
  <c r="M331" i="18" s="1"/>
  <c r="M322" i="18" a="1"/>
  <c r="M322" i="18" s="1"/>
  <c r="M366" i="18" a="1"/>
  <c r="M366" i="18" s="1"/>
  <c r="M378" i="18" a="1"/>
  <c r="M378" i="18" s="1"/>
  <c r="M389" i="18" a="1"/>
  <c r="M389" i="18" s="1"/>
  <c r="M399" i="18" a="1"/>
  <c r="M399" i="18" s="1"/>
  <c r="M348" i="18" a="1"/>
  <c r="M348" i="18" s="1"/>
  <c r="M436" i="18" a="1"/>
  <c r="M436" i="18" s="1"/>
  <c r="M427" i="18" a="1"/>
  <c r="M427" i="18" s="1"/>
  <c r="M401" i="18" a="1"/>
  <c r="M401" i="18" s="1"/>
  <c r="M457" i="18" a="1"/>
  <c r="M457" i="18" s="1"/>
  <c r="M463" i="18" a="1"/>
  <c r="M463" i="18" s="1"/>
  <c r="M460" i="18" a="1"/>
  <c r="M460" i="18" s="1"/>
  <c r="M481" i="18" a="1"/>
  <c r="M481" i="18" s="1"/>
  <c r="M585" i="18" a="1"/>
  <c r="M585" i="18" s="1"/>
  <c r="M524" i="18" a="1"/>
  <c r="M524" i="18" s="1"/>
  <c r="M549" i="18" a="1"/>
  <c r="M549" i="18" s="1"/>
  <c r="M522" i="18" a="1"/>
  <c r="M522" i="18" s="1"/>
  <c r="M551" i="18" a="1"/>
  <c r="M551" i="18" s="1"/>
  <c r="M587" i="18" a="1"/>
  <c r="M587" i="18" s="1"/>
  <c r="M584" i="18" a="1"/>
  <c r="M584" i="18" s="1"/>
  <c r="M556" i="18" a="1"/>
  <c r="M556" i="18" s="1"/>
  <c r="M562" i="18" a="1"/>
  <c r="M562" i="18" s="1"/>
  <c r="M643" i="18" a="1"/>
  <c r="M643" i="18" s="1"/>
  <c r="M603" i="18" a="1"/>
  <c r="M603" i="18" s="1"/>
  <c r="M641" i="18" a="1"/>
  <c r="M641" i="18" s="1"/>
  <c r="M638" i="18" a="1"/>
  <c r="M638" i="18" s="1"/>
  <c r="M191" i="18" a="1"/>
  <c r="M191" i="18" s="1"/>
  <c r="M192" i="18" a="1"/>
  <c r="M192" i="18" s="1"/>
  <c r="M203" i="18" a="1"/>
  <c r="M203" i="18" s="1"/>
  <c r="M151" i="18" a="1"/>
  <c r="M151" i="18" s="1"/>
  <c r="M167" i="18" a="1"/>
  <c r="M167" i="18" s="1"/>
  <c r="M115" i="18" a="1"/>
  <c r="M115" i="18" s="1"/>
  <c r="M130" i="18" a="1"/>
  <c r="M130" i="18" s="1"/>
  <c r="M142" i="18" a="1"/>
  <c r="M142" i="18" s="1"/>
  <c r="M117" i="18" a="1"/>
  <c r="M117" i="18" s="1"/>
  <c r="M113" i="18" a="1"/>
  <c r="M113" i="18" s="1"/>
  <c r="M87" i="18" a="1"/>
  <c r="M87" i="18" s="1"/>
  <c r="M21" i="18" a="1"/>
  <c r="M21" i="18" s="1"/>
  <c r="M34" i="18" a="1"/>
  <c r="M34" i="18" s="1"/>
  <c r="M258" i="18" a="1"/>
  <c r="M258" i="18" s="1"/>
  <c r="M359" i="18" a="1"/>
  <c r="M359" i="18" s="1"/>
  <c r="M240" i="18" a="1"/>
  <c r="M240" i="18" s="1"/>
  <c r="M234" i="18" a="1"/>
  <c r="M234" i="18" s="1"/>
  <c r="M273" i="18" a="1"/>
  <c r="M273" i="18" s="1"/>
  <c r="M352" i="18" a="1"/>
  <c r="M352" i="18" s="1"/>
  <c r="M317" i="18" a="1"/>
  <c r="M317" i="18" s="1"/>
  <c r="M338" i="18" a="1"/>
  <c r="M338" i="18" s="1"/>
  <c r="M330" i="18" a="1"/>
  <c r="M330" i="18" s="1"/>
  <c r="M444" i="18" a="1"/>
  <c r="M444" i="18" s="1"/>
  <c r="M381" i="18" a="1"/>
  <c r="M381" i="18" s="1"/>
  <c r="M455" i="18" a="1"/>
  <c r="M455" i="18" s="1"/>
  <c r="M404" i="18" a="1"/>
  <c r="M404" i="18" s="1"/>
  <c r="M373" i="18" a="1"/>
  <c r="M373" i="18" s="1"/>
  <c r="M451" i="18" a="1"/>
  <c r="M451" i="18" s="1"/>
  <c r="M429" i="18" a="1"/>
  <c r="M429" i="18" s="1"/>
  <c r="M403" i="18" a="1"/>
  <c r="M403" i="18" s="1"/>
  <c r="M465" i="18" a="1"/>
  <c r="M465" i="18" s="1"/>
  <c r="M470" i="18" a="1"/>
  <c r="M470" i="18" s="1"/>
  <c r="M466" i="18" a="1"/>
  <c r="M466" i="18" s="1"/>
  <c r="M495" i="18" a="1"/>
  <c r="M495" i="18" s="1"/>
  <c r="M487" i="18" a="1"/>
  <c r="M487" i="18" s="1"/>
  <c r="M533" i="18" a="1"/>
  <c r="M533" i="18" s="1"/>
  <c r="M575" i="18" a="1"/>
  <c r="M575" i="18" s="1"/>
  <c r="M525" i="18" a="1"/>
  <c r="M525" i="18" s="1"/>
  <c r="M588" i="18" a="1"/>
  <c r="M588" i="18" s="1"/>
  <c r="M592" i="18" a="1"/>
  <c r="M592" i="18" s="1"/>
  <c r="M615" i="18" a="1"/>
  <c r="M615" i="18" s="1"/>
  <c r="M583" i="18" a="1"/>
  <c r="M583" i="18" s="1"/>
  <c r="M564" i="18" a="1"/>
  <c r="M564" i="18" s="1"/>
  <c r="M595" i="18" a="1"/>
  <c r="M595" i="18" s="1"/>
  <c r="M613" i="18" a="1"/>
  <c r="M613" i="18" s="1"/>
  <c r="M644" i="18" a="1"/>
  <c r="M644" i="18" s="1"/>
  <c r="M640" i="18" a="1"/>
  <c r="M640" i="18" s="1"/>
  <c r="M193" i="18" a="1"/>
  <c r="M193" i="18" s="1"/>
  <c r="M194" i="18" a="1"/>
  <c r="M194" i="18" s="1"/>
  <c r="M222" i="18" a="1"/>
  <c r="M222" i="18" s="1"/>
  <c r="M150" i="18" a="1"/>
  <c r="M150" i="18" s="1"/>
  <c r="M175" i="18" a="1"/>
  <c r="M175" i="18" s="1"/>
  <c r="M119" i="18" a="1"/>
  <c r="M119" i="18" s="1"/>
  <c r="M140" i="18" a="1"/>
  <c r="M140" i="18" s="1"/>
  <c r="M138" i="18" a="1"/>
  <c r="M138" i="18" s="1"/>
  <c r="M133" i="18" a="1"/>
  <c r="M133" i="18" s="1"/>
  <c r="M90" i="18" a="1"/>
  <c r="M90" i="18" s="1"/>
  <c r="M96" i="18" a="1"/>
  <c r="M96" i="18" s="1"/>
  <c r="M60" i="18" a="1"/>
  <c r="M60" i="18" s="1"/>
  <c r="M57" i="18" a="1"/>
  <c r="M57" i="18" s="1"/>
  <c r="M65" i="18" a="1"/>
  <c r="M65" i="18" s="1"/>
  <c r="M47" i="18" a="1"/>
  <c r="M47" i="18" s="1"/>
  <c r="M55" i="18" a="1"/>
  <c r="M55" i="18" s="1"/>
  <c r="M17" i="18" a="1"/>
  <c r="M17" i="18" s="1"/>
  <c r="M22" i="18" a="1"/>
  <c r="M22" i="18" s="1"/>
  <c r="M24" i="18" a="1"/>
  <c r="M24" i="18" s="1"/>
  <c r="M270" i="18" a="1"/>
  <c r="M270" i="18" s="1"/>
  <c r="M254" i="18" a="1"/>
  <c r="M254" i="18" s="1"/>
  <c r="M255" i="18" a="1"/>
  <c r="M255" i="18" s="1"/>
  <c r="M241" i="18" a="1"/>
  <c r="M241" i="18" s="1"/>
  <c r="M237" i="18" a="1"/>
  <c r="M237" i="18" s="1"/>
  <c r="M274" i="18" a="1"/>
  <c r="M274" i="18" s="1"/>
  <c r="M302" i="18" a="1"/>
  <c r="M302" i="18" s="1"/>
  <c r="M323" i="18" a="1"/>
  <c r="M323" i="18" s="1"/>
  <c r="M339" i="18" a="1"/>
  <c r="M339" i="18" s="1"/>
  <c r="M332" i="18" a="1"/>
  <c r="M332" i="18" s="1"/>
  <c r="M472" i="18" a="1"/>
  <c r="M472" i="18" s="1"/>
  <c r="M382" i="18" a="1"/>
  <c r="M382" i="18" s="1"/>
  <c r="M370" i="18" a="1"/>
  <c r="M370" i="18" s="1"/>
  <c r="M408" i="18" a="1"/>
  <c r="M408" i="18" s="1"/>
  <c r="M374" i="18" a="1"/>
  <c r="M374" i="18" s="1"/>
  <c r="M394" i="18" a="1"/>
  <c r="M394" i="18" s="1"/>
  <c r="M431" i="18" a="1"/>
  <c r="M431" i="18" s="1"/>
  <c r="M405" i="18" a="1"/>
  <c r="M405" i="18" s="1"/>
  <c r="M456" i="18" a="1"/>
  <c r="M456" i="18" s="1"/>
  <c r="M476" i="18" a="1"/>
  <c r="M476" i="18" s="1"/>
  <c r="M482" i="18" a="1"/>
  <c r="M482" i="18" s="1"/>
  <c r="M504" i="18" a="1"/>
  <c r="M504" i="18" s="1"/>
  <c r="M501" i="18" a="1"/>
  <c r="M501" i="18" s="1"/>
  <c r="M535" i="18" a="1"/>
  <c r="M535" i="18" s="1"/>
  <c r="M586" i="18" a="1"/>
  <c r="M586" i="18" s="1"/>
  <c r="M532" i="18" a="1"/>
  <c r="M532" i="18" s="1"/>
  <c r="M509" i="18" a="1"/>
  <c r="M509" i="18" s="1"/>
  <c r="M601" i="18" a="1"/>
  <c r="M601" i="18" s="1"/>
  <c r="M566" i="18" a="1"/>
  <c r="M566" i="18" s="1"/>
  <c r="M594" i="18" a="1"/>
  <c r="M594" i="18" s="1"/>
  <c r="M568" i="18" a="1"/>
  <c r="M568" i="18" s="1"/>
  <c r="M604" i="18" a="1"/>
  <c r="M604" i="18" s="1"/>
  <c r="M616" i="18" a="1"/>
  <c r="M616" i="18" s="1"/>
  <c r="M625" i="18" a="1"/>
  <c r="M625" i="18" s="1"/>
  <c r="M649" i="18" a="1"/>
  <c r="M649" i="18" s="1"/>
  <c r="M179" i="18" a="1"/>
  <c r="M179" i="18" s="1"/>
  <c r="M202" i="18" a="1"/>
  <c r="M202" i="18" s="1"/>
  <c r="M149" i="18" a="1"/>
  <c r="M149" i="18" s="1"/>
  <c r="M158" i="18" a="1"/>
  <c r="M158" i="18" s="1"/>
  <c r="M123" i="18" a="1"/>
  <c r="M123" i="18" s="1"/>
  <c r="M129" i="18" a="1"/>
  <c r="M129" i="18" s="1"/>
  <c r="M141" i="18" a="1"/>
  <c r="M141" i="18" s="1"/>
  <c r="M89" i="18" a="1"/>
  <c r="M89" i="18" s="1"/>
  <c r="M104" i="18" a="1"/>
  <c r="M104" i="18" s="1"/>
  <c r="M61" i="18" a="1"/>
  <c r="M61" i="18" s="1"/>
  <c r="M42" i="18" a="1"/>
  <c r="M42" i="18" s="1"/>
  <c r="M51" i="18" a="1"/>
  <c r="M51" i="18" s="1"/>
  <c r="M32" i="18" a="1"/>
  <c r="M32" i="18" s="1"/>
  <c r="M259" i="18" a="1"/>
  <c r="M259" i="18" s="1"/>
  <c r="M242" i="18" a="1"/>
  <c r="M242" i="18" s="1"/>
  <c r="M243" i="18" a="1"/>
  <c r="M243" i="18" s="1"/>
  <c r="M278" i="18" a="1"/>
  <c r="M278" i="18" s="1"/>
  <c r="M320" i="18" a="1"/>
  <c r="M320" i="18" s="1"/>
  <c r="M337" i="18" a="1"/>
  <c r="M337" i="18" s="1"/>
  <c r="M353" i="18" a="1"/>
  <c r="M353" i="18" s="1"/>
  <c r="M358" i="18" a="1"/>
  <c r="M358" i="18" s="1"/>
  <c r="M319" i="18" a="1"/>
  <c r="M319" i="18" s="1"/>
  <c r="M387" i="18" a="1"/>
  <c r="M387" i="18" s="1"/>
  <c r="M409" i="18" a="1"/>
  <c r="M409" i="18" s="1"/>
  <c r="M417" i="18" a="1"/>
  <c r="M417" i="18" s="1"/>
  <c r="M380" i="18" a="1"/>
  <c r="M380" i="18" s="1"/>
  <c r="M396" i="18" a="1"/>
  <c r="M396" i="18" s="1"/>
  <c r="M440" i="18" a="1"/>
  <c r="M440" i="18" s="1"/>
  <c r="M412" i="18" a="1"/>
  <c r="M412" i="18" s="1"/>
  <c r="M459" i="18" a="1"/>
  <c r="M459" i="18" s="1"/>
  <c r="M462" i="18" a="1"/>
  <c r="M462" i="18" s="1"/>
  <c r="M480" i="18" a="1"/>
  <c r="M480" i="18" s="1"/>
  <c r="M517" i="18" a="1"/>
  <c r="M517" i="18" s="1"/>
  <c r="M478" i="18" a="1"/>
  <c r="M478" i="18" s="1"/>
  <c r="M537" i="18" a="1"/>
  <c r="M537" i="18" s="1"/>
  <c r="M526" i="18" a="1"/>
  <c r="M526" i="18" s="1"/>
  <c r="M542" i="18" a="1"/>
  <c r="M542" i="18" s="1"/>
  <c r="M510" i="18" a="1"/>
  <c r="M510" i="18" s="1"/>
  <c r="M611" i="18" a="1"/>
  <c r="M611" i="18" s="1"/>
  <c r="M574" i="18" a="1"/>
  <c r="M574" i="18" s="1"/>
  <c r="M623" i="18" a="1"/>
  <c r="M623" i="18" s="1"/>
  <c r="M570" i="18" a="1"/>
  <c r="M570" i="18" s="1"/>
  <c r="M609" i="18" a="1"/>
  <c r="M609" i="18" s="1"/>
  <c r="M621" i="18" a="1"/>
  <c r="M621" i="18" s="1"/>
  <c r="M642" i="18" a="1"/>
  <c r="M642" i="18" s="1"/>
  <c r="M651" i="18" a="1"/>
  <c r="M651" i="18" s="1"/>
  <c r="M209" i="18" a="1"/>
  <c r="M209" i="18" s="1"/>
  <c r="M187" i="18" a="1"/>
  <c r="M187" i="18" s="1"/>
  <c r="M190" i="18" a="1"/>
  <c r="M190" i="18" s="1"/>
  <c r="M163" i="18" a="1"/>
  <c r="M163" i="18" s="1"/>
  <c r="M166" i="18" a="1"/>
  <c r="M166" i="18" s="1"/>
  <c r="M137" i="18" a="1"/>
  <c r="M137" i="18" s="1"/>
  <c r="M118" i="18" a="1"/>
  <c r="M118" i="18" s="1"/>
  <c r="M94" i="18" a="1"/>
  <c r="M94" i="18" s="1"/>
  <c r="M88" i="18" a="1"/>
  <c r="M88" i="18" s="1"/>
  <c r="M112" i="18" a="1"/>
  <c r="M112" i="18" s="1"/>
  <c r="M62" i="18" a="1"/>
  <c r="M62" i="18" s="1"/>
  <c r="M59" i="18" a="1"/>
  <c r="M59" i="18" s="1"/>
  <c r="M45" i="18" a="1"/>
  <c r="M45" i="18" s="1"/>
  <c r="M48" i="18" a="1"/>
  <c r="M48" i="18" s="1"/>
  <c r="M54" i="18" a="1"/>
  <c r="M54" i="18" s="1"/>
  <c r="M25" i="18" a="1"/>
  <c r="M25" i="18" s="1"/>
  <c r="M31" i="18" a="1"/>
  <c r="M31" i="18" s="1"/>
  <c r="M279" i="18" a="1"/>
  <c r="M279" i="18" s="1"/>
  <c r="M324" i="18" a="1"/>
  <c r="M324" i="18" s="1"/>
  <c r="M343" i="18" a="1"/>
  <c r="M343" i="18" s="1"/>
  <c r="M355" i="18" a="1"/>
  <c r="M355" i="18" s="1"/>
  <c r="M418" i="18" a="1"/>
  <c r="M418" i="18" s="1"/>
  <c r="M334" i="18" a="1"/>
  <c r="M334" i="18" s="1"/>
  <c r="M397" i="18" a="1"/>
  <c r="M397" i="18" s="1"/>
  <c r="M445" i="18" a="1"/>
  <c r="M445" i="18" s="1"/>
  <c r="M434" i="18" a="1"/>
  <c r="M434" i="18" s="1"/>
  <c r="M386" i="18" a="1"/>
  <c r="M386" i="18" s="1"/>
  <c r="M428" i="18" a="1"/>
  <c r="M428" i="18" s="1"/>
  <c r="M441" i="18" a="1"/>
  <c r="M441" i="18" s="1"/>
  <c r="M421" i="18" a="1"/>
  <c r="M421" i="18" s="1"/>
  <c r="M468" i="18" a="1"/>
  <c r="M468" i="18" s="1"/>
  <c r="M473" i="18" a="1"/>
  <c r="M473" i="18" s="1"/>
  <c r="M485" i="18" a="1"/>
  <c r="M485" i="18" s="1"/>
  <c r="M545" i="18" a="1"/>
  <c r="M545" i="18" s="1"/>
  <c r="M479" i="18" a="1"/>
  <c r="M479" i="18" s="1"/>
  <c r="M557" i="18" a="1"/>
  <c r="M557" i="18" s="1"/>
  <c r="M529" i="18" a="1"/>
  <c r="M529" i="18" s="1"/>
  <c r="M593" i="18" a="1"/>
  <c r="M593" i="18" s="1"/>
  <c r="M531" i="18" a="1"/>
  <c r="M531" i="18" s="1"/>
  <c r="M539" i="18" a="1"/>
  <c r="M539" i="18" s="1"/>
  <c r="M576" i="18" a="1"/>
  <c r="M576" i="18" s="1"/>
  <c r="M541" i="18" a="1"/>
  <c r="M541" i="18" s="1"/>
  <c r="M577" i="18" a="1"/>
  <c r="M577" i="18" s="1"/>
  <c r="M612" i="18" a="1"/>
  <c r="M612" i="18" s="1"/>
  <c r="M618" i="18" a="1"/>
  <c r="M618" i="18" s="1"/>
  <c r="M619" i="18" a="1"/>
  <c r="M619" i="18" s="1"/>
  <c r="M648" i="18" a="1"/>
  <c r="M648" i="18" s="1"/>
  <c r="M227" i="18" a="1"/>
  <c r="M227" i="18" s="1"/>
  <c r="M178" i="18" a="1"/>
  <c r="M178" i="18" s="1"/>
  <c r="M198" i="18" a="1"/>
  <c r="M198" i="18" s="1"/>
  <c r="M148" i="18" a="1"/>
  <c r="M148" i="18" s="1"/>
  <c r="M174" i="18" a="1"/>
  <c r="M174" i="18" s="1"/>
  <c r="M121" i="18" a="1"/>
  <c r="M121" i="18" s="1"/>
  <c r="M128" i="18" a="1"/>
  <c r="M128" i="18" s="1"/>
  <c r="M95" i="18" a="1"/>
  <c r="M95" i="18" s="1"/>
  <c r="M100" i="18" a="1"/>
  <c r="M100" i="18" s="1"/>
  <c r="M103" i="18" a="1"/>
  <c r="M103" i="18" s="1"/>
  <c r="M63" i="18" a="1"/>
  <c r="M63" i="18" s="1"/>
  <c r="M49" i="18" a="1"/>
  <c r="M49" i="18" s="1"/>
  <c r="M44" i="18" a="1"/>
  <c r="M44" i="18" s="1"/>
  <c r="M30" i="18" a="1"/>
  <c r="M30" i="18" s="1"/>
  <c r="M292" i="18" a="1"/>
  <c r="M292" i="18" s="1"/>
  <c r="M326" i="18" a="1"/>
  <c r="M326" i="18" s="1"/>
  <c r="M376" i="18" a="1"/>
  <c r="M376" i="18" s="1"/>
  <c r="M360" i="18" a="1"/>
  <c r="M360" i="18" s="1"/>
  <c r="M312" i="18" a="1"/>
  <c r="M312" i="18" s="1"/>
  <c r="M340" i="18" a="1"/>
  <c r="M340" i="18" s="1"/>
  <c r="M443" i="18" a="1"/>
  <c r="M443" i="18" s="1"/>
  <c r="M351" i="18" a="1"/>
  <c r="M351" i="18" s="1"/>
  <c r="M347" i="18" a="1"/>
  <c r="M347" i="18" s="1"/>
  <c r="M414" i="18" a="1"/>
  <c r="M414" i="18" s="1"/>
  <c r="M430" i="18" a="1"/>
  <c r="M430" i="18" s="1"/>
  <c r="M419" i="18" a="1"/>
  <c r="M419" i="18" s="1"/>
  <c r="M423" i="18" a="1"/>
  <c r="M423" i="18" s="1"/>
  <c r="M469" i="18" a="1"/>
  <c r="M469" i="18" s="1"/>
  <c r="M474" i="18" a="1"/>
  <c r="M474" i="18" s="1"/>
  <c r="M490" i="18" a="1"/>
  <c r="M490" i="18" s="1"/>
  <c r="M484" i="18" a="1"/>
  <c r="M484" i="18" s="1"/>
  <c r="M523" i="18" a="1"/>
  <c r="M523" i="18" s="1"/>
  <c r="M507" i="18" a="1"/>
  <c r="M507" i="18" s="1"/>
  <c r="M540" i="18" a="1"/>
  <c r="M540" i="18" s="1"/>
  <c r="M610" i="18" a="1"/>
  <c r="M610" i="18" s="1"/>
  <c r="M536" i="18" a="1"/>
  <c r="M536" i="18" s="1"/>
  <c r="M543" i="18" a="1"/>
  <c r="M543" i="18" s="1"/>
  <c r="M578" i="18" a="1"/>
  <c r="M578" i="18" s="1"/>
  <c r="M552" i="18" a="1"/>
  <c r="M552" i="18" s="1"/>
  <c r="M590" i="18" a="1"/>
  <c r="M590" i="18" s="1"/>
  <c r="M620" i="18" a="1"/>
  <c r="M620" i="18" s="1"/>
  <c r="M622" i="18" a="1"/>
  <c r="M622" i="18" s="1"/>
  <c r="M624" i="18" a="1"/>
  <c r="M624" i="18" s="1"/>
  <c r="M646" i="18" a="1"/>
  <c r="M646" i="18" s="1"/>
  <c r="M249" i="18" a="1"/>
  <c r="M249" i="18" s="1"/>
  <c r="M213" i="18" a="1"/>
  <c r="M213" i="18" s="1"/>
  <c r="M186" i="18" a="1"/>
  <c r="M186" i="18" s="1"/>
  <c r="M206" i="18" a="1"/>
  <c r="M206" i="18" s="1"/>
  <c r="M147" i="18" a="1"/>
  <c r="M147" i="18" s="1"/>
  <c r="M162" i="18" a="1"/>
  <c r="M162" i="18" s="1"/>
  <c r="M157" i="18" a="1"/>
  <c r="M157" i="18" s="1"/>
  <c r="M136" i="18" a="1"/>
  <c r="M136" i="18" s="1"/>
  <c r="M101" i="18" a="1"/>
  <c r="M101" i="18" s="1"/>
  <c r="M108" i="18" a="1"/>
  <c r="M108" i="18" s="1"/>
  <c r="M111" i="18" a="1"/>
  <c r="M111" i="18" s="1"/>
  <c r="M71" i="18" a="1"/>
  <c r="M71" i="18" s="1"/>
  <c r="M50" i="18" a="1"/>
  <c r="M50" i="18" s="1"/>
  <c r="M12" i="18" a="1"/>
  <c r="M12" i="18" s="1"/>
  <c r="M26" i="18" a="1"/>
  <c r="M26" i="18" s="1"/>
  <c r="M38" i="18" a="1"/>
  <c r="M38" i="18" s="1"/>
  <c r="M297" i="18" a="1"/>
  <c r="M297" i="18" s="1"/>
  <c r="M290" i="18" a="1"/>
  <c r="M290" i="18" s="1"/>
  <c r="M257" i="18" a="1"/>
  <c r="M257" i="18" s="1"/>
  <c r="M261" i="18" a="1"/>
  <c r="M261" i="18" s="1"/>
  <c r="M263" i="18" a="1"/>
  <c r="M263" i="18" s="1"/>
  <c r="M363" i="18" a="1"/>
  <c r="M363" i="18" s="1"/>
  <c r="M385" i="18" a="1"/>
  <c r="M385" i="18" s="1"/>
  <c r="M364" i="18" a="1"/>
  <c r="M364" i="18" s="1"/>
  <c r="M313" i="18" a="1"/>
  <c r="M313" i="18" s="1"/>
  <c r="M341" i="18" a="1"/>
  <c r="M341" i="18" s="1"/>
  <c r="M344" i="18" a="1"/>
  <c r="M344" i="18" s="1"/>
  <c r="M368" i="18" a="1"/>
  <c r="M368" i="18" s="1"/>
  <c r="M349" i="18" a="1"/>
  <c r="M349" i="18" s="1"/>
  <c r="M392" i="18" a="1"/>
  <c r="M392" i="18" s="1"/>
  <c r="M438" i="18" a="1"/>
  <c r="M438" i="18" s="1"/>
  <c r="M422" i="18" a="1"/>
  <c r="M422" i="18" s="1"/>
  <c r="M424" i="18" a="1"/>
  <c r="M424" i="18" s="1"/>
  <c r="M475" i="18" a="1"/>
  <c r="M475" i="18" s="1"/>
  <c r="M446" i="18" a="1"/>
  <c r="M446" i="18" s="1"/>
  <c r="M506" i="18" a="1"/>
  <c r="M506" i="18" s="1"/>
  <c r="M488" i="18" a="1"/>
  <c r="M488" i="18" s="1"/>
  <c r="M534" i="18" a="1"/>
  <c r="M534" i="18" s="1"/>
  <c r="M512" i="18" a="1"/>
  <c r="M512" i="18" s="1"/>
  <c r="M548" i="18" a="1"/>
  <c r="M548" i="18" s="1"/>
  <c r="M494" i="18" a="1"/>
  <c r="M494" i="18" s="1"/>
  <c r="M555" i="18" a="1"/>
  <c r="M555" i="18" s="1"/>
  <c r="M558" i="18" a="1"/>
  <c r="M558" i="18" s="1"/>
  <c r="M579" i="18" a="1"/>
  <c r="M579" i="18" s="1"/>
  <c r="M554" i="18" a="1"/>
  <c r="M554" i="18" s="1"/>
  <c r="M599" i="18" a="1"/>
  <c r="M599" i="18" s="1"/>
  <c r="M617" i="18" a="1"/>
  <c r="M617" i="18" s="1"/>
  <c r="M631" i="18" a="1"/>
  <c r="M631" i="18" s="1"/>
  <c r="M626" i="18" a="1"/>
  <c r="M626" i="18" s="1"/>
  <c r="M647" i="18" a="1"/>
  <c r="M647" i="18" s="1"/>
  <c r="M219" i="18" a="1"/>
  <c r="M219" i="18" s="1"/>
  <c r="M199" i="18" a="1"/>
  <c r="M199" i="18" s="1"/>
  <c r="M197" i="18" a="1"/>
  <c r="M197" i="18" s="1"/>
  <c r="M154" i="18" a="1"/>
  <c r="M154" i="18" s="1"/>
  <c r="M155" i="18" a="1"/>
  <c r="M155" i="18" s="1"/>
  <c r="M170" i="18" a="1"/>
  <c r="M170" i="18" s="1"/>
  <c r="M165" i="18" a="1"/>
  <c r="M165" i="18" s="1"/>
  <c r="M120" i="18" a="1"/>
  <c r="M120" i="18" s="1"/>
  <c r="M144" i="18" a="1"/>
  <c r="M144" i="18" s="1"/>
  <c r="M99" i="18" a="1"/>
  <c r="M99" i="18" s="1"/>
  <c r="M102" i="18" a="1"/>
  <c r="M102" i="18" s="1"/>
  <c r="M64" i="18" a="1"/>
  <c r="M64" i="18" s="1"/>
  <c r="M69" i="18" a="1"/>
  <c r="M69" i="18" s="1"/>
  <c r="M125" i="18" a="1"/>
  <c r="M125" i="18" s="1"/>
  <c r="M53" i="18" a="1"/>
  <c r="M53" i="18" s="1"/>
  <c r="M33" i="18" a="1"/>
  <c r="M33" i="18" s="1"/>
  <c r="M29" i="18" a="1"/>
  <c r="M29" i="18" s="1"/>
  <c r="M11" i="18" a="1"/>
  <c r="M11" i="18" s="1"/>
  <c r="M13" i="18" a="1"/>
  <c r="M13" i="18" s="1"/>
  <c r="M16" i="18" a="1"/>
  <c r="M16" i="18" s="1"/>
  <c r="M294" i="18" a="1"/>
  <c r="M294" i="18" s="1"/>
  <c r="M265" i="18" a="1"/>
  <c r="M265" i="18" s="1"/>
  <c r="M272" i="18" a="1"/>
  <c r="M272" i="18" s="1"/>
  <c r="M269" i="18" a="1"/>
  <c r="M269" i="18" s="1"/>
  <c r="M384" i="18" a="1"/>
  <c r="M384" i="18" s="1"/>
  <c r="M299" i="18" a="1"/>
  <c r="M299" i="18" s="1"/>
  <c r="M371" i="18" a="1"/>
  <c r="M371" i="18" s="1"/>
  <c r="M318" i="18" a="1"/>
  <c r="M318" i="18" s="1"/>
  <c r="M350" i="18" a="1"/>
  <c r="M350" i="18" s="1"/>
  <c r="M354" i="18" a="1"/>
  <c r="M354" i="18" s="1"/>
  <c r="M369" i="18" a="1"/>
  <c r="M369" i="18" s="1"/>
  <c r="M372" i="18" a="1"/>
  <c r="M372" i="18" s="1"/>
  <c r="M413" i="18" a="1"/>
  <c r="M413" i="18" s="1"/>
  <c r="M439" i="18" a="1"/>
  <c r="M439" i="18" s="1"/>
  <c r="M435" i="18" a="1"/>
  <c r="M435" i="18" s="1"/>
  <c r="M425" i="18" a="1"/>
  <c r="M425" i="18" s="1"/>
  <c r="M454" i="18" a="1"/>
  <c r="M454" i="18" s="1"/>
  <c r="M447" i="18" a="1"/>
  <c r="M447" i="18" s="1"/>
  <c r="M516" i="18" a="1"/>
  <c r="M516" i="18" s="1"/>
  <c r="M491" i="18" a="1"/>
  <c r="M491" i="18" s="1"/>
  <c r="M550" i="18" a="1"/>
  <c r="M550" i="18" s="1"/>
  <c r="M513" i="18" a="1"/>
  <c r="M513" i="18" s="1"/>
  <c r="M499" i="18" a="1"/>
  <c r="M499" i="18" s="1"/>
  <c r="M498" i="18" a="1"/>
  <c r="M498" i="18" s="1"/>
  <c r="M589" i="18" a="1"/>
  <c r="M589" i="18" s="1"/>
  <c r="M559" i="18" a="1"/>
  <c r="M559" i="18" s="1"/>
  <c r="M580" i="18" a="1"/>
  <c r="M580" i="18" s="1"/>
  <c r="M560" i="18" a="1"/>
  <c r="M560" i="18" s="1"/>
  <c r="M596" i="18" a="1"/>
  <c r="M596" i="18" s="1"/>
  <c r="M602" i="18" a="1"/>
  <c r="M602" i="18" s="1"/>
  <c r="M652" i="18" a="1"/>
  <c r="M652" i="18" s="1"/>
  <c r="M635" i="18" a="1"/>
  <c r="M635" i="18" s="1"/>
  <c r="M650" i="18" a="1"/>
  <c r="M650" i="18" s="1"/>
  <c r="M248" i="18" a="1"/>
  <c r="M248" i="18" s="1"/>
  <c r="M221" i="18" a="1"/>
  <c r="M221" i="18" s="1"/>
  <c r="M185" i="18" a="1"/>
  <c r="M185" i="18" s="1"/>
  <c r="M205" i="18" a="1"/>
  <c r="M205" i="18" s="1"/>
  <c r="M145" i="18" a="1"/>
  <c r="M145" i="18" s="1"/>
  <c r="M161" i="18" a="1"/>
  <c r="M161" i="18" s="1"/>
  <c r="M173" i="18" a="1"/>
  <c r="M173" i="18" s="1"/>
  <c r="M114" i="18" a="1"/>
  <c r="M114" i="18" s="1"/>
  <c r="M127" i="18" a="1"/>
  <c r="M127" i="18" s="1"/>
  <c r="M116" i="18" a="1"/>
  <c r="M116" i="18" s="1"/>
  <c r="M93" i="18" a="1"/>
  <c r="M93" i="18" s="1"/>
  <c r="M107" i="18" a="1"/>
  <c r="M107" i="18" s="1"/>
  <c r="M110" i="18" a="1"/>
  <c r="M110" i="18" s="1"/>
  <c r="M66" i="18" a="1"/>
  <c r="M66" i="18" s="1"/>
  <c r="M41" i="18" a="1"/>
  <c r="M41" i="18" s="1"/>
  <c r="M19" i="18" a="1"/>
  <c r="M19" i="18" s="1"/>
  <c r="M37" i="18" a="1"/>
  <c r="M37" i="18" s="1"/>
  <c r="M211" i="18" a="1"/>
  <c r="M211" i="18" s="1"/>
  <c r="M311" i="18" a="1"/>
  <c r="M311" i="18" s="1"/>
  <c r="M277" i="18" a="1"/>
  <c r="M277" i="18" s="1"/>
  <c r="M287" i="18" a="1"/>
  <c r="M287" i="18" s="1"/>
  <c r="M275" i="18" a="1"/>
  <c r="M275" i="18" s="1"/>
  <c r="M298" i="18" a="1"/>
  <c r="M298" i="18" s="1"/>
  <c r="M315" i="18" a="1"/>
  <c r="M315" i="18" s="1"/>
  <c r="M296" i="18" a="1"/>
  <c r="M296" i="18" s="1"/>
  <c r="M325" i="18" a="1"/>
  <c r="M325" i="18" s="1"/>
  <c r="M367" i="18" a="1"/>
  <c r="M367" i="18" s="1"/>
  <c r="M356" i="18" a="1"/>
  <c r="M356" i="18" s="1"/>
  <c r="M375" i="18" a="1"/>
  <c r="M375" i="18" s="1"/>
  <c r="M383" i="18" a="1"/>
  <c r="M383" i="18" s="1"/>
  <c r="M449" i="18" a="1"/>
  <c r="M449" i="18" s="1"/>
  <c r="M402" i="18" a="1"/>
  <c r="M402" i="18" s="1"/>
  <c r="M437" i="18" a="1"/>
  <c r="M437" i="18" s="1"/>
  <c r="M432" i="18" a="1"/>
  <c r="M432" i="18" s="1"/>
  <c r="M461" i="18" a="1"/>
  <c r="M461" i="18" s="1"/>
  <c r="M458" i="18" a="1"/>
  <c r="M458" i="18" s="1"/>
  <c r="M492" i="18" a="1"/>
  <c r="M492" i="18" s="1"/>
  <c r="M477" i="18" a="1"/>
  <c r="M477" i="18" s="1"/>
  <c r="M567" i="18" a="1"/>
  <c r="M567" i="18" s="1"/>
  <c r="M520" i="18" a="1"/>
  <c r="M520" i="18" s="1"/>
  <c r="M500" i="18" a="1"/>
  <c r="M500" i="18" s="1"/>
  <c r="M511" i="18" a="1"/>
  <c r="M511" i="18" s="1"/>
  <c r="M544" i="18" a="1"/>
  <c r="M544" i="18" s="1"/>
  <c r="M563" i="18" a="1"/>
  <c r="M563" i="18" s="1"/>
  <c r="M581" i="18" a="1"/>
  <c r="M581" i="18" s="1"/>
  <c r="M572" i="18" a="1"/>
  <c r="M572" i="18" s="1"/>
  <c r="M597" i="18" a="1"/>
  <c r="M597" i="18" s="1"/>
  <c r="M606" i="18" a="1"/>
  <c r="M606" i="18" s="1"/>
  <c r="M627" i="18" a="1"/>
  <c r="M627" i="18" s="1"/>
  <c r="M637" i="18" a="1"/>
  <c r="M637" i="18" s="1"/>
  <c r="M653" i="18" a="1"/>
  <c r="M653" i="18" s="1"/>
  <c r="M212" i="18" a="1"/>
  <c r="M212" i="18" s="1"/>
  <c r="M176" i="18" a="1"/>
  <c r="M176" i="18" s="1"/>
  <c r="M188" i="18" a="1"/>
  <c r="M188" i="18" s="1"/>
  <c r="M181" i="18" a="1"/>
  <c r="M181" i="18" s="1"/>
  <c r="M153" i="18" a="1"/>
  <c r="M153" i="18" s="1"/>
  <c r="M169" i="18" a="1"/>
  <c r="M169" i="18" s="1"/>
  <c r="M164" i="18" a="1"/>
  <c r="M164" i="18" s="1"/>
  <c r="M135" i="18" a="1"/>
  <c r="M135" i="18" s="1"/>
  <c r="M92" i="18" a="1"/>
  <c r="M92" i="18" s="1"/>
  <c r="M98" i="18" a="1"/>
  <c r="M98" i="18" s="1"/>
  <c r="M124" i="18" a="1"/>
  <c r="M124" i="18" s="1"/>
  <c r="M68" i="18" a="1"/>
  <c r="M68" i="18" s="1"/>
  <c r="M43" i="18" a="1"/>
  <c r="M43" i="18" s="1"/>
  <c r="M52" i="18" a="1"/>
  <c r="M52" i="18" s="1"/>
  <c r="M14" i="18" a="1"/>
  <c r="M14" i="18" s="1"/>
  <c r="M20" i="18" a="1"/>
  <c r="M20" i="18" s="1"/>
  <c r="C2" i="25" a="1"/>
  <c r="C2" i="25" s="1"/>
  <c r="D2" i="25" a="1"/>
  <c r="D2" i="25" s="1"/>
  <c r="AS2" i="25" a="1"/>
  <c r="AS2" i="25" s="1"/>
  <c r="N2" i="25" a="1"/>
  <c r="N2" i="25" s="1"/>
  <c r="U2" i="25" a="1"/>
  <c r="U2" i="25" s="1"/>
  <c r="AW2" i="25" a="1"/>
  <c r="AW2" i="25" s="1"/>
  <c r="R2" i="25" a="1"/>
  <c r="R2" i="25" s="1"/>
  <c r="O2" i="25" a="1"/>
  <c r="O2" i="25" s="1"/>
  <c r="M2" i="25" a="1"/>
  <c r="M2" i="25" s="1"/>
  <c r="T2" i="25" a="1"/>
  <c r="T2" i="25" s="1"/>
  <c r="B2" i="25" l="1" a="1"/>
  <c r="B2" i="25" s="1"/>
  <c r="AG48" i="18" a="1"/>
  <c r="AG48" i="18" s="1"/>
  <c r="AH48" i="18" s="1"/>
  <c r="AC48" i="18" a="1"/>
  <c r="AC48" i="18" s="1"/>
  <c r="AD48" i="18" s="1"/>
  <c r="AG69" i="18" a="1"/>
  <c r="AG69" i="18" s="1"/>
  <c r="AH69" i="18" s="1"/>
  <c r="AC69" i="18" a="1"/>
  <c r="AC69" i="18" s="1"/>
  <c r="AD69" i="18" s="1"/>
  <c r="AC59" i="18" a="1"/>
  <c r="AC59" i="18" s="1"/>
  <c r="AD59" i="18" s="1"/>
  <c r="AG59" i="18" a="1"/>
  <c r="AG59" i="18" s="1"/>
  <c r="AH59" i="18" s="1"/>
  <c r="AC87" i="18" a="1"/>
  <c r="AC87" i="18" s="1"/>
  <c r="AD87" i="18" s="1"/>
  <c r="AG87" i="18" a="1"/>
  <c r="AG87" i="18" s="1"/>
  <c r="AH87" i="18" s="1"/>
  <c r="AC51" i="18" a="1"/>
  <c r="AC51" i="18" s="1"/>
  <c r="AD51" i="18" s="1"/>
  <c r="AG51" i="18" a="1"/>
  <c r="AG51" i="18" s="1"/>
  <c r="AH51" i="18" s="1"/>
  <c r="P24" i="18"/>
  <c r="AC24" i="18" a="1"/>
  <c r="AC24" i="18" s="1"/>
  <c r="AD24" i="18" s="1"/>
  <c r="AG24" i="18" a="1"/>
  <c r="AG24" i="18" s="1"/>
  <c r="AH24" i="18" s="1"/>
  <c r="P4" i="18"/>
  <c r="AG4" i="18" a="1"/>
  <c r="AG4" i="18" s="1"/>
  <c r="AH4" i="18" s="1"/>
  <c r="AC4" i="18" a="1"/>
  <c r="AC4" i="18" s="1"/>
  <c r="AD4" i="18" s="1"/>
  <c r="AG42" i="18" a="1"/>
  <c r="AG42" i="18" s="1"/>
  <c r="AH42" i="18" s="1"/>
  <c r="AC42" i="18" a="1"/>
  <c r="AC42" i="18" s="1"/>
  <c r="AD42" i="18" s="1"/>
  <c r="P15" i="18"/>
  <c r="AG15" i="18" a="1"/>
  <c r="AG15" i="18" s="1"/>
  <c r="AH15" i="18" s="1"/>
  <c r="AC15" i="18" a="1"/>
  <c r="AC15" i="18" s="1"/>
  <c r="AD15" i="18" s="1"/>
  <c r="AG62" i="18" a="1"/>
  <c r="AG62" i="18" s="1"/>
  <c r="AH62" i="18" s="1"/>
  <c r="AC62" i="18" a="1"/>
  <c r="AC62" i="18" s="1"/>
  <c r="AD62" i="18" s="1"/>
  <c r="AG45" i="18" a="1"/>
  <c r="AG45" i="18" s="1"/>
  <c r="AH45" i="18" s="1"/>
  <c r="AC45" i="18" a="1"/>
  <c r="AC45" i="18" s="1"/>
  <c r="AD45" i="18" s="1"/>
  <c r="AC65" i="18" a="1"/>
  <c r="AC65" i="18" s="1"/>
  <c r="AD65" i="18" s="1"/>
  <c r="AG65" i="18" a="1"/>
  <c r="AG65" i="18" s="1"/>
  <c r="AH65" i="18" s="1"/>
  <c r="N86" i="18"/>
  <c r="U86" i="18" s="1"/>
  <c r="N85" i="18"/>
  <c r="U85" i="18" s="1"/>
  <c r="N83" i="18"/>
  <c r="U83" i="18" s="1"/>
  <c r="N84" i="18"/>
  <c r="U84" i="18" s="1"/>
  <c r="N82" i="18"/>
  <c r="U82" i="18" s="1"/>
  <c r="N80" i="18"/>
  <c r="U80" i="18" s="1"/>
  <c r="N81" i="18"/>
  <c r="U81" i="18" s="1"/>
  <c r="N79" i="18"/>
  <c r="U79" i="18" s="1"/>
  <c r="N78" i="18"/>
  <c r="U78" i="18" s="1"/>
  <c r="N77" i="18"/>
  <c r="U77" i="18" s="1"/>
  <c r="N76" i="18"/>
  <c r="U76" i="18" s="1"/>
  <c r="N75" i="18"/>
  <c r="U75" i="18" s="1"/>
  <c r="N74" i="18"/>
  <c r="U74" i="18" s="1"/>
  <c r="N73" i="18"/>
  <c r="U73" i="18" s="1"/>
  <c r="N72" i="18"/>
  <c r="U72" i="18" s="1"/>
  <c r="N67" i="18"/>
  <c r="U67" i="18" s="1"/>
  <c r="N7" i="18"/>
  <c r="N8" i="18"/>
  <c r="N9" i="18"/>
  <c r="N4" i="18"/>
  <c r="N6" i="18"/>
  <c r="N5" i="18"/>
  <c r="N3" i="18"/>
  <c r="N267" i="18"/>
  <c r="U267" i="18" s="1"/>
  <c r="N26" i="18"/>
  <c r="U26" i="18" s="1"/>
  <c r="N459" i="18"/>
  <c r="U459" i="18" s="1"/>
  <c r="N429" i="18"/>
  <c r="U429" i="18" s="1"/>
  <c r="N46" i="18"/>
  <c r="U46" i="18" s="1"/>
  <c r="N411" i="18"/>
  <c r="U411" i="18" s="1"/>
  <c r="N251" i="18"/>
  <c r="U251" i="18" s="1"/>
  <c r="N589" i="18"/>
  <c r="U589" i="18" s="1"/>
  <c r="N162" i="18"/>
  <c r="U162" i="18" s="1"/>
  <c r="N563" i="18"/>
  <c r="U563" i="18" s="1"/>
  <c r="N652" i="18"/>
  <c r="U652" i="18" s="1"/>
  <c r="N579" i="18"/>
  <c r="U579" i="18" s="1"/>
  <c r="N523" i="18"/>
  <c r="U523" i="18" s="1"/>
  <c r="N479" i="18"/>
  <c r="U479" i="18" s="1"/>
  <c r="N387" i="18"/>
  <c r="U387" i="18" s="1"/>
  <c r="N374" i="18"/>
  <c r="U374" i="18" s="1"/>
  <c r="N495" i="18"/>
  <c r="U495" i="18" s="1"/>
  <c r="N348" i="18"/>
  <c r="U348" i="18" s="1"/>
  <c r="N544" i="18"/>
  <c r="U544" i="18" s="1"/>
  <c r="N68" i="18"/>
  <c r="U68" i="18" s="1"/>
  <c r="N212" i="18"/>
  <c r="U212" i="18" s="1"/>
  <c r="N520" i="18"/>
  <c r="U520" i="18" s="1"/>
  <c r="N356" i="18"/>
  <c r="U356" i="18" s="1"/>
  <c r="N19" i="18"/>
  <c r="U19" i="18" s="1"/>
  <c r="N161" i="18"/>
  <c r="U161" i="18" s="1"/>
  <c r="N580" i="18"/>
  <c r="U580" i="18" s="1"/>
  <c r="N435" i="18"/>
  <c r="U435" i="18" s="1"/>
  <c r="N272" i="18"/>
  <c r="U272" i="18" s="1"/>
  <c r="N69" i="18"/>
  <c r="U69" i="18" s="1"/>
  <c r="N199" i="18"/>
  <c r="U199" i="18" s="1"/>
  <c r="N548" i="18"/>
  <c r="U548" i="18" s="1"/>
  <c r="N368" i="18"/>
  <c r="U368" i="18" s="1"/>
  <c r="N38" i="18"/>
  <c r="U38" i="18" s="1"/>
  <c r="N136" i="18"/>
  <c r="U136" i="18" s="1"/>
  <c r="N590" i="18"/>
  <c r="U590" i="18" s="1"/>
  <c r="N469" i="18"/>
  <c r="U469" i="18" s="1"/>
  <c r="N326" i="18"/>
  <c r="U326" i="18" s="1"/>
  <c r="N95" i="18"/>
  <c r="U95" i="18" s="1"/>
  <c r="N577" i="18"/>
  <c r="U577" i="18" s="1"/>
  <c r="N468" i="18"/>
  <c r="U468" i="18" s="1"/>
  <c r="N324" i="18"/>
  <c r="U324" i="18" s="1"/>
  <c r="N88" i="18"/>
  <c r="U88" i="18" s="1"/>
  <c r="N609" i="18"/>
  <c r="U609" i="18" s="1"/>
  <c r="N462" i="18"/>
  <c r="U462" i="18" s="1"/>
  <c r="N337" i="18"/>
  <c r="U337" i="18" s="1"/>
  <c r="N649" i="18"/>
  <c r="U649" i="18" s="1"/>
  <c r="N501" i="18"/>
  <c r="U501" i="18" s="1"/>
  <c r="N472" i="18"/>
  <c r="U472" i="18" s="1"/>
  <c r="N22" i="18"/>
  <c r="U22" i="18" s="1"/>
  <c r="N140" i="18"/>
  <c r="U140" i="18" s="1"/>
  <c r="N583" i="18"/>
  <c r="U583" i="18" s="1"/>
  <c r="N403" i="18"/>
  <c r="U403" i="18" s="1"/>
  <c r="N273" i="18"/>
  <c r="U273" i="18" s="1"/>
  <c r="N87" i="18"/>
  <c r="U87" i="18" s="1"/>
  <c r="N638" i="18"/>
  <c r="U638" i="18" s="1"/>
  <c r="N585" i="18"/>
  <c r="U585" i="18" s="1"/>
  <c r="N366" i="18"/>
  <c r="U366" i="18" s="1"/>
  <c r="N27" i="18"/>
  <c r="U27" i="18" s="1"/>
  <c r="N183" i="18"/>
  <c r="U183" i="18" s="1"/>
  <c r="N538" i="18"/>
  <c r="U538" i="18" s="1"/>
  <c r="N365" i="18"/>
  <c r="U365" i="18" s="1"/>
  <c r="N36" i="18"/>
  <c r="U36" i="18" s="1"/>
  <c r="N189" i="18"/>
  <c r="U189" i="18" s="1"/>
  <c r="N608" i="18"/>
  <c r="U608" i="18" s="1"/>
  <c r="N393" i="18"/>
  <c r="U393" i="18" s="1"/>
  <c r="N304" i="18"/>
  <c r="U304" i="18" s="1"/>
  <c r="N143" i="18"/>
  <c r="U143" i="18" s="1"/>
  <c r="N600" i="18"/>
  <c r="U600" i="18" s="1"/>
  <c r="N467" i="18"/>
  <c r="U467" i="18" s="1"/>
  <c r="N303" i="18"/>
  <c r="U303" i="18" s="1"/>
  <c r="N260" i="18"/>
  <c r="U260" i="18" s="1"/>
  <c r="N207" i="18"/>
  <c r="U207" i="18" s="1"/>
  <c r="N208" i="18"/>
  <c r="U208" i="18" s="1"/>
  <c r="N344" i="18"/>
  <c r="U344" i="18" s="1"/>
  <c r="N265" i="18"/>
  <c r="U265" i="18" s="1"/>
  <c r="N541" i="18"/>
  <c r="U541" i="18" s="1"/>
  <c r="N17" i="18"/>
  <c r="U17" i="18" s="1"/>
  <c r="N413" i="18"/>
  <c r="U413" i="18" s="1"/>
  <c r="N12" i="18"/>
  <c r="U12" i="18" s="1"/>
  <c r="N576" i="18"/>
  <c r="U576" i="18" s="1"/>
  <c r="N616" i="18"/>
  <c r="U616" i="18" s="1"/>
  <c r="N592" i="18"/>
  <c r="U592" i="18" s="1"/>
  <c r="N117" i="18"/>
  <c r="U117" i="18" s="1"/>
  <c r="N636" i="18"/>
  <c r="U636" i="18" s="1"/>
  <c r="N15" i="18"/>
  <c r="U15" i="18" s="1"/>
  <c r="N569" i="18"/>
  <c r="U569" i="18" s="1"/>
  <c r="N310" i="18"/>
  <c r="U310" i="18" s="1"/>
  <c r="N591" i="18"/>
  <c r="U591" i="18" s="1"/>
  <c r="N288" i="18"/>
  <c r="U288" i="18" s="1"/>
  <c r="N216" i="18"/>
  <c r="U216" i="18" s="1"/>
  <c r="N266" i="18"/>
  <c r="U266" i="18" s="1"/>
  <c r="N98" i="18"/>
  <c r="U98" i="18" s="1"/>
  <c r="N627" i="18"/>
  <c r="U627" i="18" s="1"/>
  <c r="N492" i="18"/>
  <c r="U492" i="18" s="1"/>
  <c r="N296" i="18"/>
  <c r="U296" i="18" s="1"/>
  <c r="N185" i="18"/>
  <c r="U185" i="18" s="1"/>
  <c r="N498" i="18"/>
  <c r="U498" i="18" s="1"/>
  <c r="N372" i="18"/>
  <c r="U372" i="18" s="1"/>
  <c r="N16" i="18"/>
  <c r="U16" i="18" s="1"/>
  <c r="N99" i="18"/>
  <c r="U99" i="18" s="1"/>
  <c r="N626" i="18"/>
  <c r="U626" i="18" s="1"/>
  <c r="N488" i="18"/>
  <c r="U488" i="18" s="1"/>
  <c r="N313" i="18"/>
  <c r="U313" i="18" s="1"/>
  <c r="N50" i="18"/>
  <c r="U50" i="18" s="1"/>
  <c r="N147" i="18"/>
  <c r="U147" i="18" s="1"/>
  <c r="N543" i="18"/>
  <c r="U543" i="18" s="1"/>
  <c r="N430" i="18"/>
  <c r="U430" i="18" s="1"/>
  <c r="N174" i="18"/>
  <c r="U174" i="18" s="1"/>
  <c r="N539" i="18"/>
  <c r="U539" i="18" s="1"/>
  <c r="N428" i="18"/>
  <c r="U428" i="18" s="1"/>
  <c r="N25" i="18"/>
  <c r="U25" i="18" s="1"/>
  <c r="N137" i="18"/>
  <c r="U137" i="18" s="1"/>
  <c r="N574" i="18"/>
  <c r="U574" i="18" s="1"/>
  <c r="N440" i="18"/>
  <c r="U440" i="18" s="1"/>
  <c r="N243" i="18"/>
  <c r="U243" i="18" s="1"/>
  <c r="N104" i="18"/>
  <c r="U104" i="18" s="1"/>
  <c r="N604" i="18"/>
  <c r="U604" i="18" s="1"/>
  <c r="N476" i="18"/>
  <c r="U476" i="18" s="1"/>
  <c r="N323" i="18"/>
  <c r="U323" i="18" s="1"/>
  <c r="N47" i="18"/>
  <c r="U47" i="18" s="1"/>
  <c r="N150" i="18"/>
  <c r="U150" i="18" s="1"/>
  <c r="N588" i="18"/>
  <c r="U588" i="18" s="1"/>
  <c r="N373" i="18"/>
  <c r="U373" i="18" s="1"/>
  <c r="N359" i="18"/>
  <c r="U359" i="18" s="1"/>
  <c r="N643" i="18"/>
  <c r="U643" i="18" s="1"/>
  <c r="N463" i="18"/>
  <c r="U463" i="18" s="1"/>
  <c r="N316" i="18"/>
  <c r="U316" i="18" s="1"/>
  <c r="N630" i="18"/>
  <c r="U630" i="18" s="1"/>
  <c r="N547" i="18"/>
  <c r="U547" i="18" s="1"/>
  <c r="N321" i="18"/>
  <c r="U321" i="18" s="1"/>
  <c r="N56" i="18"/>
  <c r="U56" i="18" s="1"/>
  <c r="N146" i="18"/>
  <c r="U146" i="18" s="1"/>
  <c r="N519" i="18"/>
  <c r="U519" i="18" s="1"/>
  <c r="N416" i="18"/>
  <c r="U416" i="18" s="1"/>
  <c r="N271" i="18"/>
  <c r="U271" i="18" s="1"/>
  <c r="N160" i="18"/>
  <c r="U160" i="18" s="1"/>
  <c r="N565" i="18"/>
  <c r="U565" i="18" s="1"/>
  <c r="N407" i="18"/>
  <c r="U407" i="18" s="1"/>
  <c r="N283" i="18"/>
  <c r="U283" i="18" s="1"/>
  <c r="N233" i="18"/>
  <c r="U233" i="18" s="1"/>
  <c r="N236" i="18"/>
  <c r="U236" i="18" s="1"/>
  <c r="N415" i="18"/>
  <c r="U415" i="18" s="1"/>
  <c r="N367" i="18"/>
  <c r="U367" i="18" s="1"/>
  <c r="N157" i="18"/>
  <c r="U157" i="18" s="1"/>
  <c r="N94" i="18"/>
  <c r="U94" i="18" s="1"/>
  <c r="N119" i="18"/>
  <c r="U119" i="18" s="1"/>
  <c r="N521" i="18"/>
  <c r="U521" i="18" s="1"/>
  <c r="N132" i="18"/>
  <c r="U132" i="18" s="1"/>
  <c r="N637" i="18"/>
  <c r="U637" i="18" s="1"/>
  <c r="N294" i="18"/>
  <c r="U294" i="18" s="1"/>
  <c r="N419" i="18"/>
  <c r="U419" i="18" s="1"/>
  <c r="N31" i="18"/>
  <c r="U31" i="18" s="1"/>
  <c r="N412" i="18"/>
  <c r="U412" i="18" s="1"/>
  <c r="N339" i="18"/>
  <c r="U339" i="18" s="1"/>
  <c r="N240" i="18"/>
  <c r="U240" i="18" s="1"/>
  <c r="N39" i="18"/>
  <c r="U39" i="18" s="1"/>
  <c r="N342" i="18"/>
  <c r="U342" i="18" s="1"/>
  <c r="N156" i="18"/>
  <c r="U156" i="18" s="1"/>
  <c r="N398" i="18"/>
  <c r="U398" i="18" s="1"/>
  <c r="N172" i="18"/>
  <c r="U172" i="18" s="1"/>
  <c r="N448" i="18"/>
  <c r="U448" i="18" s="1"/>
  <c r="N280" i="18"/>
  <c r="U280" i="18" s="1"/>
  <c r="N92" i="18"/>
  <c r="U92" i="18" s="1"/>
  <c r="N606" i="18"/>
  <c r="U606" i="18" s="1"/>
  <c r="N458" i="18"/>
  <c r="U458" i="18" s="1"/>
  <c r="N315" i="18"/>
  <c r="U315" i="18" s="1"/>
  <c r="N66" i="18"/>
  <c r="U66" i="18" s="1"/>
  <c r="N221" i="18"/>
  <c r="U221" i="18" s="1"/>
  <c r="N499" i="18"/>
  <c r="U499" i="18" s="1"/>
  <c r="N369" i="18"/>
  <c r="U369" i="18" s="1"/>
  <c r="N13" i="18"/>
  <c r="U13" i="18" s="1"/>
  <c r="N631" i="18"/>
  <c r="U631" i="18" s="1"/>
  <c r="N506" i="18"/>
  <c r="U506" i="18" s="1"/>
  <c r="N364" i="18"/>
  <c r="U364" i="18" s="1"/>
  <c r="N206" i="18"/>
  <c r="U206" i="18" s="1"/>
  <c r="N536" i="18"/>
  <c r="U536" i="18" s="1"/>
  <c r="N414" i="18"/>
  <c r="U414" i="18" s="1"/>
  <c r="N44" i="18"/>
  <c r="U44" i="18" s="1"/>
  <c r="N148" i="18"/>
  <c r="U148" i="18" s="1"/>
  <c r="N531" i="18"/>
  <c r="U531" i="18" s="1"/>
  <c r="N386" i="18"/>
  <c r="U386" i="18" s="1"/>
  <c r="N54" i="18"/>
  <c r="U54" i="18" s="1"/>
  <c r="N166" i="18"/>
  <c r="U166" i="18" s="1"/>
  <c r="N611" i="18"/>
  <c r="U611" i="18" s="1"/>
  <c r="N396" i="18"/>
  <c r="U396" i="18" s="1"/>
  <c r="N242" i="18"/>
  <c r="U242" i="18" s="1"/>
  <c r="N89" i="18"/>
  <c r="U89" i="18" s="1"/>
  <c r="N568" i="18"/>
  <c r="U568" i="18" s="1"/>
  <c r="N456" i="18"/>
  <c r="U456" i="18" s="1"/>
  <c r="N302" i="18"/>
  <c r="U302" i="18" s="1"/>
  <c r="N222" i="18"/>
  <c r="U222" i="18" s="1"/>
  <c r="N525" i="18"/>
  <c r="U525" i="18" s="1"/>
  <c r="N404" i="18"/>
  <c r="U404" i="18" s="1"/>
  <c r="N258" i="18"/>
  <c r="U258" i="18" s="1"/>
  <c r="N142" i="18"/>
  <c r="U142" i="18" s="1"/>
  <c r="N562" i="18"/>
  <c r="U562" i="18" s="1"/>
  <c r="N457" i="18"/>
  <c r="U457" i="18" s="1"/>
  <c r="N335" i="18"/>
  <c r="U335" i="18" s="1"/>
  <c r="N598" i="18"/>
  <c r="U598" i="18" s="1"/>
  <c r="N493" i="18"/>
  <c r="U493" i="18" s="1"/>
  <c r="N329" i="18"/>
  <c r="U329" i="18" s="1"/>
  <c r="N204" i="18"/>
  <c r="U204" i="18" s="1"/>
  <c r="N505" i="18"/>
  <c r="U505" i="18" s="1"/>
  <c r="N391" i="18"/>
  <c r="U391" i="18" s="1"/>
  <c r="N28" i="18"/>
  <c r="U28" i="18" s="1"/>
  <c r="N152" i="18"/>
  <c r="U152" i="18" s="1"/>
  <c r="N561" i="18"/>
  <c r="U561" i="18" s="1"/>
  <c r="N489" i="18"/>
  <c r="U489" i="18" s="1"/>
  <c r="N307" i="18"/>
  <c r="U307" i="18" s="1"/>
  <c r="N250" i="18"/>
  <c r="U250" i="18" s="1"/>
  <c r="N293" i="18"/>
  <c r="U293" i="18" s="1"/>
  <c r="N224" i="18"/>
  <c r="U224" i="18" s="1"/>
  <c r="N439" i="18"/>
  <c r="U439" i="18" s="1"/>
  <c r="N128" i="18"/>
  <c r="U128" i="18" s="1"/>
  <c r="N625" i="18"/>
  <c r="U625" i="18" s="1"/>
  <c r="N641" i="18"/>
  <c r="U641" i="18" s="1"/>
  <c r="N433" i="18"/>
  <c r="U433" i="18" s="1"/>
  <c r="N477" i="18"/>
  <c r="U477" i="18" s="1"/>
  <c r="N647" i="18"/>
  <c r="U647" i="18" s="1"/>
  <c r="N121" i="18"/>
  <c r="U121" i="18" s="1"/>
  <c r="N118" i="18"/>
  <c r="U118" i="18" s="1"/>
  <c r="N61" i="18"/>
  <c r="U61" i="18" s="1"/>
  <c r="N175" i="18"/>
  <c r="U175" i="18" s="1"/>
  <c r="N460" i="18"/>
  <c r="U460" i="18" s="1"/>
  <c r="N135" i="18"/>
  <c r="U135" i="18" s="1"/>
  <c r="N597" i="18"/>
  <c r="U597" i="18" s="1"/>
  <c r="N461" i="18"/>
  <c r="U461" i="18" s="1"/>
  <c r="N298" i="18"/>
  <c r="U298" i="18" s="1"/>
  <c r="N110" i="18"/>
  <c r="U110" i="18" s="1"/>
  <c r="N248" i="18"/>
  <c r="U248" i="18" s="1"/>
  <c r="N513" i="18"/>
  <c r="U513" i="18" s="1"/>
  <c r="N354" i="18"/>
  <c r="U354" i="18" s="1"/>
  <c r="N144" i="18"/>
  <c r="U144" i="18" s="1"/>
  <c r="N617" i="18"/>
  <c r="U617" i="18" s="1"/>
  <c r="N446" i="18"/>
  <c r="U446" i="18" s="1"/>
  <c r="N385" i="18"/>
  <c r="U385" i="18" s="1"/>
  <c r="N186" i="18"/>
  <c r="U186" i="18" s="1"/>
  <c r="N610" i="18"/>
  <c r="U610" i="18" s="1"/>
  <c r="N347" i="18"/>
  <c r="U347" i="18" s="1"/>
  <c r="N198" i="18"/>
  <c r="U198" i="18" s="1"/>
  <c r="N593" i="18"/>
  <c r="U593" i="18" s="1"/>
  <c r="N434" i="18"/>
  <c r="U434" i="18" s="1"/>
  <c r="N48" i="18"/>
  <c r="U48" i="18" s="1"/>
  <c r="N163" i="18"/>
  <c r="U163" i="18" s="1"/>
  <c r="N510" i="18"/>
  <c r="U510" i="18" s="1"/>
  <c r="N380" i="18"/>
  <c r="U380" i="18" s="1"/>
  <c r="N259" i="18"/>
  <c r="U259" i="18" s="1"/>
  <c r="N141" i="18"/>
  <c r="U141" i="18" s="1"/>
  <c r="N594" i="18"/>
  <c r="U594" i="18" s="1"/>
  <c r="N405" i="18"/>
  <c r="U405" i="18" s="1"/>
  <c r="N274" i="18"/>
  <c r="U274" i="18" s="1"/>
  <c r="N65" i="18"/>
  <c r="U65" i="18" s="1"/>
  <c r="N194" i="18"/>
  <c r="U194" i="18" s="1"/>
  <c r="N575" i="18"/>
  <c r="U575" i="18" s="1"/>
  <c r="N455" i="18"/>
  <c r="U455" i="18" s="1"/>
  <c r="N130" i="18"/>
  <c r="U130" i="18" s="1"/>
  <c r="N556" i="18"/>
  <c r="U556" i="18" s="1"/>
  <c r="N401" i="18"/>
  <c r="U401" i="18" s="1"/>
  <c r="N268" i="18"/>
  <c r="U268" i="18" s="1"/>
  <c r="N105" i="18"/>
  <c r="U105" i="18" s="1"/>
  <c r="N634" i="18"/>
  <c r="U634" i="18" s="1"/>
  <c r="N453" i="18"/>
  <c r="U453" i="18" s="1"/>
  <c r="N314" i="18"/>
  <c r="U314" i="18" s="1"/>
  <c r="N200" i="18"/>
  <c r="U200" i="18" s="1"/>
  <c r="N530" i="18"/>
  <c r="U530" i="18" s="1"/>
  <c r="N361" i="18"/>
  <c r="U361" i="18" s="1"/>
  <c r="N18" i="18"/>
  <c r="U18" i="18" s="1"/>
  <c r="N177" i="18"/>
  <c r="U177" i="18" s="1"/>
  <c r="N514" i="18"/>
  <c r="U514" i="18" s="1"/>
  <c r="N388" i="18"/>
  <c r="U388" i="18" s="1"/>
  <c r="N217" i="18"/>
  <c r="U217" i="18" s="1"/>
  <c r="N252" i="18"/>
  <c r="U252" i="18" s="1"/>
  <c r="N228" i="18"/>
  <c r="U228" i="18" s="1"/>
  <c r="N218" i="18"/>
  <c r="U218" i="18" s="1"/>
  <c r="N512" i="18"/>
  <c r="U512" i="18" s="1"/>
  <c r="N279" i="18"/>
  <c r="U279" i="18" s="1"/>
  <c r="N615" i="18"/>
  <c r="U615" i="18" s="1"/>
  <c r="N180" i="18"/>
  <c r="U180" i="18" s="1"/>
  <c r="N605" i="18"/>
  <c r="U605" i="18" s="1"/>
  <c r="N124" i="18"/>
  <c r="U124" i="18" s="1"/>
  <c r="N102" i="18"/>
  <c r="U102" i="18" s="1"/>
  <c r="N30" i="18"/>
  <c r="U30" i="18" s="1"/>
  <c r="N623" i="18"/>
  <c r="U623" i="18" s="1"/>
  <c r="N482" i="18"/>
  <c r="U482" i="18" s="1"/>
  <c r="N451" i="18"/>
  <c r="U451" i="18" s="1"/>
  <c r="N331" i="18"/>
  <c r="U331" i="18" s="1"/>
  <c r="N164" i="18"/>
  <c r="U164" i="18" s="1"/>
  <c r="N572" i="18"/>
  <c r="U572" i="18" s="1"/>
  <c r="N432" i="18"/>
  <c r="U432" i="18" s="1"/>
  <c r="N275" i="18"/>
  <c r="U275" i="18" s="1"/>
  <c r="N107" i="18"/>
  <c r="U107" i="18" s="1"/>
  <c r="N650" i="18"/>
  <c r="U650" i="18" s="1"/>
  <c r="N550" i="18"/>
  <c r="U550" i="18" s="1"/>
  <c r="N350" i="18"/>
  <c r="U350" i="18" s="1"/>
  <c r="N29" i="18"/>
  <c r="U29" i="18" s="1"/>
  <c r="N120" i="18"/>
  <c r="U120" i="18" s="1"/>
  <c r="N599" i="18"/>
  <c r="U599" i="18" s="1"/>
  <c r="N475" i="18"/>
  <c r="U475" i="18" s="1"/>
  <c r="N363" i="18"/>
  <c r="U363" i="18" s="1"/>
  <c r="N213" i="18"/>
  <c r="U213" i="18" s="1"/>
  <c r="N540" i="18"/>
  <c r="U540" i="18" s="1"/>
  <c r="N351" i="18"/>
  <c r="U351" i="18" s="1"/>
  <c r="N49" i="18"/>
  <c r="U49" i="18" s="1"/>
  <c r="N178" i="18"/>
  <c r="U178" i="18" s="1"/>
  <c r="N529" i="18"/>
  <c r="U529" i="18" s="1"/>
  <c r="N445" i="18"/>
  <c r="U445" i="18" s="1"/>
  <c r="N45" i="18"/>
  <c r="U45" i="18" s="1"/>
  <c r="N190" i="18"/>
  <c r="U190" i="18" s="1"/>
  <c r="N542" i="18"/>
  <c r="U542" i="18" s="1"/>
  <c r="N417" i="18"/>
  <c r="U417" i="18" s="1"/>
  <c r="N32" i="18"/>
  <c r="U32" i="18" s="1"/>
  <c r="N129" i="18"/>
  <c r="U129" i="18" s="1"/>
  <c r="N566" i="18"/>
  <c r="U566" i="18" s="1"/>
  <c r="N431" i="18"/>
  <c r="U431" i="18" s="1"/>
  <c r="N237" i="18"/>
  <c r="U237" i="18" s="1"/>
  <c r="N57" i="18"/>
  <c r="U57" i="18" s="1"/>
  <c r="N193" i="18"/>
  <c r="U193" i="18" s="1"/>
  <c r="N533" i="18"/>
  <c r="U533" i="18" s="1"/>
  <c r="N381" i="18"/>
  <c r="U381" i="18" s="1"/>
  <c r="N34" i="18"/>
  <c r="U34" i="18" s="1"/>
  <c r="N115" i="18"/>
  <c r="U115" i="18" s="1"/>
  <c r="N584" i="18"/>
  <c r="U584" i="18" s="1"/>
  <c r="N427" i="18"/>
  <c r="U427" i="18" s="1"/>
  <c r="N305" i="18"/>
  <c r="U305" i="18" s="1"/>
  <c r="N91" i="18"/>
  <c r="U91" i="18" s="1"/>
  <c r="N553" i="18"/>
  <c r="U553" i="18" s="1"/>
  <c r="N450" i="18"/>
  <c r="U450" i="18" s="1"/>
  <c r="N291" i="18"/>
  <c r="U291" i="18" s="1"/>
  <c r="N58" i="18"/>
  <c r="U58" i="18" s="1"/>
  <c r="N201" i="18"/>
  <c r="U201" i="18" s="1"/>
  <c r="N518" i="18"/>
  <c r="U518" i="18" s="1"/>
  <c r="N410" i="18"/>
  <c r="U410" i="18" s="1"/>
  <c r="N196" i="18"/>
  <c r="U196" i="18" s="1"/>
  <c r="N503" i="18"/>
  <c r="U503" i="18" s="1"/>
  <c r="N390" i="18"/>
  <c r="U390" i="18" s="1"/>
  <c r="N264" i="18"/>
  <c r="U264" i="18" s="1"/>
  <c r="N276" i="18"/>
  <c r="U276" i="18" s="1"/>
  <c r="N230" i="18"/>
  <c r="U230" i="18" s="1"/>
  <c r="N244" i="18"/>
  <c r="U244" i="18" s="1"/>
  <c r="N145" i="18"/>
  <c r="U145" i="18" s="1"/>
  <c r="N423" i="18"/>
  <c r="U423" i="18" s="1"/>
  <c r="N234" i="18"/>
  <c r="U234" i="18" s="1"/>
  <c r="N362" i="18"/>
  <c r="U362" i="18" s="1"/>
  <c r="N286" i="18"/>
  <c r="U286" i="18" s="1"/>
  <c r="N229" i="18"/>
  <c r="U229" i="18" s="1"/>
  <c r="N205" i="18"/>
  <c r="U205" i="18" s="1"/>
  <c r="N578" i="18"/>
  <c r="U578" i="18" s="1"/>
  <c r="N441" i="18"/>
  <c r="U441" i="18" s="1"/>
  <c r="N278" i="18"/>
  <c r="U278" i="18" s="1"/>
  <c r="N55" i="18"/>
  <c r="U55" i="18" s="1"/>
  <c r="N603" i="18"/>
  <c r="U603" i="18" s="1"/>
  <c r="N502" i="18"/>
  <c r="U502" i="18" s="1"/>
  <c r="N169" i="18"/>
  <c r="U169" i="18" s="1"/>
  <c r="N581" i="18"/>
  <c r="U581" i="18" s="1"/>
  <c r="N437" i="18"/>
  <c r="U437" i="18" s="1"/>
  <c r="N287" i="18"/>
  <c r="U287" i="18" s="1"/>
  <c r="N93" i="18"/>
  <c r="U93" i="18" s="1"/>
  <c r="N635" i="18"/>
  <c r="U635" i="18" s="1"/>
  <c r="N491" i="18"/>
  <c r="U491" i="18" s="1"/>
  <c r="N318" i="18"/>
  <c r="U318" i="18" s="1"/>
  <c r="N33" i="18"/>
  <c r="U33" i="18" s="1"/>
  <c r="N165" i="18"/>
  <c r="U165" i="18" s="1"/>
  <c r="N554" i="18"/>
  <c r="U554" i="18" s="1"/>
  <c r="N424" i="18"/>
  <c r="U424" i="18" s="1"/>
  <c r="N263" i="18"/>
  <c r="U263" i="18" s="1"/>
  <c r="N71" i="18"/>
  <c r="U71" i="18" s="1"/>
  <c r="N249" i="18"/>
  <c r="U249" i="18" s="1"/>
  <c r="N507" i="18"/>
  <c r="U507" i="18" s="1"/>
  <c r="N443" i="18"/>
  <c r="U443" i="18" s="1"/>
  <c r="N227" i="18"/>
  <c r="U227" i="18" s="1"/>
  <c r="N557" i="18"/>
  <c r="U557" i="18" s="1"/>
  <c r="N397" i="18"/>
  <c r="U397" i="18" s="1"/>
  <c r="N187" i="18"/>
  <c r="U187" i="18" s="1"/>
  <c r="N526" i="18"/>
  <c r="U526" i="18" s="1"/>
  <c r="N409" i="18"/>
  <c r="U409" i="18" s="1"/>
  <c r="N123" i="18"/>
  <c r="U123" i="18" s="1"/>
  <c r="N601" i="18"/>
  <c r="U601" i="18" s="1"/>
  <c r="N394" i="18"/>
  <c r="U394" i="18" s="1"/>
  <c r="N241" i="18"/>
  <c r="U241" i="18" s="1"/>
  <c r="N60" i="18"/>
  <c r="U60" i="18" s="1"/>
  <c r="N640" i="18"/>
  <c r="U640" i="18" s="1"/>
  <c r="N487" i="18"/>
  <c r="U487" i="18" s="1"/>
  <c r="N444" i="18"/>
  <c r="U444" i="18" s="1"/>
  <c r="N21" i="18"/>
  <c r="U21" i="18" s="1"/>
  <c r="N167" i="18"/>
  <c r="U167" i="18" s="1"/>
  <c r="N587" i="18"/>
  <c r="U587" i="18" s="1"/>
  <c r="N436" i="18"/>
  <c r="U436" i="18" s="1"/>
  <c r="N345" i="18"/>
  <c r="U345" i="18" s="1"/>
  <c r="N134" i="18"/>
  <c r="U134" i="18" s="1"/>
  <c r="N645" i="18"/>
  <c r="U645" i="18" s="1"/>
  <c r="N400" i="18"/>
  <c r="U400" i="18" s="1"/>
  <c r="N262" i="18"/>
  <c r="U262" i="18" s="1"/>
  <c r="N97" i="18"/>
  <c r="U97" i="18" s="1"/>
  <c r="N633" i="18"/>
  <c r="U633" i="18" s="1"/>
  <c r="N486" i="18"/>
  <c r="U486" i="18" s="1"/>
  <c r="N333" i="18"/>
  <c r="U333" i="18" s="1"/>
  <c r="N40" i="18"/>
  <c r="U40" i="18" s="1"/>
  <c r="N184" i="18"/>
  <c r="U184" i="18" s="1"/>
  <c r="N527" i="18"/>
  <c r="U527" i="18" s="1"/>
  <c r="N357" i="18"/>
  <c r="U357" i="18" s="1"/>
  <c r="N245" i="18"/>
  <c r="U245" i="18" s="1"/>
  <c r="N247" i="18"/>
  <c r="U247" i="18" s="1"/>
  <c r="N238" i="18"/>
  <c r="U238" i="18" s="1"/>
  <c r="N336" i="18"/>
  <c r="U336" i="18" s="1"/>
  <c r="N653" i="18"/>
  <c r="U653" i="18" s="1"/>
  <c r="N219" i="18"/>
  <c r="U219" i="18" s="1"/>
  <c r="N570" i="18"/>
  <c r="U570" i="18" s="1"/>
  <c r="N516" i="18"/>
  <c r="U516" i="18" s="1"/>
  <c r="N261" i="18"/>
  <c r="U261" i="18" s="1"/>
  <c r="N63" i="18"/>
  <c r="U63" i="18" s="1"/>
  <c r="N209" i="18"/>
  <c r="U209" i="18" s="1"/>
  <c r="N509" i="18"/>
  <c r="U509" i="18" s="1"/>
  <c r="N644" i="18"/>
  <c r="U644" i="18" s="1"/>
  <c r="N139" i="18"/>
  <c r="U139" i="18" s="1"/>
  <c r="N582" i="18"/>
  <c r="U582" i="18" s="1"/>
  <c r="N420" i="18"/>
  <c r="U420" i="18" s="1"/>
  <c r="N300" i="18"/>
  <c r="U300" i="18" s="1"/>
  <c r="N628" i="18"/>
  <c r="U628" i="18" s="1"/>
  <c r="N497" i="18"/>
  <c r="U497" i="18" s="1"/>
  <c r="N306" i="18"/>
  <c r="U306" i="18" s="1"/>
  <c r="N182" i="18"/>
  <c r="U182" i="18" s="1"/>
  <c r="N508" i="18"/>
  <c r="U508" i="18" s="1"/>
  <c r="N379" i="18"/>
  <c r="U379" i="18" s="1"/>
  <c r="N426" i="18"/>
  <c r="U426" i="18" s="1"/>
  <c r="N281" i="18"/>
  <c r="U281" i="18" s="1"/>
  <c r="N231" i="18"/>
  <c r="U231" i="18" s="1"/>
  <c r="N223" i="18"/>
  <c r="U223" i="18" s="1"/>
  <c r="N567" i="18"/>
  <c r="U567" i="18" s="1"/>
  <c r="N552" i="18"/>
  <c r="U552" i="18" s="1"/>
  <c r="N320" i="18"/>
  <c r="U320" i="18" s="1"/>
  <c r="N322" i="18"/>
  <c r="U322" i="18" s="1"/>
  <c r="N277" i="18"/>
  <c r="U277" i="18" s="1"/>
  <c r="N170" i="18"/>
  <c r="U170" i="18" s="1"/>
  <c r="N646" i="18"/>
  <c r="U646" i="18" s="1"/>
  <c r="N158" i="18"/>
  <c r="U158" i="18" s="1"/>
  <c r="N96" i="18"/>
  <c r="U96" i="18" s="1"/>
  <c r="N551" i="18"/>
  <c r="U551" i="18" s="1"/>
  <c r="N14" i="18"/>
  <c r="U14" i="18" s="1"/>
  <c r="N311" i="18"/>
  <c r="U311" i="18" s="1"/>
  <c r="N602" i="18"/>
  <c r="U602" i="18" s="1"/>
  <c r="N447" i="18"/>
  <c r="U447" i="18" s="1"/>
  <c r="N299" i="18"/>
  <c r="U299" i="18" s="1"/>
  <c r="N155" i="18"/>
  <c r="U155" i="18" s="1"/>
  <c r="N558" i="18"/>
  <c r="U558" i="18" s="1"/>
  <c r="N438" i="18"/>
  <c r="U438" i="18" s="1"/>
  <c r="N257" i="18"/>
  <c r="U257" i="18" s="1"/>
  <c r="N111" i="18"/>
  <c r="U111" i="18" s="1"/>
  <c r="N624" i="18"/>
  <c r="U624" i="18" s="1"/>
  <c r="N484" i="18"/>
  <c r="U484" i="18" s="1"/>
  <c r="N312" i="18"/>
  <c r="U312" i="18" s="1"/>
  <c r="N619" i="18"/>
  <c r="U619" i="18" s="1"/>
  <c r="N545" i="18"/>
  <c r="U545" i="18" s="1"/>
  <c r="N418" i="18"/>
  <c r="U418" i="18" s="1"/>
  <c r="N59" i="18"/>
  <c r="U59" i="18" s="1"/>
  <c r="N651" i="18"/>
  <c r="U651" i="18" s="1"/>
  <c r="N478" i="18"/>
  <c r="U478" i="18" s="1"/>
  <c r="N319" i="18"/>
  <c r="U319" i="18" s="1"/>
  <c r="N42" i="18"/>
  <c r="U42" i="18" s="1"/>
  <c r="N149" i="18"/>
  <c r="U149" i="18" s="1"/>
  <c r="N532" i="18"/>
  <c r="U532" i="18" s="1"/>
  <c r="N408" i="18"/>
  <c r="U408" i="18" s="1"/>
  <c r="N254" i="18"/>
  <c r="U254" i="18" s="1"/>
  <c r="N90" i="18"/>
  <c r="U90" i="18" s="1"/>
  <c r="N613" i="18"/>
  <c r="U613" i="18" s="1"/>
  <c r="N466" i="18"/>
  <c r="U466" i="18" s="1"/>
  <c r="N338" i="18"/>
  <c r="U338" i="18" s="1"/>
  <c r="N203" i="18"/>
  <c r="U203" i="18" s="1"/>
  <c r="N522" i="18"/>
  <c r="U522" i="18" s="1"/>
  <c r="N399" i="18"/>
  <c r="U399" i="18" s="1"/>
  <c r="N35" i="18"/>
  <c r="U35" i="18" s="1"/>
  <c r="N159" i="18"/>
  <c r="U159" i="18" s="1"/>
  <c r="N571" i="18"/>
  <c r="U571" i="18" s="1"/>
  <c r="N406" i="18"/>
  <c r="U406" i="18" s="1"/>
  <c r="N327" i="18"/>
  <c r="U327" i="18" s="1"/>
  <c r="N126" i="18"/>
  <c r="U126" i="18" s="1"/>
  <c r="N629" i="18"/>
  <c r="U629" i="18" s="1"/>
  <c r="N471" i="18"/>
  <c r="U471" i="18" s="1"/>
  <c r="N308" i="18"/>
  <c r="U308" i="18" s="1"/>
  <c r="N70" i="18"/>
  <c r="U70" i="18" s="1"/>
  <c r="N639" i="18"/>
  <c r="U639" i="18" s="1"/>
  <c r="N483" i="18"/>
  <c r="U483" i="18" s="1"/>
  <c r="N328" i="18"/>
  <c r="U328" i="18" s="1"/>
  <c r="N220" i="18"/>
  <c r="U220" i="18" s="1"/>
  <c r="N214" i="18"/>
  <c r="U214" i="18" s="1"/>
  <c r="N210" i="18"/>
  <c r="U210" i="18" s="1"/>
  <c r="N235" i="18"/>
  <c r="U235" i="18" s="1"/>
  <c r="N64" i="18"/>
  <c r="U64" i="18" s="1"/>
  <c r="N421" i="18"/>
  <c r="U421" i="18" s="1"/>
  <c r="N332" i="18"/>
  <c r="U332" i="18" s="1"/>
  <c r="N481" i="18"/>
  <c r="U481" i="18" s="1"/>
  <c r="N573" i="18"/>
  <c r="U573" i="18" s="1"/>
  <c r="N253" i="18"/>
  <c r="U253" i="18" s="1"/>
  <c r="N41" i="18"/>
  <c r="U41" i="18" s="1"/>
  <c r="N341" i="18"/>
  <c r="U341" i="18" s="1"/>
  <c r="N153" i="18"/>
  <c r="U153" i="18" s="1"/>
  <c r="N116" i="18"/>
  <c r="U116" i="18" s="1"/>
  <c r="N53" i="18"/>
  <c r="U53" i="18" s="1"/>
  <c r="N648" i="18"/>
  <c r="U648" i="18" s="1"/>
  <c r="N537" i="18"/>
  <c r="U537" i="18" s="1"/>
  <c r="N449" i="18"/>
  <c r="U449" i="18" s="1"/>
  <c r="N52" i="18"/>
  <c r="U52" i="18" s="1"/>
  <c r="N188" i="18"/>
  <c r="U188" i="18" s="1"/>
  <c r="N511" i="18"/>
  <c r="U511" i="18" s="1"/>
  <c r="N383" i="18"/>
  <c r="U383" i="18" s="1"/>
  <c r="N211" i="18"/>
  <c r="U211" i="18" s="1"/>
  <c r="N114" i="18"/>
  <c r="U114" i="18" s="1"/>
  <c r="N596" i="18"/>
  <c r="U596" i="18" s="1"/>
  <c r="N454" i="18"/>
  <c r="U454" i="18" s="1"/>
  <c r="N384" i="18"/>
  <c r="U384" i="18" s="1"/>
  <c r="N154" i="18"/>
  <c r="U154" i="18" s="1"/>
  <c r="N555" i="18"/>
  <c r="U555" i="18" s="1"/>
  <c r="N392" i="18"/>
  <c r="U392" i="18" s="1"/>
  <c r="N290" i="18"/>
  <c r="U290" i="18" s="1"/>
  <c r="N108" i="18"/>
  <c r="U108" i="18" s="1"/>
  <c r="N622" i="18"/>
  <c r="U622" i="18" s="1"/>
  <c r="N490" i="18"/>
  <c r="U490" i="18" s="1"/>
  <c r="N360" i="18"/>
  <c r="U360" i="18" s="1"/>
  <c r="N103" i="18"/>
  <c r="U103" i="18" s="1"/>
  <c r="N618" i="18"/>
  <c r="U618" i="18" s="1"/>
  <c r="N485" i="18"/>
  <c r="U485" i="18" s="1"/>
  <c r="N355" i="18"/>
  <c r="U355" i="18" s="1"/>
  <c r="N62" i="18"/>
  <c r="U62" i="18" s="1"/>
  <c r="N642" i="18"/>
  <c r="U642" i="18" s="1"/>
  <c r="N517" i="18"/>
  <c r="U517" i="18" s="1"/>
  <c r="N358" i="18"/>
  <c r="U358" i="18" s="1"/>
  <c r="N202" i="18"/>
  <c r="U202" i="18" s="1"/>
  <c r="N586" i="18"/>
  <c r="U586" i="18" s="1"/>
  <c r="N370" i="18"/>
  <c r="U370" i="18" s="1"/>
  <c r="N270" i="18"/>
  <c r="U270" i="18" s="1"/>
  <c r="N133" i="18"/>
  <c r="U133" i="18" s="1"/>
  <c r="N595" i="18"/>
  <c r="U595" i="18" s="1"/>
  <c r="N470" i="18"/>
  <c r="U470" i="18" s="1"/>
  <c r="N317" i="18"/>
  <c r="U317" i="18" s="1"/>
  <c r="N192" i="18"/>
  <c r="U192" i="18" s="1"/>
  <c r="N549" i="18"/>
  <c r="U549" i="18" s="1"/>
  <c r="N389" i="18"/>
  <c r="U389" i="18" s="1"/>
  <c r="N23" i="18"/>
  <c r="U23" i="18" s="1"/>
  <c r="N171" i="18"/>
  <c r="U171" i="18" s="1"/>
  <c r="N528" i="18"/>
  <c r="U528" i="18" s="1"/>
  <c r="N346" i="18"/>
  <c r="U346" i="18" s="1"/>
  <c r="N285" i="18"/>
  <c r="U285" i="18" s="1"/>
  <c r="N131" i="18"/>
  <c r="U131" i="18" s="1"/>
  <c r="N607" i="18"/>
  <c r="U607" i="18" s="1"/>
  <c r="N452" i="18"/>
  <c r="U452" i="18" s="1"/>
  <c r="N309" i="18"/>
  <c r="U309" i="18" s="1"/>
  <c r="N106" i="18"/>
  <c r="U106" i="18" s="1"/>
  <c r="N632" i="18"/>
  <c r="U632" i="18" s="1"/>
  <c r="N496" i="18"/>
  <c r="U496" i="18" s="1"/>
  <c r="N301" i="18"/>
  <c r="U301" i="18" s="1"/>
  <c r="N225" i="18"/>
  <c r="U225" i="18" s="1"/>
  <c r="N232" i="18"/>
  <c r="U232" i="18" s="1"/>
  <c r="N282" i="18"/>
  <c r="U282" i="18" s="1"/>
  <c r="N226" i="18"/>
  <c r="U226" i="18" s="1"/>
  <c r="N559" i="18"/>
  <c r="U559" i="18" s="1"/>
  <c r="N292" i="18"/>
  <c r="U292" i="18" s="1"/>
  <c r="N504" i="18"/>
  <c r="U504" i="18" s="1"/>
  <c r="N113" i="18"/>
  <c r="U113" i="18" s="1"/>
  <c r="N168" i="18"/>
  <c r="U168" i="18" s="1"/>
  <c r="N284" i="18"/>
  <c r="U284" i="18" s="1"/>
  <c r="N325" i="18"/>
  <c r="U325" i="18" s="1"/>
  <c r="N534" i="18"/>
  <c r="U534" i="18" s="1"/>
  <c r="N20" i="18"/>
  <c r="U20" i="18" s="1"/>
  <c r="N402" i="18"/>
  <c r="U402" i="18" s="1"/>
  <c r="N371" i="18"/>
  <c r="U371" i="18" s="1"/>
  <c r="N422" i="18"/>
  <c r="U422" i="18" s="1"/>
  <c r="N340" i="18"/>
  <c r="U340" i="18" s="1"/>
  <c r="N334" i="18"/>
  <c r="U334" i="18" s="1"/>
  <c r="N51" i="18"/>
  <c r="U51" i="18" s="1"/>
  <c r="N255" i="18"/>
  <c r="U255" i="18" s="1"/>
  <c r="N330" i="18"/>
  <c r="U330" i="18" s="1"/>
  <c r="N151" i="18"/>
  <c r="U151" i="18" s="1"/>
  <c r="N295" i="18"/>
  <c r="U295" i="18" s="1"/>
  <c r="N181" i="18"/>
  <c r="U181" i="18" s="1"/>
  <c r="N127" i="18"/>
  <c r="U127" i="18" s="1"/>
  <c r="N43" i="18"/>
  <c r="U43" i="18" s="1"/>
  <c r="N176" i="18"/>
  <c r="U176" i="18" s="1"/>
  <c r="N500" i="18"/>
  <c r="U500" i="18" s="1"/>
  <c r="N375" i="18"/>
  <c r="U375" i="18" s="1"/>
  <c r="N37" i="18"/>
  <c r="U37" i="18" s="1"/>
  <c r="N173" i="18"/>
  <c r="U173" i="18" s="1"/>
  <c r="N560" i="18"/>
  <c r="U560" i="18" s="1"/>
  <c r="N425" i="18"/>
  <c r="U425" i="18" s="1"/>
  <c r="N269" i="18"/>
  <c r="U269" i="18" s="1"/>
  <c r="N125" i="18"/>
  <c r="U125" i="18" s="1"/>
  <c r="N197" i="18"/>
  <c r="U197" i="18" s="1"/>
  <c r="N494" i="18"/>
  <c r="U494" i="18" s="1"/>
  <c r="N349" i="18"/>
  <c r="U349" i="18" s="1"/>
  <c r="N297" i="18"/>
  <c r="U297" i="18" s="1"/>
  <c r="N101" i="18"/>
  <c r="U101" i="18" s="1"/>
  <c r="N620" i="18"/>
  <c r="U620" i="18" s="1"/>
  <c r="N474" i="18"/>
  <c r="U474" i="18" s="1"/>
  <c r="N376" i="18"/>
  <c r="U376" i="18" s="1"/>
  <c r="N100" i="18"/>
  <c r="U100" i="18" s="1"/>
  <c r="N612" i="18"/>
  <c r="U612" i="18" s="1"/>
  <c r="N473" i="18"/>
  <c r="U473" i="18" s="1"/>
  <c r="N343" i="18"/>
  <c r="U343" i="18" s="1"/>
  <c r="N112" i="18"/>
  <c r="U112" i="18" s="1"/>
  <c r="N621" i="18"/>
  <c r="U621" i="18" s="1"/>
  <c r="N480" i="18"/>
  <c r="U480" i="18" s="1"/>
  <c r="N353" i="18"/>
  <c r="U353" i="18" s="1"/>
  <c r="N179" i="18"/>
  <c r="U179" i="18" s="1"/>
  <c r="N535" i="18"/>
  <c r="U535" i="18" s="1"/>
  <c r="N382" i="18"/>
  <c r="U382" i="18" s="1"/>
  <c r="N24" i="18"/>
  <c r="U24" i="18" s="1"/>
  <c r="N138" i="18"/>
  <c r="U138" i="18" s="1"/>
  <c r="N564" i="18"/>
  <c r="U564" i="18" s="1"/>
  <c r="N465" i="18"/>
  <c r="U465" i="18" s="1"/>
  <c r="N352" i="18"/>
  <c r="U352" i="18" s="1"/>
  <c r="N191" i="18"/>
  <c r="U191" i="18" s="1"/>
  <c r="N524" i="18"/>
  <c r="U524" i="18" s="1"/>
  <c r="N378" i="18"/>
  <c r="U378" i="18" s="1"/>
  <c r="N195" i="18"/>
  <c r="U195" i="18" s="1"/>
  <c r="N515" i="18"/>
  <c r="U515" i="18" s="1"/>
  <c r="N395" i="18"/>
  <c r="U395" i="18" s="1"/>
  <c r="N215" i="18"/>
  <c r="U215" i="18" s="1"/>
  <c r="N122" i="18"/>
  <c r="U122" i="18" s="1"/>
  <c r="N546" i="18"/>
  <c r="U546" i="18" s="1"/>
  <c r="N442" i="18"/>
  <c r="U442" i="18" s="1"/>
  <c r="N289" i="18"/>
  <c r="U289" i="18" s="1"/>
  <c r="N109" i="18"/>
  <c r="U109" i="18" s="1"/>
  <c r="N614" i="18"/>
  <c r="U614" i="18" s="1"/>
  <c r="N464" i="18"/>
  <c r="U464" i="18" s="1"/>
  <c r="N377" i="18"/>
  <c r="U377" i="18" s="1"/>
  <c r="N246" i="18"/>
  <c r="U246" i="18" s="1"/>
  <c r="N256" i="18"/>
  <c r="U256" i="18" s="1"/>
  <c r="N239" i="18"/>
  <c r="U239" i="18" s="1"/>
  <c r="N11" i="18"/>
  <c r="U11" i="18" s="1"/>
  <c r="Y2" i="25" l="1" a="1"/>
  <c r="Y2" i="25" s="1"/>
  <c r="AO2" i="25" a="1"/>
  <c r="AO2" i="25" s="1"/>
  <c r="A2" i="25" a="1"/>
  <c r="A2" i="25" s="1"/>
  <c r="K2" i="25" a="1"/>
  <c r="K2" i="2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<sst xmlns="http://schemas.openxmlformats.org/spreadsheetml/2006/main" count="1460" uniqueCount="1171">
  <si>
    <t>PFC</t>
  </si>
  <si>
    <t>UNIT WEIGHT</t>
  </si>
  <si>
    <t>SURFACE PERIMETER</t>
  </si>
  <si>
    <t>FORMAT</t>
  </si>
  <si>
    <t>inner perimeter</t>
  </si>
  <si>
    <t>out+ inner</t>
  </si>
  <si>
    <t>EA</t>
  </si>
  <si>
    <t>UB</t>
  </si>
  <si>
    <t>UC</t>
  </si>
  <si>
    <t>CHS</t>
  </si>
  <si>
    <t>UA</t>
  </si>
  <si>
    <t>SHS</t>
  </si>
  <si>
    <t>WB</t>
  </si>
  <si>
    <t>FB</t>
  </si>
  <si>
    <t>Unit Weight</t>
  </si>
  <si>
    <t>Surface Perimeter</t>
  </si>
  <si>
    <t>RHS</t>
  </si>
  <si>
    <t>PSC1</t>
  </si>
  <si>
    <t>Steel Type</t>
  </si>
  <si>
    <t>150UB14</t>
  </si>
  <si>
    <t>150UB18</t>
  </si>
  <si>
    <t>180UB16</t>
  </si>
  <si>
    <t>180UB18</t>
  </si>
  <si>
    <t>180UB22</t>
  </si>
  <si>
    <t>200UB18</t>
  </si>
  <si>
    <t>200UB22</t>
  </si>
  <si>
    <t>200UB25</t>
  </si>
  <si>
    <t>200UB30</t>
  </si>
  <si>
    <t>250UB26</t>
  </si>
  <si>
    <t>250UB31</t>
  </si>
  <si>
    <t>250UB37</t>
  </si>
  <si>
    <t>310UB32</t>
  </si>
  <si>
    <t>310UB40</t>
  </si>
  <si>
    <t>310UB46</t>
  </si>
  <si>
    <t>360UB45</t>
  </si>
  <si>
    <t>360UB51</t>
  </si>
  <si>
    <t>360UB57</t>
  </si>
  <si>
    <t>410UB54</t>
  </si>
  <si>
    <t>410UB60</t>
  </si>
  <si>
    <t>460UB67</t>
  </si>
  <si>
    <t>460UB74</t>
  </si>
  <si>
    <t>460UB82</t>
  </si>
  <si>
    <t>530UB82</t>
  </si>
  <si>
    <t>530UB92</t>
  </si>
  <si>
    <t>610UB101</t>
  </si>
  <si>
    <t>610UB113</t>
  </si>
  <si>
    <t>610UB125</t>
  </si>
  <si>
    <t>180UB16.1</t>
  </si>
  <si>
    <t>180UB18.1</t>
  </si>
  <si>
    <t>180UB22.2</t>
  </si>
  <si>
    <t>200UB18.2</t>
  </si>
  <si>
    <t>200UB22.3</t>
  </si>
  <si>
    <t>200UB25.4</t>
  </si>
  <si>
    <t>200UB29.8</t>
  </si>
  <si>
    <t>250UB25.7</t>
  </si>
  <si>
    <t>250UB31.4</t>
  </si>
  <si>
    <t>250UB37.3</t>
  </si>
  <si>
    <t>310UB40.4</t>
  </si>
  <si>
    <t>310UB46.2</t>
  </si>
  <si>
    <t>360UB44.7</t>
  </si>
  <si>
    <t>360UB50.7</t>
  </si>
  <si>
    <t>360UB56.7</t>
  </si>
  <si>
    <t>410UB53.7</t>
  </si>
  <si>
    <t>410UB59.7</t>
  </si>
  <si>
    <t>460UB67.1</t>
  </si>
  <si>
    <t>460UB75</t>
  </si>
  <si>
    <t>460UB82.1</t>
  </si>
  <si>
    <t>530UB92.4</t>
  </si>
  <si>
    <t>100UC15</t>
  </si>
  <si>
    <t>150UC23</t>
  </si>
  <si>
    <t>150UC30</t>
  </si>
  <si>
    <t>150UC37</t>
  </si>
  <si>
    <t>200UC46</t>
  </si>
  <si>
    <t>200UC52</t>
  </si>
  <si>
    <t>200UC60</t>
  </si>
  <si>
    <t>250UC73</t>
  </si>
  <si>
    <t>250UC90</t>
  </si>
  <si>
    <t>310UC97</t>
  </si>
  <si>
    <t>310UC118</t>
  </si>
  <si>
    <t>310UC137</t>
  </si>
  <si>
    <t>310UC158</t>
  </si>
  <si>
    <t>100UC14.8</t>
  </si>
  <si>
    <t>150UC23.4</t>
  </si>
  <si>
    <t>150UC37.20</t>
  </si>
  <si>
    <t>200UC46.20</t>
  </si>
  <si>
    <t>200UC52.20</t>
  </si>
  <si>
    <t>200UC59.50</t>
  </si>
  <si>
    <t>250UC72.90</t>
  </si>
  <si>
    <t>250UC89.50</t>
  </si>
  <si>
    <t>310UC96.80</t>
  </si>
  <si>
    <t>13CHS2</t>
  </si>
  <si>
    <t>13CHS3</t>
  </si>
  <si>
    <t>17CHS2</t>
  </si>
  <si>
    <t>17CHS3</t>
  </si>
  <si>
    <t>21CHS2</t>
  </si>
  <si>
    <t>21CHS3</t>
  </si>
  <si>
    <t>21CHS4</t>
  </si>
  <si>
    <t>26CHS2</t>
  </si>
  <si>
    <t>26CHS3</t>
  </si>
  <si>
    <t>26CHS4</t>
  </si>
  <si>
    <t>33CHS3</t>
  </si>
  <si>
    <t>33CHS4</t>
  </si>
  <si>
    <t>33CHS5</t>
  </si>
  <si>
    <t>42CHS3</t>
  </si>
  <si>
    <t>42CHS4</t>
  </si>
  <si>
    <t>42CHS5</t>
  </si>
  <si>
    <t>48CHS3</t>
  </si>
  <si>
    <t>48CHS4</t>
  </si>
  <si>
    <t>48CHS5</t>
  </si>
  <si>
    <t>60CHS3</t>
  </si>
  <si>
    <t>60CHS4</t>
  </si>
  <si>
    <t>60CHS5</t>
  </si>
  <si>
    <t>76CHS3</t>
  </si>
  <si>
    <t>76CHS4</t>
  </si>
  <si>
    <t>76CHS5</t>
  </si>
  <si>
    <t>76.1CHS5.9</t>
  </si>
  <si>
    <t>89CHS4</t>
  </si>
  <si>
    <t>88.9CHS4</t>
  </si>
  <si>
    <t>89CHS5</t>
  </si>
  <si>
    <t>89CHS6</t>
  </si>
  <si>
    <t>101CHS4</t>
  </si>
  <si>
    <t>101CHS5</t>
  </si>
  <si>
    <t>114CHS4</t>
  </si>
  <si>
    <t>114CHS5</t>
  </si>
  <si>
    <t>139CHS5</t>
  </si>
  <si>
    <t>139CHS6</t>
  </si>
  <si>
    <t>165CHS5</t>
  </si>
  <si>
    <t>165CHS6</t>
  </si>
  <si>
    <t>168.3CHS6.4</t>
  </si>
  <si>
    <t>168.3CHS7.1</t>
  </si>
  <si>
    <t>508CHS6</t>
  </si>
  <si>
    <t>508CHS9</t>
  </si>
  <si>
    <t>508CHS12</t>
  </si>
  <si>
    <t>610CHS6</t>
  </si>
  <si>
    <t>610CHS9</t>
  </si>
  <si>
    <t>610CHS12</t>
  </si>
  <si>
    <t>48.3CHS3.2</t>
  </si>
  <si>
    <t>508CHS12.7</t>
  </si>
  <si>
    <t>508CHS9.5</t>
  </si>
  <si>
    <t>508CHS6.4</t>
  </si>
  <si>
    <t>457CHS12.7</t>
  </si>
  <si>
    <t>457CHS9.5</t>
  </si>
  <si>
    <t>457CHS6.4</t>
  </si>
  <si>
    <t>406.4CHS12.7</t>
  </si>
  <si>
    <t>406.4CHS9.5</t>
  </si>
  <si>
    <t>406.4CHS6.4</t>
  </si>
  <si>
    <t>355.6CHS12.7</t>
  </si>
  <si>
    <t>355.6CHS9.5</t>
  </si>
  <si>
    <t>355.6CHS6.4</t>
  </si>
  <si>
    <t>323.9CHS12.7</t>
  </si>
  <si>
    <t>323.9CHS9.5</t>
  </si>
  <si>
    <t>323.9CHS6.4</t>
  </si>
  <si>
    <t>273.1CHS12.7</t>
  </si>
  <si>
    <t>273.1CHS9.3</t>
  </si>
  <si>
    <t>273.1CHS6.4</t>
  </si>
  <si>
    <t>273.1CHS4.8</t>
  </si>
  <si>
    <t>219.1CHS8.2</t>
  </si>
  <si>
    <t>219.1CHS6.4</t>
  </si>
  <si>
    <t>219.1CHS4.8</t>
  </si>
  <si>
    <t>168.3CHS4.8</t>
  </si>
  <si>
    <t>165.1CHS5.4</t>
  </si>
  <si>
    <t>165.1CHS5</t>
  </si>
  <si>
    <t>165.1CHS3.5</t>
  </si>
  <si>
    <t>165.1CHS3</t>
  </si>
  <si>
    <t>139.7CHS5.4</t>
  </si>
  <si>
    <t>139.7CHS5</t>
  </si>
  <si>
    <t>139.7CHS3.5</t>
  </si>
  <si>
    <t>139.7CHS3</t>
  </si>
  <si>
    <t>114.3CHS5.4</t>
  </si>
  <si>
    <t>114.3CHS4.5</t>
  </si>
  <si>
    <t>114.3CHS3.6</t>
  </si>
  <si>
    <t>114.3CHS3.2</t>
  </si>
  <si>
    <t>101.6CHS5</t>
  </si>
  <si>
    <t>101.6CHS4</t>
  </si>
  <si>
    <t>101.6CHS3.2</t>
  </si>
  <si>
    <t>101.6CHS2.6</t>
  </si>
  <si>
    <t>88.9CHS5.9</t>
  </si>
  <si>
    <t>88.9CHS5</t>
  </si>
  <si>
    <t>88.9CHS3.2</t>
  </si>
  <si>
    <t>88.9CHS2.6</t>
  </si>
  <si>
    <t>76.1CHS4.5</t>
  </si>
  <si>
    <t>76.1CHS3.6</t>
  </si>
  <si>
    <t>76.1CHS3.2</t>
  </si>
  <si>
    <t>76.1CHS2.3</t>
  </si>
  <si>
    <t>60.3CHS5.4</t>
  </si>
  <si>
    <t>60.3CHS4.5</t>
  </si>
  <si>
    <t>60.3CHS3.6</t>
  </si>
  <si>
    <t>60.3CHS2.9</t>
  </si>
  <si>
    <t>60.3CHS2.3</t>
  </si>
  <si>
    <t>48.3CHS4</t>
  </si>
  <si>
    <t>48.3CHS2.9</t>
  </si>
  <si>
    <t>48.3CHS2.3</t>
  </si>
  <si>
    <t>42.4CHS4</t>
  </si>
  <si>
    <t>42.4CHS3.2</t>
  </si>
  <si>
    <t>42.4CHS2.6</t>
  </si>
  <si>
    <t>42.4CHS2</t>
  </si>
  <si>
    <t>33.7CHS4</t>
  </si>
  <si>
    <t>33.7CHS3.2</t>
  </si>
  <si>
    <t>33.7CHS2.6</t>
  </si>
  <si>
    <t>33.7CHS2</t>
  </si>
  <si>
    <t>26.9CHS4</t>
  </si>
  <si>
    <t>26.9CHS3.2</t>
  </si>
  <si>
    <t>26.9CHS2.6</t>
  </si>
  <si>
    <t>26.9CHS2.3</t>
  </si>
  <si>
    <t>26.9CHS2</t>
  </si>
  <si>
    <t>75x5 Flat Bar</t>
  </si>
  <si>
    <t>25x25x3EA</t>
  </si>
  <si>
    <t>25x25x5EA</t>
  </si>
  <si>
    <t>25x25x6EA</t>
  </si>
  <si>
    <t>30x30x3EA</t>
  </si>
  <si>
    <t>30x30x5EA</t>
  </si>
  <si>
    <t>30x30x6EA</t>
  </si>
  <si>
    <t>40x40x3EA</t>
  </si>
  <si>
    <t>40x40x5EA</t>
  </si>
  <si>
    <t>40x40x6EA</t>
  </si>
  <si>
    <t>45x45x3EA</t>
  </si>
  <si>
    <t>45x45x5EA</t>
  </si>
  <si>
    <t>45x45x6EA</t>
  </si>
  <si>
    <t>50x50x3EA</t>
  </si>
  <si>
    <t>50x50x5EA</t>
  </si>
  <si>
    <t>50x50x6EA</t>
  </si>
  <si>
    <t>50x50x8EA</t>
  </si>
  <si>
    <t>55x55x5EA</t>
  </si>
  <si>
    <t>55x55x6EA</t>
  </si>
  <si>
    <t>65x65x5EA</t>
  </si>
  <si>
    <t>65x65x6EA</t>
  </si>
  <si>
    <t>65x65x8EA</t>
  </si>
  <si>
    <t>65x65x10EA</t>
  </si>
  <si>
    <t>75x75x5EA</t>
  </si>
  <si>
    <t>75x75x6EA</t>
  </si>
  <si>
    <t>75x75x8EA</t>
  </si>
  <si>
    <t>75x75x10EA</t>
  </si>
  <si>
    <t>90x90x6EA</t>
  </si>
  <si>
    <t>90x90x8EA</t>
  </si>
  <si>
    <t>90x90x10EA</t>
  </si>
  <si>
    <t>100x100x6EA</t>
  </si>
  <si>
    <t>100x100x8EA</t>
  </si>
  <si>
    <t>100x100x10EA</t>
  </si>
  <si>
    <t>100x100x12EA</t>
  </si>
  <si>
    <t>125x125x8EA</t>
  </si>
  <si>
    <t>125x125x10EA</t>
  </si>
  <si>
    <t>125x125x12EA</t>
  </si>
  <si>
    <t>125x125x16EA</t>
  </si>
  <si>
    <t>150x150x10EA</t>
  </si>
  <si>
    <t>150x150x12EA</t>
  </si>
  <si>
    <t>150x150x16EA</t>
  </si>
  <si>
    <t>150x150x19EA</t>
  </si>
  <si>
    <t>200x200x13EA</t>
  </si>
  <si>
    <t>200x200x16EA</t>
  </si>
  <si>
    <t>200x200x18EA</t>
  </si>
  <si>
    <t>200x200x20EA</t>
  </si>
  <si>
    <t>200x200x26EA</t>
  </si>
  <si>
    <t>60x50x5UA</t>
  </si>
  <si>
    <t>65x50x6UA</t>
  </si>
  <si>
    <t>65x50x8UA</t>
  </si>
  <si>
    <t>75x50x5UA</t>
  </si>
  <si>
    <t>75x50x6UA</t>
  </si>
  <si>
    <t>75x50x8UA</t>
  </si>
  <si>
    <t xml:space="preserve">100x75x6UA </t>
  </si>
  <si>
    <t xml:space="preserve">100x75x8UA </t>
  </si>
  <si>
    <t xml:space="preserve">100x75x10UA </t>
  </si>
  <si>
    <t>125x75x6UA</t>
  </si>
  <si>
    <t>125x75x8UA</t>
  </si>
  <si>
    <t>125x75x10UA</t>
  </si>
  <si>
    <t>125x75x12UA</t>
  </si>
  <si>
    <t>150x90x8UA</t>
  </si>
  <si>
    <t>150x90x10UA</t>
  </si>
  <si>
    <t>150x90x12UA</t>
  </si>
  <si>
    <t>150x90x16UA</t>
  </si>
  <si>
    <t>150x100x10UA</t>
  </si>
  <si>
    <t>150x100x12UA</t>
  </si>
  <si>
    <t>50x20x1.6RHS</t>
  </si>
  <si>
    <t>50x20x2RHS</t>
  </si>
  <si>
    <t>50x20x2.5RHS</t>
  </si>
  <si>
    <t>50x20x3RHS</t>
  </si>
  <si>
    <t>50x25x1.6RHS</t>
  </si>
  <si>
    <t>50x25x2RHS</t>
  </si>
  <si>
    <t>50x25 x2.5RHS</t>
  </si>
  <si>
    <t>50x25x3RHS</t>
  </si>
  <si>
    <t>65x35x2RHS</t>
  </si>
  <si>
    <t>65x35x2.5RHS</t>
  </si>
  <si>
    <t>65x35x3RHS</t>
  </si>
  <si>
    <t>75x25x1.6RHS</t>
  </si>
  <si>
    <t>75x25x2RHS</t>
  </si>
  <si>
    <t>75x25x2.5RHS</t>
  </si>
  <si>
    <t>75x50x2RHS</t>
  </si>
  <si>
    <t>75x50x2.5RHS</t>
  </si>
  <si>
    <t>75x50x3RHS</t>
  </si>
  <si>
    <t>75x50x4RHS</t>
  </si>
  <si>
    <t>75x50x5RHS</t>
  </si>
  <si>
    <t>75x50x6RHS</t>
  </si>
  <si>
    <t>100x50x2RHS</t>
  </si>
  <si>
    <t>100x50x2.5RHS</t>
  </si>
  <si>
    <t>100x50x3RHS</t>
  </si>
  <si>
    <t>100x50x3.5RHS</t>
  </si>
  <si>
    <t>100x50x4RHS</t>
  </si>
  <si>
    <t>100x50x5RHS</t>
  </si>
  <si>
    <t>100x50x6RHS</t>
  </si>
  <si>
    <t>125x75x3RHS</t>
  </si>
  <si>
    <t>125x75x4RHS</t>
  </si>
  <si>
    <t>125x75x5RHS</t>
  </si>
  <si>
    <t>125x75x6RHS</t>
  </si>
  <si>
    <t>150x50x3RHS</t>
  </si>
  <si>
    <t>150x50x4RHS</t>
  </si>
  <si>
    <t>150x50x5RHS</t>
  </si>
  <si>
    <t>150x100x4RHS</t>
  </si>
  <si>
    <t>150x100x5RHS</t>
  </si>
  <si>
    <t>150x100x6RHS</t>
  </si>
  <si>
    <t>150x100x9RHS</t>
  </si>
  <si>
    <t>200x100x4RHS</t>
  </si>
  <si>
    <t>200x100x5RHS</t>
  </si>
  <si>
    <t>200x100x6RHS</t>
  </si>
  <si>
    <t>200x100x9RHS</t>
  </si>
  <si>
    <t>250x150x5RHS</t>
  </si>
  <si>
    <t>250x150x6RHS</t>
  </si>
  <si>
    <t>250x150x9RHS</t>
  </si>
  <si>
    <t>250x150x12.5RHS</t>
  </si>
  <si>
    <t>400x300x16RHS</t>
  </si>
  <si>
    <t>400x300x12.5RHS</t>
  </si>
  <si>
    <t>400x300x10RHS</t>
  </si>
  <si>
    <t>400x300x8RHS</t>
  </si>
  <si>
    <t>400x200x16RHS</t>
  </si>
  <si>
    <t>400x200x12.5RHS</t>
  </si>
  <si>
    <t>400x200x10RHS</t>
  </si>
  <si>
    <t>400x200x8RHS</t>
  </si>
  <si>
    <t>350x250x16RHS</t>
  </si>
  <si>
    <t>350x250x12.5RHS</t>
  </si>
  <si>
    <t>350x250x10RHS</t>
  </si>
  <si>
    <t>350x250x8RHS</t>
  </si>
  <si>
    <t>300x200x16RHS</t>
  </si>
  <si>
    <t>300x200x12.5RHS</t>
  </si>
  <si>
    <t>300x200x10RHS</t>
  </si>
  <si>
    <t>300x200x8RHS</t>
  </si>
  <si>
    <t>300x200x6RHS</t>
  </si>
  <si>
    <t>250x150x16RHS</t>
  </si>
  <si>
    <t>250x150x10RHS</t>
  </si>
  <si>
    <t>250x150x8RHS</t>
  </si>
  <si>
    <t>200x100x10RHS</t>
  </si>
  <si>
    <t>200x100x8RHS</t>
  </si>
  <si>
    <t>152x76x6RHS</t>
  </si>
  <si>
    <t>152x76x5RHS</t>
  </si>
  <si>
    <t>150x100x10RHS</t>
  </si>
  <si>
    <t>150x100x8RHS</t>
  </si>
  <si>
    <t>150x50x6RHS</t>
  </si>
  <si>
    <t>150x50x2.5RHS</t>
  </si>
  <si>
    <t>150x50x2RHS</t>
  </si>
  <si>
    <t>127x51x6RHS</t>
  </si>
  <si>
    <t>127x51x5RHS</t>
  </si>
  <si>
    <t>127x51x3.5RHS</t>
  </si>
  <si>
    <t>125x75x2.5RHS</t>
  </si>
  <si>
    <t>125x75x2RHS</t>
  </si>
  <si>
    <t>102x76x6RHS</t>
  </si>
  <si>
    <t>102x76x5RHS</t>
  </si>
  <si>
    <t>102x76x3.5RHS</t>
  </si>
  <si>
    <t>100x50x1.6RHS</t>
  </si>
  <si>
    <t>76x38x4RHS</t>
  </si>
  <si>
    <t>76x38x3RHS</t>
  </si>
  <si>
    <t>76x38x2.5RHS</t>
  </si>
  <si>
    <t>75x50x1.6RHS</t>
  </si>
  <si>
    <t>65x35x4RHS</t>
  </si>
  <si>
    <t>50x25x2.5RHS</t>
  </si>
  <si>
    <t>20x20x1.6SHS</t>
  </si>
  <si>
    <t>25x25x1.6SHS</t>
  </si>
  <si>
    <t>25x25x2SHS</t>
  </si>
  <si>
    <t>25x25x2.5SHS</t>
  </si>
  <si>
    <t>25x25x3SHS</t>
  </si>
  <si>
    <t>30x30x1.6SHS</t>
  </si>
  <si>
    <t>30x30x2SHS</t>
  </si>
  <si>
    <t>30x30x2.5SHS</t>
  </si>
  <si>
    <t>30x30x3SHS</t>
  </si>
  <si>
    <t xml:space="preserve">35x35x1.6SHS </t>
  </si>
  <si>
    <t>35x35x2SHS</t>
  </si>
  <si>
    <t>35x35x2.5SHS</t>
  </si>
  <si>
    <t>35x35x3SHS</t>
  </si>
  <si>
    <t>40x40x1.6SHS</t>
  </si>
  <si>
    <t>40x40x2SHS</t>
  </si>
  <si>
    <t>40x40x2.5SHS</t>
  </si>
  <si>
    <t>40x40x3SHS</t>
  </si>
  <si>
    <t>40x40x4SHS</t>
  </si>
  <si>
    <t>50x50x1.6SHS</t>
  </si>
  <si>
    <t>50x50x2SHS</t>
  </si>
  <si>
    <t>50x50x2.5SHS</t>
  </si>
  <si>
    <t>50x50x3SHS</t>
  </si>
  <si>
    <t>50x50x4SHS</t>
  </si>
  <si>
    <t>50x50x5SHS</t>
  </si>
  <si>
    <t>65x65x2SHS</t>
  </si>
  <si>
    <t>65x65x2.5SHS</t>
  </si>
  <si>
    <t>65x65x3SHS</t>
  </si>
  <si>
    <t>65x65x4SHS</t>
  </si>
  <si>
    <t>65x65x5SHS</t>
  </si>
  <si>
    <t>65x65x6SHS</t>
  </si>
  <si>
    <t>75x75x2.5SHS</t>
  </si>
  <si>
    <t>75x75x3SHS</t>
  </si>
  <si>
    <t>75x75x3.5SHS</t>
  </si>
  <si>
    <t>75x75x4SHS</t>
  </si>
  <si>
    <t>75x75x5SHS</t>
  </si>
  <si>
    <t>75x75x6SHS</t>
  </si>
  <si>
    <t>89x89x3.5SHS</t>
  </si>
  <si>
    <t>89x89x5SHS</t>
  </si>
  <si>
    <t>89x89x6SHS</t>
  </si>
  <si>
    <t>100x100x3SHS</t>
  </si>
  <si>
    <t>100x100x4SHS</t>
  </si>
  <si>
    <t>100x100x5SHS</t>
  </si>
  <si>
    <t>100x100x6SHS</t>
  </si>
  <si>
    <t>100x100x9SHS</t>
  </si>
  <si>
    <t>125x125x4SHS</t>
  </si>
  <si>
    <t>125x125x5SHS</t>
  </si>
  <si>
    <t>125x125x6SHS</t>
  </si>
  <si>
    <t>125x125x9SHS</t>
  </si>
  <si>
    <t>150x150x5SHS</t>
  </si>
  <si>
    <t>150x150x6SHS</t>
  </si>
  <si>
    <t>150x150x9SHS</t>
  </si>
  <si>
    <t>200x200x5SHS</t>
  </si>
  <si>
    <t>200x200x6SHS</t>
  </si>
  <si>
    <t>200x200x9SHS</t>
  </si>
  <si>
    <t>250x250x6SHS</t>
  </si>
  <si>
    <t>250x250x9SHS</t>
  </si>
  <si>
    <t>1200 x1200x40SHS</t>
  </si>
  <si>
    <t>900x900x25SHS</t>
  </si>
  <si>
    <t>600x600x32SHS</t>
  </si>
  <si>
    <t>300x300x16SHS</t>
  </si>
  <si>
    <t>50x50x6SHS</t>
  </si>
  <si>
    <t>35x35x1.6SHS</t>
  </si>
  <si>
    <t>20x20x2SHS</t>
  </si>
  <si>
    <t>400x400x16SHS</t>
  </si>
  <si>
    <t>400x400x12.5SHS</t>
  </si>
  <si>
    <t>400x400x10SHS</t>
  </si>
  <si>
    <t>350x350x16SHS</t>
  </si>
  <si>
    <t>350x350x12.5SHS</t>
  </si>
  <si>
    <t>350x350x10SHS</t>
  </si>
  <si>
    <t>350x350x8SHS</t>
  </si>
  <si>
    <t>300x300x12.5SHS</t>
  </si>
  <si>
    <t>300x300x10SHS</t>
  </si>
  <si>
    <t>300x300x8SHS</t>
  </si>
  <si>
    <t>250x250x16SHS</t>
  </si>
  <si>
    <t>250x250x12.5SHS</t>
  </si>
  <si>
    <t>250x250x10SHS</t>
  </si>
  <si>
    <t>250x250x8SHS</t>
  </si>
  <si>
    <t>200x200x16SHS</t>
  </si>
  <si>
    <t>200x200x12.5SHS</t>
  </si>
  <si>
    <t>200x200x10SHS</t>
  </si>
  <si>
    <t>200x200x8SHS</t>
  </si>
  <si>
    <t>150x150x10SHS</t>
  </si>
  <si>
    <t>150x150x8SHS</t>
  </si>
  <si>
    <t>125x125x10SHS</t>
  </si>
  <si>
    <t>125x125x8SHS</t>
  </si>
  <si>
    <t>100x100x10SHS</t>
  </si>
  <si>
    <t>100x100x8SHS</t>
  </si>
  <si>
    <t>100x100x2.5SHS</t>
  </si>
  <si>
    <t>100x100x2SHS</t>
  </si>
  <si>
    <t>90x90x2.5SHS</t>
  </si>
  <si>
    <t>90x90x2SHS</t>
  </si>
  <si>
    <t>89x89x2SHS</t>
  </si>
  <si>
    <t>75x75x2SHS</t>
  </si>
  <si>
    <t>65x65x1.6SHS</t>
  </si>
  <si>
    <t>75PFC</t>
  </si>
  <si>
    <t>100PFC</t>
  </si>
  <si>
    <t>125PFC</t>
  </si>
  <si>
    <t>150PFC</t>
  </si>
  <si>
    <t>180PFC</t>
  </si>
  <si>
    <t>200PFC</t>
  </si>
  <si>
    <t>230PFC</t>
  </si>
  <si>
    <t>250PFC</t>
  </si>
  <si>
    <t>300PFC</t>
  </si>
  <si>
    <t>380PFC</t>
  </si>
  <si>
    <t>700WB115</t>
  </si>
  <si>
    <t>700WB130</t>
  </si>
  <si>
    <t>700WB150</t>
  </si>
  <si>
    <t>700WB173</t>
  </si>
  <si>
    <t>800WB122</t>
  </si>
  <si>
    <t>800WB146</t>
  </si>
  <si>
    <t>800WB168</t>
  </si>
  <si>
    <t>800WB192</t>
  </si>
  <si>
    <t>900WB175</t>
  </si>
  <si>
    <t>900WB218</t>
  </si>
  <si>
    <t>900WB257</t>
  </si>
  <si>
    <t>900WB282</t>
  </si>
  <si>
    <t>1000WB215</t>
  </si>
  <si>
    <t>1000WB258</t>
  </si>
  <si>
    <t>1000WB296</t>
  </si>
  <si>
    <t>1000WB322</t>
  </si>
  <si>
    <t>1200WB249</t>
  </si>
  <si>
    <t>1200WB278</t>
  </si>
  <si>
    <t>1200WB317</t>
  </si>
  <si>
    <t>1200WB342</t>
  </si>
  <si>
    <t>1200WB392</t>
  </si>
  <si>
    <t>1200WB423</t>
  </si>
  <si>
    <t>1200WB455</t>
  </si>
  <si>
    <t>3200WB3964</t>
  </si>
  <si>
    <t>2500WB1711</t>
  </si>
  <si>
    <t>2000WB3258</t>
  </si>
  <si>
    <t>1600WB613</t>
  </si>
  <si>
    <t>STEEL SECTION</t>
  </si>
  <si>
    <t>STEEL TYPE</t>
  </si>
  <si>
    <t>TOP</t>
  </si>
  <si>
    <t>Paste as values here for easier copying in costX/Cubit</t>
  </si>
  <si>
    <t>INSTRUCTIONS IN USING THIS FORMAT</t>
  </si>
  <si>
    <t>Fill up cells highlighted in yellow only. As much as possible do not edit cells with formulas</t>
  </si>
  <si>
    <t>1.a</t>
  </si>
  <si>
    <t>TAG/MARK - manually type the tagging based from plans</t>
  </si>
  <si>
    <t>1.b</t>
  </si>
  <si>
    <t>STEEL TYPE &amp; STEEL SECTION - a drop down list is provided, please choose corresponding steel types and section for given tag/mark</t>
  </si>
  <si>
    <t>REMARKS/ADDITIONAL DESCRIPTION</t>
  </si>
  <si>
    <t>TEMPLATE</t>
  </si>
  <si>
    <t>INSERT DATA HERE</t>
  </si>
  <si>
    <t>Column</t>
  </si>
  <si>
    <t>Framing</t>
  </si>
  <si>
    <t>Roof</t>
  </si>
  <si>
    <t>Purlins, Girths and Bracings</t>
  </si>
  <si>
    <t>Steel Member</t>
  </si>
  <si>
    <t>20mm dia. Rod</t>
  </si>
  <si>
    <t>Dimension Name Category</t>
  </si>
  <si>
    <t>EA, UA. RHS, SHS</t>
  </si>
  <si>
    <t>Flat Bar</t>
  </si>
  <si>
    <t>Folder*</t>
  </si>
  <si>
    <t>Name*</t>
  </si>
  <si>
    <t>Measurement Type*</t>
  </si>
  <si>
    <t>Default Display</t>
  </si>
  <si>
    <t>Default Multiplier</t>
  </si>
  <si>
    <t>Default Width</t>
  </si>
  <si>
    <t>Default Height</t>
  </si>
  <si>
    <t>Default Offset</t>
  </si>
  <si>
    <t>Add to GFA</t>
  </si>
  <si>
    <t>Weight Unit</t>
  </si>
  <si>
    <t>Positive Colour Name</t>
  </si>
  <si>
    <t>Negative Colour Name</t>
  </si>
  <si>
    <t>Positive Hatch/Symbol</t>
  </si>
  <si>
    <t>Negative Hatch/Symbol</t>
  </si>
  <si>
    <t>Name Formula Expression (Measured Dimensions)</t>
  </si>
  <si>
    <t>Multiplier Formula Expression (Measured Dimensions)</t>
  </si>
  <si>
    <t>Width Formula Expression (Measured Dimensions)</t>
  </si>
  <si>
    <t>Height Formula Expression (Measured Dimensions)</t>
  </si>
  <si>
    <t>Offset Formula Expression (Measured Dimensions)</t>
  </si>
  <si>
    <t>Count Formula Expression (Measured Dimensions)</t>
  </si>
  <si>
    <t>Length Formula Expression (Measured Dimensions)</t>
  </si>
  <si>
    <t>Area Formula Expression (Measured Dimensions)</t>
  </si>
  <si>
    <t>Wall Area Formula Expression (Measured Dimensions)</t>
  </si>
  <si>
    <t>Volume Formula Expression (Measured Dimensions)</t>
  </si>
  <si>
    <t>Weight Formula Expression (Measured Dimensions)</t>
  </si>
  <si>
    <t>Name Formula Expression (BIM Dimensions)</t>
  </si>
  <si>
    <t>Multiplier Formula Expression (BIM Dimensions)</t>
  </si>
  <si>
    <t>Width Formula Expression (BIM Dimensions)</t>
  </si>
  <si>
    <t>Height Formula Expression (BIM Dimensions)</t>
  </si>
  <si>
    <t>Offset Formula Expression (BIM Dimensions)</t>
  </si>
  <si>
    <t>Count Formula Expression (BIM Dimensions)</t>
  </si>
  <si>
    <t>Length Formula Expression (BIM Dimensions)</t>
  </si>
  <si>
    <t>Area Formula Expression (BIM Dimensions)</t>
  </si>
  <si>
    <t>Wall Area Formula Expression (BIM Dimensions)</t>
  </si>
  <si>
    <t>Volume Formula Expression (BIM Dimensions)</t>
  </si>
  <si>
    <t>Weight Formula Expression (BIM Dimensions)</t>
  </si>
  <si>
    <t>Unused</t>
  </si>
  <si>
    <t>Custom 1 Name</t>
  </si>
  <si>
    <t>Custom 1 Unit</t>
  </si>
  <si>
    <t>Custom 1 Formula Expression (Measured Dimensions)</t>
  </si>
  <si>
    <t>Custom 1 Formula Expression (BIM Dimensions)</t>
  </si>
  <si>
    <t>Custom 2 Name</t>
  </si>
  <si>
    <t>Custom 2 Unit</t>
  </si>
  <si>
    <t>Custom 2 Formula Expression (Measured Dimensions)</t>
  </si>
  <si>
    <t>Custom 2 Formula Expression (BIM Dimensions)</t>
  </si>
  <si>
    <t>Dimension Group Folder</t>
  </si>
  <si>
    <t>Count</t>
  </si>
  <si>
    <t>Length</t>
  </si>
  <si>
    <t>Weight</t>
  </si>
  <si>
    <t>Slope Length</t>
  </si>
  <si>
    <t>Custom 3 Name</t>
  </si>
  <si>
    <t>Custom 3 Unit</t>
  </si>
  <si>
    <t>With number in tagging?</t>
  </si>
  <si>
    <t>!! DO NOT EDIT BEYOND THIS COLUMN !!</t>
  </si>
  <si>
    <t>Column1</t>
  </si>
  <si>
    <t>Orange</t>
  </si>
  <si>
    <t>Blue</t>
  </si>
  <si>
    <t>Purple</t>
  </si>
  <si>
    <t>Aqua</t>
  </si>
  <si>
    <t>Crosshairs</t>
  </si>
  <si>
    <t>Custom 3 Formula Expression (Measured Dimensions)</t>
  </si>
  <si>
    <t>Custom 3 Formula Expression (BIM Dimensions)</t>
  </si>
  <si>
    <t>"mm high"</t>
  </si>
  <si>
    <t>"0 degrees"</t>
  </si>
  <si>
    <t>[Length]</t>
  </si>
  <si>
    <t>{Count}*{Height}</t>
  </si>
  <si>
    <t>[Count]</t>
  </si>
  <si>
    <t>XNUMBER({Dimension Name},1)/1000</t>
  </si>
  <si>
    <t>1/COS(RADIANS(XNUMBER({Dimension Name},1)))</t>
  </si>
  <si>
    <t>[Length]*{Slope Factor}</t>
  </si>
  <si>
    <t>Weight Formula XNUMBER POSITION</t>
  </si>
  <si>
    <t>Weight Formula XNUMBER POSITION w/ tag</t>
  </si>
  <si>
    <t>Weight Formula XNUMBER POSITION w/o tag</t>
  </si>
  <si>
    <t>Custom 1 Formula  XNUMBER position</t>
  </si>
  <si>
    <t>Custom 1 Formula  XNUMBER position w/ tag</t>
  </si>
  <si>
    <t>Custom 1 Formula  XNUMBER position w/o tag</t>
  </si>
  <si>
    <t>DELETE THIS ROW</t>
  </si>
  <si>
    <t>TAG/ MARK</t>
  </si>
  <si>
    <t>t</t>
  </si>
  <si>
    <t>Red</t>
  </si>
  <si>
    <t>{Length}*XNUMBER({Dimension Group Name},4)/1000</t>
  </si>
  <si>
    <t>Steel Surface Area</t>
  </si>
  <si>
    <t>m2</t>
  </si>
  <si>
    <t>{Length}*XNUMBER({Dimension Group Name},5)/1000</t>
  </si>
  <si>
    <t/>
  </si>
  <si>
    <t>TO DELETE IN COSTX\Do not delete in CSV File</t>
  </si>
  <si>
    <t>Do not delete in CSV file, delete when done importing in costX</t>
  </si>
  <si>
    <r>
      <t xml:space="preserve">TYPE OF MEMBER
</t>
    </r>
    <r>
      <rPr>
        <sz val="10"/>
        <color rgb="FFFF0000"/>
        <rFont val="Calibri"/>
        <family val="2"/>
        <scheme val="minor"/>
      </rPr>
      <t>(Don't leave blank if CSV file will be imported to costX)</t>
    </r>
  </si>
  <si>
    <t>to insert data, copy this row and insert copied row above</t>
  </si>
  <si>
    <t>do not delete this row</t>
  </si>
  <si>
    <t>------------</t>
  </si>
  <si>
    <t>Steel Type/Member</t>
  </si>
  <si>
    <t>100x50x12.5RHS</t>
  </si>
  <si>
    <t>200x100x16RHS</t>
  </si>
  <si>
    <t>250x150x20RHS</t>
  </si>
  <si>
    <t>250x250x20SHS</t>
  </si>
  <si>
    <t>You can navigate in "DATA SHEET" tab with hyperlinked cells</t>
  </si>
  <si>
    <t>If steel type/section is not in the list, data is not yet available in the "DATA SHEET" tab. A blank row is provided at end of each table for adding another steel section. Please copy first the designated row for new data</t>
  </si>
  <si>
    <t>90x90x6SHS</t>
  </si>
  <si>
    <t>90x90x3.6SHS</t>
  </si>
  <si>
    <t>90x90x5SHS</t>
  </si>
  <si>
    <t>90x90x6.3SHS</t>
  </si>
  <si>
    <t>80x80x3.6SHS</t>
  </si>
  <si>
    <t>80x80x5SHS</t>
  </si>
  <si>
    <t>80x80x6.3SHS</t>
  </si>
  <si>
    <t>70x70x3.6SHS</t>
  </si>
  <si>
    <t>70x70x5SHS</t>
  </si>
  <si>
    <t>70x70x6.3SHS</t>
  </si>
  <si>
    <t>180x180x5SHS</t>
  </si>
  <si>
    <t>180x180x6.3SHS</t>
  </si>
  <si>
    <t>180x180x8SHS</t>
  </si>
  <si>
    <t>180x180x10SHS</t>
  </si>
  <si>
    <t>180x180x13SHS</t>
  </si>
  <si>
    <t>180x180x16SHS</t>
  </si>
  <si>
    <t>200x200x6.3SHS</t>
  </si>
  <si>
    <t>80x80x3.5SHS</t>
  </si>
  <si>
    <t>100x100x3.8SHS</t>
  </si>
  <si>
    <t>150x150x4SHS</t>
  </si>
  <si>
    <t>BT</t>
  </si>
  <si>
    <t>305BT62</t>
  </si>
  <si>
    <t>305BT56</t>
  </si>
  <si>
    <t>305BT50</t>
  </si>
  <si>
    <t>265BT46</t>
  </si>
  <si>
    <t>265BT41</t>
  </si>
  <si>
    <t>230BT41</t>
  </si>
  <si>
    <t>230BT37</t>
  </si>
  <si>
    <t>230BT33</t>
  </si>
  <si>
    <t>205BT30</t>
  </si>
  <si>
    <t>205BT27</t>
  </si>
  <si>
    <t>180BT28</t>
  </si>
  <si>
    <t>180BT25</t>
  </si>
  <si>
    <t>180BT22</t>
  </si>
  <si>
    <t>155BT23</t>
  </si>
  <si>
    <t>155BT20</t>
  </si>
  <si>
    <t>125BT18</t>
  </si>
  <si>
    <t>125BT15</t>
  </si>
  <si>
    <t>100BT15</t>
  </si>
  <si>
    <t>100BT12</t>
  </si>
  <si>
    <t>90BT11</t>
  </si>
  <si>
    <t>90BT9</t>
  </si>
  <si>
    <t>75BT9</t>
  </si>
  <si>
    <t>75BT7</t>
  </si>
  <si>
    <t>CT</t>
  </si>
  <si>
    <t>155CT142</t>
  </si>
  <si>
    <t>155CT120</t>
  </si>
  <si>
    <t>155CT99</t>
  </si>
  <si>
    <t>155CT79</t>
  </si>
  <si>
    <t>155CT68</t>
  </si>
  <si>
    <t>155CT59</t>
  </si>
  <si>
    <t>155CT48</t>
  </si>
  <si>
    <t>125CT44</t>
  </si>
  <si>
    <t>125CT36</t>
  </si>
  <si>
    <t>100CT30</t>
  </si>
  <si>
    <t>100CT26</t>
  </si>
  <si>
    <t>100CT23</t>
  </si>
  <si>
    <t>75CT18</t>
  </si>
  <si>
    <t>75CT15</t>
  </si>
  <si>
    <t>75CT12</t>
  </si>
  <si>
    <t>125BT13</t>
  </si>
  <si>
    <t>90BT8</t>
  </si>
  <si>
    <t>100BT9</t>
  </si>
  <si>
    <t>155BT16</t>
  </si>
  <si>
    <t>345BT62</t>
  </si>
  <si>
    <t>345BT70</t>
  </si>
  <si>
    <t>380BT73</t>
  </si>
  <si>
    <t>380BT86</t>
  </si>
  <si>
    <t>380BT98</t>
  </si>
  <si>
    <t>380BT110</t>
  </si>
  <si>
    <t>380BT122</t>
  </si>
  <si>
    <t>100BT11</t>
  </si>
  <si>
    <t>R</t>
  </si>
  <si>
    <t>G</t>
  </si>
  <si>
    <t>B</t>
  </si>
  <si>
    <t>Yellow</t>
  </si>
  <si>
    <t>#FFFF00</t>
  </si>
  <si>
    <t>255, 255, 0</t>
  </si>
  <si>
    <t>Chocolate</t>
  </si>
  <si>
    <t>#D2691E</t>
  </si>
  <si>
    <t>210, 105, 30</t>
  </si>
  <si>
    <t>Navy</t>
  </si>
  <si>
    <t>#000080</t>
  </si>
  <si>
    <t>0, 0, 128</t>
  </si>
  <si>
    <t>#0000FF</t>
  </si>
  <si>
    <t>0, 0, 255</t>
  </si>
  <si>
    <t>Green</t>
  </si>
  <si>
    <t>#008000</t>
  </si>
  <si>
    <t>0, 128, 0</t>
  </si>
  <si>
    <t>Teal</t>
  </si>
  <si>
    <t>#008080</t>
  </si>
  <si>
    <t>0, 128, 128</t>
  </si>
  <si>
    <t>#00FA9A</t>
  </si>
  <si>
    <t>0, 250, 154</t>
  </si>
  <si>
    <t>#00BFFF</t>
  </si>
  <si>
    <t>0, 191, 255</t>
  </si>
  <si>
    <t>Lime</t>
  </si>
  <si>
    <t>#00FF00</t>
  </si>
  <si>
    <t>0, 255, 0</t>
  </si>
  <si>
    <t>#00FFFF</t>
  </si>
  <si>
    <t>0, 255, 255</t>
  </si>
  <si>
    <t>Cyan</t>
  </si>
  <si>
    <t>#228B22</t>
  </si>
  <si>
    <t>34, 139, 34</t>
  </si>
  <si>
    <t>#3CB371</t>
  </si>
  <si>
    <t>60, 179, 113</t>
  </si>
  <si>
    <t>Tan</t>
  </si>
  <si>
    <t>#D2B48C</t>
  </si>
  <si>
    <t>210, 180, 140</t>
  </si>
  <si>
    <t>Orchid</t>
  </si>
  <si>
    <t>#DA70D6</t>
  </si>
  <si>
    <t>218, 112, 214</t>
  </si>
  <si>
    <t>Goldenrod</t>
  </si>
  <si>
    <t>#DAA520</t>
  </si>
  <si>
    <t>218, 165, 32</t>
  </si>
  <si>
    <t>#DEB887</t>
  </si>
  <si>
    <t>222, 184, 135</t>
  </si>
  <si>
    <t>#E0FFFF</t>
  </si>
  <si>
    <t>224, 255, 255</t>
  </si>
  <si>
    <t>Lavender</t>
  </si>
  <si>
    <t>#E6E6FA</t>
  </si>
  <si>
    <t>230, 230, 250</t>
  </si>
  <si>
    <t>Violet</t>
  </si>
  <si>
    <t>#EE82EE</t>
  </si>
  <si>
    <t>238, 130, 238</t>
  </si>
  <si>
    <t>Khaki</t>
  </si>
  <si>
    <t>#F0E68C</t>
  </si>
  <si>
    <t>240, 230, 140</t>
  </si>
  <si>
    <t>#F4A460</t>
  </si>
  <si>
    <t>244, 164, 96</t>
  </si>
  <si>
    <t>Beige</t>
  </si>
  <si>
    <t>#F5F5DC</t>
  </si>
  <si>
    <t>245, 245, 220</t>
  </si>
  <si>
    <t>Salmon</t>
  </si>
  <si>
    <t>#FA8072</t>
  </si>
  <si>
    <t>250, 128, 114</t>
  </si>
  <si>
    <t>Fuchsia</t>
  </si>
  <si>
    <t>#FF00FF</t>
  </si>
  <si>
    <t>255, 0, 255</t>
  </si>
  <si>
    <t>Magenta</t>
  </si>
  <si>
    <t>#FF1493</t>
  </si>
  <si>
    <t>255, 20, 147</t>
  </si>
  <si>
    <t>Tomato</t>
  </si>
  <si>
    <t>#FF6347</t>
  </si>
  <si>
    <t>255, 99, 71</t>
  </si>
  <si>
    <t>#FF69B4</t>
  </si>
  <si>
    <t>255, 105, 180</t>
  </si>
  <si>
    <t>#FF8C00</t>
  </si>
  <si>
    <t>255, 140, 0</t>
  </si>
  <si>
    <t>#FFA500</t>
  </si>
  <si>
    <t>255, 165, 0</t>
  </si>
  <si>
    <t>#FFB6C1</t>
  </si>
  <si>
    <t>255, 182, 193</t>
  </si>
  <si>
    <t>Pink</t>
  </si>
  <si>
    <t>#FFC0CB</t>
  </si>
  <si>
    <t>255, 192, 203</t>
  </si>
  <si>
    <t>Gold</t>
  </si>
  <si>
    <t>#FFD700</t>
  </si>
  <si>
    <t>255, 215, 0</t>
  </si>
  <si>
    <t>#00008B</t>
  </si>
  <si>
    <t>0, 0, 139</t>
  </si>
  <si>
    <t>#0000CD</t>
  </si>
  <si>
    <t>0, 0, 205</t>
  </si>
  <si>
    <t>#006400</t>
  </si>
  <si>
    <t>0, 100, 0</t>
  </si>
  <si>
    <t>#008B8B</t>
  </si>
  <si>
    <t>0, 139, 139</t>
  </si>
  <si>
    <t>#00CED1</t>
  </si>
  <si>
    <t>0, 206, 209</t>
  </si>
  <si>
    <t>#00FF7F</t>
  </si>
  <si>
    <t>0, 255, 127</t>
  </si>
  <si>
    <t>#191970</t>
  </si>
  <si>
    <t>25, 25, 112</t>
  </si>
  <si>
    <t>#1E90FF</t>
  </si>
  <si>
    <t>30, 144, 255</t>
  </si>
  <si>
    <t>#20B2AA</t>
  </si>
  <si>
    <t>32, 178, 170</t>
  </si>
  <si>
    <t>#2E8B57</t>
  </si>
  <si>
    <t>46, 139, 87</t>
  </si>
  <si>
    <t>#2F4F4F</t>
  </si>
  <si>
    <t>47, 79, 79</t>
  </si>
  <si>
    <t>#32CD32</t>
  </si>
  <si>
    <t>50, 205, 50</t>
  </si>
  <si>
    <t>Turquoise</t>
  </si>
  <si>
    <t>#40E0D0</t>
  </si>
  <si>
    <t>64, 224, 208</t>
  </si>
  <si>
    <t>#4169E1</t>
  </si>
  <si>
    <t>65, 105, 225</t>
  </si>
  <si>
    <t>#4682B4</t>
  </si>
  <si>
    <t>70, 130, 180</t>
  </si>
  <si>
    <t>#483D8B</t>
  </si>
  <si>
    <t>72, 61, 139</t>
  </si>
  <si>
    <t>#48D1CC</t>
  </si>
  <si>
    <t>72, 209, 204</t>
  </si>
  <si>
    <t>Indigo</t>
  </si>
  <si>
    <t>#4B0082</t>
  </si>
  <si>
    <t>75, 0, 130</t>
  </si>
  <si>
    <t>#556B2F</t>
  </si>
  <si>
    <t>85, 107, 47</t>
  </si>
  <si>
    <t>#5F9EA0</t>
  </si>
  <si>
    <t>95, 158, 160</t>
  </si>
  <si>
    <t>#6495ED</t>
  </si>
  <si>
    <t>100, 149, 237</t>
  </si>
  <si>
    <t>#663399</t>
  </si>
  <si>
    <t>102, 51, 153</t>
  </si>
  <si>
    <t>#66CDAA</t>
  </si>
  <si>
    <t>102, 205, 170</t>
  </si>
  <si>
    <t>#6A5ACD</t>
  </si>
  <si>
    <t>106, 90, 205</t>
  </si>
  <si>
    <t>#6B8E23</t>
  </si>
  <si>
    <t>107, 142, 35</t>
  </si>
  <si>
    <t>#708090</t>
  </si>
  <si>
    <t>112, 128, 144</t>
  </si>
  <si>
    <t>#778899</t>
  </si>
  <si>
    <t>119, 136, 153</t>
  </si>
  <si>
    <t>#7B68EE</t>
  </si>
  <si>
    <t>123, 104, 238</t>
  </si>
  <si>
    <t>#7CFC00</t>
  </si>
  <si>
    <t>124, 252, 0</t>
  </si>
  <si>
    <t>Chartreuse</t>
  </si>
  <si>
    <t>#7FFF00</t>
  </si>
  <si>
    <t>127, 255, 0</t>
  </si>
  <si>
    <t>Aquamarine</t>
  </si>
  <si>
    <t>#7FFFD4</t>
  </si>
  <si>
    <t>127, 255, 212</t>
  </si>
  <si>
    <t>Maroon</t>
  </si>
  <si>
    <t>#800000</t>
  </si>
  <si>
    <t>128, 0, 0</t>
  </si>
  <si>
    <t>#800080</t>
  </si>
  <si>
    <t>128, 0, 128</t>
  </si>
  <si>
    <t>Olive</t>
  </si>
  <si>
    <t>#808000</t>
  </si>
  <si>
    <t>128, 128, 0</t>
  </si>
  <si>
    <t>Gray</t>
  </si>
  <si>
    <t>#808080</t>
  </si>
  <si>
    <t>128, 128, 128</t>
  </si>
  <si>
    <t>#87CEEB</t>
  </si>
  <si>
    <t>135, 206, 235</t>
  </si>
  <si>
    <t>#87CEFA</t>
  </si>
  <si>
    <t>135, 206, 250</t>
  </si>
  <si>
    <t>#8A2BE2</t>
  </si>
  <si>
    <t>138, 43, 226</t>
  </si>
  <si>
    <t>#8B0000</t>
  </si>
  <si>
    <t>139, 0, 0</t>
  </si>
  <si>
    <t>#8B008B</t>
  </si>
  <si>
    <t>139, 0, 139</t>
  </si>
  <si>
    <t>#8B4513</t>
  </si>
  <si>
    <t>139, 69, 19</t>
  </si>
  <si>
    <t>#8FBC8B</t>
  </si>
  <si>
    <t>143, 188, 139</t>
  </si>
  <si>
    <t>#90EE90</t>
  </si>
  <si>
    <t>144, 238, 144</t>
  </si>
  <si>
    <t>#9370DB</t>
  </si>
  <si>
    <t>147, 112, 219</t>
  </si>
  <si>
    <t>#9400D3</t>
  </si>
  <si>
    <t>148, 0, 211</t>
  </si>
  <si>
    <t>#98FB98</t>
  </si>
  <si>
    <t>152, 251, 152</t>
  </si>
  <si>
    <t>#9932CC</t>
  </si>
  <si>
    <t>153, 50, 204</t>
  </si>
  <si>
    <t>#9ACD32</t>
  </si>
  <si>
    <t>154, 205, 50</t>
  </si>
  <si>
    <t>Sienna</t>
  </si>
  <si>
    <t>#A0522D</t>
  </si>
  <si>
    <t>160, 82, 45</t>
  </si>
  <si>
    <t>Brown</t>
  </si>
  <si>
    <t>#A52A2A</t>
  </si>
  <si>
    <t>165, 42, 42</t>
  </si>
  <si>
    <t>#A9A9A9</t>
  </si>
  <si>
    <t>169, 169, 169</t>
  </si>
  <si>
    <t>#ADD8E6</t>
  </si>
  <si>
    <t>173, 216, 230</t>
  </si>
  <si>
    <t>#ADFF2F</t>
  </si>
  <si>
    <t>173, 255, 47</t>
  </si>
  <si>
    <t>#AFEEEE</t>
  </si>
  <si>
    <t>175, 238, 238</t>
  </si>
  <si>
    <t>LightSteelBlue</t>
  </si>
  <si>
    <t>#B0C4DE</t>
  </si>
  <si>
    <t>176, 196, 222</t>
  </si>
  <si>
    <t>PowderBlue</t>
  </si>
  <si>
    <t>#B0E0E6</t>
  </si>
  <si>
    <t>176, 224, 230</t>
  </si>
  <si>
    <t>FireBrick</t>
  </si>
  <si>
    <t>#B22222</t>
  </si>
  <si>
    <t>178, 34, 34</t>
  </si>
  <si>
    <t>#B8860B</t>
  </si>
  <si>
    <t>184, 134, 11</t>
  </si>
  <si>
    <t>#BA55D3</t>
  </si>
  <si>
    <t>186, 85, 211</t>
  </si>
  <si>
    <t>#BC8F8F</t>
  </si>
  <si>
    <t>188, 143, 143</t>
  </si>
  <si>
    <t>#BDB76B</t>
  </si>
  <si>
    <t>189, 183, 107</t>
  </si>
  <si>
    <t>Silver</t>
  </si>
  <si>
    <t>#C0C0C0</t>
  </si>
  <si>
    <t>192, 192, 192</t>
  </si>
  <si>
    <t>#C71585</t>
  </si>
  <si>
    <t>199, 21, 133</t>
  </si>
  <si>
    <t>#CD5C5C</t>
  </si>
  <si>
    <t>205, 92, 92</t>
  </si>
  <si>
    <t>Peru</t>
  </si>
  <si>
    <t>#CD853F</t>
  </si>
  <si>
    <t>205, 133, 63</t>
  </si>
  <si>
    <t>#D3D3D3</t>
  </si>
  <si>
    <t>211, 211, 211</t>
  </si>
  <si>
    <t>Thistle</t>
  </si>
  <si>
    <t>#D8BFD8</t>
  </si>
  <si>
    <t>216, 191, 216</t>
  </si>
  <si>
    <t>#DB7093</t>
  </si>
  <si>
    <t>219, 112, 147</t>
  </si>
  <si>
    <t>Crimson</t>
  </si>
  <si>
    <t>#DC143C</t>
  </si>
  <si>
    <t>220, 20, 60</t>
  </si>
  <si>
    <t>Gainsboro</t>
  </si>
  <si>
    <t>#DCDCDC</t>
  </si>
  <si>
    <t>220, 220, 220</t>
  </si>
  <si>
    <t>Plum</t>
  </si>
  <si>
    <t>#DDA0DD</t>
  </si>
  <si>
    <t>221, 160, 221</t>
  </si>
  <si>
    <t>#E9967A</t>
  </si>
  <si>
    <t>233, 150, 122</t>
  </si>
  <si>
    <t>#EEE8AA</t>
  </si>
  <si>
    <t>238, 232, 170</t>
  </si>
  <si>
    <t>#F08080</t>
  </si>
  <si>
    <t>240, 128, 128</t>
  </si>
  <si>
    <t>#F0F8FF</t>
  </si>
  <si>
    <t>240, 248, 255</t>
  </si>
  <si>
    <t>#F0FFF0</t>
  </si>
  <si>
    <t>240, 255, 240</t>
  </si>
  <si>
    <t>Azure</t>
  </si>
  <si>
    <t>#F0FFFF</t>
  </si>
  <si>
    <t>240, 255, 255</t>
  </si>
  <si>
    <t>Wheat</t>
  </si>
  <si>
    <t>#F5DEB3</t>
  </si>
  <si>
    <t>245, 222, 179</t>
  </si>
  <si>
    <t>#F5F5F5</t>
  </si>
  <si>
    <t>245, 245, 245</t>
  </si>
  <si>
    <t>#F5FFFA</t>
  </si>
  <si>
    <t>245, 255, 250</t>
  </si>
  <si>
    <t>#F8F8FF</t>
  </si>
  <si>
    <t>248, 248, 255</t>
  </si>
  <si>
    <t>#FAEBD7</t>
  </si>
  <si>
    <t>250, 235, 215</t>
  </si>
  <si>
    <t>Linen</t>
  </si>
  <si>
    <t>#FAF0E6</t>
  </si>
  <si>
    <t>250, 240, 230</t>
  </si>
  <si>
    <t>#FAFAD2</t>
  </si>
  <si>
    <t>250, 250, 210</t>
  </si>
  <si>
    <t>#FDF5E6</t>
  </si>
  <si>
    <t>253, 245, 230</t>
  </si>
  <si>
    <t>#FF0000</t>
  </si>
  <si>
    <t>255, 0, 0</t>
  </si>
  <si>
    <t>#FF4500</t>
  </si>
  <si>
    <t>255, 69, 0</t>
  </si>
  <si>
    <t>Coral</t>
  </si>
  <si>
    <t>#FF7F50</t>
  </si>
  <si>
    <t>255, 127, 80</t>
  </si>
  <si>
    <t>#FFA07A</t>
  </si>
  <si>
    <t>255, 160, 122</t>
  </si>
  <si>
    <t>#FFDAB9</t>
  </si>
  <si>
    <t>255, 218, 185</t>
  </si>
  <si>
    <t>#FFDEAD</t>
  </si>
  <si>
    <t>255, 222, 173</t>
  </si>
  <si>
    <t>Moccasin</t>
  </si>
  <si>
    <t>#FFE4B5</t>
  </si>
  <si>
    <t>255, 228, 181</t>
  </si>
  <si>
    <t>Bisque</t>
  </si>
  <si>
    <t>#FFE4C4</t>
  </si>
  <si>
    <t>255, 228, 196</t>
  </si>
  <si>
    <t>#FFE4E1</t>
  </si>
  <si>
    <t>255, 228, 225</t>
  </si>
  <si>
    <t>#FFEBCD</t>
  </si>
  <si>
    <t>255, 235, 205</t>
  </si>
  <si>
    <t>#FFEFD5</t>
  </si>
  <si>
    <t>255, 239, 213</t>
  </si>
  <si>
    <t>#FFF0F5</t>
  </si>
  <si>
    <t>255, 240, 245</t>
  </si>
  <si>
    <t>#FFF5EE</t>
  </si>
  <si>
    <t>255, 245, 238</t>
  </si>
  <si>
    <t>Cornsilk</t>
  </si>
  <si>
    <t>#FFF8DC</t>
  </si>
  <si>
    <t>255, 248, 220</t>
  </si>
  <si>
    <t>#FFFACD</t>
  </si>
  <si>
    <t>255, 250, 205</t>
  </si>
  <si>
    <t>#FFFAF0</t>
  </si>
  <si>
    <t>255, 250, 240</t>
  </si>
  <si>
    <t>Snow</t>
  </si>
  <si>
    <t>#FFFAFA</t>
  </si>
  <si>
    <t>255, 250, 250</t>
  </si>
  <si>
    <t>#FFFFE0</t>
  </si>
  <si>
    <t>255, 255, 224</t>
  </si>
  <si>
    <t>Ivory</t>
  </si>
  <si>
    <t>#FFFFF0</t>
  </si>
  <si>
    <t>255, 255, 240</t>
  </si>
  <si>
    <t>White</t>
  </si>
  <si>
    <t>#FFFFFF</t>
  </si>
  <si>
    <t>255, 255, 255</t>
  </si>
  <si>
    <t>Medium Spring Green</t>
  </si>
  <si>
    <t>Deep Sky Blue</t>
  </si>
  <si>
    <t>Forest Green</t>
  </si>
  <si>
    <t>Medium Sea Green</t>
  </si>
  <si>
    <t>Burly Wood</t>
  </si>
  <si>
    <t>Sandy Brown</t>
  </si>
  <si>
    <t>Light Cyan</t>
  </si>
  <si>
    <t>Deep Pink</t>
  </si>
  <si>
    <t>Hot Pink</t>
  </si>
  <si>
    <t>Dark Orange</t>
  </si>
  <si>
    <t>Light Pink</t>
  </si>
  <si>
    <t>Dark Blue</t>
  </si>
  <si>
    <t>Medium Blue</t>
  </si>
  <si>
    <t>Dark Green</t>
  </si>
  <si>
    <t>Dark Cyan</t>
  </si>
  <si>
    <t>Dark Turquoise</t>
  </si>
  <si>
    <t>Spring Green</t>
  </si>
  <si>
    <t>Midnight Blue</t>
  </si>
  <si>
    <t>Dodger Blue</t>
  </si>
  <si>
    <t>LightSea Green</t>
  </si>
  <si>
    <t>Sea Green</t>
  </si>
  <si>
    <t>Dark Slate Gray</t>
  </si>
  <si>
    <t>Lime Green</t>
  </si>
  <si>
    <t>Royal Blue</t>
  </si>
  <si>
    <t>Steel Blue</t>
  </si>
  <si>
    <t>Dark Slate Blue</t>
  </si>
  <si>
    <t>Medium Turquoise</t>
  </si>
  <si>
    <t>Dark Olive Green</t>
  </si>
  <si>
    <t>Cadet Blue</t>
  </si>
  <si>
    <t>Cornflower Blue</t>
  </si>
  <si>
    <t>Rebecca Purple</t>
  </si>
  <si>
    <t>Medium Aquamarine</t>
  </si>
  <si>
    <t>Slate Blue</t>
  </si>
  <si>
    <t>Olive Drab</t>
  </si>
  <si>
    <t>Slate Gray</t>
  </si>
  <si>
    <t>Light Slate Gray</t>
  </si>
  <si>
    <t>Medium Slate Blue</t>
  </si>
  <si>
    <t>Lawn Green</t>
  </si>
  <si>
    <t>Sky Blue</t>
  </si>
  <si>
    <t>Light Sky Blue</t>
  </si>
  <si>
    <t>Blue Violet</t>
  </si>
  <si>
    <t>Dark Red</t>
  </si>
  <si>
    <t>Dark Magenta</t>
  </si>
  <si>
    <t>Saddle Brown</t>
  </si>
  <si>
    <t>Dark Sea Green</t>
  </si>
  <si>
    <t>Light Green</t>
  </si>
  <si>
    <t>Medium Purple</t>
  </si>
  <si>
    <t>Dark Violet</t>
  </si>
  <si>
    <t>Pale Green</t>
  </si>
  <si>
    <t>Dark Orchid</t>
  </si>
  <si>
    <t>Yellow Green</t>
  </si>
  <si>
    <t>Dark Gray</t>
  </si>
  <si>
    <t>Light Blue</t>
  </si>
  <si>
    <t>Green Yellow</t>
  </si>
  <si>
    <t>Pale Turquoise</t>
  </si>
  <si>
    <t>Dark Goldenrod</t>
  </si>
  <si>
    <t>Medium Orchid</t>
  </si>
  <si>
    <t>Rosy Brown</t>
  </si>
  <si>
    <t>Dark Khaki</t>
  </si>
  <si>
    <t>Medium Violet Red</t>
  </si>
  <si>
    <t>Indian Red</t>
  </si>
  <si>
    <t>Light Gray</t>
  </si>
  <si>
    <t>Pale Violet Red</t>
  </si>
  <si>
    <t>Dark Salmon</t>
  </si>
  <si>
    <t>Pale Goldenrod</t>
  </si>
  <si>
    <t>Light Coral</t>
  </si>
  <si>
    <t>Alice Blue</t>
  </si>
  <si>
    <t>Honey Dew</t>
  </si>
  <si>
    <t>White Smoke</t>
  </si>
  <si>
    <t>Mint Cream</t>
  </si>
  <si>
    <t>Ghost White</t>
  </si>
  <si>
    <t>Antique White</t>
  </si>
  <si>
    <t>Light Goldenrod Yellow</t>
  </si>
  <si>
    <t>Old Lace</t>
  </si>
  <si>
    <t>Orange Red</t>
  </si>
  <si>
    <t>Light Salmon</t>
  </si>
  <si>
    <t>Peach Puff</t>
  </si>
  <si>
    <t>Navajo White</t>
  </si>
  <si>
    <t>Misty Rose</t>
  </si>
  <si>
    <t>Blanched Almond</t>
  </si>
  <si>
    <t>Papaya Whip</t>
  </si>
  <si>
    <t>Lavender Blush</t>
  </si>
  <si>
    <t>Sea Shell</t>
  </si>
  <si>
    <t>Lemon Chiffon</t>
  </si>
  <si>
    <t>Floral White</t>
  </si>
  <si>
    <t>Light Yellow</t>
  </si>
  <si>
    <t>Color Code</t>
  </si>
  <si>
    <t>R,G,B</t>
  </si>
  <si>
    <t>C15019</t>
  </si>
  <si>
    <t>B20a</t>
  </si>
  <si>
    <t>B20c</t>
  </si>
  <si>
    <t>B25a</t>
  </si>
  <si>
    <t>B25b</t>
  </si>
  <si>
    <t>B31b</t>
  </si>
  <si>
    <t>B41b</t>
  </si>
  <si>
    <t>B61a</t>
  </si>
  <si>
    <t>B61c</t>
  </si>
  <si>
    <t>B70a</t>
  </si>
  <si>
    <t>B70b</t>
  </si>
  <si>
    <t>B70c</t>
  </si>
  <si>
    <t>B70d</t>
  </si>
  <si>
    <t>B90c</t>
  </si>
  <si>
    <t>B90d</t>
  </si>
  <si>
    <t>CWB65b</t>
  </si>
  <si>
    <t>CWB70c</t>
  </si>
  <si>
    <t>CWB70j</t>
  </si>
  <si>
    <t>CWB70k</t>
  </si>
  <si>
    <t>CWB73a</t>
  </si>
  <si>
    <t>CWB73b</t>
  </si>
  <si>
    <t>CWB80d</t>
  </si>
  <si>
    <t>CWB90a</t>
  </si>
  <si>
    <t>CWB90b</t>
  </si>
  <si>
    <t>CWB90f</t>
  </si>
  <si>
    <t>CWB100a</t>
  </si>
  <si>
    <t>CWB120a</t>
  </si>
  <si>
    <t>CWB120b</t>
  </si>
  <si>
    <t>CUSTOM_650_F50_W50</t>
  </si>
  <si>
    <t>CUSTOM_700_F28_W10</t>
  </si>
  <si>
    <t>CUSTOM_700_F50_W20</t>
  </si>
  <si>
    <t>CUSTOM_700_F50_W30</t>
  </si>
  <si>
    <t>CUSTOM_730_F30_W10</t>
  </si>
  <si>
    <t>CUSTOM_730_F30_W15</t>
  </si>
  <si>
    <t>CUSTOM_730_F50_W30</t>
  </si>
  <si>
    <t>CUSTOM_730_F50_W40</t>
  </si>
  <si>
    <t>CUSTOM_730_F15_W30</t>
  </si>
  <si>
    <t>CUSTOM_800_F60_W30</t>
  </si>
  <si>
    <t>CUSTOM_900_F40_W12</t>
  </si>
  <si>
    <t>CUSTOM_900_F40_W20</t>
  </si>
  <si>
    <t>CUSTOM_900_F32_W12</t>
  </si>
  <si>
    <t>CUSTOM_1000_F80_W70</t>
  </si>
  <si>
    <t>CUSTOM_1800_F70_W70</t>
  </si>
  <si>
    <t>CUSTOM_1500_F80_W85</t>
  </si>
  <si>
    <t>CWB73c</t>
  </si>
  <si>
    <t>CWB73d</t>
  </si>
  <si>
    <t>WC</t>
  </si>
  <si>
    <t>CHS, UB, UC, WB, WC, BT, CT</t>
  </si>
  <si>
    <t>500WC440</t>
  </si>
  <si>
    <t>500WC414</t>
  </si>
  <si>
    <t>500WC383</t>
  </si>
  <si>
    <t>500WC340</t>
  </si>
  <si>
    <t>500WC290</t>
  </si>
  <si>
    <t>500WC267</t>
  </si>
  <si>
    <t>500WC228</t>
  </si>
  <si>
    <t>400WC361</t>
  </si>
  <si>
    <t>400WC328</t>
  </si>
  <si>
    <t>400WC303</t>
  </si>
  <si>
    <t>400WC270</t>
  </si>
  <si>
    <t>400WC212</t>
  </si>
  <si>
    <t>400WC181</t>
  </si>
  <si>
    <t>400WC144</t>
  </si>
  <si>
    <t>350WC280</t>
  </si>
  <si>
    <t>350WC258</t>
  </si>
  <si>
    <t>350WC230</t>
  </si>
  <si>
    <t>350WC197</t>
  </si>
  <si>
    <t>; Steel Grade: 400PLUS</t>
  </si>
  <si>
    <t>E09a - 90x90x6EA, 8.2kg/m, 360mm surface perimeter</t>
  </si>
  <si>
    <t>DESCRIPTION FOR PURLINS, GIRTHS, BRACINGS AND OTHERS</t>
  </si>
  <si>
    <t>Purlins, Girts and Bracings</t>
  </si>
  <si>
    <t>Girts</t>
  </si>
  <si>
    <t>Purlins</t>
  </si>
  <si>
    <t>Bracings</t>
  </si>
  <si>
    <t>&lt;PROJECT&gt;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</si>
</sst>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8" fillId="13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/>
    </xf>
    <xf numFmtId="4" fontId="0" fillId="0" borderId="1" xfId="1" applyNumberFormat="1" applyFont="1" applyBorder="1" applyProtection="1"/>
    <xf numFmtId="4" fontId="0" fillId="0" borderId="0" xfId="0" applyNumberFormat="1"/>
    <xf numFmtId="4" fontId="0" fillId="0" borderId="0" xfId="0" applyNumberFormat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0" fillId="0" borderId="1" xfId="0" applyNumberFormat="1" applyBorder="1"/>
    <xf numFmtId="4" fontId="0" fillId="0" borderId="2" xfId="0" applyNumberFormat="1" applyBorder="1" applyAlignment="1">
      <alignment horizontal="left"/>
    </xf>
    <xf numFmtId="4" fontId="0" fillId="0" borderId="4" xfId="0" applyNumberFormat="1" applyBorder="1" applyAlignment="1">
      <alignment horizontal="center"/>
    </xf>
    <xf numFmtId="4" fontId="7" fillId="0" borderId="0" xfId="0" applyNumberFormat="1" applyFont="1" applyAlignment="1">
      <alignment horizontal="center"/>
    </xf>
    <xf numFmtId="4" fontId="7" fillId="0" borderId="0" xfId="0" applyNumberFormat="1" applyFont="1"/>
    <xf numFmtId="4" fontId="0" fillId="0" borderId="1" xfId="0" applyNumberFormat="1" applyBorder="1" applyAlignment="1">
      <alignment horizontal="left"/>
    </xf>
    <xf numFmtId="4" fontId="0" fillId="0" borderId="1" xfId="1" applyNumberFormat="1" applyFont="1" applyBorder="1" applyAlignment="1" applyProtection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left" vertical="center"/>
    </xf>
    <xf numFmtId="4" fontId="0" fillId="0" borderId="1" xfId="0" quotePrefix="1" applyNumberFormat="1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0" xfId="0" applyNumberFormat="1" applyAlignment="1">
      <alignment horizontal="center" vertical="center" wrapText="1"/>
    </xf>
    <xf numFmtId="4" fontId="1" fillId="2" borderId="1" xfId="0" applyNumberFormat="1" applyFont="1" applyFill="1" applyBorder="1"/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1" fillId="5" borderId="1" xfId="0" quotePrefix="1" applyFont="1" applyFill="1" applyBorder="1" applyProtection="1">
      <protection locked="0"/>
    </xf>
    <xf numFmtId="0" fontId="0" fillId="5" borderId="1" xfId="0" quotePrefix="1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0" borderId="1" xfId="0" quotePrefix="1" applyBorder="1" applyProtection="1">
      <protection locked="0"/>
    </xf>
    <xf numFmtId="0" fontId="0" fillId="0" borderId="1" xfId="0" applyBorder="1" applyProtection="1">
      <protection locked="0"/>
    </xf>
    <xf numFmtId="0" fontId="11" fillId="0" borderId="0" xfId="0" applyFont="1" applyAlignment="1">
      <alignment horizontal="left"/>
    </xf>
    <xf numFmtId="0" fontId="0" fillId="14" borderId="0" xfId="0" applyFill="1" applyAlignment="1">
      <alignment horizontal="center" vertical="center" wrapText="1"/>
    </xf>
    <xf numFmtId="0" fontId="0" fillId="14" borderId="0" xfId="0" applyFill="1"/>
    <xf numFmtId="0" fontId="0" fillId="5" borderId="1" xfId="0" applyFill="1" applyBorder="1"/>
    <xf numFmtId="43" fontId="0" fillId="0" borderId="1" xfId="0" applyNumberFormat="1" applyBorder="1"/>
    <xf numFmtId="0" fontId="0" fillId="0" borderId="1" xfId="0" quotePrefix="1" applyBorder="1" applyAlignment="1">
      <alignment horizontal="left"/>
    </xf>
    <xf numFmtId="4" fontId="10" fillId="0" borderId="0" xfId="0" applyNumberFormat="1" applyFont="1" applyAlignment="1">
      <alignment horizontal="center"/>
    </xf>
    <xf numFmtId="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3" fontId="0" fillId="5" borderId="1" xfId="1" applyFont="1" applyFill="1" applyBorder="1" applyProtection="1"/>
    <xf numFmtId="43" fontId="0" fillId="0" borderId="1" xfId="1" applyFont="1" applyFill="1" applyBorder="1" applyProtection="1"/>
    <xf numFmtId="43" fontId="0" fillId="5" borderId="1" xfId="1" applyFont="1" applyFill="1" applyBorder="1" applyAlignment="1" applyProtection="1">
      <alignment horizontal="left"/>
    </xf>
    <xf numFmtId="43" fontId="0" fillId="0" borderId="1" xfId="1" applyFont="1" applyBorder="1" applyAlignment="1" applyProtection="1">
      <alignment horizontal="left"/>
    </xf>
    <xf numFmtId="4" fontId="0" fillId="0" borderId="0" xfId="0" applyNumberFormat="1" applyProtection="1">
      <protection locked="0"/>
    </xf>
    <xf numFmtId="4" fontId="0" fillId="0" borderId="1" xfId="0" applyNumberFormat="1" applyBorder="1" applyProtection="1">
      <protection locked="0"/>
    </xf>
    <xf numFmtId="4" fontId="0" fillId="0" borderId="1" xfId="1" applyNumberFormat="1" applyFont="1" applyBorder="1" applyProtection="1">
      <protection locked="0"/>
    </xf>
    <xf numFmtId="4" fontId="13" fillId="0" borderId="0" xfId="0" applyNumberFormat="1" applyFont="1" applyProtection="1">
      <protection locked="0"/>
    </xf>
    <xf numFmtId="4" fontId="0" fillId="0" borderId="0" xfId="0" applyNumberFormat="1" applyAlignment="1" applyProtection="1">
      <alignment horizontal="center"/>
      <protection locked="0"/>
    </xf>
    <xf numFmtId="4" fontId="0" fillId="0" borderId="1" xfId="0" quotePrefix="1" applyNumberFormat="1" applyBorder="1" applyProtection="1">
      <protection locked="0"/>
    </xf>
    <xf numFmtId="4" fontId="1" fillId="3" borderId="1" xfId="0" applyNumberFormat="1" applyFont="1" applyFill="1" applyBorder="1" applyAlignment="1">
      <alignment horizontal="center"/>
    </xf>
    <xf numFmtId="4" fontId="14" fillId="0" borderId="0" xfId="2" applyNumberFormat="1" applyFont="1" applyAlignment="1" applyProtection="1">
      <alignment horizontal="center"/>
    </xf>
    <xf numFmtId="4" fontId="5" fillId="0" borderId="2" xfId="2" applyNumberFormat="1" applyBorder="1" applyAlignment="1">
      <alignment horizontal="center"/>
    </xf>
    <xf numFmtId="4" fontId="5" fillId="0" borderId="4" xfId="2" applyNumberFormat="1" applyBorder="1" applyAlignment="1">
      <alignment horizontal="center"/>
    </xf>
    <xf numFmtId="0" fontId="0" fillId="0" borderId="0" xfId="0" applyProtection="1">
      <protection locked="0"/>
    </xf>
    <xf numFmtId="0" fontId="2" fillId="0" borderId="0" xfId="0" applyFont="1" applyAlignment="1">
      <alignment horizontal="left"/>
    </xf>
    <xf numFmtId="4" fontId="0" fillId="0" borderId="1" xfId="1" applyNumberFormat="1" applyFont="1" applyBorder="1" applyAlignment="1" applyProtection="1">
      <alignment horizontal="right"/>
    </xf>
    <xf numFmtId="4" fontId="0" fillId="0" borderId="2" xfId="0" applyNumberFormat="1" applyBorder="1" applyAlignment="1">
      <alignment horizontal="center"/>
    </xf>
    <xf numFmtId="4" fontId="0" fillId="0" borderId="4" xfId="0" quotePrefix="1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15" borderId="0" xfId="0" applyFill="1"/>
    <xf numFmtId="0" fontId="0" fillId="15" borderId="0" xfId="0" applyFill="1" applyAlignment="1">
      <alignment vertical="center" wrapText="1"/>
    </xf>
    <xf numFmtId="0" fontId="0" fillId="0" borderId="1" xfId="0" quotePrefix="1" applyBorder="1"/>
  </cellXfs>
  <cellStyles count="3">
    <cellStyle name="Comma" xfId="1" builtinId="3"/>
    <cellStyle name="Hyperlink" xfId="2" builtinId="8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  <protection locked="1" hidden="0"/>
    </dxf>
    <dxf>
      <numFmt numFmtId="4" formatCode="#,##0.00"/>
      <protection locked="1" hidden="0"/>
    </dxf>
    <dxf>
      <numFmt numFmtId="4" formatCode="#,##0.00"/>
      <protection locked="1" hidden="0"/>
    </dxf>
    <dxf>
      <numFmt numFmtId="4" formatCode="#,##0.00"/>
      <protection locked="1" hidden="0"/>
    </dxf>
    <dxf>
      <numFmt numFmtId="4" formatCode="#,##0.00"/>
      <protection locked="1" hidden="0"/>
    </dxf>
    <dxf>
      <numFmt numFmtId="4" formatCode="#,##0.00"/>
      <alignment horizontal="left" vertical="bottom" textRotation="0" wrapText="0" indent="0" justifyLastLine="0" shrinkToFit="0" readingOrder="0"/>
      <protection locked="1" hidden="0"/>
    </dxf>
    <dxf>
      <numFmt numFmtId="4" formatCode="#,##0.00"/>
      <protection locked="1" hidden="0"/>
    </dxf>
    <dxf>
      <numFmt numFmtId="4" formatCode="#,##0.00"/>
      <alignment horizontal="center" vertical="center" textRotation="0" wrapText="1" indent="0" justifyLastLine="0" shrinkToFit="0" readingOrder="0"/>
      <protection locked="1" hidden="0"/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bottom style="thin">
          <color indexed="64"/>
        </bottom>
      </border>
    </dxf>
    <dxf>
      <numFmt numFmtId="4" formatCode="#,##0.00"/>
      <protection locked="1" hidden="0"/>
    </dxf>
    <dxf>
      <numFmt numFmtId="4" formatCode="#,##0.00"/>
      <alignment horizontal="left" vertical="center" textRotation="0" wrapText="0" indent="0" justifyLastLine="0" shrinkToFit="0" readingOrder="0"/>
      <protection locked="1" hidden="0"/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protection locked="1" hidden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A860D03-3D1B-48B5-9B82-3694E5194BB0}">
      <tableStyleElement type="wholeTable" dxfId="45"/>
      <tableStyleElement type="headerRow" dxfId="44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578824</xdr:colOff>
      <xdr:row>20</xdr:row>
      <xdr:rowOff>7327</xdr:rowOff>
    </xdr:from>
    <xdr:to>
      <xdr:col>16</xdr:col>
      <xdr:colOff>586154</xdr:colOff>
      <xdr:row>32</xdr:row>
      <xdr:rowOff>97459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6A35E7C-9028-F7F5-83A1-C89E54B5C227}"/>
            </a:ext>
          </a:extLst>
        </xdr:cNvPr>
        <xdr:cNvGrpSpPr/>
      </xdr:nvGrpSpPr>
      <xdr:grpSpPr>
        <a:xfrm>
          <a:off x="901209" y="3817327"/>
          <a:ext cx="9129349" cy="2376132"/>
          <a:chOff x="901209" y="3817327"/>
          <a:chExt cx="9129349" cy="237613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63DF2D0-D29E-6003-90C7-FA86ABF6D4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01209" y="3817327"/>
            <a:ext cx="9129349" cy="2376132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F755B6B-6C51-1BBA-C44A-D30C421937E7}"/>
              </a:ext>
            </a:extLst>
          </xdr:cNvPr>
          <xdr:cNvSpPr/>
        </xdr:nvSpPr>
        <xdr:spPr>
          <a:xfrm>
            <a:off x="915864" y="3868615"/>
            <a:ext cx="402982" cy="256443"/>
          </a:xfrm>
          <a:prstGeom prst="rect">
            <a:avLst/>
          </a:prstGeom>
          <a:solidFill>
            <a:srgbClr val="FFFF00">
              <a:alpha val="4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01203A7-4C7F-4CB6-B3FE-24E3B464A6B2}"/>
              </a:ext>
            </a:extLst>
          </xdr:cNvPr>
          <xdr:cNvSpPr/>
        </xdr:nvSpPr>
        <xdr:spPr>
          <a:xfrm>
            <a:off x="8102111" y="4152900"/>
            <a:ext cx="338504" cy="1444869"/>
          </a:xfrm>
          <a:prstGeom prst="rect">
            <a:avLst/>
          </a:prstGeom>
          <a:solidFill>
            <a:srgbClr val="FFFF00">
              <a:alpha val="4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319736</xdr:colOff>
      <xdr:row>6</xdr:row>
      <xdr:rowOff>7327</xdr:rowOff>
    </xdr:from>
    <xdr:to>
      <xdr:col>10</xdr:col>
      <xdr:colOff>432289</xdr:colOff>
      <xdr:row>19</xdr:row>
      <xdr:rowOff>2526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F642B6E8-DECD-7043-716B-40410BC67BB2}"/>
            </a:ext>
          </a:extLst>
        </xdr:cNvPr>
        <xdr:cNvGrpSpPr/>
      </xdr:nvGrpSpPr>
      <xdr:grpSpPr>
        <a:xfrm>
          <a:off x="1858390" y="1150327"/>
          <a:ext cx="4369495" cy="2471699"/>
          <a:chOff x="1858390" y="1150327"/>
          <a:chExt cx="4369495" cy="2471699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DB646C4B-FAA5-3D6E-D937-DB74663569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58390" y="1150327"/>
            <a:ext cx="4369495" cy="2471699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B2B53A3-2685-4C9C-AA08-FC9B6BF3E684}"/>
              </a:ext>
            </a:extLst>
          </xdr:cNvPr>
          <xdr:cNvSpPr/>
        </xdr:nvSpPr>
        <xdr:spPr>
          <a:xfrm>
            <a:off x="1948960" y="3494941"/>
            <a:ext cx="4095752" cy="109905"/>
          </a:xfrm>
          <a:prstGeom prst="rect">
            <a:avLst/>
          </a:prstGeom>
          <a:solidFill>
            <a:srgbClr val="FFFF00">
              <a:alpha val="40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1A23C1D-4D08-4338-BEC6-FF44411A530D}" name="Table27" displayName="Table27" ref="L2:L19" totalsRowShown="0" headerRowDxfId="43" dataDxfId="41" headerRowBorderDxfId="42" tableBorderDxfId="40" totalsRowBorderDxfId="39">
  <autoFilter ref="L2:L19" xr:uid="{61A23C1D-4D08-4338-BEC6-FF44411A530D}"/>
  <tableColumns count="1">
    <tableColumn id="1" xr3:uid="{E889840C-4403-44D2-8E92-2F89FDAD922D}" name="Steel Type" dataDxfId="3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412499-9E19-4192-9DD1-4D40C63E0449}" name="Table2" displayName="Table2" ref="L23:W28" totalsRowShown="0" headerRowDxfId="37" dataDxfId="36" tableBorderDxfId="35">
  <autoFilter ref="L23:W28" xr:uid="{C2412499-9E19-4192-9DD1-4D40C63E0449}"/>
  <tableColumns count="12">
    <tableColumn id="1" xr3:uid="{FF4B271D-E3FF-40A0-B9FB-FBD2ABC9C104}" name="Steel Member" dataDxfId="34"/>
    <tableColumn id="2" xr3:uid="{C85A69F3-5BBB-47A5-837B-A78BAA7B8A3A}" name="Measurement Type*" dataDxfId="33"/>
    <tableColumn id="4" xr3:uid="{C2F7C914-AFA9-40D7-9A04-3D24331D73BF}" name="Default Display" dataDxfId="32"/>
    <tableColumn id="5" xr3:uid="{87202C36-92DB-44C1-B237-327555683ECD}" name="Positive Colour Name" dataDxfId="31"/>
    <tableColumn id="6" xr3:uid="{10A407C6-792A-4927-B27D-286D329EF799}" name="Positive Hatch/Symbol" dataDxfId="30"/>
    <tableColumn id="10" xr3:uid="{5B414500-08B2-4D3F-883B-9794EDD10C96}" name="Name Formula Expression (Measured Dimensions)" dataDxfId="29"/>
    <tableColumn id="9" xr3:uid="{B0DCD5A3-2CFE-4D09-91A7-4C9BBA1A0C4B}" name="Height Formula Expression (Measured Dimensions)" dataDxfId="28"/>
    <tableColumn id="8" xr3:uid="{AAA0E1A9-AB53-4944-BD41-4F544B3782FA}" name="Count Formula Expression (Measured Dimensions)" dataDxfId="27"/>
    <tableColumn id="7" xr3:uid="{353D265D-0923-434C-A341-4586597250EE}" name="Length Formula Expression (Measured Dimensions)" dataDxfId="26"/>
    <tableColumn id="3" xr3:uid="{46F4BE5D-BE98-42E0-A118-FF30632CBB06}" name="Custom 3 Formula Expression (Measured Dimensions)" dataDxfId="25"/>
    <tableColumn id="11" xr3:uid="{ACC6A7FB-FBDA-462F-B63D-90388D5BD4EF}" name="Custom 2 Formula Expression (Measured Dimensions)" dataDxfId="24"/>
    <tableColumn id="12" xr3:uid="{A76D7EFB-07F8-45C3-9734-50FDEC15A0BA}" name="Default Height" dataDxfId="2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671727-E081-4A16-B8C0-5DA2F2FC7096}" name="Table274" displayName="Table274" ref="M2:M18" totalsRowShown="0" headerRowDxfId="22" dataDxfId="20" headerRowBorderDxfId="21" tableBorderDxfId="19" totalsRowBorderDxfId="18">
  <autoFilter ref="M2:M18" xr:uid="{8C671727-E081-4A16-B8C0-5DA2F2FC7096}"/>
  <tableColumns count="1">
    <tableColumn id="1" xr3:uid="{B8FC443A-D94D-4C07-9954-E7427D97A17F}" name="Dimension Name Category" dataDxfId="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98B81B-A200-4E63-A5DC-23A7572F8C7F}" name="Table8" displayName="Table8" ref="L31:Q36" totalsRowShown="0" headerRowDxfId="16" dataDxfId="15">
  <autoFilter ref="L31:Q36" xr:uid="{CA98B81B-A200-4E63-A5DC-23A7572F8C7F}"/>
  <tableColumns count="6">
    <tableColumn id="1" xr3:uid="{BB94039B-3621-48C3-8AB9-B687D31326F7}" name="Dimension Name Category" dataDxfId="14"/>
    <tableColumn id="2" xr3:uid="{3BF0F72B-D0DD-4CED-A7AC-D9EE769A5286}" name="Weight Formula XNUMBER POSITION w/ tag" dataDxfId="13"/>
    <tableColumn id="3" xr3:uid="{7B34DDD6-0C9D-4A95-AAF1-DF78F9C2F082}" name="Weight Formula XNUMBER POSITION w/o tag" dataDxfId="12"/>
    <tableColumn id="4" xr3:uid="{9DBC72C3-9206-452F-89D7-31B7459479E7}" name="Custom 1 Formula  XNUMBER position w/ tag" dataDxfId="11"/>
    <tableColumn id="6" xr3:uid="{275007FB-5F9B-47B8-9205-0A256CEA9E37}" name="Custom 1 Formula  XNUMBER position w/o tag" dataDxfId="10"/>
    <tableColumn id="5" xr3:uid="{18710EF5-379E-43ED-A9F3-621FDBFD156C}" name="Column1" dataDxfId="9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B761-5AA2-4A5E-905E-7A7E78C1DC38}">
  <sheetPr>
    <tabColor rgb="FFFF0000"/>
  </sheetPr>
  <dimension ref="A2:C20"/>
  <sheetViews>
    <sheetView showGridLines="0" zoomScale="130" zoomScaleNormal="130" workbookViewId="0">
      <selection activeCell="N14" sqref="N14"/>
    </sheetView>
  </sheetViews>
  <sheetFormatPr defaultRowHeight="15" x14ac:dyDescent="0.25"/>
  <cols>
    <col min="1" max="1" width="4.85546875" style="2" customWidth="1"/>
  </cols>
  <sheetData>
    <row r="2" spans="1:3" x14ac:dyDescent="0.25">
      <c r="A2" s="78" t="s">
        <v>496</v>
      </c>
    </row>
    <row r="3" spans="1:3" x14ac:dyDescent="0.25">
      <c r="A3" s="1">
        <v>1</v>
      </c>
      <c r="B3" s="3" t="s">
        <v>497</v>
      </c>
    </row>
    <row r="4" spans="1:3" x14ac:dyDescent="0.25">
      <c r="A4" s="1"/>
      <c r="B4" s="1" t="s">
        <v>498</v>
      </c>
      <c r="C4" s="3" t="s">
        <v>499</v>
      </c>
    </row>
    <row r="5" spans="1:3" x14ac:dyDescent="0.25">
      <c r="A5" s="1"/>
      <c r="B5" s="1" t="s">
        <v>500</v>
      </c>
      <c r="C5" s="3" t="s">
        <v>501</v>
      </c>
    </row>
    <row r="6" spans="1:3" x14ac:dyDescent="0.25">
      <c r="A6" s="1">
        <v>2</v>
      </c>
      <c r="B6" s="3" t="s">
        <v>611</v>
      </c>
    </row>
    <row r="7" spans="1:3" x14ac:dyDescent="0.25">
      <c r="A7" s="1"/>
    </row>
    <row r="8" spans="1:3" x14ac:dyDescent="0.25">
      <c r="A8" s="1"/>
    </row>
    <row r="9" spans="1:3" x14ac:dyDescent="0.25">
      <c r="A9" s="1"/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20" spans="1:2" x14ac:dyDescent="0.25">
      <c r="A20" s="1">
        <v>3</v>
      </c>
      <c r="B20" s="3" t="s">
        <v>610</v>
      </c>
    </row>
  </sheetData>
  <sheetProtection algorithmName="SHA-512" hashValue="o786PEM8p/rFi7U2frU6kMyiGma5PBo9JQJRLpCGe2yw5MvbNWpxNZG69rdrZX5OphTfdjOiTDBDglkYA4zrsQ==" saltValue="gLvU9CoeWxvSNlnKFWz11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F28B-5FB3-455A-B1DE-C1A7838874F9}">
  <sheetPr>
    <tabColor theme="7" tint="0.59999389629810485"/>
  </sheetPr>
  <dimension ref="A1:AT653"/>
  <sheetViews>
    <sheetView tabSelected="1" zoomScaleNormal="100" workbookViewId="0">
      <pane xSplit="4" ySplit="2" topLeftCell="E3" activePane="bottomRight" state="frozen"/>
      <selection activeCell="B10" sqref="A1:XFD1048576"/>
      <selection pane="topRight" activeCell="B10" sqref="A1:XFD1048576"/>
      <selection pane="bottomLeft" activeCell="B10" sqref="A1:XFD1048576"/>
      <selection pane="bottomRight" activeCell="A3" sqref="A3:E14"/>
    </sheetView>
  </sheetViews>
  <sheetFormatPr defaultRowHeight="15" x14ac:dyDescent="0.25"/>
  <cols>
    <col min="1" max="1" width="24" customWidth="1"/>
    <col min="2" max="2" width="9.28515625" bestFit="1" customWidth="1"/>
    <col min="3" max="3" width="14.7109375" customWidth="1"/>
    <col min="4" max="4" width="15.85546875" customWidth="1"/>
    <col min="5" max="5" width="33.85546875" customWidth="1"/>
    <col min="6" max="7" width="10.85546875" customWidth="1"/>
    <col min="8" max="8" width="40.85546875" customWidth="1"/>
    <col min="9" max="9" width="54.28515625" customWidth="1"/>
    <col min="10" max="10" width="54.28515625" style="77" customWidth="1"/>
    <col min="11" max="11" width="9.140625" style="56"/>
    <col min="12" max="12" width="21.85546875" customWidth="1"/>
    <col min="13" max="14" width="9.42578125" customWidth="1"/>
    <col min="15" max="15" width="21.85546875" customWidth="1"/>
    <col min="16" max="16" width="60.7109375" customWidth="1"/>
    <col min="17" max="46" width="21.85546875" customWidth="1"/>
  </cols>
  <sheetData>
    <row r="1" spans="1:46" s="25" customFormat="1" ht="15.75" x14ac:dyDescent="0.25">
      <c r="A1" s="45" t="s">
        <v>1170</v>
      </c>
      <c r="B1" s="45"/>
      <c r="C1" s="46"/>
      <c r="D1" s="46"/>
      <c r="E1" s="45"/>
      <c r="F1" s="60"/>
      <c r="H1" s="46"/>
      <c r="J1" s="46"/>
      <c r="K1" s="54" t="s">
        <v>567</v>
      </c>
      <c r="L1" s="54"/>
    </row>
    <row r="2" spans="1:46" s="5" customFormat="1" ht="45" x14ac:dyDescent="0.25">
      <c r="A2" s="47" t="s">
        <v>601</v>
      </c>
      <c r="B2" s="47" t="s">
        <v>591</v>
      </c>
      <c r="C2" s="47" t="s">
        <v>493</v>
      </c>
      <c r="D2" s="47" t="s">
        <v>492</v>
      </c>
      <c r="E2" s="47" t="s">
        <v>1165</v>
      </c>
      <c r="F2" s="61" t="s">
        <v>1</v>
      </c>
      <c r="G2" s="62" t="s">
        <v>2</v>
      </c>
      <c r="H2" s="47" t="s">
        <v>502</v>
      </c>
      <c r="I2" s="62" t="s">
        <v>3</v>
      </c>
      <c r="J2" s="47" t="s">
        <v>495</v>
      </c>
      <c r="K2" s="55"/>
      <c r="L2" s="48" t="s">
        <v>566</v>
      </c>
      <c r="M2" s="48" t="s">
        <v>1095</v>
      </c>
      <c r="N2" s="48" t="s">
        <v>1095</v>
      </c>
      <c r="O2" s="48" t="s">
        <v>559</v>
      </c>
      <c r="P2" s="48" t="s">
        <v>514</v>
      </c>
      <c r="Q2" s="48" t="s">
        <v>515</v>
      </c>
      <c r="R2" s="48" t="str">
        <f>Table2[[#Headers],[Measurement Type*]]</f>
        <v>Measurement Type*</v>
      </c>
      <c r="S2" s="48" t="str">
        <f>Table2[[#Headers],[Default Display]]</f>
        <v>Default Display</v>
      </c>
      <c r="T2" s="48" t="s">
        <v>523</v>
      </c>
      <c r="U2" s="48" t="str">
        <f>Table2[[#Headers],[Positive Colour Name]]</f>
        <v>Positive Colour Name</v>
      </c>
      <c r="V2" s="48" t="s">
        <v>525</v>
      </c>
      <c r="W2" s="48" t="str">
        <f>Table2[[#Headers],[Positive Hatch/Symbol]]</f>
        <v>Positive Hatch/Symbol</v>
      </c>
      <c r="X2" s="48" t="s">
        <v>527</v>
      </c>
      <c r="Y2" s="48" t="str">
        <f>'DATA SHEET'!Q23</f>
        <v>Name Formula Expression (Measured Dimensions)</v>
      </c>
      <c r="Z2" s="48" t="str">
        <f>'DATA SHEET'!R23</f>
        <v>Height Formula Expression (Measured Dimensions)</v>
      </c>
      <c r="AA2" s="48" t="str">
        <f>'DATA SHEET'!S23</f>
        <v>Count Formula Expression (Measured Dimensions)</v>
      </c>
      <c r="AB2" s="48" t="str">
        <f>'DATA SHEET'!T23</f>
        <v>Length Formula Expression (Measured Dimensions)</v>
      </c>
      <c r="AC2" s="48" t="s">
        <v>584</v>
      </c>
      <c r="AD2" s="48" t="s">
        <v>538</v>
      </c>
      <c r="AE2" s="48" t="s">
        <v>551</v>
      </c>
      <c r="AF2" s="48" t="s">
        <v>552</v>
      </c>
      <c r="AG2" s="48" t="s">
        <v>587</v>
      </c>
      <c r="AH2" s="48" t="s">
        <v>553</v>
      </c>
      <c r="AI2" s="48" t="s">
        <v>554</v>
      </c>
      <c r="AJ2" s="48" t="s">
        <v>555</v>
      </c>
      <c r="AK2" s="48" t="s">
        <v>556</v>
      </c>
      <c r="AL2" s="48" t="str">
        <f>Table2[[#Headers],[Custom 2 Formula Expression (Measured Dimensions)]]</f>
        <v>Custom 2 Formula Expression (Measured Dimensions)</v>
      </c>
      <c r="AM2" s="48" t="s">
        <v>558</v>
      </c>
      <c r="AN2" s="48" t="s">
        <v>564</v>
      </c>
      <c r="AO2" s="48" t="s">
        <v>565</v>
      </c>
      <c r="AP2" s="48" t="str">
        <f>Table2[[#Headers],[Custom 3 Formula Expression (Measured Dimensions)]]</f>
        <v>Custom 3 Formula Expression (Measured Dimensions)</v>
      </c>
      <c r="AQ2" s="48" t="s">
        <v>575</v>
      </c>
      <c r="AR2" s="48"/>
      <c r="AS2" s="48"/>
      <c r="AT2" s="48"/>
    </row>
    <row r="3" spans="1:46" x14ac:dyDescent="0.25">
      <c r="A3" s="49" t="s">
        <v>503</v>
      </c>
      <c r="B3" s="49"/>
      <c r="C3" s="50"/>
      <c r="D3" s="50"/>
      <c r="E3" s="49"/>
      <c r="F3" s="63"/>
      <c r="G3" s="63"/>
      <c r="H3" s="50"/>
      <c r="I3" s="65"/>
      <c r="J3" s="51"/>
      <c r="L3" s="57" t="b">
        <v>1</v>
      </c>
      <c r="M3" s="57" t="str" cm="1">
        <f t="array" aca="1" ref="M3" ca="1">IFERROR(_xlfn.IFS(R3="Count",RANDBETWEEN(1,COUNTIF($R$11:$R$653,"Count")),R3="Length",RANDBETWEEN(1,COUNTIF($R$11:$R$653,"Length"))),"")</f>
        <v/>
      </c>
      <c r="N3" s="57" t="str">
        <f ca="1">IFERROR(_xlfn.RANK.EQ(M3,$M$11:$M$653)+COUNTIF($M3:M$11,M3)-1,"")</f>
        <v/>
      </c>
      <c r="O3" s="57" t="s">
        <v>513</v>
      </c>
      <c r="P3" s="57" t="s">
        <v>599</v>
      </c>
      <c r="Q3" s="57" t="s">
        <v>600</v>
      </c>
      <c r="R3" s="57" t="s">
        <v>560</v>
      </c>
      <c r="S3" s="57" t="s">
        <v>562</v>
      </c>
      <c r="T3" s="57" t="s">
        <v>592</v>
      </c>
      <c r="U3" s="57" t="s">
        <v>569</v>
      </c>
      <c r="V3" s="57" t="s">
        <v>593</v>
      </c>
      <c r="W3" s="57" t="s">
        <v>573</v>
      </c>
      <c r="X3" s="57" t="s">
        <v>573</v>
      </c>
      <c r="Y3" s="57" t="s">
        <v>576</v>
      </c>
      <c r="Z3" s="57" t="s">
        <v>581</v>
      </c>
      <c r="AA3" s="57" t="s">
        <v>580</v>
      </c>
      <c r="AB3" s="57" t="s">
        <v>579</v>
      </c>
      <c r="AC3" s="57">
        <v>4</v>
      </c>
      <c r="AD3" s="57" t="s">
        <v>594</v>
      </c>
      <c r="AE3" s="57" t="s">
        <v>595</v>
      </c>
      <c r="AF3" s="57" t="s">
        <v>596</v>
      </c>
      <c r="AG3" s="57">
        <v>5</v>
      </c>
      <c r="AH3" s="57" t="s">
        <v>597</v>
      </c>
      <c r="AI3" s="57"/>
      <c r="AJ3" s="57" t="s">
        <v>598</v>
      </c>
      <c r="AK3" s="57" t="s">
        <v>598</v>
      </c>
      <c r="AL3" s="57" t="s">
        <v>598</v>
      </c>
      <c r="AM3" s="57"/>
      <c r="AN3" s="57" t="s">
        <v>598</v>
      </c>
      <c r="AO3" s="57"/>
      <c r="AP3" s="57" t="s">
        <v>598</v>
      </c>
      <c r="AQ3" s="57"/>
      <c r="AR3" s="57"/>
      <c r="AS3" s="57"/>
      <c r="AT3" s="57"/>
    </row>
    <row r="4" spans="1:46" x14ac:dyDescent="0.25">
      <c r="A4" s="52" t="s">
        <v>505</v>
      </c>
      <c r="B4" s="52" t="s">
        <v>17</v>
      </c>
      <c r="C4" s="52" t="s">
        <v>8</v>
      </c>
      <c r="D4" s="52" t="s">
        <v>205</v>
      </c>
      <c r="E4" s="52"/>
      <c r="F4" s="64" cm="1">
        <f t="array" ref="F4">IF(COUNT(FIND(PurlinsxGirthsxBracings,$C4))&gt;0,0,ROUNDUP(IF(D4=0,0,VLOOKUP(D4,'DATA SHEET'!$B:$D,2,FALSE)),2))</f>
        <v>2.9499999999999997</v>
      </c>
      <c r="G4" s="64" cm="1">
        <f t="array" ref="G4">IF(COUNT(FIND(PurlinsxGirthsxBracings,$C4))&gt;0,0,ROUNDUP(IF(D4=0,0,VLOOKUP(D4,'DATA SHEET'!$B:$D,3,FALSE)),2))</f>
        <v>160</v>
      </c>
      <c r="H4" s="53"/>
      <c r="I4" s="66" t="str" cm="1">
        <f t="array" ref="I4">IF(AND(ISBLANK(B4),ISBLANK(C4),ISBLANK(E4)),0,IF(COUNT(FIND(PurlinsxGirthsxBracings,$C4))&gt;0,IF(B4=0,CONCATENATE(E4," ",C4),CONCATENATE(B4," - ",E4," ",C4)),IF(B4=0,IF(ISBLANK(C4),E4,CONCATENATE(D4,", ",F4,"kg/m, ",G4,"mm surface perimeter")),IF(AND(ISBLANK(C4),ISTEXT(E4)),CONCATENATE(B4," - ",E4),IF(AND(ISBLANK(C4),ISBLANK(E4)),B4,CONCATENATE(B4," - ",D4,", ",F4,"kg/m, ",G4,"mm surface perimeter"))))&amp;IF(ISBLANK(H4),"",H4)))</f>
        <v>PSC1 - 75x5 Flat Bar, 2.95kg/m, 160mm surface perimeter</v>
      </c>
      <c r="J4" s="53"/>
      <c r="L4" s="4" t="b" cm="1">
        <f t="array" ref="L4">IF(COUNT(FIND({0,1,2,3,4,5,6,7,8,9},B4))&gt;0,COUNT(FIND({0,1,2,3,4,5,6,7,8,9},B4))&gt;0,"")</f>
        <v>1</v>
      </c>
      <c r="M4" s="4" t="str" cm="1">
        <f t="array" aca="1" ref="M4" ca="1">IFERROR(_xlfn.IFS(R4="Count",RANDBETWEEN(1,COUNTIF($R$11:$R$653,"Count")),R4="Length",RANDBETWEEN(1,COUNTIF($R$11:$R$653,"Length"))),"")</f>
        <v/>
      </c>
      <c r="N4" s="4" t="str">
        <f ca="1">IFERROR(_xlfn.RANK.EQ(M4,$M$11:$M$653)+COUNTIF($M4:M$11,M4)-1,"")</f>
        <v/>
      </c>
      <c r="O4" s="86" t="str">
        <f>IF(A4='DATA SHEET'!$L$36,C4,IFERROR(IF(AND(ISTEXT(I4),ISBLANK(C4)),"No details",VLOOKUP(C4,DimFolder,2,FALSE)),""))</f>
        <v>CHS, UB, UC, WB, WC, BT, CT</v>
      </c>
      <c r="P4" s="4" t="str">
        <f t="shared" ref="P4:P5" si="0">IF(AND(ISBLANK(B4),ISBLANK(C4)),"",CONCATENATE("Structural\Structural Steel\",A4,"\",O4))</f>
        <v>Structural\Structural Steel\Column\CHS, UB, UC, WB, WC, BT, CT</v>
      </c>
      <c r="Q4" s="58" t="str">
        <f>IF(AND(ISBLANK(B4),ISBLANK(C4)),"",I4)</f>
        <v>PSC1 - 75x5 Flat Bar, 2.95kg/m, 160mm surface perimeter</v>
      </c>
      <c r="R4" s="4" t="str" cm="1">
        <f t="array" ref="R4">IF(INDEX(Table2[],_xlfn.XMATCH($A4,Table2[Steel Member],0),_xlfn.XMATCH(R$2,Table2[#Headers],0))=0,"",INDEX(Table2[],_xlfn.XMATCH($A4,Table2[Steel Member],0),_xlfn.XMATCH(R$2,Table2[#Headers],0)))</f>
        <v>Count</v>
      </c>
      <c r="S4" s="4" t="str" cm="1">
        <f t="array" ref="S4">IF(INDEX(Table2[],_xlfn.XMATCH($A4,Table2[Steel Member],0),_xlfn.XMATCH(S$2,Table2[#Headers],0))=0,"",INDEX(Table2[],_xlfn.XMATCH($A4,Table2[Steel Member],0),_xlfn.XMATCH(S$2,Table2[#Headers],0)))</f>
        <v>Weight</v>
      </c>
      <c r="T4" s="4" t="str">
        <f t="shared" ref="T4:T9" si="1">IF(AND(ISBLANK(B4),ISBLANK(C4)),"","t")</f>
        <v>t</v>
      </c>
      <c r="U4" s="4" t="str" cm="1">
        <f t="array" ref="U4">IF(INDEX(Table2[],_xlfn.XMATCH($A4,Table2[Steel Member],0),_xlfn.XMATCH(U$2,Table2[#Headers],0))=0,"",INDEX(Table2[],_xlfn.XMATCH($A4,Table2[Steel Member],0),_xlfn.XMATCH(U$2,Table2[#Headers],0)))</f>
        <v>Orange</v>
      </c>
      <c r="V4" s="4" t="str">
        <f t="shared" ref="V4:V9" si="2">IF(AND(ISBLANK(B4),ISBLANK(C4)),"","Red")</f>
        <v>Red</v>
      </c>
      <c r="W4" s="4" t="str" cm="1">
        <f t="array" ref="W4">IF(INDEX(Table2[],_xlfn.XMATCH($A4,Table2[Steel Member],0),_xlfn.XMATCH(W$2,Table2[#Headers],0))=0,"",INDEX(Table2[],_xlfn.XMATCH($A4,Table2[Steel Member],0),_xlfn.XMATCH(W$2,Table2[#Headers],0)))</f>
        <v>Crosshairs</v>
      </c>
      <c r="X4" s="4" t="str">
        <f>W4</f>
        <v>Crosshairs</v>
      </c>
      <c r="Y4" s="4" t="str" cm="1">
        <f t="array" ref="Y4">IF(INDEX(Table2[],_xlfn.XMATCH($A4,Table2[Steel Member],0),_xlfn.XMATCH(Y$2,Table2[#Headers],0))=0,"",INDEX(Table2[],_xlfn.XMATCH($A4,Table2[Steel Member],0),_xlfn.XMATCH(Y$2,Table2[#Headers],0)))</f>
        <v>"mm high"</v>
      </c>
      <c r="Z4" s="4" t="str" cm="1">
        <f t="array" ref="Z4">IF(INDEX(Table2[],_xlfn.XMATCH($A4,Table2[Steel Member],0),_xlfn.XMATCH(Z$2,Table2[#Headers],0))=0,"",INDEX(Table2[],_xlfn.XMATCH($A4,Table2[Steel Member],0),_xlfn.XMATCH(Z$2,Table2[#Headers],0)))</f>
        <v>XNUMBER({Dimension Name},1)/1000</v>
      </c>
      <c r="AA4" s="4" t="str" cm="1">
        <f t="array" ref="AA4">IF(INDEX(Table2[],_xlfn.XMATCH($A4,Table2[Steel Member],0),_xlfn.XMATCH(AA$2,Table2[#Headers],0))=0,"",INDEX(Table2[],_xlfn.XMATCH($A4,Table2[Steel Member],0),_xlfn.XMATCH(AA$2,Table2[#Headers],0)))</f>
        <v>[Count]</v>
      </c>
      <c r="AB4" s="4" t="str" cm="1">
        <f t="array" ref="AB4">IF(INDEX(Table2[],_xlfn.XMATCH($A4,Table2[Steel Member],0),_xlfn.XMATCH(AB$2,Table2[#Headers],0))=0,"",INDEX(Table2[],_xlfn.XMATCH($A4,Table2[Steel Member],0),_xlfn.XMATCH(AB$2,Table2[#Headers],0)))</f>
        <v>{Count}*{Height}</v>
      </c>
      <c r="AC4" s="4" cm="1">
        <f t="array" ref="AC4">IFERROR(INDEX(Table8[],_xlfn.XMATCH($O4,Table8[Dimension Name Category],0),_xlfn.XMATCH(AC$2&amp;IF($L4," w/ tag"," w/o tag"),Table8[#Headers],0)),"")</f>
        <v>4</v>
      </c>
      <c r="AD4" s="59" t="str">
        <f t="shared" ref="AD4:AD9" si="3">IF(OR($AC4="",$AC4=0),"",IF($A4=Column,"{Length}*XNUMBER({Dimension Group Name},"&amp;$AC4&amp;")/1000","{Length}*XNUMBER({Dimension Group Name},"&amp;$AC4&amp;")/1000*{Slope Factor}"))</f>
        <v>{Length}*XNUMBER({Dimension Group Name},4)/1000</v>
      </c>
      <c r="AE4" s="4" t="str">
        <f t="shared" ref="AE4:AE9" si="4">IF(AND(ISBLANK(B4),ISBLANK(C4)),"",IF($A4=Purlins_Girths_Bracings,"","Steel Surface Area"))</f>
        <v>Steel Surface Area</v>
      </c>
      <c r="AF4" s="4" t="str">
        <f t="shared" ref="AF4:AF9" si="5">IF(AND(ISBLANK(B4),ISBLANK(C4)),"",IF($A4=Purlins_Girths_Bracings,"","m2"))</f>
        <v>m2</v>
      </c>
      <c r="AG4" s="4" cm="1">
        <f t="array" ref="AG4">IFERROR(INDEX(Table8[],_xlfn.XMATCH($O4,Table8[Dimension Name Category],0),_xlfn.XMATCH(AG$2&amp;IF($L4," w/ tag"," w/o tag"),Table8[#Headers],0)),"")</f>
        <v>5</v>
      </c>
      <c r="AH4" s="59" t="str">
        <f t="shared" ref="AH4:AH9" si="6">IF(OR($AG4="",$AG4=0),"",IF($A4=Column,"{Length}*XNUMBER({Dimension Group Name},"&amp;$AG4&amp;")/1000","{Length}*XNUMBER({Dimension Group Name},"&amp;$AG4&amp;")/1000*{Slope Factor}"))</f>
        <v>{Length}*XNUMBER({Dimension Group Name},5)/1000</v>
      </c>
      <c r="AI4" s="4"/>
      <c r="AJ4" s="4" t="str">
        <f t="shared" ref="AJ4:AJ9" si="7">IF(OR($A4=Column,$A4=""),"","Slope Length")</f>
        <v/>
      </c>
      <c r="AK4" s="4" t="str">
        <f t="shared" ref="AK4:AK9" si="8">IF(OR($A4=Column,$A4=""),"","m")</f>
        <v/>
      </c>
      <c r="AL4" s="4" t="str" cm="1">
        <f t="array" ref="AL4">IF(INDEX(Table2[],_xlfn.XMATCH($A4,Table2[Steel Member],0),_xlfn.XMATCH(AL$2,Table2[#Headers],0))=0,"",INDEX(Table2[],_xlfn.XMATCH($A4,Table2[Steel Member],0),_xlfn.XMATCH(AL$2,Table2[#Headers],0)))</f>
        <v/>
      </c>
      <c r="AM4" s="4"/>
      <c r="AN4" s="4" t="str">
        <f t="shared" ref="AN4:AN9" si="9">IF(OR($A4=Column,$A4=""),"","Slope Factor")</f>
        <v/>
      </c>
      <c r="AO4" s="4"/>
      <c r="AP4" s="4" t="str" cm="1">
        <f t="array" ref="AP4">IF(INDEX(Table2[],_xlfn.XMATCH($A4,Table2[Steel Member],0),_xlfn.XMATCH(AP$2,Table2[#Headers],0))=0,"",INDEX(Table2[],_xlfn.XMATCH($A4,Table2[Steel Member],0),_xlfn.XMATCH(AP$2,Table2[#Headers],0)))</f>
        <v/>
      </c>
      <c r="AQ4" s="4"/>
      <c r="AR4" s="4"/>
      <c r="AS4" s="4"/>
      <c r="AT4" s="4"/>
    </row>
    <row r="5" spans="1:46" x14ac:dyDescent="0.25">
      <c r="A5" s="52" t="s">
        <v>506</v>
      </c>
      <c r="B5" s="53"/>
      <c r="C5" s="52" t="s">
        <v>7</v>
      </c>
      <c r="D5" s="52" t="s">
        <v>352</v>
      </c>
      <c r="E5" s="52"/>
      <c r="F5" s="64" cm="1">
        <f t="array" ref="F5">IF(COUNT(FIND(PurlinsxGirthsxBracings,$C5))&gt;0,0,ROUNDUP(IF(D5=0,0,VLOOKUP(D5,'DATA SHEET'!$B:$D,2,FALSE)),2))</f>
        <v>12.5</v>
      </c>
      <c r="G5" s="64" cm="1">
        <f t="array" ref="G5">IF(COUNT(FIND(PurlinsxGirthsxBracings,$C5))&gt;0,0,ROUNDUP(IF(D5=0,0,VLOOKUP(D5,'DATA SHEET'!$B:$D,3,FALSE)),2))</f>
        <v>356</v>
      </c>
      <c r="H5" s="53"/>
      <c r="I5" s="66" t="str" cm="1">
        <f t="array" ref="I5">IF(AND(ISBLANK(B5),ISBLANK(C5),ISBLANK(E5)),0,IF(COUNT(FIND(PurlinsxGirthsxBracings,$C5))&gt;0,IF(B5=0,CONCATENATE(E5," ",C5),CONCATENATE(B5," - ",E5," ",C5)),IF(B5=0,IF(ISBLANK(C5),E5,CONCATENATE(D5,", ",F5,"kg/m, ",G5,"mm surface perimeter")),IF(AND(ISBLANK(C5),ISTEXT(E5)),CONCATENATE(B5," - ",E5),IF(AND(ISBLANK(C5),ISBLANK(E5)),B5,CONCATENATE(B5," - ",D5,", ",F5,"kg/m, ",G5,"mm surface perimeter"))))&amp;IF(ISBLANK(H5),"",H5)))</f>
        <v>102x76x5RHS, 12.5kg/m, 356mm surface perimeter</v>
      </c>
      <c r="J5" s="53"/>
      <c r="L5" s="4" t="str" cm="1">
        <f t="array" ref="L5">IF(COUNT(FIND({0,1,2,3,4,5,6,7,8,9},B5))&gt;0,COUNT(FIND({0,1,2,3,4,5,6,7,8,9},B5))&gt;0,"")</f>
        <v/>
      </c>
      <c r="M5" s="4" cm="1">
        <f t="array" aca="1" ref="M5" ca="1">IFERROR(_xlfn.IFS(R5="Count",RANDBETWEEN(1,COUNTIF($R$11:$R$653,"Count")),R5="Length",RANDBETWEEN(1,COUNTIF($R$11:$R$653,"Length"))),"")</f>
        <v>2</v>
      </c>
      <c r="N5" s="4">
        <f ca="1">IFERROR(_xlfn.RANK.EQ(M5,$M$11:$M$653)+COUNTIF($M5:M$11,M5)-1,"")</f>
        <v>13</v>
      </c>
      <c r="O5" s="86" t="str">
        <f>IF(A5='DATA SHEET'!$L$36,C5,IFERROR(IF(AND(ISTEXT(I5),ISBLANK(C5)),"No details",VLOOKUP(C5,DimFolder,2,FALSE)),""))</f>
        <v>CHS, UB, UC, WB, WC, BT, CT</v>
      </c>
      <c r="P5" s="4" t="str">
        <f t="shared" si="0"/>
        <v>Structural\Structural Steel\Framing\CHS, UB, UC, WB, WC, BT, CT</v>
      </c>
      <c r="Q5" s="58" t="str">
        <f t="shared" ref="Q5:Q9" si="10">IF(AND(ISBLANK(B5),ISBLANK(C5)),"",I5)</f>
        <v>102x76x5RHS, 12.5kg/m, 356mm surface perimeter</v>
      </c>
      <c r="R5" s="4" t="str" cm="1">
        <f t="array" ref="R5">IF(INDEX(Table2[],_xlfn.XMATCH($A5,Table2[Steel Member],0),_xlfn.XMATCH(R$2,Table2[#Headers],0))=0,"",INDEX(Table2[],_xlfn.XMATCH($A5,Table2[Steel Member],0),_xlfn.XMATCH(R$2,Table2[#Headers],0)))</f>
        <v>Length</v>
      </c>
      <c r="S5" s="4" t="str" cm="1">
        <f t="array" ref="S5">IF(INDEX(Table2[],_xlfn.XMATCH($A5,Table2[Steel Member],0),_xlfn.XMATCH(S$2,Table2[#Headers],0))=0,"",INDEX(Table2[],_xlfn.XMATCH($A5,Table2[Steel Member],0),_xlfn.XMATCH(S$2,Table2[#Headers],0)))</f>
        <v>Weight</v>
      </c>
      <c r="T5" s="4" t="str">
        <f t="shared" si="1"/>
        <v>t</v>
      </c>
      <c r="U5" s="4" t="str" cm="1">
        <f t="array" ref="U5">IF(INDEX(Table2[],_xlfn.XMATCH($A5,Table2[Steel Member],0),_xlfn.XMATCH(U$2,Table2[#Headers],0))=0,"",INDEX(Table2[],_xlfn.XMATCH($A5,Table2[Steel Member],0),_xlfn.XMATCH(U$2,Table2[#Headers],0)))</f>
        <v>Blue</v>
      </c>
      <c r="V5" s="4" t="str">
        <f t="shared" si="2"/>
        <v>Red</v>
      </c>
      <c r="W5" s="4" t="str" cm="1">
        <f t="array" ref="W5">IF(INDEX(Table2[],_xlfn.XMATCH($A5,Table2[Steel Member],0),_xlfn.XMATCH(W$2,Table2[#Headers],0))=0,"",INDEX(Table2[],_xlfn.XMATCH($A5,Table2[Steel Member],0),_xlfn.XMATCH(W$2,Table2[#Headers],0)))</f>
        <v/>
      </c>
      <c r="X5" s="4" t="str">
        <f t="shared" ref="X5:X9" si="11">W5</f>
        <v/>
      </c>
      <c r="Y5" s="4" t="str" cm="1">
        <f t="array" ref="Y5">IF(INDEX(Table2[],_xlfn.XMATCH($A5,Table2[Steel Member],0),_xlfn.XMATCH(Y$2,Table2[#Headers],0))=0,"",INDEX(Table2[],_xlfn.XMATCH($A5,Table2[Steel Member],0),_xlfn.XMATCH(Y$2,Table2[#Headers],0)))</f>
        <v>"0 degrees"</v>
      </c>
      <c r="Z5" s="4" t="str" cm="1">
        <f t="array" ref="Z5">IF(INDEX(Table2[],_xlfn.XMATCH($A5,Table2[Steel Member],0),_xlfn.XMATCH(Z$2,Table2[#Headers],0))=0,"",INDEX(Table2[],_xlfn.XMATCH($A5,Table2[Steel Member],0),_xlfn.XMATCH(Z$2,Table2[#Headers],0)))</f>
        <v/>
      </c>
      <c r="AA5" s="4" t="str" cm="1">
        <f t="array" ref="AA5">IF(INDEX(Table2[],_xlfn.XMATCH($A5,Table2[Steel Member],0),_xlfn.XMATCH(AA$2,Table2[#Headers],0))=0,"",INDEX(Table2[],_xlfn.XMATCH($A5,Table2[Steel Member],0),_xlfn.XMATCH(AA$2,Table2[#Headers],0)))</f>
        <v>[Count]</v>
      </c>
      <c r="AB5" s="4" t="str" cm="1">
        <f t="array" ref="AB5">IF(INDEX(Table2[],_xlfn.XMATCH($A5,Table2[Steel Member],0),_xlfn.XMATCH(AB$2,Table2[#Headers],0))=0,"",INDEX(Table2[],_xlfn.XMATCH($A5,Table2[Steel Member],0),_xlfn.XMATCH(AB$2,Table2[#Headers],0)))</f>
        <v>[Length]</v>
      </c>
      <c r="AC5" s="4" t="str" cm="1">
        <f t="array" ref="AC5">IFERROR(INDEX(Table8[],_xlfn.XMATCH($O5,Table8[Dimension Name Category],0),_xlfn.XMATCH(AC$2&amp;IF($L5," w/ tag"," w/o tag"),Table8[#Headers],0)),"")</f>
        <v/>
      </c>
      <c r="AD5" s="59" t="str">
        <f t="shared" si="3"/>
        <v/>
      </c>
      <c r="AE5" s="4" t="str">
        <f t="shared" si="4"/>
        <v>Steel Surface Area</v>
      </c>
      <c r="AF5" s="4" t="str">
        <f t="shared" si="5"/>
        <v>m2</v>
      </c>
      <c r="AG5" s="4" t="str" cm="1">
        <f t="array" ref="AG5">IFERROR(INDEX(Table8[],_xlfn.XMATCH($O5,Table8[Dimension Name Category],0),_xlfn.XMATCH(AG$2&amp;IF($L5," w/ tag"," w/o tag"),Table8[#Headers],0)),"")</f>
        <v/>
      </c>
      <c r="AH5" s="59" t="str">
        <f t="shared" si="6"/>
        <v/>
      </c>
      <c r="AI5" s="4"/>
      <c r="AJ5" s="4" t="str">
        <f t="shared" si="7"/>
        <v>Slope Length</v>
      </c>
      <c r="AK5" s="4" t="str">
        <f t="shared" si="8"/>
        <v>m</v>
      </c>
      <c r="AL5" s="4" t="str" cm="1">
        <f t="array" ref="AL5">IF(INDEX(Table2[],_xlfn.XMATCH($A5,Table2[Steel Member],0),_xlfn.XMATCH(AL$2,Table2[#Headers],0))=0,"",INDEX(Table2[],_xlfn.XMATCH($A5,Table2[Steel Member],0),_xlfn.XMATCH(AL$2,Table2[#Headers],0)))</f>
        <v>[Length]*{Slope Factor}</v>
      </c>
      <c r="AM5" s="4"/>
      <c r="AN5" s="4" t="str">
        <f t="shared" si="9"/>
        <v>Slope Factor</v>
      </c>
      <c r="AO5" s="4"/>
      <c r="AP5" s="4" t="str" cm="1">
        <f t="array" ref="AP5">IF(INDEX(Table2[],_xlfn.XMATCH($A5,Table2[Steel Member],0),_xlfn.XMATCH(AP$2,Table2[#Headers],0))=0,"",INDEX(Table2[],_xlfn.XMATCH($A5,Table2[Steel Member],0),_xlfn.XMATCH(AP$2,Table2[#Headers],0)))</f>
        <v>1/COS(RADIANS(XNUMBER({Dimension Name},1)))</v>
      </c>
      <c r="AQ5" s="4"/>
      <c r="AR5" s="4"/>
      <c r="AS5" s="4"/>
      <c r="AT5" s="4"/>
    </row>
    <row r="6" spans="1:46" x14ac:dyDescent="0.25">
      <c r="A6" s="52" t="s">
        <v>1166</v>
      </c>
      <c r="B6" s="53"/>
      <c r="C6" s="52" t="s">
        <v>1169</v>
      </c>
      <c r="D6" s="52"/>
      <c r="E6" s="52" t="s">
        <v>510</v>
      </c>
      <c r="F6" s="64" cm="1">
        <f t="array" ref="F6">IF(COUNT(FIND(PurlinsxGirthsxBracings,$C6))&gt;0,0,ROUNDUP(IF(D6=0,0,VLOOKUP(D6,'DATA SHEET'!$B:$D,2,FALSE)),2))</f>
        <v>0</v>
      </c>
      <c r="G6" s="64" cm="1">
        <f t="array" ref="G6">IF(COUNT(FIND(PurlinsxGirthsxBracings,$C6))&gt;0,0,ROUNDUP(IF(D6=0,0,VLOOKUP(D6,'DATA SHEET'!$B:$D,3,FALSE)),2))</f>
        <v>0</v>
      </c>
      <c r="H6" s="53"/>
      <c r="I6" s="66" t="str" cm="1">
        <f t="array" ref="I6">IF(AND(ISBLANK(B6),ISBLANK(C6),ISBLANK(E6)),0,IF(COUNT(FIND(PurlinsxGirthsxBracings,$C6))&gt;0,IF(B6=0,CONCATENATE(E6," ",C6),CONCATENATE(B6," - ",E6," ",C6)),IF(B6=0,IF(ISBLANK(C6),E6,CONCATENATE(D6,", ",F6,"kg/m, ",G6,"mm surface perimeter")),IF(AND(ISBLANK(C6),ISTEXT(E6)),CONCATENATE(B6," - ",E6),IF(AND(ISBLANK(C6),ISBLANK(E6)),B6,CONCATENATE(B6," - ",D6,", ",F6,"kg/m, ",G6,"mm surface perimeter"))))&amp;IF(ISBLANK(H6),"",H6)))</f>
        <v>20mm dia. Rod Bracings</v>
      </c>
      <c r="J6" s="53"/>
      <c r="L6" s="4" t="str" cm="1">
        <f t="array" ref="L6">IF(COUNT(FIND({0,1,2,3,4,5,6,7,8,9},B6))&gt;0,COUNT(FIND({0,1,2,3,4,5,6,7,8,9},B6))&gt;0,"")</f>
        <v/>
      </c>
      <c r="M6" s="4" cm="1">
        <f t="array" aca="1" ref="M6" ca="1">IFERROR(_xlfn.IFS(R6="Count",RANDBETWEEN(1,COUNTIF($R$11:$R$653,"Count")),R6="Length",RANDBETWEEN(1,COUNTIF($R$11:$R$653,"Length"))),"")</f>
        <v>13</v>
      </c>
      <c r="N6" s="4">
        <f ca="1">IFERROR(_xlfn.RANK.EQ(M6,$M$11:$M$653)+COUNTIF($M6:M$11,M6)-1,"")</f>
        <v>3</v>
      </c>
      <c r="O6" s="86" t="str">
        <f>IF(A6='DATA SHEET'!$L$36,C6,IFERROR(IF(AND(ISTEXT(I6),ISBLANK(C6)),"No details",VLOOKUP(C6,DimFolder,2,FALSE)),""))</f>
        <v>Bracings</v>
      </c>
      <c r="P6" s="4" t="str">
        <f t="shared" ref="P6" si="12">IF(AND(ISBLANK(B6),ISBLANK(C6)),"",CONCATENATE("Structural\Structural Steel\",A6,"\",O6))</f>
        <v>Structural\Structural Steel\Purlins, Girts and Bracings\Bracings</v>
      </c>
      <c r="Q6" s="58" t="str">
        <f t="shared" si="10"/>
        <v>20mm dia. Rod Bracings</v>
      </c>
      <c r="R6" s="4" t="str" cm="1">
        <f t="array" ref="R6">IF(INDEX(Table2[],_xlfn.XMATCH($A6,Table2[Steel Member],0),_xlfn.XMATCH(R$2,Table2[#Headers],0))=0,"",INDEX(Table2[],_xlfn.XMATCH($A6,Table2[Steel Member],0),_xlfn.XMATCH(R$2,Table2[#Headers],0)))</f>
        <v>Length</v>
      </c>
      <c r="S6" s="4" t="str" cm="1">
        <f t="array" ref="S6">IF(INDEX(Table2[],_xlfn.XMATCH($A6,Table2[Steel Member],0),_xlfn.XMATCH(S$2,Table2[#Headers],0))=0,"",INDEX(Table2[],_xlfn.XMATCH($A6,Table2[Steel Member],0),_xlfn.XMATCH(S$2,Table2[#Headers],0)))</f>
        <v>Slope Length</v>
      </c>
      <c r="T6" s="4" t="str">
        <f t="shared" si="1"/>
        <v>t</v>
      </c>
      <c r="U6" s="4" t="str" cm="1">
        <f t="array" ref="U6">IF(INDEX(Table2[],_xlfn.XMATCH($A6,Table2[Steel Member],0),_xlfn.XMATCH(U$2,Table2[#Headers],0))=0,"",INDEX(Table2[],_xlfn.XMATCH($A6,Table2[Steel Member],0),_xlfn.XMATCH(U$2,Table2[#Headers],0)))</f>
        <v>Aqua</v>
      </c>
      <c r="V6" s="4" t="str">
        <f t="shared" si="2"/>
        <v>Red</v>
      </c>
      <c r="W6" s="4" t="str" cm="1">
        <f t="array" ref="W6">IF(INDEX(Table2[],_xlfn.XMATCH($A6,Table2[Steel Member],0),_xlfn.XMATCH(W$2,Table2[#Headers],0))=0,"",INDEX(Table2[],_xlfn.XMATCH($A6,Table2[Steel Member],0),_xlfn.XMATCH(W$2,Table2[#Headers],0)))</f>
        <v/>
      </c>
      <c r="X6" s="4" t="str">
        <f t="shared" si="11"/>
        <v/>
      </c>
      <c r="Y6" s="4" t="str" cm="1">
        <f t="array" ref="Y6">IF(INDEX(Table2[],_xlfn.XMATCH($A6,Table2[Steel Member],0),_xlfn.XMATCH(Y$2,Table2[#Headers],0))=0,"",INDEX(Table2[],_xlfn.XMATCH($A6,Table2[Steel Member],0),_xlfn.XMATCH(Y$2,Table2[#Headers],0)))</f>
        <v>"0 degrees"</v>
      </c>
      <c r="Z6" s="4" t="str" cm="1">
        <f t="array" ref="Z6">IF(INDEX(Table2[],_xlfn.XMATCH($A6,Table2[Steel Member],0),_xlfn.XMATCH(Z$2,Table2[#Headers],0))=0,"",INDEX(Table2[],_xlfn.XMATCH($A6,Table2[Steel Member],0),_xlfn.XMATCH(Z$2,Table2[#Headers],0)))</f>
        <v/>
      </c>
      <c r="AA6" s="4" t="str" cm="1">
        <f t="array" ref="AA6">IF(INDEX(Table2[],_xlfn.XMATCH($A6,Table2[Steel Member],0),_xlfn.XMATCH(AA$2,Table2[#Headers],0))=0,"",INDEX(Table2[],_xlfn.XMATCH($A6,Table2[Steel Member],0),_xlfn.XMATCH(AA$2,Table2[#Headers],0)))</f>
        <v>[Count]</v>
      </c>
      <c r="AB6" s="4" t="str" cm="1">
        <f t="array" ref="AB6">IF(INDEX(Table2[],_xlfn.XMATCH($A6,Table2[Steel Member],0),_xlfn.XMATCH(AB$2,Table2[#Headers],0))=0,"",INDEX(Table2[],_xlfn.XMATCH($A6,Table2[Steel Member],0),_xlfn.XMATCH(AB$2,Table2[#Headers],0)))</f>
        <v>[Length]</v>
      </c>
      <c r="AC6" s="4" t="str" cm="1">
        <f t="array" ref="AC6">IFERROR(INDEX(Table8[],_xlfn.XMATCH($O6,Table8[Dimension Name Category],0),_xlfn.XMATCH(AC$2&amp;IF($L6," w/ tag"," w/o tag"),Table8[#Headers],0)),"")</f>
        <v/>
      </c>
      <c r="AD6" s="59" t="str">
        <f t="shared" si="3"/>
        <v/>
      </c>
      <c r="AE6" s="4" t="str">
        <f t="shared" si="4"/>
        <v/>
      </c>
      <c r="AF6" s="4" t="str">
        <f t="shared" si="5"/>
        <v/>
      </c>
      <c r="AG6" s="4" t="str" cm="1">
        <f t="array" ref="AG6">IFERROR(INDEX(Table8[],_xlfn.XMATCH($O6,Table8[Dimension Name Category],0),_xlfn.XMATCH(AG$2&amp;IF($L6," w/ tag"," w/o tag"),Table8[#Headers],0)),"")</f>
        <v/>
      </c>
      <c r="AH6" s="59" t="str">
        <f t="shared" si="6"/>
        <v/>
      </c>
      <c r="AI6" s="4"/>
      <c r="AJ6" s="4" t="str">
        <f t="shared" si="7"/>
        <v>Slope Length</v>
      </c>
      <c r="AK6" s="4" t="str">
        <f t="shared" si="8"/>
        <v>m</v>
      </c>
      <c r="AL6" s="4" t="str" cm="1">
        <f t="array" ref="AL6">IF(INDEX(Table2[],_xlfn.XMATCH($A6,Table2[Steel Member],0),_xlfn.XMATCH(AL$2,Table2[#Headers],0))=0,"",INDEX(Table2[],_xlfn.XMATCH($A6,Table2[Steel Member],0),_xlfn.XMATCH(AL$2,Table2[#Headers],0)))</f>
        <v>[Length]*{Slope Factor}</v>
      </c>
      <c r="AM6" s="4"/>
      <c r="AN6" s="4" t="str">
        <f t="shared" si="9"/>
        <v>Slope Factor</v>
      </c>
      <c r="AO6" s="4"/>
      <c r="AP6" s="4" t="str" cm="1">
        <f t="array" ref="AP6">IF(INDEX(Table2[],_xlfn.XMATCH($A6,Table2[Steel Member],0),_xlfn.XMATCH(AP$2,Table2[#Headers],0))=0,"",INDEX(Table2[],_xlfn.XMATCH($A6,Table2[Steel Member],0),_xlfn.XMATCH(AP$2,Table2[#Headers],0)))</f>
        <v>1/COS(RADIANS(XNUMBER({Dimension Name},1)))</v>
      </c>
      <c r="AQ6" s="4"/>
      <c r="AR6" s="4"/>
      <c r="AS6" s="4"/>
      <c r="AT6" s="4"/>
    </row>
    <row r="7" spans="1:46" x14ac:dyDescent="0.25">
      <c r="A7" s="52"/>
      <c r="B7" s="53"/>
      <c r="C7" s="52"/>
      <c r="D7" s="52"/>
      <c r="E7" s="52"/>
      <c r="F7" s="64" cm="1">
        <f t="array" ref="F7">IF(COUNT(FIND(PurlinsxGirthsxBracings,$C7))&gt;0,0,ROUNDUP(IF(D7=0,0,VLOOKUP(D7,'DATA SHEET'!$B:$D,2,FALSE)),2))</f>
        <v>0</v>
      </c>
      <c r="G7" s="64" cm="1">
        <f t="array" ref="G7">IF(COUNT(FIND(PurlinsxGirthsxBracings,$C7))&gt;0,0,ROUNDUP(IF(D7=0,0,VLOOKUP(D7,'DATA SHEET'!$B:$D,3,FALSE)),2))</f>
        <v>0</v>
      </c>
      <c r="H7" s="53"/>
      <c r="I7" s="66" cm="1">
        <f t="array" ref="I7">IF(AND(ISBLANK(B7),ISBLANK(C7),ISBLANK(E7)),0,IF(COUNT(FIND(PurlinsxGirthsxBracings,$C7))&gt;0,IF(B7=0,CONCATENATE(E7," ",C7),CONCATENATE(B7," - ",E7," ",C7)),IF(B7=0,IF(ISBLANK(C7),E7,CONCATENATE(D7,", ",F7,"kg/m, ",G7,"mm surface perimeter")),IF(AND(ISBLANK(C7),ISTEXT(E7)),CONCATENATE(B7," - ",E7),IF(AND(ISBLANK(C7),ISBLANK(E7)),B7,CONCATENATE(B7," - ",D7,", ",F7,"kg/m, ",G7,"mm surface perimeter"))))&amp;IF(ISBLANK(H7),"",H7)))</f>
        <v>0</v>
      </c>
      <c r="J7" s="53"/>
      <c r="L7" s="4" t="str" cm="1">
        <f t="array" ref="L7">IF(COUNT(FIND({0,1,2,3,4,5,6,7,8,9},B7))&gt;0,COUNT(FIND({0,1,2,3,4,5,6,7,8,9},B7))&gt;0,"")</f>
        <v/>
      </c>
      <c r="M7" s="4" t="str" cm="1">
        <f t="array" aca="1" ref="M7" ca="1">IFERROR(_xlfn.IFS(R7="Count",RANDBETWEEN(1,COUNTIF($R$11:$R$653,"Count")),R7="Length",RANDBETWEEN(1,COUNTIF($R$11:$R$653,"Length"))),"")</f>
        <v/>
      </c>
      <c r="N7" s="4" t="str">
        <f ca="1">IFERROR(_xlfn.RANK.EQ(M7,$M$11:$M$653)+COUNTIF($M7:M$11,M7)-1,"")</f>
        <v/>
      </c>
      <c r="O7" s="86" t="str">
        <f>IF(A7='DATA SHEET'!$L$36,C7,IFERROR(IF(AND(ISTEXT(I7),ISBLANK(C7)),"No details",VLOOKUP(C7,DimFolder,2,FALSE)),""))</f>
        <v/>
      </c>
      <c r="P7" s="4" t="str">
        <f t="shared" ref="P7:P9" si="13">IF(AND(ISBLANK(B7),ISBLANK(C7)),"",CONCATENATE("Structural\Structural Steel\",A7,"\",O7))</f>
        <v/>
      </c>
      <c r="Q7" s="58" t="str">
        <f t="shared" si="10"/>
        <v/>
      </c>
      <c r="R7" s="4" t="e" cm="1">
        <f t="array" ref="R7">IF(INDEX(Table2[],_xlfn.XMATCH($A7,Table2[Steel Member],0),_xlfn.XMATCH(R$2,Table2[#Headers],0))=0,"",INDEX(Table2[],_xlfn.XMATCH($A7,Table2[Steel Member],0),_xlfn.XMATCH(R$2,Table2[#Headers],0)))</f>
        <v>#N/A</v>
      </c>
      <c r="S7" s="4" t="e" cm="1">
        <f t="array" ref="S7">IF(INDEX(Table2[],_xlfn.XMATCH($A7,Table2[Steel Member],0),_xlfn.XMATCH(S$2,Table2[#Headers],0))=0,"",INDEX(Table2[],_xlfn.XMATCH($A7,Table2[Steel Member],0),_xlfn.XMATCH(S$2,Table2[#Headers],0)))</f>
        <v>#N/A</v>
      </c>
      <c r="T7" s="4" t="str">
        <f t="shared" si="1"/>
        <v/>
      </c>
      <c r="U7" s="4" t="e" cm="1">
        <f t="array" ref="U7">IF(INDEX(Table2[],_xlfn.XMATCH($A7,Table2[Steel Member],0),_xlfn.XMATCH(U$2,Table2[#Headers],0))=0,"",INDEX(Table2[],_xlfn.XMATCH($A7,Table2[Steel Member],0),_xlfn.XMATCH(U$2,Table2[#Headers],0)))</f>
        <v>#N/A</v>
      </c>
      <c r="V7" s="4" t="str">
        <f t="shared" si="2"/>
        <v/>
      </c>
      <c r="W7" s="4" t="e" cm="1">
        <f t="array" ref="W7">IF(INDEX(Table2[],_xlfn.XMATCH($A7,Table2[Steel Member],0),_xlfn.XMATCH(W$2,Table2[#Headers],0))=0,"",INDEX(Table2[],_xlfn.XMATCH($A7,Table2[Steel Member],0),_xlfn.XMATCH(W$2,Table2[#Headers],0)))</f>
        <v>#N/A</v>
      </c>
      <c r="X7" s="4" t="e">
        <f t="shared" si="11"/>
        <v>#N/A</v>
      </c>
      <c r="Y7" s="4" t="e" cm="1">
        <f t="array" ref="Y7">IF(INDEX(Table2[],_xlfn.XMATCH($A7,Table2[Steel Member],0),_xlfn.XMATCH(Y$2,Table2[#Headers],0))=0,"",INDEX(Table2[],_xlfn.XMATCH($A7,Table2[Steel Member],0),_xlfn.XMATCH(Y$2,Table2[#Headers],0)))</f>
        <v>#N/A</v>
      </c>
      <c r="Z7" s="4" t="e" cm="1">
        <f t="array" ref="Z7">IF(INDEX(Table2[],_xlfn.XMATCH($A7,Table2[Steel Member],0),_xlfn.XMATCH(Z$2,Table2[#Headers],0))=0,"",INDEX(Table2[],_xlfn.XMATCH($A7,Table2[Steel Member],0),_xlfn.XMATCH(Z$2,Table2[#Headers],0)))</f>
        <v>#N/A</v>
      </c>
      <c r="AA7" s="4" t="e" cm="1">
        <f t="array" ref="AA7">IF(INDEX(Table2[],_xlfn.XMATCH($A7,Table2[Steel Member],0),_xlfn.XMATCH(AA$2,Table2[#Headers],0))=0,"",INDEX(Table2[],_xlfn.XMATCH($A7,Table2[Steel Member],0),_xlfn.XMATCH(AA$2,Table2[#Headers],0)))</f>
        <v>#N/A</v>
      </c>
      <c r="AB7" s="4" t="e" cm="1">
        <f t="array" ref="AB7">IF(INDEX(Table2[],_xlfn.XMATCH($A7,Table2[Steel Member],0),_xlfn.XMATCH(AB$2,Table2[#Headers],0))=0,"",INDEX(Table2[],_xlfn.XMATCH($A7,Table2[Steel Member],0),_xlfn.XMATCH(AB$2,Table2[#Headers],0)))</f>
        <v>#N/A</v>
      </c>
      <c r="AC7" s="4" t="str" cm="1">
        <f t="array" ref="AC7">IFERROR(INDEX(Table8[],_xlfn.XMATCH($O7,Table8[Dimension Name Category],0),_xlfn.XMATCH(AC$2&amp;IF($L7," w/ tag"," w/o tag"),Table8[#Headers],0)),"")</f>
        <v/>
      </c>
      <c r="AD7" s="59" t="str">
        <f t="shared" si="3"/>
        <v/>
      </c>
      <c r="AE7" s="4" t="str">
        <f t="shared" si="4"/>
        <v/>
      </c>
      <c r="AF7" s="4" t="str">
        <f t="shared" si="5"/>
        <v/>
      </c>
      <c r="AG7" s="4" t="str" cm="1">
        <f t="array" ref="AG7">IFERROR(INDEX(Table8[],_xlfn.XMATCH($O7,Table8[Dimension Name Category],0),_xlfn.XMATCH(AG$2&amp;IF($L7," w/ tag"," w/o tag"),Table8[#Headers],0)),"")</f>
        <v/>
      </c>
      <c r="AH7" s="59" t="str">
        <f t="shared" si="6"/>
        <v/>
      </c>
      <c r="AI7" s="4"/>
      <c r="AJ7" s="4" t="str">
        <f t="shared" si="7"/>
        <v/>
      </c>
      <c r="AK7" s="4" t="str">
        <f t="shared" si="8"/>
        <v/>
      </c>
      <c r="AL7" s="4" t="e" cm="1">
        <f t="array" ref="AL7">IF(INDEX(Table2[],_xlfn.XMATCH($A7,Table2[Steel Member],0),_xlfn.XMATCH(AL$2,Table2[#Headers],0))=0,"",INDEX(Table2[],_xlfn.XMATCH($A7,Table2[Steel Member],0),_xlfn.XMATCH(AL$2,Table2[#Headers],0)))</f>
        <v>#N/A</v>
      </c>
      <c r="AM7" s="4"/>
      <c r="AN7" s="4" t="str">
        <f t="shared" si="9"/>
        <v/>
      </c>
      <c r="AO7" s="4"/>
      <c r="AP7" s="4" t="e" cm="1">
        <f t="array" ref="AP7">IF(INDEX(Table2[],_xlfn.XMATCH($A7,Table2[Steel Member],0),_xlfn.XMATCH(AP$2,Table2[#Headers],0))=0,"",INDEX(Table2[],_xlfn.XMATCH($A7,Table2[Steel Member],0),_xlfn.XMATCH(AP$2,Table2[#Headers],0)))</f>
        <v>#N/A</v>
      </c>
      <c r="AQ7" s="4"/>
      <c r="AR7" s="4"/>
      <c r="AS7" s="4"/>
      <c r="AT7" s="4"/>
    </row>
    <row r="8" spans="1:46" x14ac:dyDescent="0.25">
      <c r="A8" s="52"/>
      <c r="B8" s="53"/>
      <c r="C8" s="52"/>
      <c r="D8" s="52"/>
      <c r="E8" s="52"/>
      <c r="F8" s="64" cm="1">
        <f t="array" ref="F8">IF(COUNT(FIND(PurlinsxGirthsxBracings,$C8))&gt;0,0,ROUNDUP(IF(D8=0,0,VLOOKUP(D8,'DATA SHEET'!$B:$D,2,FALSE)),2))</f>
        <v>0</v>
      </c>
      <c r="G8" s="64" cm="1">
        <f t="array" ref="G8">IF(COUNT(FIND(PurlinsxGirthsxBracings,$C8))&gt;0,0,ROUNDUP(IF(D8=0,0,VLOOKUP(D8,'DATA SHEET'!$B:$D,3,FALSE)),2))</f>
        <v>0</v>
      </c>
      <c r="H8" s="53"/>
      <c r="I8" s="66" cm="1">
        <f t="array" ref="I8">IF(AND(ISBLANK(B8),ISBLANK(C8),ISBLANK(E8)),0,IF(COUNT(FIND(PurlinsxGirthsxBracings,$C8))&gt;0,IF(B8=0,CONCATENATE(E8," ",C8),CONCATENATE(B8," - ",E8," ",C8)),IF(B8=0,IF(ISBLANK(C8),E8,CONCATENATE(D8,", ",F8,"kg/m, ",G8,"mm surface perimeter")),IF(AND(ISBLANK(C8),ISTEXT(E8)),CONCATENATE(B8," - ",E8),IF(AND(ISBLANK(C8),ISBLANK(E8)),B8,CONCATENATE(B8," - ",D8,", ",F8,"kg/m, ",G8,"mm surface perimeter"))))&amp;IF(ISBLANK(H8),"",H8)))</f>
        <v>0</v>
      </c>
      <c r="J8" s="53"/>
      <c r="L8" s="4" t="str" cm="1">
        <f t="array" ref="L8">IF(COUNT(FIND({0,1,2,3,4,5,6,7,8,9},B8))&gt;0,COUNT(FIND({0,1,2,3,4,5,6,7,8,9},B8))&gt;0,"")</f>
        <v/>
      </c>
      <c r="M8" s="4" t="str" cm="1">
        <f t="array" aca="1" ref="M8" ca="1">IFERROR(_xlfn.IFS(R8="Count",RANDBETWEEN(1,COUNTIF($R$11:$R$653,"Count")),R8="Length",RANDBETWEEN(1,COUNTIF($R$11:$R$653,"Length"))),"")</f>
        <v/>
      </c>
      <c r="N8" s="4" t="str">
        <f ca="1">IFERROR(_xlfn.RANK.EQ(M8,$M$11:$M$653)+COUNTIF($M8:M$11,M8)-1,"")</f>
        <v/>
      </c>
      <c r="O8" s="86" t="str">
        <f>IF(A8='DATA SHEET'!$L$36,C8,IFERROR(IF(AND(ISTEXT(I8),ISBLANK(C8)),"No details",VLOOKUP(C8,DimFolder,2,FALSE)),""))</f>
        <v/>
      </c>
      <c r="P8" s="4" t="str">
        <f t="shared" si="13"/>
        <v/>
      </c>
      <c r="Q8" s="58" t="str">
        <f t="shared" si="10"/>
        <v/>
      </c>
      <c r="R8" s="4" t="e" cm="1">
        <f t="array" ref="R8">IF(INDEX(Table2[],_xlfn.XMATCH($A8,Table2[Steel Member],0),_xlfn.XMATCH(R$2,Table2[#Headers],0))=0,"",INDEX(Table2[],_xlfn.XMATCH($A8,Table2[Steel Member],0),_xlfn.XMATCH(R$2,Table2[#Headers],0)))</f>
        <v>#N/A</v>
      </c>
      <c r="S8" s="4" t="e" cm="1">
        <f t="array" ref="S8">IF(INDEX(Table2[],_xlfn.XMATCH($A8,Table2[Steel Member],0),_xlfn.XMATCH(S$2,Table2[#Headers],0))=0,"",INDEX(Table2[],_xlfn.XMATCH($A8,Table2[Steel Member],0),_xlfn.XMATCH(S$2,Table2[#Headers],0)))</f>
        <v>#N/A</v>
      </c>
      <c r="T8" s="4" t="str">
        <f t="shared" si="1"/>
        <v/>
      </c>
      <c r="U8" s="4" t="e" cm="1">
        <f t="array" ref="U8">IF(INDEX(Table2[],_xlfn.XMATCH($A8,Table2[Steel Member],0),_xlfn.XMATCH(U$2,Table2[#Headers],0))=0,"",INDEX(Table2[],_xlfn.XMATCH($A8,Table2[Steel Member],0),_xlfn.XMATCH(U$2,Table2[#Headers],0)))</f>
        <v>#N/A</v>
      </c>
      <c r="V8" s="4" t="str">
        <f t="shared" si="2"/>
        <v/>
      </c>
      <c r="W8" s="4" t="e" cm="1">
        <f t="array" ref="W8">IF(INDEX(Table2[],_xlfn.XMATCH($A8,Table2[Steel Member],0),_xlfn.XMATCH(W$2,Table2[#Headers],0))=0,"",INDEX(Table2[],_xlfn.XMATCH($A8,Table2[Steel Member],0),_xlfn.XMATCH(W$2,Table2[#Headers],0)))</f>
        <v>#N/A</v>
      </c>
      <c r="X8" s="4" t="e">
        <f t="shared" si="11"/>
        <v>#N/A</v>
      </c>
      <c r="Y8" s="4" t="e" cm="1">
        <f t="array" ref="Y8">IF(INDEX(Table2[],_xlfn.XMATCH($A8,Table2[Steel Member],0),_xlfn.XMATCH(Y$2,Table2[#Headers],0))=0,"",INDEX(Table2[],_xlfn.XMATCH($A8,Table2[Steel Member],0),_xlfn.XMATCH(Y$2,Table2[#Headers],0)))</f>
        <v>#N/A</v>
      </c>
      <c r="Z8" s="4" t="e" cm="1">
        <f t="array" ref="Z8">IF(INDEX(Table2[],_xlfn.XMATCH($A8,Table2[Steel Member],0),_xlfn.XMATCH(Z$2,Table2[#Headers],0))=0,"",INDEX(Table2[],_xlfn.XMATCH($A8,Table2[Steel Member],0),_xlfn.XMATCH(Z$2,Table2[#Headers],0)))</f>
        <v>#N/A</v>
      </c>
      <c r="AA8" s="4" t="e" cm="1">
        <f t="array" ref="AA8">IF(INDEX(Table2[],_xlfn.XMATCH($A8,Table2[Steel Member],0),_xlfn.XMATCH(AA$2,Table2[#Headers],0))=0,"",INDEX(Table2[],_xlfn.XMATCH($A8,Table2[Steel Member],0),_xlfn.XMATCH(AA$2,Table2[#Headers],0)))</f>
        <v>#N/A</v>
      </c>
      <c r="AB8" s="4" t="e" cm="1">
        <f t="array" ref="AB8">IF(INDEX(Table2[],_xlfn.XMATCH($A8,Table2[Steel Member],0),_xlfn.XMATCH(AB$2,Table2[#Headers],0))=0,"",INDEX(Table2[],_xlfn.XMATCH($A8,Table2[Steel Member],0),_xlfn.XMATCH(AB$2,Table2[#Headers],0)))</f>
        <v>#N/A</v>
      </c>
      <c r="AC8" s="4" t="str" cm="1">
        <f t="array" ref="AC8">IFERROR(INDEX(Table8[],_xlfn.XMATCH($O8,Table8[Dimension Name Category],0),_xlfn.XMATCH(AC$2&amp;IF($L8," w/ tag"," w/o tag"),Table8[#Headers],0)),"")</f>
        <v/>
      </c>
      <c r="AD8" s="59" t="str">
        <f t="shared" si="3"/>
        <v/>
      </c>
      <c r="AE8" s="4" t="str">
        <f t="shared" si="4"/>
        <v/>
      </c>
      <c r="AF8" s="4" t="str">
        <f t="shared" si="5"/>
        <v/>
      </c>
      <c r="AG8" s="4" t="str" cm="1">
        <f t="array" ref="AG8">IFERROR(INDEX(Table8[],_xlfn.XMATCH($O8,Table8[Dimension Name Category],0),_xlfn.XMATCH(AG$2&amp;IF($L8," w/ tag"," w/o tag"),Table8[#Headers],0)),"")</f>
        <v/>
      </c>
      <c r="AH8" s="59" t="str">
        <f t="shared" si="6"/>
        <v/>
      </c>
      <c r="AI8" s="4"/>
      <c r="AJ8" s="4" t="str">
        <f t="shared" si="7"/>
        <v/>
      </c>
      <c r="AK8" s="4" t="str">
        <f t="shared" si="8"/>
        <v/>
      </c>
      <c r="AL8" s="4" t="e" cm="1">
        <f t="array" ref="AL8">IF(INDEX(Table2[],_xlfn.XMATCH($A8,Table2[Steel Member],0),_xlfn.XMATCH(AL$2,Table2[#Headers],0))=0,"",INDEX(Table2[],_xlfn.XMATCH($A8,Table2[Steel Member],0),_xlfn.XMATCH(AL$2,Table2[#Headers],0)))</f>
        <v>#N/A</v>
      </c>
      <c r="AM8" s="4"/>
      <c r="AN8" s="4" t="str">
        <f t="shared" si="9"/>
        <v/>
      </c>
      <c r="AO8" s="4"/>
      <c r="AP8" s="4" t="e" cm="1">
        <f t="array" ref="AP8">IF(INDEX(Table2[],_xlfn.XMATCH($A8,Table2[Steel Member],0),_xlfn.XMATCH(AP$2,Table2[#Headers],0))=0,"",INDEX(Table2[],_xlfn.XMATCH($A8,Table2[Steel Member],0),_xlfn.XMATCH(AP$2,Table2[#Headers],0)))</f>
        <v>#N/A</v>
      </c>
      <c r="AQ8" s="4"/>
      <c r="AR8" s="4"/>
      <c r="AS8" s="4"/>
      <c r="AT8" s="4"/>
    </row>
    <row r="9" spans="1:46" x14ac:dyDescent="0.25">
      <c r="A9" s="52"/>
      <c r="B9" s="53"/>
      <c r="C9" s="52"/>
      <c r="D9" s="52"/>
      <c r="E9" s="52"/>
      <c r="F9" s="64" cm="1">
        <f t="array" ref="F9">IF(COUNT(FIND(PurlinsxGirthsxBracings,$C9))&gt;0,0,ROUNDUP(IF(D9=0,0,VLOOKUP(D9,'DATA SHEET'!$B:$D,2,FALSE)),2))</f>
        <v>0</v>
      </c>
      <c r="G9" s="64" cm="1">
        <f t="array" ref="G9">IF(COUNT(FIND(PurlinsxGirthsxBracings,$C9))&gt;0,0,ROUNDUP(IF(D9=0,0,VLOOKUP(D9,'DATA SHEET'!$B:$D,3,FALSE)),2))</f>
        <v>0</v>
      </c>
      <c r="H9" s="53"/>
      <c r="I9" s="66" cm="1">
        <f t="array" ref="I9">IF(AND(ISBLANK(B9),ISBLANK(C9),ISBLANK(E9)),0,IF(COUNT(FIND(PurlinsxGirthsxBracings,$C9))&gt;0,IF(B9=0,CONCATENATE(E9," ",C9),CONCATENATE(B9," - ",E9," ",C9)),IF(B9=0,IF(ISBLANK(C9),E9,CONCATENATE(D9,", ",F9,"kg/m, ",G9,"mm surface perimeter")),IF(AND(ISBLANK(C9),ISTEXT(E9)),CONCATENATE(B9," - ",E9),IF(AND(ISBLANK(C9),ISBLANK(E9)),B9,CONCATENATE(B9," - ",D9,", ",F9,"kg/m, ",G9,"mm surface perimeter"))))&amp;IF(ISBLANK(H9),"",H9)))</f>
        <v>0</v>
      </c>
      <c r="J9" s="53"/>
      <c r="L9" s="4" t="str" cm="1">
        <f t="array" ref="L9">IF(COUNT(FIND({0,1,2,3,4,5,6,7,8,9},B9))&gt;0,COUNT(FIND({0,1,2,3,4,5,6,7,8,9},B9))&gt;0,"")</f>
        <v/>
      </c>
      <c r="M9" s="4" t="str" cm="1">
        <f t="array" aca="1" ref="M9" ca="1">IFERROR(_xlfn.IFS(R9="Count",RANDBETWEEN(1,COUNTIF($R$11:$R$653,"Count")),R9="Length",RANDBETWEEN(1,COUNTIF($R$11:$R$653,"Length"))),"")</f>
        <v/>
      </c>
      <c r="N9" s="4" t="str">
        <f ca="1">IFERROR(_xlfn.RANK.EQ(M9,$M$11:$M$653)+COUNTIF($M9:M$11,M9)-1,"")</f>
        <v/>
      </c>
      <c r="O9" s="86" t="str">
        <f>IF(A9='DATA SHEET'!$L$36,C9,IFERROR(IF(AND(ISTEXT(I9),ISBLANK(C9)),"No details",VLOOKUP(C9,DimFolder,2,FALSE)),""))</f>
        <v/>
      </c>
      <c r="P9" s="4" t="str">
        <f t="shared" si="13"/>
        <v/>
      </c>
      <c r="Q9" s="58" t="str">
        <f t="shared" si="10"/>
        <v/>
      </c>
      <c r="R9" s="4" t="e" cm="1">
        <f t="array" ref="R9">IF(INDEX(Table2[],_xlfn.XMATCH($A9,Table2[Steel Member],0),_xlfn.XMATCH(R$2,Table2[#Headers],0))=0,"",INDEX(Table2[],_xlfn.XMATCH($A9,Table2[Steel Member],0),_xlfn.XMATCH(R$2,Table2[#Headers],0)))</f>
        <v>#N/A</v>
      </c>
      <c r="S9" s="4" t="e" cm="1">
        <f t="array" ref="S9">IF(INDEX(Table2[],_xlfn.XMATCH($A9,Table2[Steel Member],0),_xlfn.XMATCH(S$2,Table2[#Headers],0))=0,"",INDEX(Table2[],_xlfn.XMATCH($A9,Table2[Steel Member],0),_xlfn.XMATCH(S$2,Table2[#Headers],0)))</f>
        <v>#N/A</v>
      </c>
      <c r="T9" s="4" t="str">
        <f t="shared" si="1"/>
        <v/>
      </c>
      <c r="U9" s="4" t="e" cm="1">
        <f t="array" ref="U9">IF(INDEX(Table2[],_xlfn.XMATCH($A9,Table2[Steel Member],0),_xlfn.XMATCH(U$2,Table2[#Headers],0))=0,"",INDEX(Table2[],_xlfn.XMATCH($A9,Table2[Steel Member],0),_xlfn.XMATCH(U$2,Table2[#Headers],0)))</f>
        <v>#N/A</v>
      </c>
      <c r="V9" s="4" t="str">
        <f t="shared" si="2"/>
        <v/>
      </c>
      <c r="W9" s="4" t="e" cm="1">
        <f t="array" ref="W9">IF(INDEX(Table2[],_xlfn.XMATCH($A9,Table2[Steel Member],0),_xlfn.XMATCH(W$2,Table2[#Headers],0))=0,"",INDEX(Table2[],_xlfn.XMATCH($A9,Table2[Steel Member],0),_xlfn.XMATCH(W$2,Table2[#Headers],0)))</f>
        <v>#N/A</v>
      </c>
      <c r="X9" s="4" t="e">
        <f t="shared" si="11"/>
        <v>#N/A</v>
      </c>
      <c r="Y9" s="4" t="e" cm="1">
        <f t="array" ref="Y9">IF(INDEX(Table2[],_xlfn.XMATCH($A9,Table2[Steel Member],0),_xlfn.XMATCH(Y$2,Table2[#Headers],0))=0,"",INDEX(Table2[],_xlfn.XMATCH($A9,Table2[Steel Member],0),_xlfn.XMATCH(Y$2,Table2[#Headers],0)))</f>
        <v>#N/A</v>
      </c>
      <c r="Z9" s="4" t="e" cm="1">
        <f t="array" ref="Z9">IF(INDEX(Table2[],_xlfn.XMATCH($A9,Table2[Steel Member],0),_xlfn.XMATCH(Z$2,Table2[#Headers],0))=0,"",INDEX(Table2[],_xlfn.XMATCH($A9,Table2[Steel Member],0),_xlfn.XMATCH(Z$2,Table2[#Headers],0)))</f>
        <v>#N/A</v>
      </c>
      <c r="AA9" s="4" t="e" cm="1">
        <f t="array" ref="AA9">IF(INDEX(Table2[],_xlfn.XMATCH($A9,Table2[Steel Member],0),_xlfn.XMATCH(AA$2,Table2[#Headers],0))=0,"",INDEX(Table2[],_xlfn.XMATCH($A9,Table2[Steel Member],0),_xlfn.XMATCH(AA$2,Table2[#Headers],0)))</f>
        <v>#N/A</v>
      </c>
      <c r="AB9" s="4" t="e" cm="1">
        <f t="array" ref="AB9">IF(INDEX(Table2[],_xlfn.XMATCH($A9,Table2[Steel Member],0),_xlfn.XMATCH(AB$2,Table2[#Headers],0))=0,"",INDEX(Table2[],_xlfn.XMATCH($A9,Table2[Steel Member],0),_xlfn.XMATCH(AB$2,Table2[#Headers],0)))</f>
        <v>#N/A</v>
      </c>
      <c r="AC9" s="4" t="str" cm="1">
        <f t="array" ref="AC9">IFERROR(INDEX(Table8[],_xlfn.XMATCH($O9,Table8[Dimension Name Category],0),_xlfn.XMATCH(AC$2&amp;IF($L9," w/ tag"," w/o tag"),Table8[#Headers],0)),"")</f>
        <v/>
      </c>
      <c r="AD9" s="59" t="str">
        <f t="shared" si="3"/>
        <v/>
      </c>
      <c r="AE9" s="4" t="str">
        <f t="shared" si="4"/>
        <v/>
      </c>
      <c r="AF9" s="4" t="str">
        <f t="shared" si="5"/>
        <v/>
      </c>
      <c r="AG9" s="4" t="str" cm="1">
        <f t="array" ref="AG9">IFERROR(INDEX(Table8[],_xlfn.XMATCH($O9,Table8[Dimension Name Category],0),_xlfn.XMATCH(AG$2&amp;IF($L9," w/ tag"," w/o tag"),Table8[#Headers],0)),"")</f>
        <v/>
      </c>
      <c r="AH9" s="59" t="str">
        <f t="shared" si="6"/>
        <v/>
      </c>
      <c r="AI9" s="4"/>
      <c r="AJ9" s="4" t="str">
        <f t="shared" si="7"/>
        <v/>
      </c>
      <c r="AK9" s="4" t="str">
        <f t="shared" si="8"/>
        <v/>
      </c>
      <c r="AL9" s="4" t="e" cm="1">
        <f t="array" ref="AL9">IF(INDEX(Table2[],_xlfn.XMATCH($A9,Table2[Steel Member],0),_xlfn.XMATCH(AL$2,Table2[#Headers],0))=0,"",INDEX(Table2[],_xlfn.XMATCH($A9,Table2[Steel Member],0),_xlfn.XMATCH(AL$2,Table2[#Headers],0)))</f>
        <v>#N/A</v>
      </c>
      <c r="AM9" s="4"/>
      <c r="AN9" s="4" t="str">
        <f t="shared" si="9"/>
        <v/>
      </c>
      <c r="AO9" s="4"/>
      <c r="AP9" s="4" t="e" cm="1">
        <f t="array" ref="AP9">IF(INDEX(Table2[],_xlfn.XMATCH($A9,Table2[Steel Member],0),_xlfn.XMATCH(AP$2,Table2[#Headers],0))=0,"",INDEX(Table2[],_xlfn.XMATCH($A9,Table2[Steel Member],0),_xlfn.XMATCH(AP$2,Table2[#Headers],0)))</f>
        <v>#N/A</v>
      </c>
      <c r="AQ9" s="4"/>
      <c r="AR9" s="4"/>
      <c r="AS9" s="4"/>
      <c r="AT9" s="4"/>
    </row>
    <row r="10" spans="1:46" x14ac:dyDescent="0.25">
      <c r="A10" s="49" t="s">
        <v>504</v>
      </c>
      <c r="B10" s="49"/>
      <c r="C10" s="50"/>
      <c r="D10" s="50"/>
      <c r="E10" s="49"/>
      <c r="F10" s="63"/>
      <c r="G10" s="63"/>
      <c r="H10" s="50"/>
      <c r="I10" s="65"/>
      <c r="J10" s="51"/>
      <c r="L10" s="57" t="s">
        <v>590</v>
      </c>
      <c r="M10" s="57" t="s">
        <v>590</v>
      </c>
      <c r="N10" s="57" t="s">
        <v>590</v>
      </c>
      <c r="O10" s="57" t="s">
        <v>590</v>
      </c>
      <c r="P10" s="57" t="s">
        <v>590</v>
      </c>
      <c r="Q10" s="57" t="s">
        <v>590</v>
      </c>
      <c r="R10" s="57" t="s">
        <v>590</v>
      </c>
      <c r="S10" s="57" t="s">
        <v>590</v>
      </c>
      <c r="T10" s="57" t="s">
        <v>590</v>
      </c>
      <c r="U10" s="57" t="s">
        <v>590</v>
      </c>
      <c r="V10" s="57" t="s">
        <v>590</v>
      </c>
      <c r="W10" s="57" t="s">
        <v>590</v>
      </c>
      <c r="X10" s="57" t="s">
        <v>590</v>
      </c>
      <c r="Y10" s="57" t="s">
        <v>590</v>
      </c>
      <c r="Z10" s="57" t="s">
        <v>590</v>
      </c>
      <c r="AA10" s="57" t="s">
        <v>590</v>
      </c>
      <c r="AB10" s="57" t="s">
        <v>590</v>
      </c>
      <c r="AC10" s="57" t="s">
        <v>590</v>
      </c>
      <c r="AD10" s="57" t="s">
        <v>590</v>
      </c>
      <c r="AE10" s="57" t="s">
        <v>590</v>
      </c>
      <c r="AF10" s="57" t="s">
        <v>590</v>
      </c>
      <c r="AG10" s="57" t="s">
        <v>590</v>
      </c>
      <c r="AH10" s="57" t="s">
        <v>590</v>
      </c>
      <c r="AI10" s="57" t="s">
        <v>590</v>
      </c>
      <c r="AJ10" s="57" t="s">
        <v>590</v>
      </c>
      <c r="AK10" s="57" t="s">
        <v>590</v>
      </c>
      <c r="AL10" s="57" t="s">
        <v>590</v>
      </c>
      <c r="AM10" s="57" t="s">
        <v>590</v>
      </c>
      <c r="AN10" s="57" t="s">
        <v>590</v>
      </c>
      <c r="AO10" s="57" t="s">
        <v>590</v>
      </c>
      <c r="AP10" s="57" t="s">
        <v>590</v>
      </c>
      <c r="AQ10" s="57" t="s">
        <v>590</v>
      </c>
      <c r="AR10" s="57" t="s">
        <v>590</v>
      </c>
      <c r="AS10" s="57" t="s">
        <v>590</v>
      </c>
      <c r="AT10" s="57" t="s">
        <v>590</v>
      </c>
    </row>
    <row r="11" spans="1:46" x14ac:dyDescent="0.25">
      <c r="A11" s="52" t="s">
        <v>1166</v>
      </c>
      <c r="B11" s="52"/>
      <c r="C11" s="52" t="s">
        <v>1168</v>
      </c>
      <c r="D11" s="52"/>
      <c r="E11" s="52" t="s">
        <v>1097</v>
      </c>
      <c r="F11" s="64" cm="1">
        <f t="array" ref="F11">IF(COUNT(FIND(PurlinsxGirthsxBracings,$C11))&gt;0,0,ROUNDUP(IF(D11=0,0,VLOOKUP(D11,'DATA SHEET'!$B:$D,2,FALSE)),2))</f>
        <v>0</v>
      </c>
      <c r="G11" s="64" cm="1">
        <f t="array" ref="G11">IF(COUNT(FIND(PurlinsxGirthsxBracings,$C11))&gt;0,0,ROUNDUP(IF(D11=0,0,VLOOKUP(D11,'DATA SHEET'!$B:$D,3,FALSE)),2))</f>
        <v>0</v>
      </c>
      <c r="H11" s="53"/>
      <c r="I11" s="66" t="str" cm="1">
        <f t="array" ref="I11">IF(AND(ISBLANK(B11),ISBLANK(C11),ISBLANK(E11)),0,IF(COUNT(FIND(PurlinsxGirthsxBracings,$C11))&gt;0,IF(B11=0,CONCATENATE(E11," ",C11),CONCATENATE(B11," - ",E11," ",C11)),IF(B11=0,IF(ISBLANK(C11),E11,CONCATENATE(D11,", ",F11,"kg/m, ",G11,"mm surface perimeter")),IF(AND(ISBLANK(C11),ISTEXT(E11)),CONCATENATE(B11," - ",E11),IF(AND(ISBLANK(C11),ISBLANK(E11)),B11,CONCATENATE(B11," - ",D11,", ",F11,"kg/m, ",G11,"mm surface perimeter"))))&amp;IF(ISBLANK(H11),"",H11)))</f>
        <v>C15019 Purlins</v>
      </c>
      <c r="J11" s="53"/>
      <c r="L11" s="4" t="str" cm="1">
        <f t="array" ref="L11">IF(COUNT(FIND({0,1,2,3,4,5,6,7,8,9},B11))&gt;0,COUNT(FIND({0,1,2,3,4,5,6,7,8,9},B11))&gt;0,"")</f>
        <v/>
      </c>
      <c r="M11" s="4" cm="1">
        <f t="array" aca="1" ref="M11" ca="1">IFERROR(_xlfn.IFS(R11="Count",RANDBETWEEN(1,COUNTIF($R$11:$R$653,"Count")),R11="Length",RANDBETWEEN(1,COUNTIF($R$11:$R$653,"Length"))),"")</f>
        <v>7</v>
      </c>
      <c r="N11" s="4">
        <f ca="1">IFERROR(_xlfn.RANK.EQ(M11,$M$11:$M$653)+COUNTIF($M11:M$11,M11)-1,"")</f>
        <v>7</v>
      </c>
      <c r="O11" s="86" t="str">
        <f>IF(A11='DATA SHEET'!$L$36,C11,IFERROR(IF(AND(ISTEXT(I11),ISBLANK(C11)),"No details",VLOOKUP(C11,DimFolder,2,FALSE)),""))</f>
        <v>Purlins</v>
      </c>
      <c r="P11" s="4" t="str">
        <f t="shared" ref="P11:P74" si="14">IF(AND(ISBLANK(B11),ISBLANK(C11)),"",CONCATENATE("Structural\Structural Steel\",A11,"\",O11))</f>
        <v>Structural\Structural Steel\Purlins, Girts and Bracings\Purlins</v>
      </c>
      <c r="Q11" s="58" t="str">
        <f t="shared" ref="Q11:Q58" si="15">IF(AND(ISBLANK(B11),ISBLANK(C11)),"",I11)</f>
        <v>C15019 Purlins</v>
      </c>
      <c r="R11" s="4" t="str" cm="1">
        <f t="array" ref="R11">IF(INDEX(Table2[],_xlfn.XMATCH($A11,Table2[Steel Member],0),_xlfn.XMATCH(R$2,Table2[#Headers],0))=0,"",INDEX(Table2[],_xlfn.XMATCH($A11,Table2[Steel Member],0),_xlfn.XMATCH(R$2,Table2[#Headers],0)))</f>
        <v>Length</v>
      </c>
      <c r="S11" s="4" t="str" cm="1">
        <f t="array" ref="S11">IF(INDEX(Table2[],_xlfn.XMATCH($A11,Table2[Steel Member],0),_xlfn.XMATCH(S$2,Table2[#Headers],0))=0,"",INDEX(Table2[],_xlfn.XMATCH($A11,Table2[Steel Member],0),_xlfn.XMATCH(S$2,Table2[#Headers],0)))</f>
        <v>Slope Length</v>
      </c>
      <c r="T11" s="4" t="str">
        <f t="shared" ref="T11:T57" si="16">IF(AND(ISBLANK(B11),ISBLANK(C11)),"","t")</f>
        <v>t</v>
      </c>
      <c r="U11" s="4" t="str">
        <f ca="1">VLOOKUP(N11,'COLOR CODE'!$B:$D,2,FALSE)</f>
        <v>0,250,154</v>
      </c>
      <c r="V11" s="4" t="str">
        <f t="shared" ref="V11:V57" si="17">IF(AND(ISBLANK(B11),ISBLANK(C11)),"","Red")</f>
        <v>Red</v>
      </c>
      <c r="W11" s="4" t="str" cm="1">
        <f t="array" ref="W11">IF(INDEX(Table2[],_xlfn.XMATCH($A11,Table2[Steel Member],0),_xlfn.XMATCH(W$2,Table2[#Headers],0))=0,"",INDEX(Table2[],_xlfn.XMATCH($A11,Table2[Steel Member],0),_xlfn.XMATCH(W$2,Table2[#Headers],0)))</f>
        <v/>
      </c>
      <c r="X11" s="4" t="str">
        <f t="shared" ref="X11:X36" si="18">W11</f>
        <v/>
      </c>
      <c r="Y11" s="4" t="str" cm="1">
        <f t="array" ref="Y11">IF(INDEX(Table2[],_xlfn.XMATCH($A11,Table2[Steel Member],0),_xlfn.XMATCH(Y$2,Table2[#Headers],0))=0,"",INDEX(Table2[],_xlfn.XMATCH($A11,Table2[Steel Member],0),_xlfn.XMATCH(Y$2,Table2[#Headers],0)))</f>
        <v>"0 degrees"</v>
      </c>
      <c r="Z11" s="4" t="str" cm="1">
        <f t="array" ref="Z11">IF(INDEX(Table2[],_xlfn.XMATCH($A11,Table2[Steel Member],0),_xlfn.XMATCH(Z$2,Table2[#Headers],0))=0,"",INDEX(Table2[],_xlfn.XMATCH($A11,Table2[Steel Member],0),_xlfn.XMATCH(Z$2,Table2[#Headers],0)))</f>
        <v/>
      </c>
      <c r="AA11" s="4" t="str" cm="1">
        <f t="array" ref="AA11">IF(INDEX(Table2[],_xlfn.XMATCH($A11,Table2[Steel Member],0),_xlfn.XMATCH(AA$2,Table2[#Headers],0))=0,"",INDEX(Table2[],_xlfn.XMATCH($A11,Table2[Steel Member],0),_xlfn.XMATCH(AA$2,Table2[#Headers],0)))</f>
        <v>[Count]</v>
      </c>
      <c r="AB11" s="4" t="str" cm="1">
        <f t="array" ref="AB11">IF(INDEX(Table2[],_xlfn.XMATCH($A11,Table2[Steel Member],0),_xlfn.XMATCH(AB$2,Table2[#Headers],0))=0,"",INDEX(Table2[],_xlfn.XMATCH($A11,Table2[Steel Member],0),_xlfn.XMATCH(AB$2,Table2[#Headers],0)))</f>
        <v>[Length]</v>
      </c>
      <c r="AC11" s="4" t="str" cm="1">
        <f t="array" ref="AC11">IFERROR(INDEX(Table8[],_xlfn.XMATCH($O11,Table8[Dimension Name Category],0),_xlfn.XMATCH(AC$2&amp;IF($L11," w/ tag"," w/o tag"),Table8[#Headers],0)),"")</f>
        <v/>
      </c>
      <c r="AD11" s="59" t="str">
        <f t="shared" ref="AD11:AD57" si="19">IF(OR($AC11="",$AC11=0),"",IF($A11=Column,"{Length}*XNUMBER({Dimension Group Name},"&amp;$AC11&amp;")/1000","{Length}*XNUMBER({Dimension Group Name},"&amp;$AC11&amp;")/1000*{Slope Factor}"))</f>
        <v/>
      </c>
      <c r="AE11" s="4" t="str">
        <f t="shared" ref="AE11:AE57" si="20">IF(AND(ISBLANK(B11),ISBLANK(C11)),"",IF($A11=Purlins_Girths_Bracings,"","Steel Surface Area"))</f>
        <v/>
      </c>
      <c r="AF11" s="4" t="str">
        <f t="shared" ref="AF11:AF57" si="21">IF(AND(ISBLANK(B11),ISBLANK(C11)),"",IF($A11=Purlins_Girths_Bracings,"","m2"))</f>
        <v/>
      </c>
      <c r="AG11" s="4" t="str" cm="1">
        <f t="array" ref="AG11">IFERROR(INDEX(Table8[],_xlfn.XMATCH($O11,Table8[Dimension Name Category],0),_xlfn.XMATCH(AG$2&amp;IF($L11," w/ tag"," w/o tag"),Table8[#Headers],0)),"")</f>
        <v/>
      </c>
      <c r="AH11" s="59" t="str">
        <f t="shared" ref="AH11:AH57" si="22">IF(OR($AG11="",$AG11=0),"",IF($A11=Column,"{Length}*XNUMBER({Dimension Group Name},"&amp;$AG11&amp;")/1000","{Length}*XNUMBER({Dimension Group Name},"&amp;$AG11&amp;")/1000*{Slope Factor}"))</f>
        <v/>
      </c>
      <c r="AI11" s="4"/>
      <c r="AJ11" s="4" t="str">
        <f t="shared" ref="AJ11:AJ57" si="23">IF(OR($A11=Column,$A11=""),"","Slope Length")</f>
        <v>Slope Length</v>
      </c>
      <c r="AK11" s="4" t="str">
        <f t="shared" ref="AK11:AK57" si="24">IF(OR($A11=Column,$A11=""),"","m")</f>
        <v>m</v>
      </c>
      <c r="AL11" s="4" t="str" cm="1">
        <f t="array" ref="AL11">IF(INDEX(Table2[],_xlfn.XMATCH($A11,Table2[Steel Member],0),_xlfn.XMATCH(AL$2,Table2[#Headers],0))=0,"",INDEX(Table2[],_xlfn.XMATCH($A11,Table2[Steel Member],0),_xlfn.XMATCH(AL$2,Table2[#Headers],0)))</f>
        <v>[Length]*{Slope Factor}</v>
      </c>
      <c r="AM11" s="4"/>
      <c r="AN11" s="4" t="str">
        <f t="shared" ref="AN11:AN57" si="25">IF(OR($A11=Column,$A11=""),"","Slope Factor")</f>
        <v>Slope Factor</v>
      </c>
      <c r="AO11" s="4"/>
      <c r="AP11" s="4" t="str" cm="1">
        <f t="array" ref="AP11">IF(INDEX(Table2[],_xlfn.XMATCH($A11,Table2[Steel Member],0),_xlfn.XMATCH(AP$2,Table2[#Headers],0))=0,"",INDEX(Table2[],_xlfn.XMATCH($A11,Table2[Steel Member],0),_xlfn.XMATCH(AP$2,Table2[#Headers],0)))</f>
        <v>1/COS(RADIANS(XNUMBER({Dimension Name},1)))</v>
      </c>
      <c r="AQ11" s="4"/>
      <c r="AR11" s="4"/>
      <c r="AS11" s="4"/>
      <c r="AT11" s="4"/>
    </row>
    <row r="12" spans="1:46" x14ac:dyDescent="0.25">
      <c r="A12" s="52" t="s">
        <v>506</v>
      </c>
      <c r="B12" s="52" t="s">
        <v>1098</v>
      </c>
      <c r="C12" s="52" t="s">
        <v>7</v>
      </c>
      <c r="D12" s="52" t="s">
        <v>50</v>
      </c>
      <c r="E12" s="52"/>
      <c r="F12" s="64" cm="1">
        <f t="array" ref="F12">IF(COUNT(FIND(PurlinsxGirthsxBracings,$C12))&gt;0,0,ROUNDUP(IF(D12=0,0,VLOOKUP(D12,'DATA SHEET'!$B:$D,2,FALSE)),2))</f>
        <v>18.2</v>
      </c>
      <c r="G12" s="64" cm="1">
        <f t="array" ref="G12">IF(COUNT(FIND(PurlinsxGirthsxBracings,$C12))&gt;0,0,ROUNDUP(IF(D12=0,0,VLOOKUP(D12,'DATA SHEET'!$B:$D,3,FALSE)),2))</f>
        <v>783</v>
      </c>
      <c r="H12" s="53"/>
      <c r="I12" s="66" t="str" cm="1">
        <f t="array" ref="I12">IF(AND(ISBLANK(B12),ISBLANK(C12),ISBLANK(E12)),0,IF(COUNT(FIND(PurlinsxGirthsxBracings,$C12))&gt;0,IF(B12=0,CONCATENATE(E12," ",C12),CONCATENATE(B12," - ",E12," ",C12)),IF(B12=0,IF(ISBLANK(C12),E12,CONCATENATE(D12,", ",F12,"kg/m, ",G12,"mm surface perimeter")),IF(AND(ISBLANK(C12),ISTEXT(E12)),CONCATENATE(B12," - ",E12),IF(AND(ISBLANK(C12),ISBLANK(E12)),B12,CONCATENATE(B12," - ",D12,", ",F12,"kg/m, ",G12,"mm surface perimeter"))))&amp;IF(ISBLANK(H12),"",H12)))</f>
        <v>B20a - 200UB18.2, 18.2kg/m, 783mm surface perimeter</v>
      </c>
      <c r="J12" s="53"/>
      <c r="L12" s="4" t="b" cm="1">
        <f t="array" ref="L12">IF(COUNT(FIND({0,1,2,3,4,5,6,7,8,9},B12))&gt;0,COUNT(FIND({0,1,2,3,4,5,6,7,8,9},B12))&gt;0,"")</f>
        <v>1</v>
      </c>
      <c r="M12" s="4" cm="1">
        <f t="array" aca="1" ref="M12" ca="1">IFERROR(_xlfn.IFS(R12="Count",RANDBETWEEN(1,COUNTIF($R$11:$R$653,"Count")),R12="Length",RANDBETWEEN(1,COUNTIF($R$11:$R$653,"Length"))),"")</f>
        <v>8</v>
      </c>
      <c r="N12" s="4">
        <f ca="1">IFERROR(_xlfn.RANK.EQ(M12,$M$11:$M$653)+COUNTIF($M$11:M12,M12)-1,"")</f>
        <v>6</v>
      </c>
      <c r="O12" s="86" t="str">
        <f>IF(A12='DATA SHEET'!$L$36,C12,IFERROR(IF(AND(ISTEXT(I12),ISBLANK(C12)),"No details",VLOOKUP(C12,DimFolder,2,FALSE)),""))</f>
        <v>CHS, UB, UC, WB, WC, BT, CT</v>
      </c>
      <c r="P12" s="4" t="str">
        <f t="shared" si="14"/>
        <v>Structural\Structural Steel\Framing\CHS, UB, UC, WB, WC, BT, CT</v>
      </c>
      <c r="Q12" s="58" t="str">
        <f t="shared" si="15"/>
        <v>B20a - 200UB18.2, 18.2kg/m, 783mm surface perimeter</v>
      </c>
      <c r="R12" s="4" t="str" cm="1">
        <f t="array" ref="R12">IF(INDEX(Table2[],_xlfn.XMATCH($A12,Table2[Steel Member],0),_xlfn.XMATCH(R$2,Table2[#Headers],0))=0,"",INDEX(Table2[],_xlfn.XMATCH($A12,Table2[Steel Member],0),_xlfn.XMATCH(R$2,Table2[#Headers],0)))</f>
        <v>Length</v>
      </c>
      <c r="S12" s="4" t="str" cm="1">
        <f t="array" ref="S12">IF(INDEX(Table2[],_xlfn.XMATCH($A12,Table2[Steel Member],0),_xlfn.XMATCH(S$2,Table2[#Headers],0))=0,"",INDEX(Table2[],_xlfn.XMATCH($A12,Table2[Steel Member],0),_xlfn.XMATCH(S$2,Table2[#Headers],0)))</f>
        <v>Weight</v>
      </c>
      <c r="T12" s="4" t="str">
        <f t="shared" si="16"/>
        <v>t</v>
      </c>
      <c r="U12" s="4" t="str">
        <f ca="1">VLOOKUP(N12,'COLOR CODE'!$B:$D,2,FALSE)</f>
        <v>0,128,128</v>
      </c>
      <c r="V12" s="4" t="str">
        <f t="shared" si="17"/>
        <v>Red</v>
      </c>
      <c r="W12" s="4" t="str" cm="1">
        <f t="array" ref="W12">IF(INDEX(Table2[],_xlfn.XMATCH($A12,Table2[Steel Member],0),_xlfn.XMATCH(W$2,Table2[#Headers],0))=0,"",INDEX(Table2[],_xlfn.XMATCH($A12,Table2[Steel Member],0),_xlfn.XMATCH(W$2,Table2[#Headers],0)))</f>
        <v/>
      </c>
      <c r="X12" s="4" t="str">
        <f t="shared" si="18"/>
        <v/>
      </c>
      <c r="Y12" s="4" t="str" cm="1">
        <f t="array" ref="Y12">IF(INDEX(Table2[],_xlfn.XMATCH($A12,Table2[Steel Member],0),_xlfn.XMATCH(Y$2,Table2[#Headers],0))=0,"",INDEX(Table2[],_xlfn.XMATCH($A12,Table2[Steel Member],0),_xlfn.XMATCH(Y$2,Table2[#Headers],0)))</f>
        <v>"0 degrees"</v>
      </c>
      <c r="Z12" s="4" t="str" cm="1">
        <f t="array" ref="Z12">IF(INDEX(Table2[],_xlfn.XMATCH($A12,Table2[Steel Member],0),_xlfn.XMATCH(Z$2,Table2[#Headers],0))=0,"",INDEX(Table2[],_xlfn.XMATCH($A12,Table2[Steel Member],0),_xlfn.XMATCH(Z$2,Table2[#Headers],0)))</f>
        <v/>
      </c>
      <c r="AA12" s="4" t="str" cm="1">
        <f t="array" ref="AA12">IF(INDEX(Table2[],_xlfn.XMATCH($A12,Table2[Steel Member],0),_xlfn.XMATCH(AA$2,Table2[#Headers],0))=0,"",INDEX(Table2[],_xlfn.XMATCH($A12,Table2[Steel Member],0),_xlfn.XMATCH(AA$2,Table2[#Headers],0)))</f>
        <v>[Count]</v>
      </c>
      <c r="AB12" s="4" t="str" cm="1">
        <f t="array" ref="AB12">IF(INDEX(Table2[],_xlfn.XMATCH($A12,Table2[Steel Member],0),_xlfn.XMATCH(AB$2,Table2[#Headers],0))=0,"",INDEX(Table2[],_xlfn.XMATCH($A12,Table2[Steel Member],0),_xlfn.XMATCH(AB$2,Table2[#Headers],0)))</f>
        <v>[Length]</v>
      </c>
      <c r="AC12" s="4" cm="1">
        <f t="array" ref="AC12">IFERROR(INDEX(Table8[],_xlfn.XMATCH($O12,Table8[Dimension Name Category],0),_xlfn.XMATCH(AC$2&amp;IF($L12," w/ tag"," w/o tag"),Table8[#Headers],0)),"")</f>
        <v>4</v>
      </c>
      <c r="AD12" s="59" t="str">
        <f t="shared" si="19"/>
        <v>{Length}*XNUMBER({Dimension Group Name},4)/1000*{Slope Factor}</v>
      </c>
      <c r="AE12" s="4" t="str">
        <f t="shared" si="20"/>
        <v>Steel Surface Area</v>
      </c>
      <c r="AF12" s="4" t="str">
        <f t="shared" si="21"/>
        <v>m2</v>
      </c>
      <c r="AG12" s="4" cm="1">
        <f t="array" ref="AG12">IFERROR(INDEX(Table8[],_xlfn.XMATCH($O12,Table8[Dimension Name Category],0),_xlfn.XMATCH(AG$2&amp;IF($L12," w/ tag"," w/o tag"),Table8[#Headers],0)),"")</f>
        <v>5</v>
      </c>
      <c r="AH12" s="59" t="str">
        <f t="shared" si="22"/>
        <v>{Length}*XNUMBER({Dimension Group Name},5)/1000*{Slope Factor}</v>
      </c>
      <c r="AI12" s="4"/>
      <c r="AJ12" s="4" t="str">
        <f t="shared" si="23"/>
        <v>Slope Length</v>
      </c>
      <c r="AK12" s="4" t="str">
        <f t="shared" si="24"/>
        <v>m</v>
      </c>
      <c r="AL12" s="4" t="str" cm="1">
        <f t="array" ref="AL12">IF(INDEX(Table2[],_xlfn.XMATCH($A12,Table2[Steel Member],0),_xlfn.XMATCH(AL$2,Table2[#Headers],0))=0,"",INDEX(Table2[],_xlfn.XMATCH($A12,Table2[Steel Member],0),_xlfn.XMATCH(AL$2,Table2[#Headers],0)))</f>
        <v>[Length]*{Slope Factor}</v>
      </c>
      <c r="AM12" s="4"/>
      <c r="AN12" s="4" t="str">
        <f t="shared" si="25"/>
        <v>Slope Factor</v>
      </c>
      <c r="AO12" s="4"/>
      <c r="AP12" s="4" t="str" cm="1">
        <f t="array" ref="AP12">IF(INDEX(Table2[],_xlfn.XMATCH($A12,Table2[Steel Member],0),_xlfn.XMATCH(AP$2,Table2[#Headers],0))=0,"",INDEX(Table2[],_xlfn.XMATCH($A12,Table2[Steel Member],0),_xlfn.XMATCH(AP$2,Table2[#Headers],0)))</f>
        <v>1/COS(RADIANS(XNUMBER({Dimension Name},1)))</v>
      </c>
      <c r="AQ12" s="4"/>
      <c r="AR12" s="4"/>
      <c r="AS12" s="4"/>
      <c r="AT12" s="4"/>
    </row>
    <row r="13" spans="1:46" x14ac:dyDescent="0.25">
      <c r="A13" s="52" t="s">
        <v>506</v>
      </c>
      <c r="B13" s="52" t="s">
        <v>1099</v>
      </c>
      <c r="C13" s="52" t="s">
        <v>7</v>
      </c>
      <c r="D13" s="52" t="s">
        <v>52</v>
      </c>
      <c r="E13" s="52"/>
      <c r="F13" s="64" cm="1">
        <f t="array" ref="F13">IF(COUNT(FIND(PurlinsxGirthsxBracings,$C13))&gt;0,0,ROUNDUP(IF(D13=0,0,VLOOKUP(D13,'DATA SHEET'!$B:$D,2,FALSE)),2))</f>
        <v>25.4</v>
      </c>
      <c r="G13" s="64" cm="1">
        <f t="array" ref="G13">IF(COUNT(FIND(PurlinsxGirthsxBracings,$C13))&gt;0,0,ROUNDUP(IF(D13=0,0,VLOOKUP(D13,'DATA SHEET'!$B:$D,3,FALSE)),2))</f>
        <v>926.4</v>
      </c>
      <c r="H13" s="53"/>
      <c r="I13" s="66" t="str" cm="1">
        <f t="array" ref="I13">IF(AND(ISBLANK(B13),ISBLANK(C13),ISBLANK(E13)),0,IF(COUNT(FIND(PurlinsxGirthsxBracings,$C13))&gt;0,IF(B13=0,CONCATENATE(E13," ",C13),CONCATENATE(B13," - ",E13," ",C13)),IF(B13=0,IF(ISBLANK(C13),E13,CONCATENATE(D13,", ",F13,"kg/m, ",G13,"mm surface perimeter")),IF(AND(ISBLANK(C13),ISTEXT(E13)),CONCATENATE(B13," - ",E13),IF(AND(ISBLANK(C13),ISBLANK(E13)),B13,CONCATENATE(B13," - ",D13,", ",F13,"kg/m, ",G13,"mm surface perimeter"))))&amp;IF(ISBLANK(H13),"",H13)))</f>
        <v>B20c - 200UB25.4, 25.4kg/m, 926.4mm surface perimeter</v>
      </c>
      <c r="J13" s="53"/>
      <c r="L13" s="4" t="b" cm="1">
        <f t="array" ref="L13">IF(COUNT(FIND({0,1,2,3,4,5,6,7,8,9},B13))&gt;0,COUNT(FIND({0,1,2,3,4,5,6,7,8,9},B13))&gt;0,"")</f>
        <v>1</v>
      </c>
      <c r="M13" s="4" cm="1">
        <f t="array" aca="1" ref="M13" ca="1">IFERROR(_xlfn.IFS(R13="Count",RANDBETWEEN(1,COUNTIF($R$11:$R$653,"Count")),R13="Length",RANDBETWEEN(1,COUNTIF($R$11:$R$653,"Length"))),"")</f>
        <v>13</v>
      </c>
      <c r="N13" s="4">
        <f ca="1">IFERROR(_xlfn.RANK.EQ(M13,$M$11:$M$653)+COUNTIF($M$11:M13,M13)-1,"")</f>
        <v>3</v>
      </c>
      <c r="O13" s="86" t="str">
        <f>IF(A13='DATA SHEET'!$L$36,C13,IFERROR(IF(AND(ISTEXT(I13),ISBLANK(C13)),"No details",VLOOKUP(C13,DimFolder,2,FALSE)),""))</f>
        <v>CHS, UB, UC, WB, WC, BT, CT</v>
      </c>
      <c r="P13" s="4" t="str">
        <f t="shared" si="14"/>
        <v>Structural\Structural Steel\Framing\CHS, UB, UC, WB, WC, BT, CT</v>
      </c>
      <c r="Q13" s="58" t="str">
        <f t="shared" ref="Q13" si="26">IF(AND(ISBLANK(B13),ISBLANK(C13)),"",I13)</f>
        <v>B20c - 200UB25.4, 25.4kg/m, 926.4mm surface perimeter</v>
      </c>
      <c r="R13" s="4" t="str" cm="1">
        <f t="array" ref="R13">IF(INDEX(Table2[],_xlfn.XMATCH($A13,Table2[Steel Member],0),_xlfn.XMATCH(R$2,Table2[#Headers],0))=0,"",INDEX(Table2[],_xlfn.XMATCH($A13,Table2[Steel Member],0),_xlfn.XMATCH(R$2,Table2[#Headers],0)))</f>
        <v>Length</v>
      </c>
      <c r="S13" s="4" t="str" cm="1">
        <f t="array" ref="S13">IF(INDEX(Table2[],_xlfn.XMATCH($A13,Table2[Steel Member],0),_xlfn.XMATCH(S$2,Table2[#Headers],0))=0,"",INDEX(Table2[],_xlfn.XMATCH($A13,Table2[Steel Member],0),_xlfn.XMATCH(S$2,Table2[#Headers],0)))</f>
        <v>Weight</v>
      </c>
      <c r="T13" s="4" t="str">
        <f t="shared" si="16"/>
        <v>t</v>
      </c>
      <c r="U13" s="4" t="str">
        <f ca="1">VLOOKUP(N13,'COLOR CODE'!$B:$D,2,FALSE)</f>
        <v>0,0,128</v>
      </c>
      <c r="V13" s="4" t="str">
        <f t="shared" si="17"/>
        <v>Red</v>
      </c>
      <c r="W13" s="4" t="str" cm="1">
        <f t="array" ref="W13">IF(INDEX(Table2[],_xlfn.XMATCH($A13,Table2[Steel Member],0),_xlfn.XMATCH(W$2,Table2[#Headers],0))=0,"",INDEX(Table2[],_xlfn.XMATCH($A13,Table2[Steel Member],0),_xlfn.XMATCH(W$2,Table2[#Headers],0)))</f>
        <v/>
      </c>
      <c r="X13" s="4" t="str">
        <f t="shared" si="18"/>
        <v/>
      </c>
      <c r="Y13" s="4" t="str" cm="1">
        <f t="array" ref="Y13">IF(INDEX(Table2[],_xlfn.XMATCH($A13,Table2[Steel Member],0),_xlfn.XMATCH(Y$2,Table2[#Headers],0))=0,"",INDEX(Table2[],_xlfn.XMATCH($A13,Table2[Steel Member],0),_xlfn.XMATCH(Y$2,Table2[#Headers],0)))</f>
        <v>"0 degrees"</v>
      </c>
      <c r="Z13" s="4" t="str" cm="1">
        <f t="array" ref="Z13">IF(INDEX(Table2[],_xlfn.XMATCH($A13,Table2[Steel Member],0),_xlfn.XMATCH(Z$2,Table2[#Headers],0))=0,"",INDEX(Table2[],_xlfn.XMATCH($A13,Table2[Steel Member],0),_xlfn.XMATCH(Z$2,Table2[#Headers],0)))</f>
        <v/>
      </c>
      <c r="AA13" s="4" t="str" cm="1">
        <f t="array" ref="AA13">IF(INDEX(Table2[],_xlfn.XMATCH($A13,Table2[Steel Member],0),_xlfn.XMATCH(AA$2,Table2[#Headers],0))=0,"",INDEX(Table2[],_xlfn.XMATCH($A13,Table2[Steel Member],0),_xlfn.XMATCH(AA$2,Table2[#Headers],0)))</f>
        <v>[Count]</v>
      </c>
      <c r="AB13" s="4" t="str" cm="1">
        <f t="array" ref="AB13">IF(INDEX(Table2[],_xlfn.XMATCH($A13,Table2[Steel Member],0),_xlfn.XMATCH(AB$2,Table2[#Headers],0))=0,"",INDEX(Table2[],_xlfn.XMATCH($A13,Table2[Steel Member],0),_xlfn.XMATCH(AB$2,Table2[#Headers],0)))</f>
        <v>[Length]</v>
      </c>
      <c r="AC13" s="4" cm="1">
        <f t="array" ref="AC13">IFERROR(INDEX(Table8[],_xlfn.XMATCH($O13,Table8[Dimension Name Category],0),_xlfn.XMATCH(AC$2&amp;IF($L13," w/ tag"," w/o tag"),Table8[#Headers],0)),"")</f>
        <v>4</v>
      </c>
      <c r="AD13" s="59" t="str">
        <f t="shared" si="19"/>
        <v>{Length}*XNUMBER({Dimension Group Name},4)/1000*{Slope Factor}</v>
      </c>
      <c r="AE13" s="4" t="str">
        <f t="shared" si="20"/>
        <v>Steel Surface Area</v>
      </c>
      <c r="AF13" s="4" t="str">
        <f t="shared" si="21"/>
        <v>m2</v>
      </c>
      <c r="AG13" s="4" cm="1">
        <f t="array" ref="AG13">IFERROR(INDEX(Table8[],_xlfn.XMATCH($O13,Table8[Dimension Name Category],0),_xlfn.XMATCH(AG$2&amp;IF($L13," w/ tag"," w/o tag"),Table8[#Headers],0)),"")</f>
        <v>5</v>
      </c>
      <c r="AH13" s="59" t="str">
        <f t="shared" si="22"/>
        <v>{Length}*XNUMBER({Dimension Group Name},5)/1000*{Slope Factor}</v>
      </c>
      <c r="AI13" s="4"/>
      <c r="AJ13" s="4" t="str">
        <f t="shared" si="23"/>
        <v>Slope Length</v>
      </c>
      <c r="AK13" s="4" t="str">
        <f t="shared" si="24"/>
        <v>m</v>
      </c>
      <c r="AL13" s="4" t="str" cm="1">
        <f t="array" ref="AL13">IF(INDEX(Table2[],_xlfn.XMATCH($A13,Table2[Steel Member],0),_xlfn.XMATCH(AL$2,Table2[#Headers],0))=0,"",INDEX(Table2[],_xlfn.XMATCH($A13,Table2[Steel Member],0),_xlfn.XMATCH(AL$2,Table2[#Headers],0)))</f>
        <v>[Length]*{Slope Factor}</v>
      </c>
      <c r="AM13" s="4"/>
      <c r="AN13" s="4" t="str">
        <f t="shared" si="25"/>
        <v>Slope Factor</v>
      </c>
      <c r="AO13" s="4"/>
      <c r="AP13" s="4" t="str" cm="1">
        <f t="array" ref="AP13">IF(INDEX(Table2[],_xlfn.XMATCH($A13,Table2[Steel Member],0),_xlfn.XMATCH(AP$2,Table2[#Headers],0))=0,"",INDEX(Table2[],_xlfn.XMATCH($A13,Table2[Steel Member],0),_xlfn.XMATCH(AP$2,Table2[#Headers],0)))</f>
        <v>1/COS(RADIANS(XNUMBER({Dimension Name},1)))</v>
      </c>
      <c r="AQ13" s="4"/>
      <c r="AR13" s="4"/>
      <c r="AS13" s="4"/>
      <c r="AT13" s="4"/>
    </row>
    <row r="14" spans="1:46" x14ac:dyDescent="0.25">
      <c r="A14" s="52" t="s">
        <v>506</v>
      </c>
      <c r="B14" s="52" t="s">
        <v>1100</v>
      </c>
      <c r="C14" s="52" t="s">
        <v>7</v>
      </c>
      <c r="D14" s="52" t="s">
        <v>54</v>
      </c>
      <c r="E14" s="52"/>
      <c r="F14" s="64" cm="1">
        <f t="array" ref="F14">IF(COUNT(FIND(PurlinsxGirthsxBracings,$C14))&gt;0,0,ROUNDUP(IF(D14=0,0,VLOOKUP(D14,'DATA SHEET'!$B:$D,2,FALSE)),2))</f>
        <v>25.7</v>
      </c>
      <c r="G14" s="64" cm="1">
        <f t="array" ref="G14">IF(COUNT(FIND(PurlinsxGirthsxBracings,$C14))&gt;0,0,ROUNDUP(IF(D14=0,0,VLOOKUP(D14,'DATA SHEET'!$B:$D,3,FALSE)),2))</f>
        <v>982</v>
      </c>
      <c r="H14" s="53"/>
      <c r="I14" s="66" t="str" cm="1">
        <f t="array" ref="I14">IF(AND(ISBLANK(B14),ISBLANK(C14),ISBLANK(E14)),0,IF(COUNT(FIND(PurlinsxGirthsxBracings,$C14))&gt;0,IF(B14=0,CONCATENATE(E14," ",C14),CONCATENATE(B14," - ",E14," ",C14)),IF(B14=0,IF(ISBLANK(C14),E14,CONCATENATE(D14,", ",F14,"kg/m, ",G14,"mm surface perimeter")),IF(AND(ISBLANK(C14),ISTEXT(E14)),CONCATENATE(B14," - ",E14),IF(AND(ISBLANK(C14),ISBLANK(E14)),B14,CONCATENATE(B14," - ",D14,", ",F14,"kg/m, ",G14,"mm surface perimeter"))))&amp;IF(ISBLANK(H14),"",H14)))</f>
        <v>B25a - 250UB25.7, 25.7kg/m, 982mm surface perimeter</v>
      </c>
      <c r="J14" s="53"/>
      <c r="L14" s="4" t="b" cm="1">
        <f t="array" ref="L14">IF(COUNT(FIND({0,1,2,3,4,5,6,7,8,9},B14))&gt;0,COUNT(FIND({0,1,2,3,4,5,6,7,8,9},B14))&gt;0,"")</f>
        <v>1</v>
      </c>
      <c r="M14" s="4" cm="1">
        <f t="array" aca="1" ref="M14" ca="1">IFERROR(_xlfn.IFS(R14="Count",RANDBETWEEN(1,COUNTIF($R$11:$R$653,"Count")),R14="Length",RANDBETWEEN(1,COUNTIF($R$11:$R$653,"Length"))),"")</f>
        <v>9</v>
      </c>
      <c r="N14" s="4">
        <f ca="1">IFERROR(_xlfn.RANK.EQ(M14,$M$11:$M$653)+COUNTIF($M$11:M14,M14)-1,"")</f>
        <v>5</v>
      </c>
      <c r="O14" s="86" t="str">
        <f>IF(A14='DATA SHEET'!$L$36,C14,IFERROR(IF(AND(ISTEXT(I14),ISBLANK(C14)),"No details",VLOOKUP(C14,DimFolder,2,FALSE)),""))</f>
        <v>CHS, UB, UC, WB, WC, BT, CT</v>
      </c>
      <c r="P14" s="4" t="str">
        <f t="shared" si="14"/>
        <v>Structural\Structural Steel\Framing\CHS, UB, UC, WB, WC, BT, CT</v>
      </c>
      <c r="Q14" s="58" t="str">
        <f t="shared" si="15"/>
        <v>B25a - 250UB25.7, 25.7kg/m, 982mm surface perimeter</v>
      </c>
      <c r="R14" s="4" t="str" cm="1">
        <f t="array" ref="R14">IF(INDEX(Table2[],_xlfn.XMATCH($A14,Table2[Steel Member],0),_xlfn.XMATCH(R$2,Table2[#Headers],0))=0,"",INDEX(Table2[],_xlfn.XMATCH($A14,Table2[Steel Member],0),_xlfn.XMATCH(R$2,Table2[#Headers],0)))</f>
        <v>Length</v>
      </c>
      <c r="S14" s="4" t="str" cm="1">
        <f t="array" ref="S14">IF(INDEX(Table2[],_xlfn.XMATCH($A14,Table2[Steel Member],0),_xlfn.XMATCH(S$2,Table2[#Headers],0))=0,"",INDEX(Table2[],_xlfn.XMATCH($A14,Table2[Steel Member],0),_xlfn.XMATCH(S$2,Table2[#Headers],0)))</f>
        <v>Weight</v>
      </c>
      <c r="T14" s="4" t="str">
        <f t="shared" si="16"/>
        <v>t</v>
      </c>
      <c r="U14" s="4" t="str">
        <f ca="1">VLOOKUP(N14,'COLOR CODE'!$B:$D,2,FALSE)</f>
        <v>0,128,0</v>
      </c>
      <c r="V14" s="4" t="str">
        <f t="shared" si="17"/>
        <v>Red</v>
      </c>
      <c r="W14" s="4" t="str" cm="1">
        <f t="array" ref="W14">IF(INDEX(Table2[],_xlfn.XMATCH($A14,Table2[Steel Member],0),_xlfn.XMATCH(W$2,Table2[#Headers],0))=0,"",INDEX(Table2[],_xlfn.XMATCH($A14,Table2[Steel Member],0),_xlfn.XMATCH(W$2,Table2[#Headers],0)))</f>
        <v/>
      </c>
      <c r="X14" s="4" t="str">
        <f t="shared" si="18"/>
        <v/>
      </c>
      <c r="Y14" s="4" t="str" cm="1">
        <f t="array" ref="Y14">IF(INDEX(Table2[],_xlfn.XMATCH($A14,Table2[Steel Member],0),_xlfn.XMATCH(Y$2,Table2[#Headers],0))=0,"",INDEX(Table2[],_xlfn.XMATCH($A14,Table2[Steel Member],0),_xlfn.XMATCH(Y$2,Table2[#Headers],0)))</f>
        <v>"0 degrees"</v>
      </c>
      <c r="Z14" s="4" t="str" cm="1">
        <f t="array" ref="Z14">IF(INDEX(Table2[],_xlfn.XMATCH($A14,Table2[Steel Member],0),_xlfn.XMATCH(Z$2,Table2[#Headers],0))=0,"",INDEX(Table2[],_xlfn.XMATCH($A14,Table2[Steel Member],0),_xlfn.XMATCH(Z$2,Table2[#Headers],0)))</f>
        <v/>
      </c>
      <c r="AA14" s="4" t="str" cm="1">
        <f t="array" ref="AA14">IF(INDEX(Table2[],_xlfn.XMATCH($A14,Table2[Steel Member],0),_xlfn.XMATCH(AA$2,Table2[#Headers],0))=0,"",INDEX(Table2[],_xlfn.XMATCH($A14,Table2[Steel Member],0),_xlfn.XMATCH(AA$2,Table2[#Headers],0)))</f>
        <v>[Count]</v>
      </c>
      <c r="AB14" s="4" t="str" cm="1">
        <f t="array" ref="AB14">IF(INDEX(Table2[],_xlfn.XMATCH($A14,Table2[Steel Member],0),_xlfn.XMATCH(AB$2,Table2[#Headers],0))=0,"",INDEX(Table2[],_xlfn.XMATCH($A14,Table2[Steel Member],0),_xlfn.XMATCH(AB$2,Table2[#Headers],0)))</f>
        <v>[Length]</v>
      </c>
      <c r="AC14" s="4" cm="1">
        <f t="array" ref="AC14">IFERROR(INDEX(Table8[],_xlfn.XMATCH($O14,Table8[Dimension Name Category],0),_xlfn.XMATCH(AC$2&amp;IF($L14," w/ tag"," w/o tag"),Table8[#Headers],0)),"")</f>
        <v>4</v>
      </c>
      <c r="AD14" s="59" t="str">
        <f t="shared" si="19"/>
        <v>{Length}*XNUMBER({Dimension Group Name},4)/1000*{Slope Factor}</v>
      </c>
      <c r="AE14" s="4" t="str">
        <f t="shared" si="20"/>
        <v>Steel Surface Area</v>
      </c>
      <c r="AF14" s="4" t="str">
        <f t="shared" si="21"/>
        <v>m2</v>
      </c>
      <c r="AG14" s="4" cm="1">
        <f t="array" ref="AG14">IFERROR(INDEX(Table8[],_xlfn.XMATCH($O14,Table8[Dimension Name Category],0),_xlfn.XMATCH(AG$2&amp;IF($L14," w/ tag"," w/o tag"),Table8[#Headers],0)),"")</f>
        <v>5</v>
      </c>
      <c r="AH14" s="59" t="str">
        <f t="shared" si="22"/>
        <v>{Length}*XNUMBER({Dimension Group Name},5)/1000*{Slope Factor}</v>
      </c>
      <c r="AI14" s="4"/>
      <c r="AJ14" s="4" t="str">
        <f t="shared" si="23"/>
        <v>Slope Length</v>
      </c>
      <c r="AK14" s="4" t="str">
        <f t="shared" si="24"/>
        <v>m</v>
      </c>
      <c r="AL14" s="4" t="str" cm="1">
        <f t="array" ref="AL14">IF(INDEX(Table2[],_xlfn.XMATCH($A14,Table2[Steel Member],0),_xlfn.XMATCH(AL$2,Table2[#Headers],0))=0,"",INDEX(Table2[],_xlfn.XMATCH($A14,Table2[Steel Member],0),_xlfn.XMATCH(AL$2,Table2[#Headers],0)))</f>
        <v>[Length]*{Slope Factor}</v>
      </c>
      <c r="AM14" s="4"/>
      <c r="AN14" s="4" t="str">
        <f t="shared" si="25"/>
        <v>Slope Factor</v>
      </c>
      <c r="AO14" s="4"/>
      <c r="AP14" s="4" t="str" cm="1">
        <f t="array" ref="AP14">IF(INDEX(Table2[],_xlfn.XMATCH($A14,Table2[Steel Member],0),_xlfn.XMATCH(AP$2,Table2[#Headers],0))=0,"",INDEX(Table2[],_xlfn.XMATCH($A14,Table2[Steel Member],0),_xlfn.XMATCH(AP$2,Table2[#Headers],0)))</f>
        <v>1/COS(RADIANS(XNUMBER({Dimension Name},1)))</v>
      </c>
      <c r="AQ14" s="4"/>
      <c r="AR14" s="4"/>
      <c r="AS14" s="4"/>
      <c r="AT14" s="4"/>
    </row>
    <row r="15" spans="1:46" x14ac:dyDescent="0.25">
      <c r="A15" s="52" t="s">
        <v>506</v>
      </c>
      <c r="B15" s="52" t="s">
        <v>1101</v>
      </c>
      <c r="C15" s="52" t="s">
        <v>7</v>
      </c>
      <c r="D15" s="52" t="s">
        <v>55</v>
      </c>
      <c r="E15" s="52"/>
      <c r="F15" s="64" cm="1">
        <f t="array" ref="F15">IF(COUNT(FIND(PurlinsxGirthsxBracings,$C15))&gt;0,0,ROUNDUP(IF(D15=0,0,VLOOKUP(D15,'DATA SHEET'!$B:$D,2,FALSE)),2))</f>
        <v>31.4</v>
      </c>
      <c r="G15" s="64" cm="1">
        <f t="array" ref="G15">IF(COUNT(FIND(PurlinsxGirthsxBracings,$C15))&gt;0,0,ROUNDUP(IF(D15=0,0,VLOOKUP(D15,'DATA SHEET'!$B:$D,3,FALSE)),2))</f>
        <v>1075.8</v>
      </c>
      <c r="H15" s="53"/>
      <c r="I15" s="66" t="str" cm="1">
        <f t="array" ref="I15">IF(AND(ISBLANK(B15),ISBLANK(C15),ISBLANK(E15)),0,IF(COUNT(FIND(PurlinsxGirthsxBracings,$C15))&gt;0,IF(B15=0,CONCATENATE(E15," ",C15),CONCATENATE(B15," - ",E15," ",C15)),IF(B15=0,IF(ISBLANK(C15),E15,CONCATENATE(D15,", ",F15,"kg/m, ",G15,"mm surface perimeter")),IF(AND(ISBLANK(C15),ISTEXT(E15)),CONCATENATE(B15," - ",E15),IF(AND(ISBLANK(C15),ISBLANK(E15)),B15,CONCATENATE(B15," - ",D15,", ",F15,"kg/m, ",G15,"mm surface perimeter"))))&amp;IF(ISBLANK(H15),"",H15)))</f>
        <v>B25b - 250UB31.4, 31.4kg/m, 1075.8mm surface perimeter</v>
      </c>
      <c r="J15" s="53"/>
      <c r="L15" s="4" t="b" cm="1">
        <f t="array" ref="L15">IF(COUNT(FIND({0,1,2,3,4,5,6,7,8,9},B15))&gt;0,COUNT(FIND({0,1,2,3,4,5,6,7,8,9},B15))&gt;0,"")</f>
        <v>1</v>
      </c>
      <c r="M15" s="4" cm="1">
        <f t="array" aca="1" ref="M15" ca="1">IFERROR(_xlfn.IFS(R15="Count",RANDBETWEEN(1,COUNTIF($R$11:$R$653,"Count")),R15="Length",RANDBETWEEN(1,COUNTIF($R$11:$R$653,"Length"))),"")</f>
        <v>13</v>
      </c>
      <c r="N15" s="4">
        <f ca="1">IFERROR(_xlfn.RANK.EQ(M15,$M$11:$M$653)+COUNTIF($M$11:M15,M15)-1,"")</f>
        <v>4</v>
      </c>
      <c r="O15" s="86" t="str">
        <f>IF(A15='DATA SHEET'!$L$36,C15,IFERROR(IF(AND(ISTEXT(I15),ISBLANK(C15)),"No details",VLOOKUP(C15,DimFolder,2,FALSE)),""))</f>
        <v>CHS, UB, UC, WB, WC, BT, CT</v>
      </c>
      <c r="P15" s="4" t="str">
        <f t="shared" si="14"/>
        <v>Structural\Structural Steel\Framing\CHS, UB, UC, WB, WC, BT, CT</v>
      </c>
      <c r="Q15" s="58" t="str">
        <f t="shared" si="15"/>
        <v>B25b - 250UB31.4, 31.4kg/m, 1075.8mm surface perimeter</v>
      </c>
      <c r="R15" s="4" t="str" cm="1">
        <f t="array" ref="R15">IF(INDEX(Table2[],_xlfn.XMATCH($A15,Table2[Steel Member],0),_xlfn.XMATCH(R$2,Table2[#Headers],0))=0,"",INDEX(Table2[],_xlfn.XMATCH($A15,Table2[Steel Member],0),_xlfn.XMATCH(R$2,Table2[#Headers],0)))</f>
        <v>Length</v>
      </c>
      <c r="S15" s="4" t="str" cm="1">
        <f t="array" ref="S15">IF(INDEX(Table2[],_xlfn.XMATCH($A15,Table2[Steel Member],0),_xlfn.XMATCH(S$2,Table2[#Headers],0))=0,"",INDEX(Table2[],_xlfn.XMATCH($A15,Table2[Steel Member],0),_xlfn.XMATCH(S$2,Table2[#Headers],0)))</f>
        <v>Weight</v>
      </c>
      <c r="T15" s="4" t="str">
        <f t="shared" si="16"/>
        <v>t</v>
      </c>
      <c r="U15" s="4" t="str">
        <f ca="1">VLOOKUP(N15,'COLOR CODE'!$B:$D,2,FALSE)</f>
        <v>0,0,255</v>
      </c>
      <c r="V15" s="4" t="str">
        <f t="shared" si="17"/>
        <v>Red</v>
      </c>
      <c r="W15" s="4" t="str" cm="1">
        <f t="array" ref="W15">IF(INDEX(Table2[],_xlfn.XMATCH($A15,Table2[Steel Member],0),_xlfn.XMATCH(W$2,Table2[#Headers],0))=0,"",INDEX(Table2[],_xlfn.XMATCH($A15,Table2[Steel Member],0),_xlfn.XMATCH(W$2,Table2[#Headers],0)))</f>
        <v/>
      </c>
      <c r="X15" s="4" t="str">
        <f t="shared" si="18"/>
        <v/>
      </c>
      <c r="Y15" s="4" t="str" cm="1">
        <f t="array" ref="Y15">IF(INDEX(Table2[],_xlfn.XMATCH($A15,Table2[Steel Member],0),_xlfn.XMATCH(Y$2,Table2[#Headers],0))=0,"",INDEX(Table2[],_xlfn.XMATCH($A15,Table2[Steel Member],0),_xlfn.XMATCH(Y$2,Table2[#Headers],0)))</f>
        <v>"0 degrees"</v>
      </c>
      <c r="Z15" s="4" t="str" cm="1">
        <f t="array" ref="Z15">IF(INDEX(Table2[],_xlfn.XMATCH($A15,Table2[Steel Member],0),_xlfn.XMATCH(Z$2,Table2[#Headers],0))=0,"",INDEX(Table2[],_xlfn.XMATCH($A15,Table2[Steel Member],0),_xlfn.XMATCH(Z$2,Table2[#Headers],0)))</f>
        <v/>
      </c>
      <c r="AA15" s="4" t="str" cm="1">
        <f t="array" ref="AA15">IF(INDEX(Table2[],_xlfn.XMATCH($A15,Table2[Steel Member],0),_xlfn.XMATCH(AA$2,Table2[#Headers],0))=0,"",INDEX(Table2[],_xlfn.XMATCH($A15,Table2[Steel Member],0),_xlfn.XMATCH(AA$2,Table2[#Headers],0)))</f>
        <v>[Count]</v>
      </c>
      <c r="AB15" s="4" t="str" cm="1">
        <f t="array" ref="AB15">IF(INDEX(Table2[],_xlfn.XMATCH($A15,Table2[Steel Member],0),_xlfn.XMATCH(AB$2,Table2[#Headers],0))=0,"",INDEX(Table2[],_xlfn.XMATCH($A15,Table2[Steel Member],0),_xlfn.XMATCH(AB$2,Table2[#Headers],0)))</f>
        <v>[Length]</v>
      </c>
      <c r="AC15" s="4" cm="1">
        <f t="array" ref="AC15">IFERROR(INDEX(Table8[],_xlfn.XMATCH($O15,Table8[Dimension Name Category],0),_xlfn.XMATCH(AC$2&amp;IF($L15," w/ tag"," w/o tag"),Table8[#Headers],0)),"")</f>
        <v>4</v>
      </c>
      <c r="AD15" s="59" t="str">
        <f t="shared" si="19"/>
        <v>{Length}*XNUMBER({Dimension Group Name},4)/1000*{Slope Factor}</v>
      </c>
      <c r="AE15" s="4" t="str">
        <f t="shared" si="20"/>
        <v>Steel Surface Area</v>
      </c>
      <c r="AF15" s="4" t="str">
        <f t="shared" si="21"/>
        <v>m2</v>
      </c>
      <c r="AG15" s="4" cm="1">
        <f t="array" ref="AG15">IFERROR(INDEX(Table8[],_xlfn.XMATCH($O15,Table8[Dimension Name Category],0),_xlfn.XMATCH(AG$2&amp;IF($L15," w/ tag"," w/o tag"),Table8[#Headers],0)),"")</f>
        <v>5</v>
      </c>
      <c r="AH15" s="59" t="str">
        <f t="shared" si="22"/>
        <v>{Length}*XNUMBER({Dimension Group Name},5)/1000*{Slope Factor}</v>
      </c>
      <c r="AI15" s="4"/>
      <c r="AJ15" s="4" t="str">
        <f t="shared" si="23"/>
        <v>Slope Length</v>
      </c>
      <c r="AK15" s="4" t="str">
        <f t="shared" si="24"/>
        <v>m</v>
      </c>
      <c r="AL15" s="4" t="str" cm="1">
        <f t="array" ref="AL15">IF(INDEX(Table2[],_xlfn.XMATCH($A15,Table2[Steel Member],0),_xlfn.XMATCH(AL$2,Table2[#Headers],0))=0,"",INDEX(Table2[],_xlfn.XMATCH($A15,Table2[Steel Member],0),_xlfn.XMATCH(AL$2,Table2[#Headers],0)))</f>
        <v>[Length]*{Slope Factor}</v>
      </c>
      <c r="AM15" s="4"/>
      <c r="AN15" s="4" t="str">
        <f t="shared" si="25"/>
        <v>Slope Factor</v>
      </c>
      <c r="AO15" s="4"/>
      <c r="AP15" s="4" t="str" cm="1">
        <f t="array" ref="AP15">IF(INDEX(Table2[],_xlfn.XMATCH($A15,Table2[Steel Member],0),_xlfn.XMATCH(AP$2,Table2[#Headers],0))=0,"",INDEX(Table2[],_xlfn.XMATCH($A15,Table2[Steel Member],0),_xlfn.XMATCH(AP$2,Table2[#Headers],0)))</f>
        <v>1/COS(RADIANS(XNUMBER({Dimension Name},1)))</v>
      </c>
      <c r="AQ15" s="4"/>
      <c r="AR15" s="4"/>
      <c r="AS15" s="4"/>
      <c r="AT15" s="4"/>
    </row>
    <row r="16" spans="1:46" x14ac:dyDescent="0.25">
      <c r="A16" s="52" t="s">
        <v>506</v>
      </c>
      <c r="B16" s="52" t="s">
        <v>1102</v>
      </c>
      <c r="C16" s="52" t="s">
        <v>7</v>
      </c>
      <c r="D16" s="52" t="s">
        <v>57</v>
      </c>
      <c r="E16" s="52"/>
      <c r="F16" s="64" cm="1">
        <f t="array" ref="F16">IF(COUNT(FIND(PurlinsxGirthsxBracings,$C16))&gt;0,0,ROUNDUP(IF(D16=0,0,VLOOKUP(D16,'DATA SHEET'!$B:$D,2,FALSE)),2))</f>
        <v>40.4</v>
      </c>
      <c r="G16" s="64" cm="1">
        <f t="array" ref="G16">IF(COUNT(FIND(PurlinsxGirthsxBracings,$C16))&gt;0,0,ROUNDUP(IF(D16=0,0,VLOOKUP(D16,'DATA SHEET'!$B:$D,3,FALSE)),2))</f>
        <v>1251.8</v>
      </c>
      <c r="H16" s="53"/>
      <c r="I16" s="66" t="str" cm="1">
        <f t="array" ref="I16">IF(AND(ISBLANK(B16),ISBLANK(C16),ISBLANK(E16)),0,IF(COUNT(FIND(PurlinsxGirthsxBracings,$C16))&gt;0,IF(B16=0,CONCATENATE(E16," ",C16),CONCATENATE(B16," - ",E16," ",C16)),IF(B16=0,IF(ISBLANK(C16),E16,CONCATENATE(D16,", ",F16,"kg/m, ",G16,"mm surface perimeter")),IF(AND(ISBLANK(C16),ISTEXT(E16)),CONCATENATE(B16," - ",E16),IF(AND(ISBLANK(C16),ISBLANK(E16)),B16,CONCATENATE(B16," - ",D16,", ",F16,"kg/m, ",G16,"mm surface perimeter"))))&amp;IF(ISBLANK(H16),"",H16)))</f>
        <v>B31b - 310UB40.4, 40.4kg/m, 1251.8mm surface perimeter</v>
      </c>
      <c r="J16" s="53"/>
      <c r="L16" s="4" t="b" cm="1">
        <f t="array" ref="L16">IF(COUNT(FIND({0,1,2,3,4,5,6,7,8,9},B16))&gt;0,COUNT(FIND({0,1,2,3,4,5,6,7,8,9},B16))&gt;0,"")</f>
        <v>1</v>
      </c>
      <c r="M16" s="4" cm="1">
        <f t="array" aca="1" ref="M16" ca="1">IFERROR(_xlfn.IFS(R16="Count",RANDBETWEEN(1,COUNTIF($R$11:$R$653,"Count")),R16="Length",RANDBETWEEN(1,COUNTIF($R$11:$R$653,"Length"))),"")</f>
        <v>15</v>
      </c>
      <c r="N16" s="4">
        <f ca="1">IFERROR(_xlfn.RANK.EQ(M16,$M$11:$M$653)+COUNTIF($M$11:M16,M16)-1,"")</f>
        <v>1</v>
      </c>
      <c r="O16" s="86" t="str">
        <f>IF(A16='DATA SHEET'!$L$36,C16,IFERROR(IF(AND(ISTEXT(I16),ISBLANK(C16)),"No details",VLOOKUP(C16,DimFolder,2,FALSE)),""))</f>
        <v>CHS, UB, UC, WB, WC, BT, CT</v>
      </c>
      <c r="P16" s="4" t="str">
        <f t="shared" si="14"/>
        <v>Structural\Structural Steel\Framing\CHS, UB, UC, WB, WC, BT, CT</v>
      </c>
      <c r="Q16" s="58" t="str">
        <f t="shared" si="15"/>
        <v>B31b - 310UB40.4, 40.4kg/m, 1251.8mm surface perimeter</v>
      </c>
      <c r="R16" s="4" t="str" cm="1">
        <f t="array" ref="R16">IF(INDEX(Table2[],_xlfn.XMATCH($A16,Table2[Steel Member],0),_xlfn.XMATCH(R$2,Table2[#Headers],0))=0,"",INDEX(Table2[],_xlfn.XMATCH($A16,Table2[Steel Member],0),_xlfn.XMATCH(R$2,Table2[#Headers],0)))</f>
        <v>Length</v>
      </c>
      <c r="S16" s="4" t="str" cm="1">
        <f t="array" ref="S16">IF(INDEX(Table2[],_xlfn.XMATCH($A16,Table2[Steel Member],0),_xlfn.XMATCH(S$2,Table2[#Headers],0))=0,"",INDEX(Table2[],_xlfn.XMATCH($A16,Table2[Steel Member],0),_xlfn.XMATCH(S$2,Table2[#Headers],0)))</f>
        <v>Weight</v>
      </c>
      <c r="T16" s="4" t="str">
        <f t="shared" si="16"/>
        <v>t</v>
      </c>
      <c r="U16" s="4" t="str">
        <f ca="1">VLOOKUP(N16,'COLOR CODE'!$B:$D,2,FALSE)</f>
        <v>255,255,0</v>
      </c>
      <c r="V16" s="4" t="str">
        <f t="shared" si="17"/>
        <v>Red</v>
      </c>
      <c r="W16" s="4" t="str" cm="1">
        <f t="array" ref="W16">IF(INDEX(Table2[],_xlfn.XMATCH($A16,Table2[Steel Member],0),_xlfn.XMATCH(W$2,Table2[#Headers],0))=0,"",INDEX(Table2[],_xlfn.XMATCH($A16,Table2[Steel Member],0),_xlfn.XMATCH(W$2,Table2[#Headers],0)))</f>
        <v/>
      </c>
      <c r="X16" s="4" t="str">
        <f t="shared" si="18"/>
        <v/>
      </c>
      <c r="Y16" s="4" t="str" cm="1">
        <f t="array" ref="Y16">IF(INDEX(Table2[],_xlfn.XMATCH($A16,Table2[Steel Member],0),_xlfn.XMATCH(Y$2,Table2[#Headers],0))=0,"",INDEX(Table2[],_xlfn.XMATCH($A16,Table2[Steel Member],0),_xlfn.XMATCH(Y$2,Table2[#Headers],0)))</f>
        <v>"0 degrees"</v>
      </c>
      <c r="Z16" s="4" t="str" cm="1">
        <f t="array" ref="Z16">IF(INDEX(Table2[],_xlfn.XMATCH($A16,Table2[Steel Member],0),_xlfn.XMATCH(Z$2,Table2[#Headers],0))=0,"",INDEX(Table2[],_xlfn.XMATCH($A16,Table2[Steel Member],0),_xlfn.XMATCH(Z$2,Table2[#Headers],0)))</f>
        <v/>
      </c>
      <c r="AA16" s="4" t="str" cm="1">
        <f t="array" ref="AA16">IF(INDEX(Table2[],_xlfn.XMATCH($A16,Table2[Steel Member],0),_xlfn.XMATCH(AA$2,Table2[#Headers],0))=0,"",INDEX(Table2[],_xlfn.XMATCH($A16,Table2[Steel Member],0),_xlfn.XMATCH(AA$2,Table2[#Headers],0)))</f>
        <v>[Count]</v>
      </c>
      <c r="AB16" s="4" t="str" cm="1">
        <f t="array" ref="AB16">IF(INDEX(Table2[],_xlfn.XMATCH($A16,Table2[Steel Member],0),_xlfn.XMATCH(AB$2,Table2[#Headers],0))=0,"",INDEX(Table2[],_xlfn.XMATCH($A16,Table2[Steel Member],0),_xlfn.XMATCH(AB$2,Table2[#Headers],0)))</f>
        <v>[Length]</v>
      </c>
      <c r="AC16" s="4" cm="1">
        <f t="array" ref="AC16">IFERROR(INDEX(Table8[],_xlfn.XMATCH($O16,Table8[Dimension Name Category],0),_xlfn.XMATCH(AC$2&amp;IF($L16," w/ tag"," w/o tag"),Table8[#Headers],0)),"")</f>
        <v>4</v>
      </c>
      <c r="AD16" s="59" t="str">
        <f t="shared" si="19"/>
        <v>{Length}*XNUMBER({Dimension Group Name},4)/1000*{Slope Factor}</v>
      </c>
      <c r="AE16" s="4" t="str">
        <f t="shared" si="20"/>
        <v>Steel Surface Area</v>
      </c>
      <c r="AF16" s="4" t="str">
        <f t="shared" si="21"/>
        <v>m2</v>
      </c>
      <c r="AG16" s="4" cm="1">
        <f t="array" ref="AG16">IFERROR(INDEX(Table8[],_xlfn.XMATCH($O16,Table8[Dimension Name Category],0),_xlfn.XMATCH(AG$2&amp;IF($L16," w/ tag"," w/o tag"),Table8[#Headers],0)),"")</f>
        <v>5</v>
      </c>
      <c r="AH16" s="59" t="str">
        <f t="shared" si="22"/>
        <v>{Length}*XNUMBER({Dimension Group Name},5)/1000*{Slope Factor}</v>
      </c>
      <c r="AI16" s="4"/>
      <c r="AJ16" s="4" t="str">
        <f t="shared" si="23"/>
        <v>Slope Length</v>
      </c>
      <c r="AK16" s="4" t="str">
        <f t="shared" si="24"/>
        <v>m</v>
      </c>
      <c r="AL16" s="4" t="str" cm="1">
        <f t="array" ref="AL16">IF(INDEX(Table2[],_xlfn.XMATCH($A16,Table2[Steel Member],0),_xlfn.XMATCH(AL$2,Table2[#Headers],0))=0,"",INDEX(Table2[],_xlfn.XMATCH($A16,Table2[Steel Member],0),_xlfn.XMATCH(AL$2,Table2[#Headers],0)))</f>
        <v>[Length]*{Slope Factor}</v>
      </c>
      <c r="AM16" s="4"/>
      <c r="AN16" s="4" t="str">
        <f t="shared" si="25"/>
        <v>Slope Factor</v>
      </c>
      <c r="AO16" s="4"/>
      <c r="AP16" s="4" t="str" cm="1">
        <f t="array" ref="AP16">IF(INDEX(Table2[],_xlfn.XMATCH($A16,Table2[Steel Member],0),_xlfn.XMATCH(AP$2,Table2[#Headers],0))=0,"",INDEX(Table2[],_xlfn.XMATCH($A16,Table2[Steel Member],0),_xlfn.XMATCH(AP$2,Table2[#Headers],0)))</f>
        <v>1/COS(RADIANS(XNUMBER({Dimension Name},1)))</v>
      </c>
      <c r="AQ16" s="4"/>
      <c r="AR16" s="4"/>
      <c r="AS16" s="4"/>
      <c r="AT16" s="4"/>
    </row>
    <row r="17" spans="1:46" x14ac:dyDescent="0.25">
      <c r="A17" s="52" t="s">
        <v>506</v>
      </c>
      <c r="B17" s="52" t="s">
        <v>1103</v>
      </c>
      <c r="C17" s="52" t="s">
        <v>7</v>
      </c>
      <c r="D17" s="52" t="s">
        <v>63</v>
      </c>
      <c r="E17" s="52"/>
      <c r="F17" s="64" cm="1">
        <f t="array" ref="F17">IF(COUNT(FIND(PurlinsxGirthsxBracings,$C17))&gt;0,0,ROUNDUP(IF(D17=0,0,VLOOKUP(D17,'DATA SHEET'!$B:$D,2,FALSE)),2))</f>
        <v>59.7</v>
      </c>
      <c r="G17" s="64" cm="1">
        <f t="array" ref="G17">IF(COUNT(FIND(PurlinsxGirthsxBracings,$C17))&gt;0,0,ROUNDUP(IF(D17=0,0,VLOOKUP(D17,'DATA SHEET'!$B:$D,3,FALSE)),2))</f>
        <v>1508.4</v>
      </c>
      <c r="H17" s="53"/>
      <c r="I17" s="66" t="str" cm="1">
        <f t="array" ref="I17">IF(AND(ISBLANK(B17),ISBLANK(C17),ISBLANK(E17)),0,IF(COUNT(FIND(PurlinsxGirthsxBracings,$C17))&gt;0,IF(B17=0,CONCATENATE(E17," ",C17),CONCATENATE(B17," - ",E17," ",C17)),IF(B17=0,IF(ISBLANK(C17),E17,CONCATENATE(D17,", ",F17,"kg/m, ",G17,"mm surface perimeter")),IF(AND(ISBLANK(C17),ISTEXT(E17)),CONCATENATE(B17," - ",E17),IF(AND(ISBLANK(C17),ISBLANK(E17)),B17,CONCATENATE(B17," - ",D17,", ",F17,"kg/m, ",G17,"mm surface perimeter"))))&amp;IF(ISBLANK(H17),"",H17)))</f>
        <v>B41b - 410UB59.7, 59.7kg/m, 1508.4mm surface perimeter</v>
      </c>
      <c r="J17" s="53"/>
      <c r="L17" s="4" t="b" cm="1">
        <f t="array" ref="L17">IF(COUNT(FIND({0,1,2,3,4,5,6,7,8,9},B17))&gt;0,COUNT(FIND({0,1,2,3,4,5,6,7,8,9},B17))&gt;0,"")</f>
        <v>1</v>
      </c>
      <c r="M17" s="4" cm="1">
        <f t="array" aca="1" ref="M17" ca="1">IFERROR(_xlfn.IFS(R17="Count",RANDBETWEEN(1,COUNTIF($R$11:$R$653,"Count")),R17="Length",RANDBETWEEN(1,COUNTIF($R$11:$R$653,"Length"))),"")</f>
        <v>5</v>
      </c>
      <c r="N17" s="4">
        <f ca="1">IFERROR(_xlfn.RANK.EQ(M17,$M$11:$M$653)+COUNTIF($M$11:M17,M17)-1,"")</f>
        <v>9</v>
      </c>
      <c r="O17" s="86" t="str">
        <f>IF(A17='DATA SHEET'!$L$36,C17,IFERROR(IF(AND(ISTEXT(I17),ISBLANK(C17)),"No details",VLOOKUP(C17,DimFolder,2,FALSE)),""))</f>
        <v>CHS, UB, UC, WB, WC, BT, CT</v>
      </c>
      <c r="P17" s="4" t="str">
        <f t="shared" si="14"/>
        <v>Structural\Structural Steel\Framing\CHS, UB, UC, WB, WC, BT, CT</v>
      </c>
      <c r="Q17" s="58" t="str">
        <f t="shared" si="15"/>
        <v>B41b - 410UB59.7, 59.7kg/m, 1508.4mm surface perimeter</v>
      </c>
      <c r="R17" s="4" t="str" cm="1">
        <f t="array" ref="R17">IF(INDEX(Table2[],_xlfn.XMATCH($A17,Table2[Steel Member],0),_xlfn.XMATCH(R$2,Table2[#Headers],0))=0,"",INDEX(Table2[],_xlfn.XMATCH($A17,Table2[Steel Member],0),_xlfn.XMATCH(R$2,Table2[#Headers],0)))</f>
        <v>Length</v>
      </c>
      <c r="S17" s="4" t="str" cm="1">
        <f t="array" ref="S17">IF(INDEX(Table2[],_xlfn.XMATCH($A17,Table2[Steel Member],0),_xlfn.XMATCH(S$2,Table2[#Headers],0))=0,"",INDEX(Table2[],_xlfn.XMATCH($A17,Table2[Steel Member],0),_xlfn.XMATCH(S$2,Table2[#Headers],0)))</f>
        <v>Weight</v>
      </c>
      <c r="T17" s="4" t="str">
        <f t="shared" si="16"/>
        <v>t</v>
      </c>
      <c r="U17" s="4" t="str">
        <f ca="1">VLOOKUP(N17,'COLOR CODE'!$B:$D,2,FALSE)</f>
        <v>0,255,0</v>
      </c>
      <c r="V17" s="4" t="str">
        <f t="shared" si="17"/>
        <v>Red</v>
      </c>
      <c r="W17" s="4" t="str" cm="1">
        <f t="array" ref="W17">IF(INDEX(Table2[],_xlfn.XMATCH($A17,Table2[Steel Member],0),_xlfn.XMATCH(W$2,Table2[#Headers],0))=0,"",INDEX(Table2[],_xlfn.XMATCH($A17,Table2[Steel Member],0),_xlfn.XMATCH(W$2,Table2[#Headers],0)))</f>
        <v/>
      </c>
      <c r="X17" s="4" t="str">
        <f t="shared" si="18"/>
        <v/>
      </c>
      <c r="Y17" s="4" t="str" cm="1">
        <f t="array" ref="Y17">IF(INDEX(Table2[],_xlfn.XMATCH($A17,Table2[Steel Member],0),_xlfn.XMATCH(Y$2,Table2[#Headers],0))=0,"",INDEX(Table2[],_xlfn.XMATCH($A17,Table2[Steel Member],0),_xlfn.XMATCH(Y$2,Table2[#Headers],0)))</f>
        <v>"0 degrees"</v>
      </c>
      <c r="Z17" s="4" t="str" cm="1">
        <f t="array" ref="Z17">IF(INDEX(Table2[],_xlfn.XMATCH($A17,Table2[Steel Member],0),_xlfn.XMATCH(Z$2,Table2[#Headers],0))=0,"",INDEX(Table2[],_xlfn.XMATCH($A17,Table2[Steel Member],0),_xlfn.XMATCH(Z$2,Table2[#Headers],0)))</f>
        <v/>
      </c>
      <c r="AA17" s="4" t="str" cm="1">
        <f t="array" ref="AA17">IF(INDEX(Table2[],_xlfn.XMATCH($A17,Table2[Steel Member],0),_xlfn.XMATCH(AA$2,Table2[#Headers],0))=0,"",INDEX(Table2[],_xlfn.XMATCH($A17,Table2[Steel Member],0),_xlfn.XMATCH(AA$2,Table2[#Headers],0)))</f>
        <v>[Count]</v>
      </c>
      <c r="AB17" s="4" t="str" cm="1">
        <f t="array" ref="AB17">IF(INDEX(Table2[],_xlfn.XMATCH($A17,Table2[Steel Member],0),_xlfn.XMATCH(AB$2,Table2[#Headers],0))=0,"",INDEX(Table2[],_xlfn.XMATCH($A17,Table2[Steel Member],0),_xlfn.XMATCH(AB$2,Table2[#Headers],0)))</f>
        <v>[Length]</v>
      </c>
      <c r="AC17" s="4" cm="1">
        <f t="array" ref="AC17">IFERROR(INDEX(Table8[],_xlfn.XMATCH($O17,Table8[Dimension Name Category],0),_xlfn.XMATCH(AC$2&amp;IF($L17," w/ tag"," w/o tag"),Table8[#Headers],0)),"")</f>
        <v>4</v>
      </c>
      <c r="AD17" s="59" t="str">
        <f t="shared" si="19"/>
        <v>{Length}*XNUMBER({Dimension Group Name},4)/1000*{Slope Factor}</v>
      </c>
      <c r="AE17" s="4" t="str">
        <f t="shared" si="20"/>
        <v>Steel Surface Area</v>
      </c>
      <c r="AF17" s="4" t="str">
        <f t="shared" si="21"/>
        <v>m2</v>
      </c>
      <c r="AG17" s="4" cm="1">
        <f t="array" ref="AG17">IFERROR(INDEX(Table8[],_xlfn.XMATCH($O17,Table8[Dimension Name Category],0),_xlfn.XMATCH(AG$2&amp;IF($L17," w/ tag"," w/o tag"),Table8[#Headers],0)),"")</f>
        <v>5</v>
      </c>
      <c r="AH17" s="59" t="str">
        <f t="shared" si="22"/>
        <v>{Length}*XNUMBER({Dimension Group Name},5)/1000*{Slope Factor}</v>
      </c>
      <c r="AI17" s="4"/>
      <c r="AJ17" s="4" t="str">
        <f t="shared" si="23"/>
        <v>Slope Length</v>
      </c>
      <c r="AK17" s="4" t="str">
        <f t="shared" si="24"/>
        <v>m</v>
      </c>
      <c r="AL17" s="4" t="str" cm="1">
        <f t="array" ref="AL17">IF(INDEX(Table2[],_xlfn.XMATCH($A17,Table2[Steel Member],0),_xlfn.XMATCH(AL$2,Table2[#Headers],0))=0,"",INDEX(Table2[],_xlfn.XMATCH($A17,Table2[Steel Member],0),_xlfn.XMATCH(AL$2,Table2[#Headers],0)))</f>
        <v>[Length]*{Slope Factor}</v>
      </c>
      <c r="AM17" s="4"/>
      <c r="AN17" s="4" t="str">
        <f t="shared" si="25"/>
        <v>Slope Factor</v>
      </c>
      <c r="AO17" s="4"/>
      <c r="AP17" s="4" t="str" cm="1">
        <f t="array" ref="AP17">IF(INDEX(Table2[],_xlfn.XMATCH($A17,Table2[Steel Member],0),_xlfn.XMATCH(AP$2,Table2[#Headers],0))=0,"",INDEX(Table2[],_xlfn.XMATCH($A17,Table2[Steel Member],0),_xlfn.XMATCH(AP$2,Table2[#Headers],0)))</f>
        <v>1/COS(RADIANS(XNUMBER({Dimension Name},1)))</v>
      </c>
      <c r="AQ17" s="4"/>
      <c r="AR17" s="4"/>
      <c r="AS17" s="4"/>
      <c r="AT17" s="4"/>
    </row>
    <row r="18" spans="1:46" x14ac:dyDescent="0.25">
      <c r="A18" s="52" t="s">
        <v>506</v>
      </c>
      <c r="B18" s="52" t="s">
        <v>1104</v>
      </c>
      <c r="C18" s="52" t="s">
        <v>7</v>
      </c>
      <c r="D18" s="52" t="s">
        <v>44</v>
      </c>
      <c r="E18" s="52"/>
      <c r="F18" s="64" cm="1">
        <f t="array" ref="F18">IF(COUNT(FIND(PurlinsxGirthsxBracings,$C18))&gt;0,0,ROUNDUP(IF(D18=0,0,VLOOKUP(D18,'DATA SHEET'!$B:$D,2,FALSE)),2))</f>
        <v>101</v>
      </c>
      <c r="G18" s="64" cm="1">
        <f t="array" ref="G18">IF(COUNT(FIND(PurlinsxGirthsxBracings,$C18))&gt;0,0,ROUNDUP(IF(D18=0,0,VLOOKUP(D18,'DATA SHEET'!$B:$D,3,FALSE)),2))</f>
        <v>2094.8000000000002</v>
      </c>
      <c r="H18" s="53"/>
      <c r="I18" s="66" t="str" cm="1">
        <f t="array" ref="I18">IF(AND(ISBLANK(B18),ISBLANK(C18),ISBLANK(E18)),0,IF(COUNT(FIND(PurlinsxGirthsxBracings,$C18))&gt;0,IF(B18=0,CONCATENATE(E18," ",C18),CONCATENATE(B18," - ",E18," ",C18)),IF(B18=0,IF(ISBLANK(C18),E18,CONCATENATE(D18,", ",F18,"kg/m, ",G18,"mm surface perimeter")),IF(AND(ISBLANK(C18),ISTEXT(E18)),CONCATENATE(B18," - ",E18),IF(AND(ISBLANK(C18),ISBLANK(E18)),B18,CONCATENATE(B18," - ",D18,", ",F18,"kg/m, ",G18,"mm surface perimeter"))))&amp;IF(ISBLANK(H18),"",H18)))</f>
        <v>B61a - 610UB101, 101kg/m, 2094.8mm surface perimeter</v>
      </c>
      <c r="J18" s="53"/>
      <c r="L18" s="4" t="b" cm="1">
        <f t="array" ref="L18">IF(COUNT(FIND({0,1,2,3,4,5,6,7,8,9},B18))&gt;0,COUNT(FIND({0,1,2,3,4,5,6,7,8,9},B18))&gt;0,"")</f>
        <v>1</v>
      </c>
      <c r="M18" s="4" cm="1">
        <f t="array" aca="1" ref="M18" ca="1">IFERROR(_xlfn.IFS(R18="Count",RANDBETWEEN(1,COUNTIF($R$11:$R$653,"Count")),R18="Length",RANDBETWEEN(1,COUNTIF($R$11:$R$653,"Length"))),"")</f>
        <v>3</v>
      </c>
      <c r="N18" s="4">
        <f ca="1">IFERROR(_xlfn.RANK.EQ(M18,$M$11:$M$653)+COUNTIF($M$11:M18,M18)-1,"")</f>
        <v>11</v>
      </c>
      <c r="O18" s="86" t="str">
        <f>IF(A18='DATA SHEET'!$L$36,C18,IFERROR(IF(AND(ISTEXT(I18),ISBLANK(C18)),"No details",VLOOKUP(C18,DimFolder,2,FALSE)),""))</f>
        <v>CHS, UB, UC, WB, WC, BT, CT</v>
      </c>
      <c r="P18" s="4" t="str">
        <f t="shared" si="14"/>
        <v>Structural\Structural Steel\Framing\CHS, UB, UC, WB, WC, BT, CT</v>
      </c>
      <c r="Q18" s="58" t="str">
        <f t="shared" si="15"/>
        <v>B61a - 610UB101, 101kg/m, 2094.8mm surface perimeter</v>
      </c>
      <c r="R18" s="4" t="str" cm="1">
        <f t="array" ref="R18">IF(INDEX(Table2[],_xlfn.XMATCH($A18,Table2[Steel Member],0),_xlfn.XMATCH(R$2,Table2[#Headers],0))=0,"",INDEX(Table2[],_xlfn.XMATCH($A18,Table2[Steel Member],0),_xlfn.XMATCH(R$2,Table2[#Headers],0)))</f>
        <v>Length</v>
      </c>
      <c r="S18" s="4" t="str" cm="1">
        <f t="array" ref="S18">IF(INDEX(Table2[],_xlfn.XMATCH($A18,Table2[Steel Member],0),_xlfn.XMATCH(S$2,Table2[#Headers],0))=0,"",INDEX(Table2[],_xlfn.XMATCH($A18,Table2[Steel Member],0),_xlfn.XMATCH(S$2,Table2[#Headers],0)))</f>
        <v>Weight</v>
      </c>
      <c r="T18" s="4" t="str">
        <f t="shared" si="16"/>
        <v>t</v>
      </c>
      <c r="U18" s="4" t="str">
        <f ca="1">VLOOKUP(N18,'COLOR CODE'!$B:$D,2,FALSE)</f>
        <v>0,255,255</v>
      </c>
      <c r="V18" s="4" t="str">
        <f t="shared" si="17"/>
        <v>Red</v>
      </c>
      <c r="W18" s="4" t="str" cm="1">
        <f t="array" ref="W18">IF(INDEX(Table2[],_xlfn.XMATCH($A18,Table2[Steel Member],0),_xlfn.XMATCH(W$2,Table2[#Headers],0))=0,"",INDEX(Table2[],_xlfn.XMATCH($A18,Table2[Steel Member],0),_xlfn.XMATCH(W$2,Table2[#Headers],0)))</f>
        <v/>
      </c>
      <c r="X18" s="4" t="str">
        <f t="shared" si="18"/>
        <v/>
      </c>
      <c r="Y18" s="4" t="str" cm="1">
        <f t="array" ref="Y18">IF(INDEX(Table2[],_xlfn.XMATCH($A18,Table2[Steel Member],0),_xlfn.XMATCH(Y$2,Table2[#Headers],0))=0,"",INDEX(Table2[],_xlfn.XMATCH($A18,Table2[Steel Member],0),_xlfn.XMATCH(Y$2,Table2[#Headers],0)))</f>
        <v>"0 degrees"</v>
      </c>
      <c r="Z18" s="4" t="str" cm="1">
        <f t="array" ref="Z18">IF(INDEX(Table2[],_xlfn.XMATCH($A18,Table2[Steel Member],0),_xlfn.XMATCH(Z$2,Table2[#Headers],0))=0,"",INDEX(Table2[],_xlfn.XMATCH($A18,Table2[Steel Member],0),_xlfn.XMATCH(Z$2,Table2[#Headers],0)))</f>
        <v/>
      </c>
      <c r="AA18" s="4" t="str" cm="1">
        <f t="array" ref="AA18">IF(INDEX(Table2[],_xlfn.XMATCH($A18,Table2[Steel Member],0),_xlfn.XMATCH(AA$2,Table2[#Headers],0))=0,"",INDEX(Table2[],_xlfn.XMATCH($A18,Table2[Steel Member],0),_xlfn.XMATCH(AA$2,Table2[#Headers],0)))</f>
        <v>[Count]</v>
      </c>
      <c r="AB18" s="4" t="str" cm="1">
        <f t="array" ref="AB18">IF(INDEX(Table2[],_xlfn.XMATCH($A18,Table2[Steel Member],0),_xlfn.XMATCH(AB$2,Table2[#Headers],0))=0,"",INDEX(Table2[],_xlfn.XMATCH($A18,Table2[Steel Member],0),_xlfn.XMATCH(AB$2,Table2[#Headers],0)))</f>
        <v>[Length]</v>
      </c>
      <c r="AC18" s="4" cm="1">
        <f t="array" ref="AC18">IFERROR(INDEX(Table8[],_xlfn.XMATCH($O18,Table8[Dimension Name Category],0),_xlfn.XMATCH(AC$2&amp;IF($L18," w/ tag"," w/o tag"),Table8[#Headers],0)),"")</f>
        <v>4</v>
      </c>
      <c r="AD18" s="59" t="str">
        <f t="shared" si="19"/>
        <v>{Length}*XNUMBER({Dimension Group Name},4)/1000*{Slope Factor}</v>
      </c>
      <c r="AE18" s="4" t="str">
        <f t="shared" si="20"/>
        <v>Steel Surface Area</v>
      </c>
      <c r="AF18" s="4" t="str">
        <f t="shared" si="21"/>
        <v>m2</v>
      </c>
      <c r="AG18" s="4" cm="1">
        <f t="array" ref="AG18">IFERROR(INDEX(Table8[],_xlfn.XMATCH($O18,Table8[Dimension Name Category],0),_xlfn.XMATCH(AG$2&amp;IF($L18," w/ tag"," w/o tag"),Table8[#Headers],0)),"")</f>
        <v>5</v>
      </c>
      <c r="AH18" s="59" t="str">
        <f t="shared" si="22"/>
        <v>{Length}*XNUMBER({Dimension Group Name},5)/1000*{Slope Factor}</v>
      </c>
      <c r="AI18" s="4"/>
      <c r="AJ18" s="4" t="str">
        <f t="shared" si="23"/>
        <v>Slope Length</v>
      </c>
      <c r="AK18" s="4" t="str">
        <f t="shared" si="24"/>
        <v>m</v>
      </c>
      <c r="AL18" s="4" t="str" cm="1">
        <f t="array" ref="AL18">IF(INDEX(Table2[],_xlfn.XMATCH($A18,Table2[Steel Member],0),_xlfn.XMATCH(AL$2,Table2[#Headers],0))=0,"",INDEX(Table2[],_xlfn.XMATCH($A18,Table2[Steel Member],0),_xlfn.XMATCH(AL$2,Table2[#Headers],0)))</f>
        <v>[Length]*{Slope Factor}</v>
      </c>
      <c r="AM18" s="4"/>
      <c r="AN18" s="4" t="str">
        <f t="shared" si="25"/>
        <v>Slope Factor</v>
      </c>
      <c r="AO18" s="4"/>
      <c r="AP18" s="4" t="str" cm="1">
        <f t="array" ref="AP18">IF(INDEX(Table2[],_xlfn.XMATCH($A18,Table2[Steel Member],0),_xlfn.XMATCH(AP$2,Table2[#Headers],0))=0,"",INDEX(Table2[],_xlfn.XMATCH($A18,Table2[Steel Member],0),_xlfn.XMATCH(AP$2,Table2[#Headers],0)))</f>
        <v>1/COS(RADIANS(XNUMBER({Dimension Name},1)))</v>
      </c>
      <c r="AQ18" s="4"/>
      <c r="AR18" s="4"/>
      <c r="AS18" s="4"/>
      <c r="AT18" s="4"/>
    </row>
    <row r="19" spans="1:46" x14ac:dyDescent="0.25">
      <c r="A19" s="52" t="s">
        <v>506</v>
      </c>
      <c r="B19" s="52" t="s">
        <v>1105</v>
      </c>
      <c r="C19" s="52" t="s">
        <v>7</v>
      </c>
      <c r="D19" s="52" t="s">
        <v>46</v>
      </c>
      <c r="E19" s="52"/>
      <c r="F19" s="64" cm="1">
        <f t="array" ref="F19">IF(COUNT(FIND(PurlinsxGirthsxBracings,$C19))&gt;0,0,ROUNDUP(IF(D19=0,0,VLOOKUP(D19,'DATA SHEET'!$B:$D,2,FALSE)),2))</f>
        <v>125</v>
      </c>
      <c r="G19" s="64" cm="1">
        <f t="array" ref="G19">IF(COUNT(FIND(PurlinsxGirthsxBracings,$C19))&gt;0,0,ROUNDUP(IF(D19=0,0,VLOOKUP(D19,'DATA SHEET'!$B:$D,3,FALSE)),2))</f>
        <v>2116.1999999999998</v>
      </c>
      <c r="H19" s="53"/>
      <c r="I19" s="66" t="str" cm="1">
        <f t="array" ref="I19">IF(AND(ISBLANK(B19),ISBLANK(C19),ISBLANK(E19)),0,IF(COUNT(FIND(PurlinsxGirthsxBracings,$C19))&gt;0,IF(B19=0,CONCATENATE(E19," ",C19),CONCATENATE(B19," - ",E19," ",C19)),IF(B19=0,IF(ISBLANK(C19),E19,CONCATENATE(D19,", ",F19,"kg/m, ",G19,"mm surface perimeter")),IF(AND(ISBLANK(C19),ISTEXT(E19)),CONCATENATE(B19," - ",E19),IF(AND(ISBLANK(C19),ISBLANK(E19)),B19,CONCATENATE(B19," - ",D19,", ",F19,"kg/m, ",G19,"mm surface perimeter"))))&amp;IF(ISBLANK(H19),"",H19)))</f>
        <v>B61c - 610UB125, 125kg/m, 2116.2mm surface perimeter</v>
      </c>
      <c r="J19" s="53"/>
      <c r="L19" s="4" t="b" cm="1">
        <f t="array" ref="L19">IF(COUNT(FIND({0,1,2,3,4,5,6,7,8,9},B19))&gt;0,COUNT(FIND({0,1,2,3,4,5,6,7,8,9},B19))&gt;0,"")</f>
        <v>1</v>
      </c>
      <c r="M19" s="4" cm="1">
        <f t="array" aca="1" ref="M19" ca="1">IFERROR(_xlfn.IFS(R19="Count",RANDBETWEEN(1,COUNTIF($R$11:$R$653,"Count")),R19="Length",RANDBETWEEN(1,COUNTIF($R$11:$R$653,"Length"))),"")</f>
        <v>15</v>
      </c>
      <c r="N19" s="4">
        <f ca="1">IFERROR(_xlfn.RANK.EQ(M19,$M$11:$M$653)+COUNTIF($M$11:M19,M19)-1,"")</f>
        <v>2</v>
      </c>
      <c r="O19" s="86" t="str">
        <f>IF(A19='DATA SHEET'!$L$36,C19,IFERROR(IF(AND(ISTEXT(I19),ISBLANK(C19)),"No details",VLOOKUP(C19,DimFolder,2,FALSE)),""))</f>
        <v>CHS, UB, UC, WB, WC, BT, CT</v>
      </c>
      <c r="P19" s="4" t="str">
        <f t="shared" si="14"/>
        <v>Structural\Structural Steel\Framing\CHS, UB, UC, WB, WC, BT, CT</v>
      </c>
      <c r="Q19" s="58" t="str">
        <f t="shared" si="15"/>
        <v>B61c - 610UB125, 125kg/m, 2116.2mm surface perimeter</v>
      </c>
      <c r="R19" s="4" t="str" cm="1">
        <f t="array" ref="R19">IF(INDEX(Table2[],_xlfn.XMATCH($A19,Table2[Steel Member],0),_xlfn.XMATCH(R$2,Table2[#Headers],0))=0,"",INDEX(Table2[],_xlfn.XMATCH($A19,Table2[Steel Member],0),_xlfn.XMATCH(R$2,Table2[#Headers],0)))</f>
        <v>Length</v>
      </c>
      <c r="S19" s="4" t="str" cm="1">
        <f t="array" ref="S19">IF(INDEX(Table2[],_xlfn.XMATCH($A19,Table2[Steel Member],0),_xlfn.XMATCH(S$2,Table2[#Headers],0))=0,"",INDEX(Table2[],_xlfn.XMATCH($A19,Table2[Steel Member],0),_xlfn.XMATCH(S$2,Table2[#Headers],0)))</f>
        <v>Weight</v>
      </c>
      <c r="T19" s="4" t="str">
        <f t="shared" si="16"/>
        <v>t</v>
      </c>
      <c r="U19" s="4" t="str">
        <f ca="1">VLOOKUP(N19,'COLOR CODE'!$B:$D,2,FALSE)</f>
        <v>210,105,30</v>
      </c>
      <c r="V19" s="4" t="str">
        <f t="shared" si="17"/>
        <v>Red</v>
      </c>
      <c r="W19" s="4" t="str" cm="1">
        <f t="array" ref="W19">IF(INDEX(Table2[],_xlfn.XMATCH($A19,Table2[Steel Member],0),_xlfn.XMATCH(W$2,Table2[#Headers],0))=0,"",INDEX(Table2[],_xlfn.XMATCH($A19,Table2[Steel Member],0),_xlfn.XMATCH(W$2,Table2[#Headers],0)))</f>
        <v/>
      </c>
      <c r="X19" s="4" t="str">
        <f t="shared" si="18"/>
        <v/>
      </c>
      <c r="Y19" s="4" t="str" cm="1">
        <f t="array" ref="Y19">IF(INDEX(Table2[],_xlfn.XMATCH($A19,Table2[Steel Member],0),_xlfn.XMATCH(Y$2,Table2[#Headers],0))=0,"",INDEX(Table2[],_xlfn.XMATCH($A19,Table2[Steel Member],0),_xlfn.XMATCH(Y$2,Table2[#Headers],0)))</f>
        <v>"0 degrees"</v>
      </c>
      <c r="Z19" s="4" t="str" cm="1">
        <f t="array" ref="Z19">IF(INDEX(Table2[],_xlfn.XMATCH($A19,Table2[Steel Member],0),_xlfn.XMATCH(Z$2,Table2[#Headers],0))=0,"",INDEX(Table2[],_xlfn.XMATCH($A19,Table2[Steel Member],0),_xlfn.XMATCH(Z$2,Table2[#Headers],0)))</f>
        <v/>
      </c>
      <c r="AA19" s="4" t="str" cm="1">
        <f t="array" ref="AA19">IF(INDEX(Table2[],_xlfn.XMATCH($A19,Table2[Steel Member],0),_xlfn.XMATCH(AA$2,Table2[#Headers],0))=0,"",INDEX(Table2[],_xlfn.XMATCH($A19,Table2[Steel Member],0),_xlfn.XMATCH(AA$2,Table2[#Headers],0)))</f>
        <v>[Count]</v>
      </c>
      <c r="AB19" s="4" t="str" cm="1">
        <f t="array" ref="AB19">IF(INDEX(Table2[],_xlfn.XMATCH($A19,Table2[Steel Member],0),_xlfn.XMATCH(AB$2,Table2[#Headers],0))=0,"",INDEX(Table2[],_xlfn.XMATCH($A19,Table2[Steel Member],0),_xlfn.XMATCH(AB$2,Table2[#Headers],0)))</f>
        <v>[Length]</v>
      </c>
      <c r="AC19" s="4" cm="1">
        <f t="array" ref="AC19">IFERROR(INDEX(Table8[],_xlfn.XMATCH($O19,Table8[Dimension Name Category],0),_xlfn.XMATCH(AC$2&amp;IF($L19," w/ tag"," w/o tag"),Table8[#Headers],0)),"")</f>
        <v>4</v>
      </c>
      <c r="AD19" s="59" t="str">
        <f t="shared" si="19"/>
        <v>{Length}*XNUMBER({Dimension Group Name},4)/1000*{Slope Factor}</v>
      </c>
      <c r="AE19" s="4" t="str">
        <f t="shared" si="20"/>
        <v>Steel Surface Area</v>
      </c>
      <c r="AF19" s="4" t="str">
        <f t="shared" si="21"/>
        <v>m2</v>
      </c>
      <c r="AG19" s="4" cm="1">
        <f t="array" ref="AG19">IFERROR(INDEX(Table8[],_xlfn.XMATCH($O19,Table8[Dimension Name Category],0),_xlfn.XMATCH(AG$2&amp;IF($L19," w/ tag"," w/o tag"),Table8[#Headers],0)),"")</f>
        <v>5</v>
      </c>
      <c r="AH19" s="59" t="str">
        <f t="shared" si="22"/>
        <v>{Length}*XNUMBER({Dimension Group Name},5)/1000*{Slope Factor}</v>
      </c>
      <c r="AI19" s="4"/>
      <c r="AJ19" s="4" t="str">
        <f t="shared" si="23"/>
        <v>Slope Length</v>
      </c>
      <c r="AK19" s="4" t="str">
        <f t="shared" si="24"/>
        <v>m</v>
      </c>
      <c r="AL19" s="4" t="str" cm="1">
        <f t="array" ref="AL19">IF(INDEX(Table2[],_xlfn.XMATCH($A19,Table2[Steel Member],0),_xlfn.XMATCH(AL$2,Table2[#Headers],0))=0,"",INDEX(Table2[],_xlfn.XMATCH($A19,Table2[Steel Member],0),_xlfn.XMATCH(AL$2,Table2[#Headers],0)))</f>
        <v>[Length]*{Slope Factor}</v>
      </c>
      <c r="AM19" s="4"/>
      <c r="AN19" s="4" t="str">
        <f t="shared" si="25"/>
        <v>Slope Factor</v>
      </c>
      <c r="AO19" s="4"/>
      <c r="AP19" s="4" t="str" cm="1">
        <f t="array" ref="AP19">IF(INDEX(Table2[],_xlfn.XMATCH($A19,Table2[Steel Member],0),_xlfn.XMATCH(AP$2,Table2[#Headers],0))=0,"",INDEX(Table2[],_xlfn.XMATCH($A19,Table2[Steel Member],0),_xlfn.XMATCH(AP$2,Table2[#Headers],0)))</f>
        <v>1/COS(RADIANS(XNUMBER({Dimension Name},1)))</v>
      </c>
      <c r="AQ19" s="4"/>
      <c r="AR19" s="4"/>
      <c r="AS19" s="4"/>
      <c r="AT19" s="4"/>
    </row>
    <row r="20" spans="1:46" x14ac:dyDescent="0.25">
      <c r="A20" s="52" t="s">
        <v>506</v>
      </c>
      <c r="B20" s="52" t="s">
        <v>1106</v>
      </c>
      <c r="C20" s="52" t="s">
        <v>12</v>
      </c>
      <c r="D20" s="52" t="s">
        <v>465</v>
      </c>
      <c r="E20" s="52"/>
      <c r="F20" s="64" cm="1">
        <f t="array" ref="F20">IF(COUNT(FIND(PurlinsxGirthsxBracings,$C20))&gt;0,0,ROUNDUP(IF(D20=0,0,VLOOKUP(D20,'DATA SHEET'!$B:$D,2,FALSE)),2))</f>
        <v>115</v>
      </c>
      <c r="G20" s="64" cm="1">
        <f t="array" ref="G20">IF(COUNT(FIND(PurlinsxGirthsxBracings,$C20))&gt;0,0,ROUNDUP(IF(D20=0,0,VLOOKUP(D20,'DATA SHEET'!$B:$D,3,FALSE)),2))</f>
        <v>2384</v>
      </c>
      <c r="H20" s="53"/>
      <c r="I20" s="66" t="str" cm="1">
        <f t="array" ref="I20">IF(AND(ISBLANK(B20),ISBLANK(C20),ISBLANK(E20)),0,IF(COUNT(FIND(PurlinsxGirthsxBracings,$C20))&gt;0,IF(B20=0,CONCATENATE(E20," ",C20),CONCATENATE(B20," - ",E20," ",C20)),IF(B20=0,IF(ISBLANK(C20),E20,CONCATENATE(D20,", ",F20,"kg/m, ",G20,"mm surface perimeter")),IF(AND(ISBLANK(C20),ISTEXT(E20)),CONCATENATE(B20," - ",E20),IF(AND(ISBLANK(C20),ISBLANK(E20)),B20,CONCATENATE(B20," - ",D20,", ",F20,"kg/m, ",G20,"mm surface perimeter"))))&amp;IF(ISBLANK(H20),"",H20)))</f>
        <v>B70a - 700WB115, 115kg/m, 2384mm surface perimeter</v>
      </c>
      <c r="J20" s="53"/>
      <c r="L20" s="4" t="b" cm="1">
        <f t="array" ref="L20">IF(COUNT(FIND({0,1,2,3,4,5,6,7,8,9},B20))&gt;0,COUNT(FIND({0,1,2,3,4,5,6,7,8,9},B20))&gt;0,"")</f>
        <v>1</v>
      </c>
      <c r="M20" s="4" cm="1">
        <f t="array" aca="1" ref="M20" ca="1">IFERROR(_xlfn.IFS(R20="Count",RANDBETWEEN(1,COUNTIF($R$11:$R$653,"Count")),R20="Length",RANDBETWEEN(1,COUNTIF($R$11:$R$653,"Length"))),"")</f>
        <v>5</v>
      </c>
      <c r="N20" s="4">
        <f ca="1">IFERROR(_xlfn.RANK.EQ(M20,$M$11:$M$653)+COUNTIF($M$11:M20,M20)-1,"")</f>
        <v>10</v>
      </c>
      <c r="O20" s="86" t="str">
        <f>IF(A20='DATA SHEET'!$L$36,C20,IFERROR(IF(AND(ISTEXT(I20),ISBLANK(C20)),"No details",VLOOKUP(C20,DimFolder,2,FALSE)),""))</f>
        <v>CHS, UB, UC, WB, WC, BT, CT</v>
      </c>
      <c r="P20" s="4" t="str">
        <f t="shared" si="14"/>
        <v>Structural\Structural Steel\Framing\CHS, UB, UC, WB, WC, BT, CT</v>
      </c>
      <c r="Q20" s="58" t="str">
        <f t="shared" si="15"/>
        <v>B70a - 700WB115, 115kg/m, 2384mm surface perimeter</v>
      </c>
      <c r="R20" s="4" t="str" cm="1">
        <f t="array" ref="R20">IF(INDEX(Table2[],_xlfn.XMATCH($A20,Table2[Steel Member],0),_xlfn.XMATCH(R$2,Table2[#Headers],0))=0,"",INDEX(Table2[],_xlfn.XMATCH($A20,Table2[Steel Member],0),_xlfn.XMATCH(R$2,Table2[#Headers],0)))</f>
        <v>Length</v>
      </c>
      <c r="S20" s="4" t="str" cm="1">
        <f t="array" ref="S20">IF(INDEX(Table2[],_xlfn.XMATCH($A20,Table2[Steel Member],0),_xlfn.XMATCH(S$2,Table2[#Headers],0))=0,"",INDEX(Table2[],_xlfn.XMATCH($A20,Table2[Steel Member],0),_xlfn.XMATCH(S$2,Table2[#Headers],0)))</f>
        <v>Weight</v>
      </c>
      <c r="T20" s="4" t="str">
        <f t="shared" si="16"/>
        <v>t</v>
      </c>
      <c r="U20" s="4" t="str">
        <f ca="1">VLOOKUP(N20,'COLOR CODE'!$B:$D,2,FALSE)</f>
        <v>0,255,255</v>
      </c>
      <c r="V20" s="4" t="str">
        <f t="shared" si="17"/>
        <v>Red</v>
      </c>
      <c r="W20" s="4" t="str" cm="1">
        <f t="array" ref="W20">IF(INDEX(Table2[],_xlfn.XMATCH($A20,Table2[Steel Member],0),_xlfn.XMATCH(W$2,Table2[#Headers],0))=0,"",INDEX(Table2[],_xlfn.XMATCH($A20,Table2[Steel Member],0),_xlfn.XMATCH(W$2,Table2[#Headers],0)))</f>
        <v/>
      </c>
      <c r="X20" s="4" t="str">
        <f t="shared" si="18"/>
        <v/>
      </c>
      <c r="Y20" s="4" t="str" cm="1">
        <f t="array" ref="Y20">IF(INDEX(Table2[],_xlfn.XMATCH($A20,Table2[Steel Member],0),_xlfn.XMATCH(Y$2,Table2[#Headers],0))=0,"",INDEX(Table2[],_xlfn.XMATCH($A20,Table2[Steel Member],0),_xlfn.XMATCH(Y$2,Table2[#Headers],0)))</f>
        <v>"0 degrees"</v>
      </c>
      <c r="Z20" s="4" t="str" cm="1">
        <f t="array" ref="Z20">IF(INDEX(Table2[],_xlfn.XMATCH($A20,Table2[Steel Member],0),_xlfn.XMATCH(Z$2,Table2[#Headers],0))=0,"",INDEX(Table2[],_xlfn.XMATCH($A20,Table2[Steel Member],0),_xlfn.XMATCH(Z$2,Table2[#Headers],0)))</f>
        <v/>
      </c>
      <c r="AA20" s="4" t="str" cm="1">
        <f t="array" ref="AA20">IF(INDEX(Table2[],_xlfn.XMATCH($A20,Table2[Steel Member],0),_xlfn.XMATCH(AA$2,Table2[#Headers],0))=0,"",INDEX(Table2[],_xlfn.XMATCH($A20,Table2[Steel Member],0),_xlfn.XMATCH(AA$2,Table2[#Headers],0)))</f>
        <v>[Count]</v>
      </c>
      <c r="AB20" s="4" t="str" cm="1">
        <f t="array" ref="AB20">IF(INDEX(Table2[],_xlfn.XMATCH($A20,Table2[Steel Member],0),_xlfn.XMATCH(AB$2,Table2[#Headers],0))=0,"",INDEX(Table2[],_xlfn.XMATCH($A20,Table2[Steel Member],0),_xlfn.XMATCH(AB$2,Table2[#Headers],0)))</f>
        <v>[Length]</v>
      </c>
      <c r="AC20" s="4" cm="1">
        <f t="array" ref="AC20">IFERROR(INDEX(Table8[],_xlfn.XMATCH($O20,Table8[Dimension Name Category],0),_xlfn.XMATCH(AC$2&amp;IF($L20," w/ tag"," w/o tag"),Table8[#Headers],0)),"")</f>
        <v>4</v>
      </c>
      <c r="AD20" s="59" t="str">
        <f t="shared" si="19"/>
        <v>{Length}*XNUMBER({Dimension Group Name},4)/1000*{Slope Factor}</v>
      </c>
      <c r="AE20" s="4" t="str">
        <f t="shared" si="20"/>
        <v>Steel Surface Area</v>
      </c>
      <c r="AF20" s="4" t="str">
        <f t="shared" si="21"/>
        <v>m2</v>
      </c>
      <c r="AG20" s="4" cm="1">
        <f t="array" ref="AG20">IFERROR(INDEX(Table8[],_xlfn.XMATCH($O20,Table8[Dimension Name Category],0),_xlfn.XMATCH(AG$2&amp;IF($L20," w/ tag"," w/o tag"),Table8[#Headers],0)),"")</f>
        <v>5</v>
      </c>
      <c r="AH20" s="59" t="str">
        <f t="shared" si="22"/>
        <v>{Length}*XNUMBER({Dimension Group Name},5)/1000*{Slope Factor}</v>
      </c>
      <c r="AI20" s="4"/>
      <c r="AJ20" s="4" t="str">
        <f t="shared" si="23"/>
        <v>Slope Length</v>
      </c>
      <c r="AK20" s="4" t="str">
        <f t="shared" si="24"/>
        <v>m</v>
      </c>
      <c r="AL20" s="4" t="str" cm="1">
        <f t="array" ref="AL20">IF(INDEX(Table2[],_xlfn.XMATCH($A20,Table2[Steel Member],0),_xlfn.XMATCH(AL$2,Table2[#Headers],0))=0,"",INDEX(Table2[],_xlfn.XMATCH($A20,Table2[Steel Member],0),_xlfn.XMATCH(AL$2,Table2[#Headers],0)))</f>
        <v>[Length]*{Slope Factor}</v>
      </c>
      <c r="AM20" s="4"/>
      <c r="AN20" s="4" t="str">
        <f t="shared" si="25"/>
        <v>Slope Factor</v>
      </c>
      <c r="AO20" s="4"/>
      <c r="AP20" s="4" t="str" cm="1">
        <f t="array" ref="AP20">IF(INDEX(Table2[],_xlfn.XMATCH($A20,Table2[Steel Member],0),_xlfn.XMATCH(AP$2,Table2[#Headers],0))=0,"",INDEX(Table2[],_xlfn.XMATCH($A20,Table2[Steel Member],0),_xlfn.XMATCH(AP$2,Table2[#Headers],0)))</f>
        <v>1/COS(RADIANS(XNUMBER({Dimension Name},1)))</v>
      </c>
      <c r="AQ20" s="4"/>
      <c r="AR20" s="4"/>
      <c r="AS20" s="4"/>
      <c r="AT20" s="4"/>
    </row>
    <row r="21" spans="1:46" x14ac:dyDescent="0.25">
      <c r="A21" s="52" t="s">
        <v>506</v>
      </c>
      <c r="B21" s="52" t="s">
        <v>1107</v>
      </c>
      <c r="C21" s="52" t="s">
        <v>12</v>
      </c>
      <c r="D21" s="52" t="s">
        <v>466</v>
      </c>
      <c r="E21" s="52"/>
      <c r="F21" s="64" cm="1">
        <f t="array" ref="F21">IF(COUNT(FIND(PurlinsxGirthsxBracings,$C21))&gt;0,0,ROUNDUP(IF(D21=0,0,VLOOKUP(D21,'DATA SHEET'!$B:$D,2,FALSE)),2))</f>
        <v>130</v>
      </c>
      <c r="G21" s="64" cm="1">
        <f t="array" ref="G21">IF(COUNT(FIND(PurlinsxGirthsxBracings,$C21))&gt;0,0,ROUNDUP(IF(D21=0,0,VLOOKUP(D21,'DATA SHEET'!$B:$D,3,FALSE)),2))</f>
        <v>2380</v>
      </c>
      <c r="H21" s="53"/>
      <c r="I21" s="66" t="str" cm="1">
        <f t="array" ref="I21">IF(AND(ISBLANK(B21),ISBLANK(C21),ISBLANK(E21)),0,IF(COUNT(FIND(PurlinsxGirthsxBracings,$C21))&gt;0,IF(B21=0,CONCATENATE(E21," ",C21),CONCATENATE(B21," - ",E21," ",C21)),IF(B21=0,IF(ISBLANK(C21),E21,CONCATENATE(D21,", ",F21,"kg/m, ",G21,"mm surface perimeter")),IF(AND(ISBLANK(C21),ISTEXT(E21)),CONCATENATE(B21," - ",E21),IF(AND(ISBLANK(C21),ISBLANK(E21)),B21,CONCATENATE(B21," - ",D21,", ",F21,"kg/m, ",G21,"mm surface perimeter"))))&amp;IF(ISBLANK(H21),"",H21)))</f>
        <v>B70b - 700WB130, 130kg/m, 2380mm surface perimeter</v>
      </c>
      <c r="J21" s="53"/>
      <c r="L21" s="4" t="b" cm="1">
        <f t="array" ref="L21">IF(COUNT(FIND({0,1,2,3,4,5,6,7,8,9},B21))&gt;0,COUNT(FIND({0,1,2,3,4,5,6,7,8,9},B21))&gt;0,"")</f>
        <v>1</v>
      </c>
      <c r="M21" s="4" cm="1">
        <f t="array" aca="1" ref="M21" ca="1">IFERROR(_xlfn.IFS(R21="Count",RANDBETWEEN(1,COUNTIF($R$11:$R$653,"Count")),R21="Length",RANDBETWEEN(1,COUNTIF($R$11:$R$653,"Length"))),"")</f>
        <v>1</v>
      </c>
      <c r="N21" s="4">
        <f ca="1">IFERROR(_xlfn.RANK.EQ(M21,$M$11:$M$653)+COUNTIF($M$11:M21,M21)-1,"")</f>
        <v>15</v>
      </c>
      <c r="O21" s="86" t="str">
        <f>IF(A21='DATA SHEET'!$L$36,C21,IFERROR(IF(AND(ISTEXT(I21),ISBLANK(C21)),"No details",VLOOKUP(C21,DimFolder,2,FALSE)),""))</f>
        <v>CHS, UB, UC, WB, WC, BT, CT</v>
      </c>
      <c r="P21" s="4" t="str">
        <f t="shared" si="14"/>
        <v>Structural\Structural Steel\Framing\CHS, UB, UC, WB, WC, BT, CT</v>
      </c>
      <c r="Q21" s="58" t="str">
        <f t="shared" si="15"/>
        <v>B70b - 700WB130, 130kg/m, 2380mm surface perimeter</v>
      </c>
      <c r="R21" s="4" t="str" cm="1">
        <f t="array" ref="R21">IF(INDEX(Table2[],_xlfn.XMATCH($A21,Table2[Steel Member],0),_xlfn.XMATCH(R$2,Table2[#Headers],0))=0,"",INDEX(Table2[],_xlfn.XMATCH($A21,Table2[Steel Member],0),_xlfn.XMATCH(R$2,Table2[#Headers],0)))</f>
        <v>Length</v>
      </c>
      <c r="S21" s="4" t="str" cm="1">
        <f t="array" ref="S21">IF(INDEX(Table2[],_xlfn.XMATCH($A21,Table2[Steel Member],0),_xlfn.XMATCH(S$2,Table2[#Headers],0))=0,"",INDEX(Table2[],_xlfn.XMATCH($A21,Table2[Steel Member],0),_xlfn.XMATCH(S$2,Table2[#Headers],0)))</f>
        <v>Weight</v>
      </c>
      <c r="T21" s="4" t="str">
        <f t="shared" si="16"/>
        <v>t</v>
      </c>
      <c r="U21" s="4" t="str">
        <f ca="1">VLOOKUP(N21,'COLOR CODE'!$B:$D,2,FALSE)</f>
        <v>218,112,214</v>
      </c>
      <c r="V21" s="4" t="str">
        <f t="shared" si="17"/>
        <v>Red</v>
      </c>
      <c r="W21" s="4" t="str" cm="1">
        <f t="array" ref="W21">IF(INDEX(Table2[],_xlfn.XMATCH($A21,Table2[Steel Member],0),_xlfn.XMATCH(W$2,Table2[#Headers],0))=0,"",INDEX(Table2[],_xlfn.XMATCH($A21,Table2[Steel Member],0),_xlfn.XMATCH(W$2,Table2[#Headers],0)))</f>
        <v/>
      </c>
      <c r="X21" s="4" t="str">
        <f t="shared" si="18"/>
        <v/>
      </c>
      <c r="Y21" s="4" t="str" cm="1">
        <f t="array" ref="Y21">IF(INDEX(Table2[],_xlfn.XMATCH($A21,Table2[Steel Member],0),_xlfn.XMATCH(Y$2,Table2[#Headers],0))=0,"",INDEX(Table2[],_xlfn.XMATCH($A21,Table2[Steel Member],0),_xlfn.XMATCH(Y$2,Table2[#Headers],0)))</f>
        <v>"0 degrees"</v>
      </c>
      <c r="Z21" s="4" t="str" cm="1">
        <f t="array" ref="Z21">IF(INDEX(Table2[],_xlfn.XMATCH($A21,Table2[Steel Member],0),_xlfn.XMATCH(Z$2,Table2[#Headers],0))=0,"",INDEX(Table2[],_xlfn.XMATCH($A21,Table2[Steel Member],0),_xlfn.XMATCH(Z$2,Table2[#Headers],0)))</f>
        <v/>
      </c>
      <c r="AA21" s="4" t="str" cm="1">
        <f t="array" ref="AA21">IF(INDEX(Table2[],_xlfn.XMATCH($A21,Table2[Steel Member],0),_xlfn.XMATCH(AA$2,Table2[#Headers],0))=0,"",INDEX(Table2[],_xlfn.XMATCH($A21,Table2[Steel Member],0),_xlfn.XMATCH(AA$2,Table2[#Headers],0)))</f>
        <v>[Count]</v>
      </c>
      <c r="AB21" s="4" t="str" cm="1">
        <f t="array" ref="AB21">IF(INDEX(Table2[],_xlfn.XMATCH($A21,Table2[Steel Member],0),_xlfn.XMATCH(AB$2,Table2[#Headers],0))=0,"",INDEX(Table2[],_xlfn.XMATCH($A21,Table2[Steel Member],0),_xlfn.XMATCH(AB$2,Table2[#Headers],0)))</f>
        <v>[Length]</v>
      </c>
      <c r="AC21" s="4" cm="1">
        <f t="array" ref="AC21">IFERROR(INDEX(Table8[],_xlfn.XMATCH($O21,Table8[Dimension Name Category],0),_xlfn.XMATCH(AC$2&amp;IF($L21," w/ tag"," w/o tag"),Table8[#Headers],0)),"")</f>
        <v>4</v>
      </c>
      <c r="AD21" s="59" t="str">
        <f t="shared" si="19"/>
        <v>{Length}*XNUMBER({Dimension Group Name},4)/1000*{Slope Factor}</v>
      </c>
      <c r="AE21" s="4" t="str">
        <f t="shared" si="20"/>
        <v>Steel Surface Area</v>
      </c>
      <c r="AF21" s="4" t="str">
        <f t="shared" si="21"/>
        <v>m2</v>
      </c>
      <c r="AG21" s="4" cm="1">
        <f t="array" ref="AG21">IFERROR(INDEX(Table8[],_xlfn.XMATCH($O21,Table8[Dimension Name Category],0),_xlfn.XMATCH(AG$2&amp;IF($L21," w/ tag"," w/o tag"),Table8[#Headers],0)),"")</f>
        <v>5</v>
      </c>
      <c r="AH21" s="59" t="str">
        <f t="shared" si="22"/>
        <v>{Length}*XNUMBER({Dimension Group Name},5)/1000*{Slope Factor}</v>
      </c>
      <c r="AI21" s="4"/>
      <c r="AJ21" s="4" t="str">
        <f t="shared" si="23"/>
        <v>Slope Length</v>
      </c>
      <c r="AK21" s="4" t="str">
        <f t="shared" si="24"/>
        <v>m</v>
      </c>
      <c r="AL21" s="4" t="str" cm="1">
        <f t="array" ref="AL21">IF(INDEX(Table2[],_xlfn.XMATCH($A21,Table2[Steel Member],0),_xlfn.XMATCH(AL$2,Table2[#Headers],0))=0,"",INDEX(Table2[],_xlfn.XMATCH($A21,Table2[Steel Member],0),_xlfn.XMATCH(AL$2,Table2[#Headers],0)))</f>
        <v>[Length]*{Slope Factor}</v>
      </c>
      <c r="AM21" s="4"/>
      <c r="AN21" s="4" t="str">
        <f t="shared" si="25"/>
        <v>Slope Factor</v>
      </c>
      <c r="AO21" s="4"/>
      <c r="AP21" s="4" t="str" cm="1">
        <f t="array" ref="AP21">IF(INDEX(Table2[],_xlfn.XMATCH($A21,Table2[Steel Member],0),_xlfn.XMATCH(AP$2,Table2[#Headers],0))=0,"",INDEX(Table2[],_xlfn.XMATCH($A21,Table2[Steel Member],0),_xlfn.XMATCH(AP$2,Table2[#Headers],0)))</f>
        <v>1/COS(RADIANS(XNUMBER({Dimension Name},1)))</v>
      </c>
      <c r="AQ21" s="4"/>
      <c r="AR21" s="4"/>
      <c r="AS21" s="4"/>
      <c r="AT21" s="4"/>
    </row>
    <row r="22" spans="1:46" x14ac:dyDescent="0.25">
      <c r="A22" s="52" t="s">
        <v>506</v>
      </c>
      <c r="B22" s="52" t="s">
        <v>1108</v>
      </c>
      <c r="C22" s="52" t="s">
        <v>12</v>
      </c>
      <c r="D22" s="52" t="s">
        <v>467</v>
      </c>
      <c r="E22" s="52"/>
      <c r="F22" s="64" cm="1">
        <f t="array" ref="F22">IF(COUNT(FIND(PurlinsxGirthsxBracings,$C22))&gt;0,0,ROUNDUP(IF(D22=0,0,VLOOKUP(D22,'DATA SHEET'!$B:$D,2,FALSE)),2))</f>
        <v>150</v>
      </c>
      <c r="G22" s="64" cm="1">
        <f t="array" ref="G22">IF(COUNT(FIND(PurlinsxGirthsxBracings,$C22))&gt;0,0,ROUNDUP(IF(D22=0,0,VLOOKUP(D22,'DATA SHEET'!$B:$D,3,FALSE)),2))</f>
        <v>2400</v>
      </c>
      <c r="H22" s="53"/>
      <c r="I22" s="66" t="str" cm="1">
        <f t="array" ref="I22">IF(AND(ISBLANK(B22),ISBLANK(C22),ISBLANK(E22)),0,IF(COUNT(FIND(PurlinsxGirthsxBracings,$C22))&gt;0,IF(B22=0,CONCATENATE(E22," ",C22),CONCATENATE(B22," - ",E22," ",C22)),IF(B22=0,IF(ISBLANK(C22),E22,CONCATENATE(D22,", ",F22,"kg/m, ",G22,"mm surface perimeter")),IF(AND(ISBLANK(C22),ISTEXT(E22)),CONCATENATE(B22," - ",E22),IF(AND(ISBLANK(C22),ISBLANK(E22)),B22,CONCATENATE(B22," - ",D22,", ",F22,"kg/m, ",G22,"mm surface perimeter"))))&amp;IF(ISBLANK(H22),"",H22)))</f>
        <v>B70c - 700WB150, 150kg/m, 2400mm surface perimeter</v>
      </c>
      <c r="J22" s="53"/>
      <c r="L22" s="4" t="b" cm="1">
        <f t="array" ref="L22">IF(COUNT(FIND({0,1,2,3,4,5,6,7,8,9},B22))&gt;0,COUNT(FIND({0,1,2,3,4,5,6,7,8,9},B22))&gt;0,"")</f>
        <v>1</v>
      </c>
      <c r="M22" s="4" cm="1">
        <f t="array" aca="1" ref="M22" ca="1">IFERROR(_xlfn.IFS(R22="Count",RANDBETWEEN(1,COUNTIF($R$11:$R$653,"Count")),R22="Length",RANDBETWEEN(1,COUNTIF($R$11:$R$653,"Length"))),"")</f>
        <v>3</v>
      </c>
      <c r="N22" s="4">
        <f ca="1">IFERROR(_xlfn.RANK.EQ(M22,$M$11:$M$653)+COUNTIF($M$11:M22,M22)-1,"")</f>
        <v>12</v>
      </c>
      <c r="O22" s="86" t="str">
        <f>IF(A22='DATA SHEET'!$L$36,C22,IFERROR(IF(AND(ISTEXT(I22),ISBLANK(C22)),"No details",VLOOKUP(C22,DimFolder,2,FALSE)),""))</f>
        <v>CHS, UB, UC, WB, WC, BT, CT</v>
      </c>
      <c r="P22" s="4" t="str">
        <f t="shared" si="14"/>
        <v>Structural\Structural Steel\Framing\CHS, UB, UC, WB, WC, BT, CT</v>
      </c>
      <c r="Q22" s="58" t="str">
        <f t="shared" si="15"/>
        <v>B70c - 700WB150, 150kg/m, 2400mm surface perimeter</v>
      </c>
      <c r="R22" s="4" t="str" cm="1">
        <f t="array" ref="R22">IF(INDEX(Table2[],_xlfn.XMATCH($A22,Table2[Steel Member],0),_xlfn.XMATCH(R$2,Table2[#Headers],0))=0,"",INDEX(Table2[],_xlfn.XMATCH($A22,Table2[Steel Member],0),_xlfn.XMATCH(R$2,Table2[#Headers],0)))</f>
        <v>Length</v>
      </c>
      <c r="S22" s="4" t="str" cm="1">
        <f t="array" ref="S22">IF(INDEX(Table2[],_xlfn.XMATCH($A22,Table2[Steel Member],0),_xlfn.XMATCH(S$2,Table2[#Headers],0))=0,"",INDEX(Table2[],_xlfn.XMATCH($A22,Table2[Steel Member],0),_xlfn.XMATCH(S$2,Table2[#Headers],0)))</f>
        <v>Weight</v>
      </c>
      <c r="T22" s="4" t="str">
        <f t="shared" si="16"/>
        <v>t</v>
      </c>
      <c r="U22" s="4" t="str">
        <f ca="1">VLOOKUP(N22,'COLOR CODE'!$B:$D,2,FALSE)</f>
        <v>34,139,34</v>
      </c>
      <c r="V22" s="4" t="str">
        <f t="shared" si="17"/>
        <v>Red</v>
      </c>
      <c r="W22" s="4" t="str" cm="1">
        <f t="array" ref="W22">IF(INDEX(Table2[],_xlfn.XMATCH($A22,Table2[Steel Member],0),_xlfn.XMATCH(W$2,Table2[#Headers],0))=0,"",INDEX(Table2[],_xlfn.XMATCH($A22,Table2[Steel Member],0),_xlfn.XMATCH(W$2,Table2[#Headers],0)))</f>
        <v/>
      </c>
      <c r="X22" s="4" t="str">
        <f t="shared" si="18"/>
        <v/>
      </c>
      <c r="Y22" s="4" t="str" cm="1">
        <f t="array" ref="Y22">IF(INDEX(Table2[],_xlfn.XMATCH($A22,Table2[Steel Member],0),_xlfn.XMATCH(Y$2,Table2[#Headers],0))=0,"",INDEX(Table2[],_xlfn.XMATCH($A22,Table2[Steel Member],0),_xlfn.XMATCH(Y$2,Table2[#Headers],0)))</f>
        <v>"0 degrees"</v>
      </c>
      <c r="Z22" s="4" t="str" cm="1">
        <f t="array" ref="Z22">IF(INDEX(Table2[],_xlfn.XMATCH($A22,Table2[Steel Member],0),_xlfn.XMATCH(Z$2,Table2[#Headers],0))=0,"",INDEX(Table2[],_xlfn.XMATCH($A22,Table2[Steel Member],0),_xlfn.XMATCH(Z$2,Table2[#Headers],0)))</f>
        <v/>
      </c>
      <c r="AA22" s="4" t="str" cm="1">
        <f t="array" ref="AA22">IF(INDEX(Table2[],_xlfn.XMATCH($A22,Table2[Steel Member],0),_xlfn.XMATCH(AA$2,Table2[#Headers],0))=0,"",INDEX(Table2[],_xlfn.XMATCH($A22,Table2[Steel Member],0),_xlfn.XMATCH(AA$2,Table2[#Headers],0)))</f>
        <v>[Count]</v>
      </c>
      <c r="AB22" s="4" t="str" cm="1">
        <f t="array" ref="AB22">IF(INDEX(Table2[],_xlfn.XMATCH($A22,Table2[Steel Member],0),_xlfn.XMATCH(AB$2,Table2[#Headers],0))=0,"",INDEX(Table2[],_xlfn.XMATCH($A22,Table2[Steel Member],0),_xlfn.XMATCH(AB$2,Table2[#Headers],0)))</f>
        <v>[Length]</v>
      </c>
      <c r="AC22" s="4" cm="1">
        <f t="array" ref="AC22">IFERROR(INDEX(Table8[],_xlfn.XMATCH($O22,Table8[Dimension Name Category],0),_xlfn.XMATCH(AC$2&amp;IF($L22," w/ tag"," w/o tag"),Table8[#Headers],0)),"")</f>
        <v>4</v>
      </c>
      <c r="AD22" s="59" t="str">
        <f t="shared" si="19"/>
        <v>{Length}*XNUMBER({Dimension Group Name},4)/1000*{Slope Factor}</v>
      </c>
      <c r="AE22" s="4" t="str">
        <f t="shared" si="20"/>
        <v>Steel Surface Area</v>
      </c>
      <c r="AF22" s="4" t="str">
        <f t="shared" si="21"/>
        <v>m2</v>
      </c>
      <c r="AG22" s="4" cm="1">
        <f t="array" ref="AG22">IFERROR(INDEX(Table8[],_xlfn.XMATCH($O22,Table8[Dimension Name Category],0),_xlfn.XMATCH(AG$2&amp;IF($L22," w/ tag"," w/o tag"),Table8[#Headers],0)),"")</f>
        <v>5</v>
      </c>
      <c r="AH22" s="59" t="str">
        <f t="shared" si="22"/>
        <v>{Length}*XNUMBER({Dimension Group Name},5)/1000*{Slope Factor}</v>
      </c>
      <c r="AI22" s="4"/>
      <c r="AJ22" s="4" t="str">
        <f t="shared" si="23"/>
        <v>Slope Length</v>
      </c>
      <c r="AK22" s="4" t="str">
        <f t="shared" si="24"/>
        <v>m</v>
      </c>
      <c r="AL22" s="4" t="str" cm="1">
        <f t="array" ref="AL22">IF(INDEX(Table2[],_xlfn.XMATCH($A22,Table2[Steel Member],0),_xlfn.XMATCH(AL$2,Table2[#Headers],0))=0,"",INDEX(Table2[],_xlfn.XMATCH($A22,Table2[Steel Member],0),_xlfn.XMATCH(AL$2,Table2[#Headers],0)))</f>
        <v>[Length]*{Slope Factor}</v>
      </c>
      <c r="AM22" s="4"/>
      <c r="AN22" s="4" t="str">
        <f t="shared" si="25"/>
        <v>Slope Factor</v>
      </c>
      <c r="AO22" s="4"/>
      <c r="AP22" s="4" t="str" cm="1">
        <f t="array" ref="AP22">IF(INDEX(Table2[],_xlfn.XMATCH($A22,Table2[Steel Member],0),_xlfn.XMATCH(AP$2,Table2[#Headers],0))=0,"",INDEX(Table2[],_xlfn.XMATCH($A22,Table2[Steel Member],0),_xlfn.XMATCH(AP$2,Table2[#Headers],0)))</f>
        <v>1/COS(RADIANS(XNUMBER({Dimension Name},1)))</v>
      </c>
      <c r="AQ22" s="4"/>
      <c r="AR22" s="4"/>
      <c r="AS22" s="4"/>
      <c r="AT22" s="4"/>
    </row>
    <row r="23" spans="1:46" x14ac:dyDescent="0.25">
      <c r="A23" s="52" t="s">
        <v>506</v>
      </c>
      <c r="B23" s="52" t="s">
        <v>1109</v>
      </c>
      <c r="C23" s="52" t="s">
        <v>12</v>
      </c>
      <c r="D23" s="52" t="s">
        <v>468</v>
      </c>
      <c r="E23" s="52"/>
      <c r="F23" s="64" cm="1">
        <f t="array" ref="F23">IF(COUNT(FIND(PurlinsxGirthsxBracings,$C23))&gt;0,0,ROUNDUP(IF(D23=0,0,VLOOKUP(D23,'DATA SHEET'!$B:$D,2,FALSE)),2))</f>
        <v>173</v>
      </c>
      <c r="G23" s="64" cm="1">
        <f t="array" ref="G23">IF(COUNT(FIND(PurlinsxGirthsxBracings,$C23))&gt;0,0,ROUNDUP(IF(D23=0,0,VLOOKUP(D23,'DATA SHEET'!$B:$D,3,FALSE)),2))</f>
        <v>2512</v>
      </c>
      <c r="H23" s="53"/>
      <c r="I23" s="66" t="str" cm="1">
        <f t="array" ref="I23">IF(AND(ISBLANK(B23),ISBLANK(C23),ISBLANK(E23)),0,IF(COUNT(FIND(PurlinsxGirthsxBracings,$C23))&gt;0,IF(B23=0,CONCATENATE(E23," ",C23),CONCATENATE(B23," - ",E23," ",C23)),IF(B23=0,IF(ISBLANK(C23),E23,CONCATENATE(D23,", ",F23,"kg/m, ",G23,"mm surface perimeter")),IF(AND(ISBLANK(C23),ISTEXT(E23)),CONCATENATE(B23," - ",E23),IF(AND(ISBLANK(C23),ISBLANK(E23)),B23,CONCATENATE(B23," - ",D23,", ",F23,"kg/m, ",G23,"mm surface perimeter"))))&amp;IF(ISBLANK(H23),"",H23)))</f>
        <v>B70d - 700WB173, 173kg/m, 2512mm surface perimeter</v>
      </c>
      <c r="J23" s="53"/>
      <c r="L23" s="4" t="b" cm="1">
        <f t="array" ref="L23">IF(COUNT(FIND({0,1,2,3,4,5,6,7,8,9},B23))&gt;0,COUNT(FIND({0,1,2,3,4,5,6,7,8,9},B23))&gt;0,"")</f>
        <v>1</v>
      </c>
      <c r="M23" s="4" cm="1">
        <f t="array" aca="1" ref="M23" ca="1">IFERROR(_xlfn.IFS(R23="Count",RANDBETWEEN(1,COUNTIF($R$11:$R$653,"Count")),R23="Length",RANDBETWEEN(1,COUNTIF($R$11:$R$653,"Length"))),"")</f>
        <v>7</v>
      </c>
      <c r="N23" s="4">
        <f ca="1">IFERROR(_xlfn.RANK.EQ(M23,$M$11:$M$653)+COUNTIF($M$11:M23,M23)-1,"")</f>
        <v>8</v>
      </c>
      <c r="O23" s="86" t="str">
        <f>IF(A23='DATA SHEET'!$L$36,C23,IFERROR(IF(AND(ISTEXT(I23),ISBLANK(C23)),"No details",VLOOKUP(C23,DimFolder,2,FALSE)),""))</f>
        <v>CHS, UB, UC, WB, WC, BT, CT</v>
      </c>
      <c r="P23" s="4" t="str">
        <f t="shared" si="14"/>
        <v>Structural\Structural Steel\Framing\CHS, UB, UC, WB, WC, BT, CT</v>
      </c>
      <c r="Q23" s="58" t="str">
        <f t="shared" si="15"/>
        <v>B70d - 700WB173, 173kg/m, 2512mm surface perimeter</v>
      </c>
      <c r="R23" s="4" t="str" cm="1">
        <f t="array" ref="R23">IF(INDEX(Table2[],_xlfn.XMATCH($A23,Table2[Steel Member],0),_xlfn.XMATCH(R$2,Table2[#Headers],0))=0,"",INDEX(Table2[],_xlfn.XMATCH($A23,Table2[Steel Member],0),_xlfn.XMATCH(R$2,Table2[#Headers],0)))</f>
        <v>Length</v>
      </c>
      <c r="S23" s="4" t="str" cm="1">
        <f t="array" ref="S23">IF(INDEX(Table2[],_xlfn.XMATCH($A23,Table2[Steel Member],0),_xlfn.XMATCH(S$2,Table2[#Headers],0))=0,"",INDEX(Table2[],_xlfn.XMATCH($A23,Table2[Steel Member],0),_xlfn.XMATCH(S$2,Table2[#Headers],0)))</f>
        <v>Weight</v>
      </c>
      <c r="T23" s="4" t="str">
        <f t="shared" si="16"/>
        <v>t</v>
      </c>
      <c r="U23" s="4" t="str">
        <f ca="1">VLOOKUP(N23,'COLOR CODE'!$B:$D,2,FALSE)</f>
        <v>0,191,255</v>
      </c>
      <c r="V23" s="4" t="str">
        <f t="shared" si="17"/>
        <v>Red</v>
      </c>
      <c r="W23" s="4" t="str" cm="1">
        <f t="array" ref="W23">IF(INDEX(Table2[],_xlfn.XMATCH($A23,Table2[Steel Member],0),_xlfn.XMATCH(W$2,Table2[#Headers],0))=0,"",INDEX(Table2[],_xlfn.XMATCH($A23,Table2[Steel Member],0),_xlfn.XMATCH(W$2,Table2[#Headers],0)))</f>
        <v/>
      </c>
      <c r="X23" s="4" t="str">
        <f t="shared" si="18"/>
        <v/>
      </c>
      <c r="Y23" s="4" t="str" cm="1">
        <f t="array" ref="Y23">IF(INDEX(Table2[],_xlfn.XMATCH($A23,Table2[Steel Member],0),_xlfn.XMATCH(Y$2,Table2[#Headers],0))=0,"",INDEX(Table2[],_xlfn.XMATCH($A23,Table2[Steel Member],0),_xlfn.XMATCH(Y$2,Table2[#Headers],0)))</f>
        <v>"0 degrees"</v>
      </c>
      <c r="Z23" s="4" t="str" cm="1">
        <f t="array" ref="Z23">IF(INDEX(Table2[],_xlfn.XMATCH($A23,Table2[Steel Member],0),_xlfn.XMATCH(Z$2,Table2[#Headers],0))=0,"",INDEX(Table2[],_xlfn.XMATCH($A23,Table2[Steel Member],0),_xlfn.XMATCH(Z$2,Table2[#Headers],0)))</f>
        <v/>
      </c>
      <c r="AA23" s="4" t="str" cm="1">
        <f t="array" ref="AA23">IF(INDEX(Table2[],_xlfn.XMATCH($A23,Table2[Steel Member],0),_xlfn.XMATCH(AA$2,Table2[#Headers],0))=0,"",INDEX(Table2[],_xlfn.XMATCH($A23,Table2[Steel Member],0),_xlfn.XMATCH(AA$2,Table2[#Headers],0)))</f>
        <v>[Count]</v>
      </c>
      <c r="AB23" s="4" t="str" cm="1">
        <f t="array" ref="AB23">IF(INDEX(Table2[],_xlfn.XMATCH($A23,Table2[Steel Member],0),_xlfn.XMATCH(AB$2,Table2[#Headers],0))=0,"",INDEX(Table2[],_xlfn.XMATCH($A23,Table2[Steel Member],0),_xlfn.XMATCH(AB$2,Table2[#Headers],0)))</f>
        <v>[Length]</v>
      </c>
      <c r="AC23" s="4" cm="1">
        <f t="array" ref="AC23">IFERROR(INDEX(Table8[],_xlfn.XMATCH($O23,Table8[Dimension Name Category],0),_xlfn.XMATCH(AC$2&amp;IF($L23," w/ tag"," w/o tag"),Table8[#Headers],0)),"")</f>
        <v>4</v>
      </c>
      <c r="AD23" s="59" t="str">
        <f t="shared" si="19"/>
        <v>{Length}*XNUMBER({Dimension Group Name},4)/1000*{Slope Factor}</v>
      </c>
      <c r="AE23" s="4" t="str">
        <f t="shared" si="20"/>
        <v>Steel Surface Area</v>
      </c>
      <c r="AF23" s="4" t="str">
        <f t="shared" si="21"/>
        <v>m2</v>
      </c>
      <c r="AG23" s="4" cm="1">
        <f t="array" ref="AG23">IFERROR(INDEX(Table8[],_xlfn.XMATCH($O23,Table8[Dimension Name Category],0),_xlfn.XMATCH(AG$2&amp;IF($L23," w/ tag"," w/o tag"),Table8[#Headers],0)),"")</f>
        <v>5</v>
      </c>
      <c r="AH23" s="59" t="str">
        <f t="shared" si="22"/>
        <v>{Length}*XNUMBER({Dimension Group Name},5)/1000*{Slope Factor}</v>
      </c>
      <c r="AI23" s="4"/>
      <c r="AJ23" s="4" t="str">
        <f t="shared" si="23"/>
        <v>Slope Length</v>
      </c>
      <c r="AK23" s="4" t="str">
        <f t="shared" si="24"/>
        <v>m</v>
      </c>
      <c r="AL23" s="4" t="str" cm="1">
        <f t="array" ref="AL23">IF(INDEX(Table2[],_xlfn.XMATCH($A23,Table2[Steel Member],0),_xlfn.XMATCH(AL$2,Table2[#Headers],0))=0,"",INDEX(Table2[],_xlfn.XMATCH($A23,Table2[Steel Member],0),_xlfn.XMATCH(AL$2,Table2[#Headers],0)))</f>
        <v>[Length]*{Slope Factor}</v>
      </c>
      <c r="AM23" s="4"/>
      <c r="AN23" s="4" t="str">
        <f t="shared" si="25"/>
        <v>Slope Factor</v>
      </c>
      <c r="AO23" s="4"/>
      <c r="AP23" s="4" t="str" cm="1">
        <f t="array" ref="AP23">IF(INDEX(Table2[],_xlfn.XMATCH($A23,Table2[Steel Member],0),_xlfn.XMATCH(AP$2,Table2[#Headers],0))=0,"",INDEX(Table2[],_xlfn.XMATCH($A23,Table2[Steel Member],0),_xlfn.XMATCH(AP$2,Table2[#Headers],0)))</f>
        <v>1/COS(RADIANS(XNUMBER({Dimension Name},1)))</v>
      </c>
      <c r="AQ23" s="4"/>
      <c r="AR23" s="4"/>
      <c r="AS23" s="4"/>
      <c r="AT23" s="4"/>
    </row>
    <row r="24" spans="1:46" x14ac:dyDescent="0.25">
      <c r="A24" s="52" t="s">
        <v>506</v>
      </c>
      <c r="B24" s="52" t="s">
        <v>1110</v>
      </c>
      <c r="C24" s="52" t="s">
        <v>12</v>
      </c>
      <c r="D24" s="52" t="s">
        <v>475</v>
      </c>
      <c r="E24" s="52"/>
      <c r="F24" s="64" cm="1">
        <f t="array" ref="F24">IF(COUNT(FIND(PurlinsxGirthsxBracings,$C24))&gt;0,0,ROUNDUP(IF(D24=0,0,VLOOKUP(D24,'DATA SHEET'!$B:$D,2,FALSE)),2))</f>
        <v>257</v>
      </c>
      <c r="G24" s="64" cm="1">
        <f t="array" ref="G24">IF(COUNT(FIND(PurlinsxGirthsxBracings,$C24))&gt;0,0,ROUNDUP(IF(D24=0,0,VLOOKUP(D24,'DATA SHEET'!$B:$D,3,FALSE)),2))</f>
        <v>3408</v>
      </c>
      <c r="H24" s="53"/>
      <c r="I24" s="66" t="str" cm="1">
        <f t="array" ref="I24">IF(AND(ISBLANK(B24),ISBLANK(C24),ISBLANK(E24)),0,IF(COUNT(FIND(PurlinsxGirthsxBracings,$C24))&gt;0,IF(B24=0,CONCATENATE(E24," ",C24),CONCATENATE(B24," - ",E24," ",C24)),IF(B24=0,IF(ISBLANK(C24),E24,CONCATENATE(D24,", ",F24,"kg/m, ",G24,"mm surface perimeter")),IF(AND(ISBLANK(C24),ISTEXT(E24)),CONCATENATE(B24," - ",E24),IF(AND(ISBLANK(C24),ISBLANK(E24)),B24,CONCATENATE(B24," - ",D24,", ",F24,"kg/m, ",G24,"mm surface perimeter"))))&amp;IF(ISBLANK(H24),"",H24)))</f>
        <v>B90c - 900WB257, 257kg/m, 3408mm surface perimeter</v>
      </c>
      <c r="J24" s="53"/>
      <c r="L24" s="4" t="b" cm="1">
        <f t="array" ref="L24">IF(COUNT(FIND({0,1,2,3,4,5,6,7,8,9},B24))&gt;0,COUNT(FIND({0,1,2,3,4,5,6,7,8,9},B24))&gt;0,"")</f>
        <v>1</v>
      </c>
      <c r="M24" s="4" cm="1">
        <f t="array" aca="1" ref="M24" ca="1">IFERROR(_xlfn.IFS(R24="Count",RANDBETWEEN(1,COUNTIF($R$11:$R$653,"Count")),R24="Length",RANDBETWEEN(1,COUNTIF($R$11:$R$653,"Length"))),"")</f>
        <v>2</v>
      </c>
      <c r="N24" s="4">
        <f ca="1">IFERROR(_xlfn.RANK.EQ(M24,$M$11:$M$653)+COUNTIF($M$11:M24,M24)-1,"")</f>
        <v>13</v>
      </c>
      <c r="O24" s="86" t="str">
        <f>IF(A24='DATA SHEET'!$L$36,C24,IFERROR(IF(AND(ISTEXT(I24),ISBLANK(C24)),"No details",VLOOKUP(C24,DimFolder,2,FALSE)),""))</f>
        <v>CHS, UB, UC, WB, WC, BT, CT</v>
      </c>
      <c r="P24" s="4" t="str">
        <f t="shared" si="14"/>
        <v>Structural\Structural Steel\Framing\CHS, UB, UC, WB, WC, BT, CT</v>
      </c>
      <c r="Q24" s="58" t="str">
        <f t="shared" si="15"/>
        <v>B90c - 900WB257, 257kg/m, 3408mm surface perimeter</v>
      </c>
      <c r="R24" s="4" t="str" cm="1">
        <f t="array" ref="R24">IF(INDEX(Table2[],_xlfn.XMATCH($A24,Table2[Steel Member],0),_xlfn.XMATCH(R$2,Table2[#Headers],0))=0,"",INDEX(Table2[],_xlfn.XMATCH($A24,Table2[Steel Member],0),_xlfn.XMATCH(R$2,Table2[#Headers],0)))</f>
        <v>Length</v>
      </c>
      <c r="S24" s="4" t="str" cm="1">
        <f t="array" ref="S24">IF(INDEX(Table2[],_xlfn.XMATCH($A24,Table2[Steel Member],0),_xlfn.XMATCH(S$2,Table2[#Headers],0))=0,"",INDEX(Table2[],_xlfn.XMATCH($A24,Table2[Steel Member],0),_xlfn.XMATCH(S$2,Table2[#Headers],0)))</f>
        <v>Weight</v>
      </c>
      <c r="T24" s="4" t="str">
        <f t="shared" si="16"/>
        <v>t</v>
      </c>
      <c r="U24" s="4" t="str">
        <f ca="1">VLOOKUP(N24,'COLOR CODE'!$B:$D,2,FALSE)</f>
        <v>60,179,113</v>
      </c>
      <c r="V24" s="4" t="str">
        <f t="shared" si="17"/>
        <v>Red</v>
      </c>
      <c r="W24" s="4" t="str" cm="1">
        <f t="array" ref="W24">IF(INDEX(Table2[],_xlfn.XMATCH($A24,Table2[Steel Member],0),_xlfn.XMATCH(W$2,Table2[#Headers],0))=0,"",INDEX(Table2[],_xlfn.XMATCH($A24,Table2[Steel Member],0),_xlfn.XMATCH(W$2,Table2[#Headers],0)))</f>
        <v/>
      </c>
      <c r="X24" s="4" t="str">
        <f t="shared" si="18"/>
        <v/>
      </c>
      <c r="Y24" s="4" t="str" cm="1">
        <f t="array" ref="Y24">IF(INDEX(Table2[],_xlfn.XMATCH($A24,Table2[Steel Member],0),_xlfn.XMATCH(Y$2,Table2[#Headers],0))=0,"",INDEX(Table2[],_xlfn.XMATCH($A24,Table2[Steel Member],0),_xlfn.XMATCH(Y$2,Table2[#Headers],0)))</f>
        <v>"0 degrees"</v>
      </c>
      <c r="Z24" s="4" t="str" cm="1">
        <f t="array" ref="Z24">IF(INDEX(Table2[],_xlfn.XMATCH($A24,Table2[Steel Member],0),_xlfn.XMATCH(Z$2,Table2[#Headers],0))=0,"",INDEX(Table2[],_xlfn.XMATCH($A24,Table2[Steel Member],0),_xlfn.XMATCH(Z$2,Table2[#Headers],0)))</f>
        <v/>
      </c>
      <c r="AA24" s="4" t="str" cm="1">
        <f t="array" ref="AA24">IF(INDEX(Table2[],_xlfn.XMATCH($A24,Table2[Steel Member],0),_xlfn.XMATCH(AA$2,Table2[#Headers],0))=0,"",INDEX(Table2[],_xlfn.XMATCH($A24,Table2[Steel Member],0),_xlfn.XMATCH(AA$2,Table2[#Headers],0)))</f>
        <v>[Count]</v>
      </c>
      <c r="AB24" s="4" t="str" cm="1">
        <f t="array" ref="AB24">IF(INDEX(Table2[],_xlfn.XMATCH($A24,Table2[Steel Member],0),_xlfn.XMATCH(AB$2,Table2[#Headers],0))=0,"",INDEX(Table2[],_xlfn.XMATCH($A24,Table2[Steel Member],0),_xlfn.XMATCH(AB$2,Table2[#Headers],0)))</f>
        <v>[Length]</v>
      </c>
      <c r="AC24" s="4" cm="1">
        <f t="array" ref="AC24">IFERROR(INDEX(Table8[],_xlfn.XMATCH($O24,Table8[Dimension Name Category],0),_xlfn.XMATCH(AC$2&amp;IF($L24," w/ tag"," w/o tag"),Table8[#Headers],0)),"")</f>
        <v>4</v>
      </c>
      <c r="AD24" s="59" t="str">
        <f t="shared" si="19"/>
        <v>{Length}*XNUMBER({Dimension Group Name},4)/1000*{Slope Factor}</v>
      </c>
      <c r="AE24" s="4" t="str">
        <f t="shared" si="20"/>
        <v>Steel Surface Area</v>
      </c>
      <c r="AF24" s="4" t="str">
        <f t="shared" si="21"/>
        <v>m2</v>
      </c>
      <c r="AG24" s="4" cm="1">
        <f t="array" ref="AG24">IFERROR(INDEX(Table8[],_xlfn.XMATCH($O24,Table8[Dimension Name Category],0),_xlfn.XMATCH(AG$2&amp;IF($L24," w/ tag"," w/o tag"),Table8[#Headers],0)),"")</f>
        <v>5</v>
      </c>
      <c r="AH24" s="59" t="str">
        <f t="shared" si="22"/>
        <v>{Length}*XNUMBER({Dimension Group Name},5)/1000*{Slope Factor}</v>
      </c>
      <c r="AI24" s="4"/>
      <c r="AJ24" s="4" t="str">
        <f t="shared" si="23"/>
        <v>Slope Length</v>
      </c>
      <c r="AK24" s="4" t="str">
        <f t="shared" si="24"/>
        <v>m</v>
      </c>
      <c r="AL24" s="4" t="str" cm="1">
        <f t="array" ref="AL24">IF(INDEX(Table2[],_xlfn.XMATCH($A24,Table2[Steel Member],0),_xlfn.XMATCH(AL$2,Table2[#Headers],0))=0,"",INDEX(Table2[],_xlfn.XMATCH($A24,Table2[Steel Member],0),_xlfn.XMATCH(AL$2,Table2[#Headers],0)))</f>
        <v>[Length]*{Slope Factor}</v>
      </c>
      <c r="AM24" s="4"/>
      <c r="AN24" s="4" t="str">
        <f t="shared" si="25"/>
        <v>Slope Factor</v>
      </c>
      <c r="AO24" s="4"/>
      <c r="AP24" s="4" t="str" cm="1">
        <f t="array" ref="AP24">IF(INDEX(Table2[],_xlfn.XMATCH($A24,Table2[Steel Member],0),_xlfn.XMATCH(AP$2,Table2[#Headers],0))=0,"",INDEX(Table2[],_xlfn.XMATCH($A24,Table2[Steel Member],0),_xlfn.XMATCH(AP$2,Table2[#Headers],0)))</f>
        <v>1/COS(RADIANS(XNUMBER({Dimension Name},1)))</v>
      </c>
      <c r="AQ24" s="4"/>
      <c r="AR24" s="4"/>
      <c r="AS24" s="4"/>
      <c r="AT24" s="4"/>
    </row>
    <row r="25" spans="1:46" x14ac:dyDescent="0.25">
      <c r="A25" s="52" t="s">
        <v>506</v>
      </c>
      <c r="B25" s="52" t="s">
        <v>1111</v>
      </c>
      <c r="C25" s="52" t="s">
        <v>12</v>
      </c>
      <c r="D25" s="52" t="s">
        <v>476</v>
      </c>
      <c r="E25" s="52"/>
      <c r="F25" s="64" cm="1">
        <f t="array" ref="F25">IF(COUNT(FIND(PurlinsxGirthsxBracings,$C25))&gt;0,0,ROUNDUP(IF(D25=0,0,VLOOKUP(D25,'DATA SHEET'!$B:$D,2,FALSE)),2))</f>
        <v>282</v>
      </c>
      <c r="G25" s="64" cm="1">
        <f t="array" ref="G25">IF(COUNT(FIND(PurlinsxGirthsxBracings,$C25))&gt;0,0,ROUNDUP(IF(D25=0,0,VLOOKUP(D25,'DATA SHEET'!$B:$D,3,FALSE)),2))</f>
        <v>3424</v>
      </c>
      <c r="H25" s="53"/>
      <c r="I25" s="66" t="str" cm="1">
        <f t="array" ref="I25">IF(AND(ISBLANK(B25),ISBLANK(C25),ISBLANK(E25)),0,IF(COUNT(FIND(PurlinsxGirthsxBracings,$C25))&gt;0,IF(B25=0,CONCATENATE(E25," ",C25),CONCATENATE(B25," - ",E25," ",C25)),IF(B25=0,IF(ISBLANK(C25),E25,CONCATENATE(D25,", ",F25,"kg/m, ",G25,"mm surface perimeter")),IF(AND(ISBLANK(C25),ISTEXT(E25)),CONCATENATE(B25," - ",E25),IF(AND(ISBLANK(C25),ISBLANK(E25)),B25,CONCATENATE(B25," - ",D25,", ",F25,"kg/m, ",G25,"mm surface perimeter"))))&amp;IF(ISBLANK(H25),"",H25)))</f>
        <v>B90d - 900WB282, 282kg/m, 3424mm surface perimeter</v>
      </c>
      <c r="J25" s="53"/>
      <c r="L25" s="4" t="b" cm="1">
        <f t="array" ref="L25">IF(COUNT(FIND({0,1,2,3,4,5,6,7,8,9},B25))&gt;0,COUNT(FIND({0,1,2,3,4,5,6,7,8,9},B25))&gt;0,"")</f>
        <v>1</v>
      </c>
      <c r="M25" s="4" cm="1">
        <f t="array" aca="1" ref="M25" ca="1">IFERROR(_xlfn.IFS(R25="Count",RANDBETWEEN(1,COUNTIF($R$11:$R$653,"Count")),R25="Length",RANDBETWEEN(1,COUNTIF($R$11:$R$653,"Length"))),"")</f>
        <v>2</v>
      </c>
      <c r="N25" s="4">
        <f ca="1">IFERROR(_xlfn.RANK.EQ(M25,$M$11:$M$653)+COUNTIF($M$11:M25,M25)-1,"")</f>
        <v>14</v>
      </c>
      <c r="O25" s="86" t="str">
        <f>IF(A25='DATA SHEET'!$L$36,C25,IFERROR(IF(AND(ISTEXT(I25),ISBLANK(C25)),"No details",VLOOKUP(C25,DimFolder,2,FALSE)),""))</f>
        <v>CHS, UB, UC, WB, WC, BT, CT</v>
      </c>
      <c r="P25" s="4" t="str">
        <f t="shared" si="14"/>
        <v>Structural\Structural Steel\Framing\CHS, UB, UC, WB, WC, BT, CT</v>
      </c>
      <c r="Q25" s="58" t="str">
        <f t="shared" si="15"/>
        <v>B90d - 900WB282, 282kg/m, 3424mm surface perimeter</v>
      </c>
      <c r="R25" s="4" t="str" cm="1">
        <f t="array" ref="R25">IF(INDEX(Table2[],_xlfn.XMATCH($A25,Table2[Steel Member],0),_xlfn.XMATCH(R$2,Table2[#Headers],0))=0,"",INDEX(Table2[],_xlfn.XMATCH($A25,Table2[Steel Member],0),_xlfn.XMATCH(R$2,Table2[#Headers],0)))</f>
        <v>Length</v>
      </c>
      <c r="S25" s="4" t="str" cm="1">
        <f t="array" ref="S25">IF(INDEX(Table2[],_xlfn.XMATCH($A25,Table2[Steel Member],0),_xlfn.XMATCH(S$2,Table2[#Headers],0))=0,"",INDEX(Table2[],_xlfn.XMATCH($A25,Table2[Steel Member],0),_xlfn.XMATCH(S$2,Table2[#Headers],0)))</f>
        <v>Weight</v>
      </c>
      <c r="T25" s="4" t="str">
        <f t="shared" si="16"/>
        <v>t</v>
      </c>
      <c r="U25" s="4" t="str">
        <f ca="1">VLOOKUP(N25,'COLOR CODE'!$B:$D,2,FALSE)</f>
        <v>210,180,140</v>
      </c>
      <c r="V25" s="4" t="str">
        <f t="shared" si="17"/>
        <v>Red</v>
      </c>
      <c r="W25" s="4" t="str" cm="1">
        <f t="array" ref="W25">IF(INDEX(Table2[],_xlfn.XMATCH($A25,Table2[Steel Member],0),_xlfn.XMATCH(W$2,Table2[#Headers],0))=0,"",INDEX(Table2[],_xlfn.XMATCH($A25,Table2[Steel Member],0),_xlfn.XMATCH(W$2,Table2[#Headers],0)))</f>
        <v/>
      </c>
      <c r="X25" s="4" t="str">
        <f t="shared" si="18"/>
        <v/>
      </c>
      <c r="Y25" s="4" t="str" cm="1">
        <f t="array" ref="Y25">IF(INDEX(Table2[],_xlfn.XMATCH($A25,Table2[Steel Member],0),_xlfn.XMATCH(Y$2,Table2[#Headers],0))=0,"",INDEX(Table2[],_xlfn.XMATCH($A25,Table2[Steel Member],0),_xlfn.XMATCH(Y$2,Table2[#Headers],0)))</f>
        <v>"0 degrees"</v>
      </c>
      <c r="Z25" s="4" t="str" cm="1">
        <f t="array" ref="Z25">IF(INDEX(Table2[],_xlfn.XMATCH($A25,Table2[Steel Member],0),_xlfn.XMATCH(Z$2,Table2[#Headers],0))=0,"",INDEX(Table2[],_xlfn.XMATCH($A25,Table2[Steel Member],0),_xlfn.XMATCH(Z$2,Table2[#Headers],0)))</f>
        <v/>
      </c>
      <c r="AA25" s="4" t="str" cm="1">
        <f t="array" ref="AA25">IF(INDEX(Table2[],_xlfn.XMATCH($A25,Table2[Steel Member],0),_xlfn.XMATCH(AA$2,Table2[#Headers],0))=0,"",INDEX(Table2[],_xlfn.XMATCH($A25,Table2[Steel Member],0),_xlfn.XMATCH(AA$2,Table2[#Headers],0)))</f>
        <v>[Count]</v>
      </c>
      <c r="AB25" s="4" t="str" cm="1">
        <f t="array" ref="AB25">IF(INDEX(Table2[],_xlfn.XMATCH($A25,Table2[Steel Member],0),_xlfn.XMATCH(AB$2,Table2[#Headers],0))=0,"",INDEX(Table2[],_xlfn.XMATCH($A25,Table2[Steel Member],0),_xlfn.XMATCH(AB$2,Table2[#Headers],0)))</f>
        <v>[Length]</v>
      </c>
      <c r="AC25" s="4" cm="1">
        <f t="array" ref="AC25">IFERROR(INDEX(Table8[],_xlfn.XMATCH($O25,Table8[Dimension Name Category],0),_xlfn.XMATCH(AC$2&amp;IF($L25," w/ tag"," w/o tag"),Table8[#Headers],0)),"")</f>
        <v>4</v>
      </c>
      <c r="AD25" s="59" t="str">
        <f t="shared" si="19"/>
        <v>{Length}*XNUMBER({Dimension Group Name},4)/1000*{Slope Factor}</v>
      </c>
      <c r="AE25" s="4" t="str">
        <f t="shared" si="20"/>
        <v>Steel Surface Area</v>
      </c>
      <c r="AF25" s="4" t="str">
        <f t="shared" si="21"/>
        <v>m2</v>
      </c>
      <c r="AG25" s="4" cm="1">
        <f t="array" ref="AG25">IFERROR(INDEX(Table8[],_xlfn.XMATCH($O25,Table8[Dimension Name Category],0),_xlfn.XMATCH(AG$2&amp;IF($L25," w/ tag"," w/o tag"),Table8[#Headers],0)),"")</f>
        <v>5</v>
      </c>
      <c r="AH25" s="59" t="str">
        <f t="shared" si="22"/>
        <v>{Length}*XNUMBER({Dimension Group Name},5)/1000*{Slope Factor}</v>
      </c>
      <c r="AI25" s="4"/>
      <c r="AJ25" s="4" t="str">
        <f t="shared" si="23"/>
        <v>Slope Length</v>
      </c>
      <c r="AK25" s="4" t="str">
        <f t="shared" si="24"/>
        <v>m</v>
      </c>
      <c r="AL25" s="4" t="str" cm="1">
        <f t="array" ref="AL25">IF(INDEX(Table2[],_xlfn.XMATCH($A25,Table2[Steel Member],0),_xlfn.XMATCH(AL$2,Table2[#Headers],0))=0,"",INDEX(Table2[],_xlfn.XMATCH($A25,Table2[Steel Member],0),_xlfn.XMATCH(AL$2,Table2[#Headers],0)))</f>
        <v>[Length]*{Slope Factor}</v>
      </c>
      <c r="AM25" s="4"/>
      <c r="AN25" s="4" t="str">
        <f t="shared" si="25"/>
        <v>Slope Factor</v>
      </c>
      <c r="AO25" s="4"/>
      <c r="AP25" s="4" t="str" cm="1">
        <f t="array" ref="AP25">IF(INDEX(Table2[],_xlfn.XMATCH($A25,Table2[Steel Member],0),_xlfn.XMATCH(AP$2,Table2[#Headers],0))=0,"",INDEX(Table2[],_xlfn.XMATCH($A25,Table2[Steel Member],0),_xlfn.XMATCH(AP$2,Table2[#Headers],0)))</f>
        <v>1/COS(RADIANS(XNUMBER({Dimension Name},1)))</v>
      </c>
      <c r="AQ25" s="4"/>
      <c r="AR25" s="4"/>
      <c r="AS25" s="4"/>
      <c r="AT25" s="4"/>
    </row>
    <row r="26" spans="1:46" x14ac:dyDescent="0.25">
      <c r="A26" s="52" t="s">
        <v>508</v>
      </c>
      <c r="B26" s="52" t="s">
        <v>1112</v>
      </c>
      <c r="C26" s="52"/>
      <c r="D26" s="52"/>
      <c r="E26" s="52" t="s">
        <v>1125</v>
      </c>
      <c r="F26" s="64" cm="1">
        <f t="array" ref="F26">IF(COUNT(FIND(PurlinsxGirthsxBracings,$C26))&gt;0,0,ROUNDUP(IF(D26=0,0,VLOOKUP(D26,'DATA SHEET'!$B:$D,2,FALSE)),2))</f>
        <v>0</v>
      </c>
      <c r="G26" s="64" cm="1">
        <f t="array" ref="G26">IF(COUNT(FIND(PurlinsxGirthsxBracings,$C26))&gt;0,0,ROUNDUP(IF(D26=0,0,VLOOKUP(D26,'DATA SHEET'!$B:$D,3,FALSE)),2))</f>
        <v>0</v>
      </c>
      <c r="H26" s="53" t="s">
        <v>1163</v>
      </c>
      <c r="I26" s="66" t="str" cm="1">
        <f t="array" ref="I26">IF(AND(ISBLANK(B26),ISBLANK(C26),ISBLANK(E26)),0,IF(COUNT(FIND(PurlinsxGirthsxBracings,$C26))&gt;0,IF(B26=0,CONCATENATE(E26," ",C26),CONCATENATE(B26," - ",E26," ",C26)),IF(B26=0,IF(ISBLANK(C26),E26,CONCATENATE(D26,", ",F26,"kg/m, ",G26,"mm surface perimeter")),IF(AND(ISBLANK(C26),ISTEXT(E26)),CONCATENATE(B26," - ",E26),IF(AND(ISBLANK(C26),ISBLANK(E26)),B26,CONCATENATE(B26," - ",D26,", ",F26,"kg/m, ",G26,"mm surface perimeter"))))&amp;IF(ISBLANK(H26),"",H26)))</f>
        <v>CWB65b - CUSTOM_650_F50_W50; Steel Grade: 400PLUS</v>
      </c>
      <c r="J26" s="53"/>
      <c r="L26" s="4" t="b" cm="1">
        <f t="array" ref="L26">IF(COUNT(FIND({0,1,2,3,4,5,6,7,8,9},B26))&gt;0,COUNT(FIND({0,1,2,3,4,5,6,7,8,9},B26))&gt;0,"")</f>
        <v>1</v>
      </c>
      <c r="M26" s="4" t="str" cm="1">
        <f t="array" aca="1" ref="M26" ca="1">IFERROR(_xlfn.IFS(R26="Count",RANDBETWEEN(1,COUNTIF($R$11:$R$653,"Count")),R26="Length",RANDBETWEEN(1,COUNTIF($R$11:$R$653,"Length"))),"")</f>
        <v/>
      </c>
      <c r="N26" s="4" t="str">
        <f ca="1">IFERROR(_xlfn.RANK.EQ(M26,$M$11:$M$653)+COUNTIF($M$11:M26,M26)-1,"")</f>
        <v/>
      </c>
      <c r="O26" s="86" t="str">
        <f>IF(A26='DATA SHEET'!$L$36,C26,IFERROR(IF(AND(ISTEXT(I26),ISBLANK(C26)),"No details",VLOOKUP(C26,DimFolder,2,FALSE)),""))</f>
        <v>No details</v>
      </c>
      <c r="P26" s="4" t="str">
        <f t="shared" si="14"/>
        <v>Structural\Structural Steel\Purlins, Girths and Bracings\No details</v>
      </c>
      <c r="Q26" s="58" t="str">
        <f t="shared" si="15"/>
        <v>CWB65b - CUSTOM_650_F50_W50; Steel Grade: 400PLUS</v>
      </c>
      <c r="R26" s="4" t="e" cm="1">
        <f t="array" ref="R26">IF(INDEX(Table2[],_xlfn.XMATCH($A26,Table2[Steel Member],0),_xlfn.XMATCH(R$2,Table2[#Headers],0))=0,"",INDEX(Table2[],_xlfn.XMATCH($A26,Table2[Steel Member],0),_xlfn.XMATCH(R$2,Table2[#Headers],0)))</f>
        <v>#N/A</v>
      </c>
      <c r="S26" s="4" t="e" cm="1">
        <f t="array" ref="S26">IF(INDEX(Table2[],_xlfn.XMATCH($A26,Table2[Steel Member],0),_xlfn.XMATCH(S$2,Table2[#Headers],0))=0,"",INDEX(Table2[],_xlfn.XMATCH($A26,Table2[Steel Member],0),_xlfn.XMATCH(S$2,Table2[#Headers],0)))</f>
        <v>#N/A</v>
      </c>
      <c r="T26" s="4" t="str">
        <f t="shared" si="16"/>
        <v>t</v>
      </c>
      <c r="U26" s="4" t="e">
        <f ca="1">VLOOKUP(N26,'COLOR CODE'!$B:$D,2,FALSE)</f>
        <v>#N/A</v>
      </c>
      <c r="V26" s="4" t="str">
        <f t="shared" si="17"/>
        <v>Red</v>
      </c>
      <c r="W26" s="4" t="e" cm="1">
        <f t="array" ref="W26">IF(INDEX(Table2[],_xlfn.XMATCH($A26,Table2[Steel Member],0),_xlfn.XMATCH(W$2,Table2[#Headers],0))=0,"",INDEX(Table2[],_xlfn.XMATCH($A26,Table2[Steel Member],0),_xlfn.XMATCH(W$2,Table2[#Headers],0)))</f>
        <v>#N/A</v>
      </c>
      <c r="X26" s="4" t="e">
        <f t="shared" si="18"/>
        <v>#N/A</v>
      </c>
      <c r="Y26" s="4" t="e" cm="1">
        <f t="array" ref="Y26">IF(INDEX(Table2[],_xlfn.XMATCH($A26,Table2[Steel Member],0),_xlfn.XMATCH(Y$2,Table2[#Headers],0))=0,"",INDEX(Table2[],_xlfn.XMATCH($A26,Table2[Steel Member],0),_xlfn.XMATCH(Y$2,Table2[#Headers],0)))</f>
        <v>#N/A</v>
      </c>
      <c r="Z26" s="4" t="e" cm="1">
        <f t="array" ref="Z26">IF(INDEX(Table2[],_xlfn.XMATCH($A26,Table2[Steel Member],0),_xlfn.XMATCH(Z$2,Table2[#Headers],0))=0,"",INDEX(Table2[],_xlfn.XMATCH($A26,Table2[Steel Member],0),_xlfn.XMATCH(Z$2,Table2[#Headers],0)))</f>
        <v>#N/A</v>
      </c>
      <c r="AA26" s="4" t="e" cm="1">
        <f t="array" ref="AA26">IF(INDEX(Table2[],_xlfn.XMATCH($A26,Table2[Steel Member],0),_xlfn.XMATCH(AA$2,Table2[#Headers],0))=0,"",INDEX(Table2[],_xlfn.XMATCH($A26,Table2[Steel Member],0),_xlfn.XMATCH(AA$2,Table2[#Headers],0)))</f>
        <v>#N/A</v>
      </c>
      <c r="AB26" s="4" t="e" cm="1">
        <f t="array" ref="AB26">IF(INDEX(Table2[],_xlfn.XMATCH($A26,Table2[Steel Member],0),_xlfn.XMATCH(AB$2,Table2[#Headers],0))=0,"",INDEX(Table2[],_xlfn.XMATCH($A26,Table2[Steel Member],0),_xlfn.XMATCH(AB$2,Table2[#Headers],0)))</f>
        <v>#N/A</v>
      </c>
      <c r="AC26" s="4" t="str" cm="1">
        <f t="array" ref="AC26">IFERROR(INDEX(Table8[],_xlfn.XMATCH($O26,Table8[Dimension Name Category],0),_xlfn.XMATCH(AC$2&amp;IF($L26," w/ tag"," w/o tag"),Table8[#Headers],0)),"")</f>
        <v/>
      </c>
      <c r="AD26" s="59" t="str">
        <f t="shared" si="19"/>
        <v/>
      </c>
      <c r="AE26" s="4" t="str">
        <f t="shared" si="20"/>
        <v>Steel Surface Area</v>
      </c>
      <c r="AF26" s="4" t="str">
        <f t="shared" si="21"/>
        <v>m2</v>
      </c>
      <c r="AG26" s="4" t="str" cm="1">
        <f t="array" ref="AG26">IFERROR(INDEX(Table8[],_xlfn.XMATCH($O26,Table8[Dimension Name Category],0),_xlfn.XMATCH(AG$2&amp;IF($L26," w/ tag"," w/o tag"),Table8[#Headers],0)),"")</f>
        <v/>
      </c>
      <c r="AH26" s="59" t="str">
        <f t="shared" si="22"/>
        <v/>
      </c>
      <c r="AI26" s="4"/>
      <c r="AJ26" s="4" t="str">
        <f t="shared" si="23"/>
        <v>Slope Length</v>
      </c>
      <c r="AK26" s="4" t="str">
        <f t="shared" si="24"/>
        <v>m</v>
      </c>
      <c r="AL26" s="4" t="e" cm="1">
        <f t="array" ref="AL26">IF(INDEX(Table2[],_xlfn.XMATCH($A26,Table2[Steel Member],0),_xlfn.XMATCH(AL$2,Table2[#Headers],0))=0,"",INDEX(Table2[],_xlfn.XMATCH($A26,Table2[Steel Member],0),_xlfn.XMATCH(AL$2,Table2[#Headers],0)))</f>
        <v>#N/A</v>
      </c>
      <c r="AM26" s="4"/>
      <c r="AN26" s="4" t="str">
        <f t="shared" si="25"/>
        <v>Slope Factor</v>
      </c>
      <c r="AO26" s="4"/>
      <c r="AP26" s="4" t="e" cm="1">
        <f t="array" ref="AP26">IF(INDEX(Table2[],_xlfn.XMATCH($A26,Table2[Steel Member],0),_xlfn.XMATCH(AP$2,Table2[#Headers],0))=0,"",INDEX(Table2[],_xlfn.XMATCH($A26,Table2[Steel Member],0),_xlfn.XMATCH(AP$2,Table2[#Headers],0)))</f>
        <v>#N/A</v>
      </c>
      <c r="AQ26" s="4"/>
      <c r="AR26" s="4"/>
      <c r="AS26" s="4"/>
      <c r="AT26" s="4"/>
    </row>
    <row r="27" spans="1:46" x14ac:dyDescent="0.25">
      <c r="A27" s="52" t="s">
        <v>508</v>
      </c>
      <c r="B27" s="52" t="s">
        <v>1113</v>
      </c>
      <c r="C27" s="52"/>
      <c r="D27" s="52"/>
      <c r="E27" s="52" t="s">
        <v>1126</v>
      </c>
      <c r="F27" s="64" cm="1">
        <f t="array" ref="F27">IF(COUNT(FIND(PurlinsxGirthsxBracings,$C27))&gt;0,0,ROUNDUP(IF(D27=0,0,VLOOKUP(D27,'DATA SHEET'!$B:$D,2,FALSE)),2))</f>
        <v>0</v>
      </c>
      <c r="G27" s="64" cm="1">
        <f t="array" ref="G27">IF(COUNT(FIND(PurlinsxGirthsxBracings,$C27))&gt;0,0,ROUNDUP(IF(D27=0,0,VLOOKUP(D27,'DATA SHEET'!$B:$D,3,FALSE)),2))</f>
        <v>0</v>
      </c>
      <c r="H27" s="53" t="s">
        <v>1163</v>
      </c>
      <c r="I27" s="66" t="str" cm="1">
        <f t="array" ref="I27">IF(AND(ISBLANK(B27),ISBLANK(C27),ISBLANK(E27)),0,IF(COUNT(FIND(PurlinsxGirthsxBracings,$C27))&gt;0,IF(B27=0,CONCATENATE(E27," ",C27),CONCATENATE(B27," - ",E27," ",C27)),IF(B27=0,IF(ISBLANK(C27),E27,CONCATENATE(D27,", ",F27,"kg/m, ",G27,"mm surface perimeter")),IF(AND(ISBLANK(C27),ISTEXT(E27)),CONCATENATE(B27," - ",E27),IF(AND(ISBLANK(C27),ISBLANK(E27)),B27,CONCATENATE(B27," - ",D27,", ",F27,"kg/m, ",G27,"mm surface perimeter"))))&amp;IF(ISBLANK(H27),"",H27)))</f>
        <v>CWB70c - CUSTOM_700_F28_W10; Steel Grade: 400PLUS</v>
      </c>
      <c r="J27" s="53"/>
      <c r="L27" s="4" t="b" cm="1">
        <f t="array" ref="L27">IF(COUNT(FIND({0,1,2,3,4,5,6,7,8,9},B27))&gt;0,COUNT(FIND({0,1,2,3,4,5,6,7,8,9},B27))&gt;0,"")</f>
        <v>1</v>
      </c>
      <c r="M27" s="4" t="str" cm="1">
        <f t="array" aca="1" ref="M27" ca="1">IFERROR(_xlfn.IFS(R27="Count",RANDBETWEEN(1,COUNTIF($R$11:$R$653,"Count")),R27="Length",RANDBETWEEN(1,COUNTIF($R$11:$R$653,"Length"))),"")</f>
        <v/>
      </c>
      <c r="N27" s="4" t="str">
        <f ca="1">IFERROR(_xlfn.RANK.EQ(M27,$M$11:$M$653)+COUNTIF($M$11:M27,M27)-1,"")</f>
        <v/>
      </c>
      <c r="O27" s="86" t="str">
        <f>IF(A27='DATA SHEET'!$L$36,C27,IFERROR(IF(AND(ISTEXT(I27),ISBLANK(C27)),"No details",VLOOKUP(C27,DimFolder,2,FALSE)),""))</f>
        <v>No details</v>
      </c>
      <c r="P27" s="4" t="str">
        <f t="shared" si="14"/>
        <v>Structural\Structural Steel\Purlins, Girths and Bracings\No details</v>
      </c>
      <c r="Q27" s="58" t="str">
        <f t="shared" si="15"/>
        <v>CWB70c - CUSTOM_700_F28_W10; Steel Grade: 400PLUS</v>
      </c>
      <c r="R27" s="4" t="e" cm="1">
        <f t="array" ref="R27">IF(INDEX(Table2[],_xlfn.XMATCH($A27,Table2[Steel Member],0),_xlfn.XMATCH(R$2,Table2[#Headers],0))=0,"",INDEX(Table2[],_xlfn.XMATCH($A27,Table2[Steel Member],0),_xlfn.XMATCH(R$2,Table2[#Headers],0)))</f>
        <v>#N/A</v>
      </c>
      <c r="S27" s="4" t="e" cm="1">
        <f t="array" ref="S27">IF(INDEX(Table2[],_xlfn.XMATCH($A27,Table2[Steel Member],0),_xlfn.XMATCH(S$2,Table2[#Headers],0))=0,"",INDEX(Table2[],_xlfn.XMATCH($A27,Table2[Steel Member],0),_xlfn.XMATCH(S$2,Table2[#Headers],0)))</f>
        <v>#N/A</v>
      </c>
      <c r="T27" s="4" t="str">
        <f t="shared" si="16"/>
        <v>t</v>
      </c>
      <c r="U27" s="4" t="e">
        <f ca="1">VLOOKUP(N27,'COLOR CODE'!$B:$D,2,FALSE)</f>
        <v>#N/A</v>
      </c>
      <c r="V27" s="4" t="str">
        <f t="shared" si="17"/>
        <v>Red</v>
      </c>
      <c r="W27" s="4" t="e" cm="1">
        <f t="array" ref="W27">IF(INDEX(Table2[],_xlfn.XMATCH($A27,Table2[Steel Member],0),_xlfn.XMATCH(W$2,Table2[#Headers],0))=0,"",INDEX(Table2[],_xlfn.XMATCH($A27,Table2[Steel Member],0),_xlfn.XMATCH(W$2,Table2[#Headers],0)))</f>
        <v>#N/A</v>
      </c>
      <c r="X27" s="4" t="e">
        <f t="shared" si="18"/>
        <v>#N/A</v>
      </c>
      <c r="Y27" s="4" t="e" cm="1">
        <f t="array" ref="Y27">IF(INDEX(Table2[],_xlfn.XMATCH($A27,Table2[Steel Member],0),_xlfn.XMATCH(Y$2,Table2[#Headers],0))=0,"",INDEX(Table2[],_xlfn.XMATCH($A27,Table2[Steel Member],0),_xlfn.XMATCH(Y$2,Table2[#Headers],0)))</f>
        <v>#N/A</v>
      </c>
      <c r="Z27" s="4" t="e" cm="1">
        <f t="array" ref="Z27">IF(INDEX(Table2[],_xlfn.XMATCH($A27,Table2[Steel Member],0),_xlfn.XMATCH(Z$2,Table2[#Headers],0))=0,"",INDEX(Table2[],_xlfn.XMATCH($A27,Table2[Steel Member],0),_xlfn.XMATCH(Z$2,Table2[#Headers],0)))</f>
        <v>#N/A</v>
      </c>
      <c r="AA27" s="4" t="e" cm="1">
        <f t="array" ref="AA27">IF(INDEX(Table2[],_xlfn.XMATCH($A27,Table2[Steel Member],0),_xlfn.XMATCH(AA$2,Table2[#Headers],0))=0,"",INDEX(Table2[],_xlfn.XMATCH($A27,Table2[Steel Member],0),_xlfn.XMATCH(AA$2,Table2[#Headers],0)))</f>
        <v>#N/A</v>
      </c>
      <c r="AB27" s="4" t="e" cm="1">
        <f t="array" ref="AB27">IF(INDEX(Table2[],_xlfn.XMATCH($A27,Table2[Steel Member],0),_xlfn.XMATCH(AB$2,Table2[#Headers],0))=0,"",INDEX(Table2[],_xlfn.XMATCH($A27,Table2[Steel Member],0),_xlfn.XMATCH(AB$2,Table2[#Headers],0)))</f>
        <v>#N/A</v>
      </c>
      <c r="AC27" s="4" t="str" cm="1">
        <f t="array" ref="AC27">IFERROR(INDEX(Table8[],_xlfn.XMATCH($O27,Table8[Dimension Name Category],0),_xlfn.XMATCH(AC$2&amp;IF($L27," w/ tag"," w/o tag"),Table8[#Headers],0)),"")</f>
        <v/>
      </c>
      <c r="AD27" s="59" t="str">
        <f t="shared" si="19"/>
        <v/>
      </c>
      <c r="AE27" s="4" t="str">
        <f t="shared" si="20"/>
        <v>Steel Surface Area</v>
      </c>
      <c r="AF27" s="4" t="str">
        <f t="shared" si="21"/>
        <v>m2</v>
      </c>
      <c r="AG27" s="4" t="str" cm="1">
        <f t="array" ref="AG27">IFERROR(INDEX(Table8[],_xlfn.XMATCH($O27,Table8[Dimension Name Category],0),_xlfn.XMATCH(AG$2&amp;IF($L27," w/ tag"," w/o tag"),Table8[#Headers],0)),"")</f>
        <v/>
      </c>
      <c r="AH27" s="59" t="str">
        <f t="shared" si="22"/>
        <v/>
      </c>
      <c r="AI27" s="4"/>
      <c r="AJ27" s="4" t="str">
        <f t="shared" si="23"/>
        <v>Slope Length</v>
      </c>
      <c r="AK27" s="4" t="str">
        <f t="shared" si="24"/>
        <v>m</v>
      </c>
      <c r="AL27" s="4" t="e" cm="1">
        <f t="array" ref="AL27">IF(INDEX(Table2[],_xlfn.XMATCH($A27,Table2[Steel Member],0),_xlfn.XMATCH(AL$2,Table2[#Headers],0))=0,"",INDEX(Table2[],_xlfn.XMATCH($A27,Table2[Steel Member],0),_xlfn.XMATCH(AL$2,Table2[#Headers],0)))</f>
        <v>#N/A</v>
      </c>
      <c r="AM27" s="4"/>
      <c r="AN27" s="4" t="str">
        <f t="shared" si="25"/>
        <v>Slope Factor</v>
      </c>
      <c r="AO27" s="4"/>
      <c r="AP27" s="4" t="e" cm="1">
        <f t="array" ref="AP27">IF(INDEX(Table2[],_xlfn.XMATCH($A27,Table2[Steel Member],0),_xlfn.XMATCH(AP$2,Table2[#Headers],0))=0,"",INDEX(Table2[],_xlfn.XMATCH($A27,Table2[Steel Member],0),_xlfn.XMATCH(AP$2,Table2[#Headers],0)))</f>
        <v>#N/A</v>
      </c>
      <c r="AQ27" s="4"/>
      <c r="AR27" s="4"/>
      <c r="AS27" s="4"/>
      <c r="AT27" s="4"/>
    </row>
    <row r="28" spans="1:46" x14ac:dyDescent="0.25">
      <c r="A28" s="52" t="s">
        <v>508</v>
      </c>
      <c r="B28" s="52" t="s">
        <v>1114</v>
      </c>
      <c r="C28" s="52"/>
      <c r="D28" s="52"/>
      <c r="E28" s="52" t="s">
        <v>1127</v>
      </c>
      <c r="F28" s="64" cm="1">
        <f t="array" ref="F28">IF(COUNT(FIND(PurlinsxGirthsxBracings,$C28))&gt;0,0,ROUNDUP(IF(D28=0,0,VLOOKUP(D28,'DATA SHEET'!$B:$D,2,FALSE)),2))</f>
        <v>0</v>
      </c>
      <c r="G28" s="64" cm="1">
        <f t="array" ref="G28">IF(COUNT(FIND(PurlinsxGirthsxBracings,$C28))&gt;0,0,ROUNDUP(IF(D28=0,0,VLOOKUP(D28,'DATA SHEET'!$B:$D,3,FALSE)),2))</f>
        <v>0</v>
      </c>
      <c r="H28" s="53" t="s">
        <v>1163</v>
      </c>
      <c r="I28" s="66" t="str" cm="1">
        <f t="array" ref="I28">IF(AND(ISBLANK(B28),ISBLANK(C28),ISBLANK(E28)),0,IF(COUNT(FIND(PurlinsxGirthsxBracings,$C28))&gt;0,IF(B28=0,CONCATENATE(E28," ",C28),CONCATENATE(B28," - ",E28," ",C28)),IF(B28=0,IF(ISBLANK(C28),E28,CONCATENATE(D28,", ",F28,"kg/m, ",G28,"mm surface perimeter")),IF(AND(ISBLANK(C28),ISTEXT(E28)),CONCATENATE(B28," - ",E28),IF(AND(ISBLANK(C28),ISBLANK(E28)),B28,CONCATENATE(B28," - ",D28,", ",F28,"kg/m, ",G28,"mm surface perimeter"))))&amp;IF(ISBLANK(H28),"",H28)))</f>
        <v>CWB70j - CUSTOM_700_F50_W20; Steel Grade: 400PLUS</v>
      </c>
      <c r="J28" s="53"/>
      <c r="L28" s="4" t="b" cm="1">
        <f t="array" ref="L28">IF(COUNT(FIND({0,1,2,3,4,5,6,7,8,9},B28))&gt;0,COUNT(FIND({0,1,2,3,4,5,6,7,8,9},B28))&gt;0,"")</f>
        <v>1</v>
      </c>
      <c r="M28" s="4" t="str" cm="1">
        <f t="array" aca="1" ref="M28" ca="1">IFERROR(_xlfn.IFS(R28="Count",RANDBETWEEN(1,COUNTIF($R$11:$R$653,"Count")),R28="Length",RANDBETWEEN(1,COUNTIF($R$11:$R$653,"Length"))),"")</f>
        <v/>
      </c>
      <c r="N28" s="4" t="str">
        <f ca="1">IFERROR(_xlfn.RANK.EQ(M28,$M$11:$M$653)+COUNTIF($M$11:M28,M28)-1,"")</f>
        <v/>
      </c>
      <c r="O28" s="86" t="str">
        <f>IF(A28='DATA SHEET'!$L$36,C28,IFERROR(IF(AND(ISTEXT(I28),ISBLANK(C28)),"No details",VLOOKUP(C28,DimFolder,2,FALSE)),""))</f>
        <v>No details</v>
      </c>
      <c r="P28" s="4" t="str">
        <f t="shared" si="14"/>
        <v>Structural\Structural Steel\Purlins, Girths and Bracings\No details</v>
      </c>
      <c r="Q28" s="58" t="str">
        <f t="shared" si="15"/>
        <v>CWB70j - CUSTOM_700_F50_W20; Steel Grade: 400PLUS</v>
      </c>
      <c r="R28" s="4" t="e" cm="1">
        <f t="array" ref="R28">IF(INDEX(Table2[],_xlfn.XMATCH($A28,Table2[Steel Member],0),_xlfn.XMATCH(R$2,Table2[#Headers],0))=0,"",INDEX(Table2[],_xlfn.XMATCH($A28,Table2[Steel Member],0),_xlfn.XMATCH(R$2,Table2[#Headers],0)))</f>
        <v>#N/A</v>
      </c>
      <c r="S28" s="4" t="e" cm="1">
        <f t="array" ref="S28">IF(INDEX(Table2[],_xlfn.XMATCH($A28,Table2[Steel Member],0),_xlfn.XMATCH(S$2,Table2[#Headers],0))=0,"",INDEX(Table2[],_xlfn.XMATCH($A28,Table2[Steel Member],0),_xlfn.XMATCH(S$2,Table2[#Headers],0)))</f>
        <v>#N/A</v>
      </c>
      <c r="T28" s="4" t="str">
        <f t="shared" si="16"/>
        <v>t</v>
      </c>
      <c r="U28" s="4" t="e">
        <f ca="1">VLOOKUP(N28,'COLOR CODE'!$B:$D,2,FALSE)</f>
        <v>#N/A</v>
      </c>
      <c r="V28" s="4" t="str">
        <f t="shared" si="17"/>
        <v>Red</v>
      </c>
      <c r="W28" s="4" t="e" cm="1">
        <f t="array" ref="W28">IF(INDEX(Table2[],_xlfn.XMATCH($A28,Table2[Steel Member],0),_xlfn.XMATCH(W$2,Table2[#Headers],0))=0,"",INDEX(Table2[],_xlfn.XMATCH($A28,Table2[Steel Member],0),_xlfn.XMATCH(W$2,Table2[#Headers],0)))</f>
        <v>#N/A</v>
      </c>
      <c r="X28" s="4" t="e">
        <f t="shared" si="18"/>
        <v>#N/A</v>
      </c>
      <c r="Y28" s="4" t="e" cm="1">
        <f t="array" ref="Y28">IF(INDEX(Table2[],_xlfn.XMATCH($A28,Table2[Steel Member],0),_xlfn.XMATCH(Y$2,Table2[#Headers],0))=0,"",INDEX(Table2[],_xlfn.XMATCH($A28,Table2[Steel Member],0),_xlfn.XMATCH(Y$2,Table2[#Headers],0)))</f>
        <v>#N/A</v>
      </c>
      <c r="Z28" s="4" t="e" cm="1">
        <f t="array" ref="Z28">IF(INDEX(Table2[],_xlfn.XMATCH($A28,Table2[Steel Member],0),_xlfn.XMATCH(Z$2,Table2[#Headers],0))=0,"",INDEX(Table2[],_xlfn.XMATCH($A28,Table2[Steel Member],0),_xlfn.XMATCH(Z$2,Table2[#Headers],0)))</f>
        <v>#N/A</v>
      </c>
      <c r="AA28" s="4" t="e" cm="1">
        <f t="array" ref="AA28">IF(INDEX(Table2[],_xlfn.XMATCH($A28,Table2[Steel Member],0),_xlfn.XMATCH(AA$2,Table2[#Headers],0))=0,"",INDEX(Table2[],_xlfn.XMATCH($A28,Table2[Steel Member],0),_xlfn.XMATCH(AA$2,Table2[#Headers],0)))</f>
        <v>#N/A</v>
      </c>
      <c r="AB28" s="4" t="e" cm="1">
        <f t="array" ref="AB28">IF(INDEX(Table2[],_xlfn.XMATCH($A28,Table2[Steel Member],0),_xlfn.XMATCH(AB$2,Table2[#Headers],0))=0,"",INDEX(Table2[],_xlfn.XMATCH($A28,Table2[Steel Member],0),_xlfn.XMATCH(AB$2,Table2[#Headers],0)))</f>
        <v>#N/A</v>
      </c>
      <c r="AC28" s="4" t="str" cm="1">
        <f t="array" ref="AC28">IFERROR(INDEX(Table8[],_xlfn.XMATCH($O28,Table8[Dimension Name Category],0),_xlfn.XMATCH(AC$2&amp;IF($L28," w/ tag"," w/o tag"),Table8[#Headers],0)),"")</f>
        <v/>
      </c>
      <c r="AD28" s="59" t="str">
        <f t="shared" si="19"/>
        <v/>
      </c>
      <c r="AE28" s="4" t="str">
        <f t="shared" si="20"/>
        <v>Steel Surface Area</v>
      </c>
      <c r="AF28" s="4" t="str">
        <f t="shared" si="21"/>
        <v>m2</v>
      </c>
      <c r="AG28" s="4" t="str" cm="1">
        <f t="array" ref="AG28">IFERROR(INDEX(Table8[],_xlfn.XMATCH($O28,Table8[Dimension Name Category],0),_xlfn.XMATCH(AG$2&amp;IF($L28," w/ tag"," w/o tag"),Table8[#Headers],0)),"")</f>
        <v/>
      </c>
      <c r="AH28" s="59" t="str">
        <f t="shared" si="22"/>
        <v/>
      </c>
      <c r="AI28" s="4"/>
      <c r="AJ28" s="4" t="str">
        <f t="shared" si="23"/>
        <v>Slope Length</v>
      </c>
      <c r="AK28" s="4" t="str">
        <f t="shared" si="24"/>
        <v>m</v>
      </c>
      <c r="AL28" s="4" t="e" cm="1">
        <f t="array" ref="AL28">IF(INDEX(Table2[],_xlfn.XMATCH($A28,Table2[Steel Member],0),_xlfn.XMATCH(AL$2,Table2[#Headers],0))=0,"",INDEX(Table2[],_xlfn.XMATCH($A28,Table2[Steel Member],0),_xlfn.XMATCH(AL$2,Table2[#Headers],0)))</f>
        <v>#N/A</v>
      </c>
      <c r="AM28" s="4"/>
      <c r="AN28" s="4" t="str">
        <f t="shared" si="25"/>
        <v>Slope Factor</v>
      </c>
      <c r="AO28" s="4"/>
      <c r="AP28" s="4" t="e" cm="1">
        <f t="array" ref="AP28">IF(INDEX(Table2[],_xlfn.XMATCH($A28,Table2[Steel Member],0),_xlfn.XMATCH(AP$2,Table2[#Headers],0))=0,"",INDEX(Table2[],_xlfn.XMATCH($A28,Table2[Steel Member],0),_xlfn.XMATCH(AP$2,Table2[#Headers],0)))</f>
        <v>#N/A</v>
      </c>
      <c r="AQ28" s="4"/>
      <c r="AR28" s="4"/>
      <c r="AS28" s="4"/>
      <c r="AT28" s="4"/>
    </row>
    <row r="29" spans="1:46" x14ac:dyDescent="0.25">
      <c r="A29" s="52" t="s">
        <v>508</v>
      </c>
      <c r="B29" s="52" t="s">
        <v>1115</v>
      </c>
      <c r="C29" s="52"/>
      <c r="D29" s="52"/>
      <c r="E29" s="52" t="s">
        <v>1128</v>
      </c>
      <c r="F29" s="64" cm="1">
        <f t="array" ref="F29">IF(COUNT(FIND(PurlinsxGirthsxBracings,$C29))&gt;0,0,ROUNDUP(IF(D29=0,0,VLOOKUP(D29,'DATA SHEET'!$B:$D,2,FALSE)),2))</f>
        <v>0</v>
      </c>
      <c r="G29" s="64" cm="1">
        <f t="array" ref="G29">IF(COUNT(FIND(PurlinsxGirthsxBracings,$C29))&gt;0,0,ROUNDUP(IF(D29=0,0,VLOOKUP(D29,'DATA SHEET'!$B:$D,3,FALSE)),2))</f>
        <v>0</v>
      </c>
      <c r="H29" s="53" t="s">
        <v>1163</v>
      </c>
      <c r="I29" s="66" t="str" cm="1">
        <f t="array" ref="I29">IF(AND(ISBLANK(B29),ISBLANK(C29),ISBLANK(E29)),0,IF(COUNT(FIND(PurlinsxGirthsxBracings,$C29))&gt;0,IF(B29=0,CONCATENATE(E29," ",C29),CONCATENATE(B29," - ",E29," ",C29)),IF(B29=0,IF(ISBLANK(C29),E29,CONCATENATE(D29,", ",F29,"kg/m, ",G29,"mm surface perimeter")),IF(AND(ISBLANK(C29),ISTEXT(E29)),CONCATENATE(B29," - ",E29),IF(AND(ISBLANK(C29),ISBLANK(E29)),B29,CONCATENATE(B29," - ",D29,", ",F29,"kg/m, ",G29,"mm surface perimeter"))))&amp;IF(ISBLANK(H29),"",H29)))</f>
        <v>CWB70k - CUSTOM_700_F50_W30; Steel Grade: 400PLUS</v>
      </c>
      <c r="J29" s="53"/>
      <c r="L29" s="4" t="b" cm="1">
        <f t="array" ref="L29">IF(COUNT(FIND({0,1,2,3,4,5,6,7,8,9},B29))&gt;0,COUNT(FIND({0,1,2,3,4,5,6,7,8,9},B29))&gt;0,"")</f>
        <v>1</v>
      </c>
      <c r="M29" s="4" t="str" cm="1">
        <f t="array" aca="1" ref="M29" ca="1">IFERROR(_xlfn.IFS(R29="Count",RANDBETWEEN(1,COUNTIF($R$11:$R$653,"Count")),R29="Length",RANDBETWEEN(1,COUNTIF($R$11:$R$653,"Length"))),"")</f>
        <v/>
      </c>
      <c r="N29" s="4" t="str">
        <f ca="1">IFERROR(_xlfn.RANK.EQ(M29,$M$11:$M$653)+COUNTIF($M$11:M29,M29)-1,"")</f>
        <v/>
      </c>
      <c r="O29" s="86" t="str">
        <f>IF(A29='DATA SHEET'!$L$36,C29,IFERROR(IF(AND(ISTEXT(I29),ISBLANK(C29)),"No details",VLOOKUP(C29,DimFolder,2,FALSE)),""))</f>
        <v>No details</v>
      </c>
      <c r="P29" s="4" t="str">
        <f t="shared" si="14"/>
        <v>Structural\Structural Steel\Purlins, Girths and Bracings\No details</v>
      </c>
      <c r="Q29" s="58" t="str">
        <f t="shared" si="15"/>
        <v>CWB70k - CUSTOM_700_F50_W30; Steel Grade: 400PLUS</v>
      </c>
      <c r="R29" s="4" t="e" cm="1">
        <f t="array" ref="R29">IF(INDEX(Table2[],_xlfn.XMATCH($A29,Table2[Steel Member],0),_xlfn.XMATCH(R$2,Table2[#Headers],0))=0,"",INDEX(Table2[],_xlfn.XMATCH($A29,Table2[Steel Member],0),_xlfn.XMATCH(R$2,Table2[#Headers],0)))</f>
        <v>#N/A</v>
      </c>
      <c r="S29" s="4" t="e" cm="1">
        <f t="array" ref="S29">IF(INDEX(Table2[],_xlfn.XMATCH($A29,Table2[Steel Member],0),_xlfn.XMATCH(S$2,Table2[#Headers],0))=0,"",INDEX(Table2[],_xlfn.XMATCH($A29,Table2[Steel Member],0),_xlfn.XMATCH(S$2,Table2[#Headers],0)))</f>
        <v>#N/A</v>
      </c>
      <c r="T29" s="4" t="str">
        <f t="shared" si="16"/>
        <v>t</v>
      </c>
      <c r="U29" s="4" t="e">
        <f ca="1">VLOOKUP(N29,'COLOR CODE'!$B:$D,2,FALSE)</f>
        <v>#N/A</v>
      </c>
      <c r="V29" s="4" t="str">
        <f t="shared" si="17"/>
        <v>Red</v>
      </c>
      <c r="W29" s="4" t="e" cm="1">
        <f t="array" ref="W29">IF(INDEX(Table2[],_xlfn.XMATCH($A29,Table2[Steel Member],0),_xlfn.XMATCH(W$2,Table2[#Headers],0))=0,"",INDEX(Table2[],_xlfn.XMATCH($A29,Table2[Steel Member],0),_xlfn.XMATCH(W$2,Table2[#Headers],0)))</f>
        <v>#N/A</v>
      </c>
      <c r="X29" s="4" t="e">
        <f t="shared" si="18"/>
        <v>#N/A</v>
      </c>
      <c r="Y29" s="4" t="e" cm="1">
        <f t="array" ref="Y29">IF(INDEX(Table2[],_xlfn.XMATCH($A29,Table2[Steel Member],0),_xlfn.XMATCH(Y$2,Table2[#Headers],0))=0,"",INDEX(Table2[],_xlfn.XMATCH($A29,Table2[Steel Member],0),_xlfn.XMATCH(Y$2,Table2[#Headers],0)))</f>
        <v>#N/A</v>
      </c>
      <c r="Z29" s="4" t="e" cm="1">
        <f t="array" ref="Z29">IF(INDEX(Table2[],_xlfn.XMATCH($A29,Table2[Steel Member],0),_xlfn.XMATCH(Z$2,Table2[#Headers],0))=0,"",INDEX(Table2[],_xlfn.XMATCH($A29,Table2[Steel Member],0),_xlfn.XMATCH(Z$2,Table2[#Headers],0)))</f>
        <v>#N/A</v>
      </c>
      <c r="AA29" s="4" t="e" cm="1">
        <f t="array" ref="AA29">IF(INDEX(Table2[],_xlfn.XMATCH($A29,Table2[Steel Member],0),_xlfn.XMATCH(AA$2,Table2[#Headers],0))=0,"",INDEX(Table2[],_xlfn.XMATCH($A29,Table2[Steel Member],0),_xlfn.XMATCH(AA$2,Table2[#Headers],0)))</f>
        <v>#N/A</v>
      </c>
      <c r="AB29" s="4" t="e" cm="1">
        <f t="array" ref="AB29">IF(INDEX(Table2[],_xlfn.XMATCH($A29,Table2[Steel Member],0),_xlfn.XMATCH(AB$2,Table2[#Headers],0))=0,"",INDEX(Table2[],_xlfn.XMATCH($A29,Table2[Steel Member],0),_xlfn.XMATCH(AB$2,Table2[#Headers],0)))</f>
        <v>#N/A</v>
      </c>
      <c r="AC29" s="4" t="str" cm="1">
        <f t="array" ref="AC29">IFERROR(INDEX(Table8[],_xlfn.XMATCH($O29,Table8[Dimension Name Category],0),_xlfn.XMATCH(AC$2&amp;IF($L29," w/ tag"," w/o tag"),Table8[#Headers],0)),"")</f>
        <v/>
      </c>
      <c r="AD29" s="59" t="str">
        <f t="shared" si="19"/>
        <v/>
      </c>
      <c r="AE29" s="4" t="str">
        <f t="shared" si="20"/>
        <v>Steel Surface Area</v>
      </c>
      <c r="AF29" s="4" t="str">
        <f t="shared" si="21"/>
        <v>m2</v>
      </c>
      <c r="AG29" s="4" t="str" cm="1">
        <f t="array" ref="AG29">IFERROR(INDEX(Table8[],_xlfn.XMATCH($O29,Table8[Dimension Name Category],0),_xlfn.XMATCH(AG$2&amp;IF($L29," w/ tag"," w/o tag"),Table8[#Headers],0)),"")</f>
        <v/>
      </c>
      <c r="AH29" s="59" t="str">
        <f t="shared" si="22"/>
        <v/>
      </c>
      <c r="AI29" s="4"/>
      <c r="AJ29" s="4" t="str">
        <f t="shared" si="23"/>
        <v>Slope Length</v>
      </c>
      <c r="AK29" s="4" t="str">
        <f t="shared" si="24"/>
        <v>m</v>
      </c>
      <c r="AL29" s="4" t="e" cm="1">
        <f t="array" ref="AL29">IF(INDEX(Table2[],_xlfn.XMATCH($A29,Table2[Steel Member],0),_xlfn.XMATCH(AL$2,Table2[#Headers],0))=0,"",INDEX(Table2[],_xlfn.XMATCH($A29,Table2[Steel Member],0),_xlfn.XMATCH(AL$2,Table2[#Headers],0)))</f>
        <v>#N/A</v>
      </c>
      <c r="AM29" s="4"/>
      <c r="AN29" s="4" t="str">
        <f t="shared" si="25"/>
        <v>Slope Factor</v>
      </c>
      <c r="AO29" s="4"/>
      <c r="AP29" s="4" t="e" cm="1">
        <f t="array" ref="AP29">IF(INDEX(Table2[],_xlfn.XMATCH($A29,Table2[Steel Member],0),_xlfn.XMATCH(AP$2,Table2[#Headers],0))=0,"",INDEX(Table2[],_xlfn.XMATCH($A29,Table2[Steel Member],0),_xlfn.XMATCH(AP$2,Table2[#Headers],0)))</f>
        <v>#N/A</v>
      </c>
      <c r="AQ29" s="4"/>
      <c r="AR29" s="4"/>
      <c r="AS29" s="4"/>
      <c r="AT29" s="4"/>
    </row>
    <row r="30" spans="1:46" x14ac:dyDescent="0.25">
      <c r="A30" s="52" t="s">
        <v>508</v>
      </c>
      <c r="B30" s="52" t="s">
        <v>1116</v>
      </c>
      <c r="C30" s="52"/>
      <c r="D30" s="52"/>
      <c r="E30" s="52" t="s">
        <v>1129</v>
      </c>
      <c r="F30" s="64" cm="1">
        <f t="array" ref="F30">IF(COUNT(FIND(PurlinsxGirthsxBracings,$C30))&gt;0,0,ROUNDUP(IF(D30=0,0,VLOOKUP(D30,'DATA SHEET'!$B:$D,2,FALSE)),2))</f>
        <v>0</v>
      </c>
      <c r="G30" s="64" cm="1">
        <f t="array" ref="G30">IF(COUNT(FIND(PurlinsxGirthsxBracings,$C30))&gt;0,0,ROUNDUP(IF(D30=0,0,VLOOKUP(D30,'DATA SHEET'!$B:$D,3,FALSE)),2))</f>
        <v>0</v>
      </c>
      <c r="H30" s="53" t="s">
        <v>1163</v>
      </c>
      <c r="I30" s="66" t="str" cm="1">
        <f t="array" ref="I30">IF(AND(ISBLANK(B30),ISBLANK(C30),ISBLANK(E30)),0,IF(COUNT(FIND(PurlinsxGirthsxBracings,$C30))&gt;0,IF(B30=0,CONCATENATE(E30," ",C30),CONCATENATE(B30," - ",E30," ",C30)),IF(B30=0,IF(ISBLANK(C30),E30,CONCATENATE(D30,", ",F30,"kg/m, ",G30,"mm surface perimeter")),IF(AND(ISBLANK(C30),ISTEXT(E30)),CONCATENATE(B30," - ",E30),IF(AND(ISBLANK(C30),ISBLANK(E30)),B30,CONCATENATE(B30," - ",D30,", ",F30,"kg/m, ",G30,"mm surface perimeter"))))&amp;IF(ISBLANK(H30),"",H30)))</f>
        <v>CWB73a - CUSTOM_730_F30_W10; Steel Grade: 400PLUS</v>
      </c>
      <c r="J30" s="53"/>
      <c r="L30" s="4" t="b" cm="1">
        <f t="array" ref="L30">IF(COUNT(FIND({0,1,2,3,4,5,6,7,8,9},B30))&gt;0,COUNT(FIND({0,1,2,3,4,5,6,7,8,9},B30))&gt;0,"")</f>
        <v>1</v>
      </c>
      <c r="M30" s="4" t="str" cm="1">
        <f t="array" aca="1" ref="M30" ca="1">IFERROR(_xlfn.IFS(R30="Count",RANDBETWEEN(1,COUNTIF($R$11:$R$653,"Count")),R30="Length",RANDBETWEEN(1,COUNTIF($R$11:$R$653,"Length"))),"")</f>
        <v/>
      </c>
      <c r="N30" s="4" t="str">
        <f ca="1">IFERROR(_xlfn.RANK.EQ(M30,$M$11:$M$653)+COUNTIF($M$11:M30,M30)-1,"")</f>
        <v/>
      </c>
      <c r="O30" s="86" t="str">
        <f>IF(A30='DATA SHEET'!$L$36,C30,IFERROR(IF(AND(ISTEXT(I30),ISBLANK(C30)),"No details",VLOOKUP(C30,DimFolder,2,FALSE)),""))</f>
        <v>No details</v>
      </c>
      <c r="P30" s="4" t="str">
        <f t="shared" si="14"/>
        <v>Structural\Structural Steel\Purlins, Girths and Bracings\No details</v>
      </c>
      <c r="Q30" s="58" t="str">
        <f t="shared" si="15"/>
        <v>CWB73a - CUSTOM_730_F30_W10; Steel Grade: 400PLUS</v>
      </c>
      <c r="R30" s="4" t="e" cm="1">
        <f t="array" ref="R30">IF(INDEX(Table2[],_xlfn.XMATCH($A30,Table2[Steel Member],0),_xlfn.XMATCH(R$2,Table2[#Headers],0))=0,"",INDEX(Table2[],_xlfn.XMATCH($A30,Table2[Steel Member],0),_xlfn.XMATCH(R$2,Table2[#Headers],0)))</f>
        <v>#N/A</v>
      </c>
      <c r="S30" s="4" t="e" cm="1">
        <f t="array" ref="S30">IF(INDEX(Table2[],_xlfn.XMATCH($A30,Table2[Steel Member],0),_xlfn.XMATCH(S$2,Table2[#Headers],0))=0,"",INDEX(Table2[],_xlfn.XMATCH($A30,Table2[Steel Member],0),_xlfn.XMATCH(S$2,Table2[#Headers],0)))</f>
        <v>#N/A</v>
      </c>
      <c r="T30" s="4" t="str">
        <f t="shared" si="16"/>
        <v>t</v>
      </c>
      <c r="U30" s="4" t="e">
        <f ca="1">VLOOKUP(N30,'COLOR CODE'!$B:$D,2,FALSE)</f>
        <v>#N/A</v>
      </c>
      <c r="V30" s="4" t="str">
        <f t="shared" si="17"/>
        <v>Red</v>
      </c>
      <c r="W30" s="4" t="e" cm="1">
        <f t="array" ref="W30">IF(INDEX(Table2[],_xlfn.XMATCH($A30,Table2[Steel Member],0),_xlfn.XMATCH(W$2,Table2[#Headers],0))=0,"",INDEX(Table2[],_xlfn.XMATCH($A30,Table2[Steel Member],0),_xlfn.XMATCH(W$2,Table2[#Headers],0)))</f>
        <v>#N/A</v>
      </c>
      <c r="X30" s="4" t="e">
        <f t="shared" si="18"/>
        <v>#N/A</v>
      </c>
      <c r="Y30" s="4" t="e" cm="1">
        <f t="array" ref="Y30">IF(INDEX(Table2[],_xlfn.XMATCH($A30,Table2[Steel Member],0),_xlfn.XMATCH(Y$2,Table2[#Headers],0))=0,"",INDEX(Table2[],_xlfn.XMATCH($A30,Table2[Steel Member],0),_xlfn.XMATCH(Y$2,Table2[#Headers],0)))</f>
        <v>#N/A</v>
      </c>
      <c r="Z30" s="4" t="e" cm="1">
        <f t="array" ref="Z30">IF(INDEX(Table2[],_xlfn.XMATCH($A30,Table2[Steel Member],0),_xlfn.XMATCH(Z$2,Table2[#Headers],0))=0,"",INDEX(Table2[],_xlfn.XMATCH($A30,Table2[Steel Member],0),_xlfn.XMATCH(Z$2,Table2[#Headers],0)))</f>
        <v>#N/A</v>
      </c>
      <c r="AA30" s="4" t="e" cm="1">
        <f t="array" ref="AA30">IF(INDEX(Table2[],_xlfn.XMATCH($A30,Table2[Steel Member],0),_xlfn.XMATCH(AA$2,Table2[#Headers],0))=0,"",INDEX(Table2[],_xlfn.XMATCH($A30,Table2[Steel Member],0),_xlfn.XMATCH(AA$2,Table2[#Headers],0)))</f>
        <v>#N/A</v>
      </c>
      <c r="AB30" s="4" t="e" cm="1">
        <f t="array" ref="AB30">IF(INDEX(Table2[],_xlfn.XMATCH($A30,Table2[Steel Member],0),_xlfn.XMATCH(AB$2,Table2[#Headers],0))=0,"",INDEX(Table2[],_xlfn.XMATCH($A30,Table2[Steel Member],0),_xlfn.XMATCH(AB$2,Table2[#Headers],0)))</f>
        <v>#N/A</v>
      </c>
      <c r="AC30" s="4" t="str" cm="1">
        <f t="array" ref="AC30">IFERROR(INDEX(Table8[],_xlfn.XMATCH($O30,Table8[Dimension Name Category],0),_xlfn.XMATCH(AC$2&amp;IF($L30," w/ tag"," w/o tag"),Table8[#Headers],0)),"")</f>
        <v/>
      </c>
      <c r="AD30" s="59" t="str">
        <f t="shared" si="19"/>
        <v/>
      </c>
      <c r="AE30" s="4" t="str">
        <f t="shared" si="20"/>
        <v>Steel Surface Area</v>
      </c>
      <c r="AF30" s="4" t="str">
        <f t="shared" si="21"/>
        <v>m2</v>
      </c>
      <c r="AG30" s="4" t="str" cm="1">
        <f t="array" ref="AG30">IFERROR(INDEX(Table8[],_xlfn.XMATCH($O30,Table8[Dimension Name Category],0),_xlfn.XMATCH(AG$2&amp;IF($L30," w/ tag"," w/o tag"),Table8[#Headers],0)),"")</f>
        <v/>
      </c>
      <c r="AH30" s="59" t="str">
        <f t="shared" si="22"/>
        <v/>
      </c>
      <c r="AI30" s="4"/>
      <c r="AJ30" s="4" t="str">
        <f t="shared" si="23"/>
        <v>Slope Length</v>
      </c>
      <c r="AK30" s="4" t="str">
        <f t="shared" si="24"/>
        <v>m</v>
      </c>
      <c r="AL30" s="4" t="e" cm="1">
        <f t="array" ref="AL30">IF(INDEX(Table2[],_xlfn.XMATCH($A30,Table2[Steel Member],0),_xlfn.XMATCH(AL$2,Table2[#Headers],0))=0,"",INDEX(Table2[],_xlfn.XMATCH($A30,Table2[Steel Member],0),_xlfn.XMATCH(AL$2,Table2[#Headers],0)))</f>
        <v>#N/A</v>
      </c>
      <c r="AM30" s="4"/>
      <c r="AN30" s="4" t="str">
        <f t="shared" si="25"/>
        <v>Slope Factor</v>
      </c>
      <c r="AO30" s="4"/>
      <c r="AP30" s="4" t="e" cm="1">
        <f t="array" ref="AP30">IF(INDEX(Table2[],_xlfn.XMATCH($A30,Table2[Steel Member],0),_xlfn.XMATCH(AP$2,Table2[#Headers],0))=0,"",INDEX(Table2[],_xlfn.XMATCH($A30,Table2[Steel Member],0),_xlfn.XMATCH(AP$2,Table2[#Headers],0)))</f>
        <v>#N/A</v>
      </c>
      <c r="AQ30" s="4"/>
      <c r="AR30" s="4"/>
      <c r="AS30" s="4"/>
      <c r="AT30" s="4"/>
    </row>
    <row r="31" spans="1:46" x14ac:dyDescent="0.25">
      <c r="A31" s="52" t="s">
        <v>508</v>
      </c>
      <c r="B31" s="52" t="s">
        <v>1116</v>
      </c>
      <c r="C31" s="52"/>
      <c r="D31" s="52"/>
      <c r="E31" s="52" t="s">
        <v>1130</v>
      </c>
      <c r="F31" s="64" cm="1">
        <f t="array" ref="F31">IF(COUNT(FIND(PurlinsxGirthsxBracings,$C31))&gt;0,0,ROUNDUP(IF(D31=0,0,VLOOKUP(D31,'DATA SHEET'!$B:$D,2,FALSE)),2))</f>
        <v>0</v>
      </c>
      <c r="G31" s="64" cm="1">
        <f t="array" ref="G31">IF(COUNT(FIND(PurlinsxGirthsxBracings,$C31))&gt;0,0,ROUNDUP(IF(D31=0,0,VLOOKUP(D31,'DATA SHEET'!$B:$D,3,FALSE)),2))</f>
        <v>0</v>
      </c>
      <c r="H31" s="53" t="s">
        <v>1163</v>
      </c>
      <c r="I31" s="66" t="str" cm="1">
        <f t="array" ref="I31">IF(AND(ISBLANK(B31),ISBLANK(C31),ISBLANK(E31)),0,IF(COUNT(FIND(PurlinsxGirthsxBracings,$C31))&gt;0,IF(B31=0,CONCATENATE(E31," ",C31),CONCATENATE(B31," - ",E31," ",C31)),IF(B31=0,IF(ISBLANK(C31),E31,CONCATENATE(D31,", ",F31,"kg/m, ",G31,"mm surface perimeter")),IF(AND(ISBLANK(C31),ISTEXT(E31)),CONCATENATE(B31," - ",E31),IF(AND(ISBLANK(C31),ISBLANK(E31)),B31,CONCATENATE(B31," - ",D31,", ",F31,"kg/m, ",G31,"mm surface perimeter"))))&amp;IF(ISBLANK(H31),"",H31)))</f>
        <v>CWB73a - CUSTOM_730_F30_W15; Steel Grade: 400PLUS</v>
      </c>
      <c r="J31" s="53"/>
      <c r="L31" s="4" t="b" cm="1">
        <f t="array" ref="L31">IF(COUNT(FIND({0,1,2,3,4,5,6,7,8,9},B31))&gt;0,COUNT(FIND({0,1,2,3,4,5,6,7,8,9},B31))&gt;0,"")</f>
        <v>1</v>
      </c>
      <c r="M31" s="4" t="str" cm="1">
        <f t="array" aca="1" ref="M31" ca="1">IFERROR(_xlfn.IFS(R31="Count",RANDBETWEEN(1,COUNTIF($R$11:$R$653,"Count")),R31="Length",RANDBETWEEN(1,COUNTIF($R$11:$R$653,"Length"))),"")</f>
        <v/>
      </c>
      <c r="N31" s="4" t="str">
        <f ca="1">IFERROR(_xlfn.RANK.EQ(M31,$M$11:$M$653)+COUNTIF($M$11:M31,M31)-1,"")</f>
        <v/>
      </c>
      <c r="O31" s="86" t="str">
        <f>IF(A31='DATA SHEET'!$L$36,C31,IFERROR(IF(AND(ISTEXT(I31),ISBLANK(C31)),"No details",VLOOKUP(C31,DimFolder,2,FALSE)),""))</f>
        <v>No details</v>
      </c>
      <c r="P31" s="4" t="str">
        <f t="shared" si="14"/>
        <v>Structural\Structural Steel\Purlins, Girths and Bracings\No details</v>
      </c>
      <c r="Q31" s="58" t="str">
        <f t="shared" si="15"/>
        <v>CWB73a - CUSTOM_730_F30_W15; Steel Grade: 400PLUS</v>
      </c>
      <c r="R31" s="4" t="e" cm="1">
        <f t="array" ref="R31">IF(INDEX(Table2[],_xlfn.XMATCH($A31,Table2[Steel Member],0),_xlfn.XMATCH(R$2,Table2[#Headers],0))=0,"",INDEX(Table2[],_xlfn.XMATCH($A31,Table2[Steel Member],0),_xlfn.XMATCH(R$2,Table2[#Headers],0)))</f>
        <v>#N/A</v>
      </c>
      <c r="S31" s="4" t="e" cm="1">
        <f t="array" ref="S31">IF(INDEX(Table2[],_xlfn.XMATCH($A31,Table2[Steel Member],0),_xlfn.XMATCH(S$2,Table2[#Headers],0))=0,"",INDEX(Table2[],_xlfn.XMATCH($A31,Table2[Steel Member],0),_xlfn.XMATCH(S$2,Table2[#Headers],0)))</f>
        <v>#N/A</v>
      </c>
      <c r="T31" s="4" t="str">
        <f t="shared" si="16"/>
        <v>t</v>
      </c>
      <c r="U31" s="4" t="e">
        <f ca="1">VLOOKUP(N31,'COLOR CODE'!$B:$D,2,FALSE)</f>
        <v>#N/A</v>
      </c>
      <c r="V31" s="4" t="str">
        <f t="shared" si="17"/>
        <v>Red</v>
      </c>
      <c r="W31" s="4" t="e" cm="1">
        <f t="array" ref="W31">IF(INDEX(Table2[],_xlfn.XMATCH($A31,Table2[Steel Member],0),_xlfn.XMATCH(W$2,Table2[#Headers],0))=0,"",INDEX(Table2[],_xlfn.XMATCH($A31,Table2[Steel Member],0),_xlfn.XMATCH(W$2,Table2[#Headers],0)))</f>
        <v>#N/A</v>
      </c>
      <c r="X31" s="4" t="e">
        <f t="shared" si="18"/>
        <v>#N/A</v>
      </c>
      <c r="Y31" s="4" t="e" cm="1">
        <f t="array" ref="Y31">IF(INDEX(Table2[],_xlfn.XMATCH($A31,Table2[Steel Member],0),_xlfn.XMATCH(Y$2,Table2[#Headers],0))=0,"",INDEX(Table2[],_xlfn.XMATCH($A31,Table2[Steel Member],0),_xlfn.XMATCH(Y$2,Table2[#Headers],0)))</f>
        <v>#N/A</v>
      </c>
      <c r="Z31" s="4" t="e" cm="1">
        <f t="array" ref="Z31">IF(INDEX(Table2[],_xlfn.XMATCH($A31,Table2[Steel Member],0),_xlfn.XMATCH(Z$2,Table2[#Headers],0))=0,"",INDEX(Table2[],_xlfn.XMATCH($A31,Table2[Steel Member],0),_xlfn.XMATCH(Z$2,Table2[#Headers],0)))</f>
        <v>#N/A</v>
      </c>
      <c r="AA31" s="4" t="e" cm="1">
        <f t="array" ref="AA31">IF(INDEX(Table2[],_xlfn.XMATCH($A31,Table2[Steel Member],0),_xlfn.XMATCH(AA$2,Table2[#Headers],0))=0,"",INDEX(Table2[],_xlfn.XMATCH($A31,Table2[Steel Member],0),_xlfn.XMATCH(AA$2,Table2[#Headers],0)))</f>
        <v>#N/A</v>
      </c>
      <c r="AB31" s="4" t="e" cm="1">
        <f t="array" ref="AB31">IF(INDEX(Table2[],_xlfn.XMATCH($A31,Table2[Steel Member],0),_xlfn.XMATCH(AB$2,Table2[#Headers],0))=0,"",INDEX(Table2[],_xlfn.XMATCH($A31,Table2[Steel Member],0),_xlfn.XMATCH(AB$2,Table2[#Headers],0)))</f>
        <v>#N/A</v>
      </c>
      <c r="AC31" s="4" t="str" cm="1">
        <f t="array" ref="AC31">IFERROR(INDEX(Table8[],_xlfn.XMATCH($O31,Table8[Dimension Name Category],0),_xlfn.XMATCH(AC$2&amp;IF($L31," w/ tag"," w/o tag"),Table8[#Headers],0)),"")</f>
        <v/>
      </c>
      <c r="AD31" s="59" t="str">
        <f t="shared" si="19"/>
        <v/>
      </c>
      <c r="AE31" s="4" t="str">
        <f t="shared" si="20"/>
        <v>Steel Surface Area</v>
      </c>
      <c r="AF31" s="4" t="str">
        <f t="shared" si="21"/>
        <v>m2</v>
      </c>
      <c r="AG31" s="4" t="str" cm="1">
        <f t="array" ref="AG31">IFERROR(INDEX(Table8[],_xlfn.XMATCH($O31,Table8[Dimension Name Category],0),_xlfn.XMATCH(AG$2&amp;IF($L31," w/ tag"," w/o tag"),Table8[#Headers],0)),"")</f>
        <v/>
      </c>
      <c r="AH31" s="59" t="str">
        <f t="shared" si="22"/>
        <v/>
      </c>
      <c r="AI31" s="4"/>
      <c r="AJ31" s="4" t="str">
        <f t="shared" si="23"/>
        <v>Slope Length</v>
      </c>
      <c r="AK31" s="4" t="str">
        <f t="shared" si="24"/>
        <v>m</v>
      </c>
      <c r="AL31" s="4" t="e" cm="1">
        <f t="array" ref="AL31">IF(INDEX(Table2[],_xlfn.XMATCH($A31,Table2[Steel Member],0),_xlfn.XMATCH(AL$2,Table2[#Headers],0))=0,"",INDEX(Table2[],_xlfn.XMATCH($A31,Table2[Steel Member],0),_xlfn.XMATCH(AL$2,Table2[#Headers],0)))</f>
        <v>#N/A</v>
      </c>
      <c r="AM31" s="4"/>
      <c r="AN31" s="4" t="str">
        <f t="shared" si="25"/>
        <v>Slope Factor</v>
      </c>
      <c r="AO31" s="4"/>
      <c r="AP31" s="4" t="e" cm="1">
        <f t="array" ref="AP31">IF(INDEX(Table2[],_xlfn.XMATCH($A31,Table2[Steel Member],0),_xlfn.XMATCH(AP$2,Table2[#Headers],0))=0,"",INDEX(Table2[],_xlfn.XMATCH($A31,Table2[Steel Member],0),_xlfn.XMATCH(AP$2,Table2[#Headers],0)))</f>
        <v>#N/A</v>
      </c>
      <c r="AQ31" s="4"/>
      <c r="AR31" s="4"/>
      <c r="AS31" s="4"/>
      <c r="AT31" s="4"/>
    </row>
    <row r="32" spans="1:46" x14ac:dyDescent="0.25">
      <c r="A32" s="52" t="s">
        <v>508</v>
      </c>
      <c r="B32" s="52" t="s">
        <v>1117</v>
      </c>
      <c r="C32" s="52"/>
      <c r="D32" s="52"/>
      <c r="E32" s="52" t="s">
        <v>1131</v>
      </c>
      <c r="F32" s="64" cm="1">
        <f t="array" ref="F32">IF(COUNT(FIND(PurlinsxGirthsxBracings,$C32))&gt;0,0,ROUNDUP(IF(D32=0,0,VLOOKUP(D32,'DATA SHEET'!$B:$D,2,FALSE)),2))</f>
        <v>0</v>
      </c>
      <c r="G32" s="64" cm="1">
        <f t="array" ref="G32">IF(COUNT(FIND(PurlinsxGirthsxBracings,$C32))&gt;0,0,ROUNDUP(IF(D32=0,0,VLOOKUP(D32,'DATA SHEET'!$B:$D,3,FALSE)),2))</f>
        <v>0</v>
      </c>
      <c r="H32" s="53" t="s">
        <v>1163</v>
      </c>
      <c r="I32" s="66" t="str" cm="1">
        <f t="array" ref="I32">IF(AND(ISBLANK(B32),ISBLANK(C32),ISBLANK(E32)),0,IF(COUNT(FIND(PurlinsxGirthsxBracings,$C32))&gt;0,IF(B32=0,CONCATENATE(E32," ",C32),CONCATENATE(B32," - ",E32," ",C32)),IF(B32=0,IF(ISBLANK(C32),E32,CONCATENATE(D32,", ",F32,"kg/m, ",G32,"mm surface perimeter")),IF(AND(ISBLANK(C32),ISTEXT(E32)),CONCATENATE(B32," - ",E32),IF(AND(ISBLANK(C32),ISBLANK(E32)),B32,CONCATENATE(B32," - ",D32,", ",F32,"kg/m, ",G32,"mm surface perimeter"))))&amp;IF(ISBLANK(H32),"",H32)))</f>
        <v>CWB73b - CUSTOM_730_F50_W30; Steel Grade: 400PLUS</v>
      </c>
      <c r="J32" s="53"/>
      <c r="L32" s="4" t="b" cm="1">
        <f t="array" ref="L32">IF(COUNT(FIND({0,1,2,3,4,5,6,7,8,9},B32))&gt;0,COUNT(FIND({0,1,2,3,4,5,6,7,8,9},B32))&gt;0,"")</f>
        <v>1</v>
      </c>
      <c r="M32" s="4" t="str" cm="1">
        <f t="array" aca="1" ref="M32" ca="1">IFERROR(_xlfn.IFS(R32="Count",RANDBETWEEN(1,COUNTIF($R$11:$R$653,"Count")),R32="Length",RANDBETWEEN(1,COUNTIF($R$11:$R$653,"Length"))),"")</f>
        <v/>
      </c>
      <c r="N32" s="4" t="str">
        <f ca="1">IFERROR(_xlfn.RANK.EQ(M32,$M$11:$M$653)+COUNTIF($M$11:M32,M32)-1,"")</f>
        <v/>
      </c>
      <c r="O32" s="86" t="str">
        <f>IF(A32='DATA SHEET'!$L$36,C32,IFERROR(IF(AND(ISTEXT(I32),ISBLANK(C32)),"No details",VLOOKUP(C32,DimFolder,2,FALSE)),""))</f>
        <v>No details</v>
      </c>
      <c r="P32" s="4" t="str">
        <f t="shared" si="14"/>
        <v>Structural\Structural Steel\Purlins, Girths and Bracings\No details</v>
      </c>
      <c r="Q32" s="58" t="str">
        <f t="shared" si="15"/>
        <v>CWB73b - CUSTOM_730_F50_W30; Steel Grade: 400PLUS</v>
      </c>
      <c r="R32" s="4" t="e" cm="1">
        <f t="array" ref="R32">IF(INDEX(Table2[],_xlfn.XMATCH($A32,Table2[Steel Member],0),_xlfn.XMATCH(R$2,Table2[#Headers],0))=0,"",INDEX(Table2[],_xlfn.XMATCH($A32,Table2[Steel Member],0),_xlfn.XMATCH(R$2,Table2[#Headers],0)))</f>
        <v>#N/A</v>
      </c>
      <c r="S32" s="4" t="e" cm="1">
        <f t="array" ref="S32">IF(INDEX(Table2[],_xlfn.XMATCH($A32,Table2[Steel Member],0),_xlfn.XMATCH(S$2,Table2[#Headers],0))=0,"",INDEX(Table2[],_xlfn.XMATCH($A32,Table2[Steel Member],0),_xlfn.XMATCH(S$2,Table2[#Headers],0)))</f>
        <v>#N/A</v>
      </c>
      <c r="T32" s="4" t="str">
        <f t="shared" si="16"/>
        <v>t</v>
      </c>
      <c r="U32" s="4" t="e">
        <f ca="1">VLOOKUP(N32,'COLOR CODE'!$B:$D,2,FALSE)</f>
        <v>#N/A</v>
      </c>
      <c r="V32" s="4" t="str">
        <f t="shared" si="17"/>
        <v>Red</v>
      </c>
      <c r="W32" s="4" t="e" cm="1">
        <f t="array" ref="W32">IF(INDEX(Table2[],_xlfn.XMATCH($A32,Table2[Steel Member],0),_xlfn.XMATCH(W$2,Table2[#Headers],0))=0,"",INDEX(Table2[],_xlfn.XMATCH($A32,Table2[Steel Member],0),_xlfn.XMATCH(W$2,Table2[#Headers],0)))</f>
        <v>#N/A</v>
      </c>
      <c r="X32" s="4" t="e">
        <f t="shared" si="18"/>
        <v>#N/A</v>
      </c>
      <c r="Y32" s="4" t="e" cm="1">
        <f t="array" ref="Y32">IF(INDEX(Table2[],_xlfn.XMATCH($A32,Table2[Steel Member],0),_xlfn.XMATCH(Y$2,Table2[#Headers],0))=0,"",INDEX(Table2[],_xlfn.XMATCH($A32,Table2[Steel Member],0),_xlfn.XMATCH(Y$2,Table2[#Headers],0)))</f>
        <v>#N/A</v>
      </c>
      <c r="Z32" s="4" t="e" cm="1">
        <f t="array" ref="Z32">IF(INDEX(Table2[],_xlfn.XMATCH($A32,Table2[Steel Member],0),_xlfn.XMATCH(Z$2,Table2[#Headers],0))=0,"",INDEX(Table2[],_xlfn.XMATCH($A32,Table2[Steel Member],0),_xlfn.XMATCH(Z$2,Table2[#Headers],0)))</f>
        <v>#N/A</v>
      </c>
      <c r="AA32" s="4" t="e" cm="1">
        <f t="array" ref="AA32">IF(INDEX(Table2[],_xlfn.XMATCH($A32,Table2[Steel Member],0),_xlfn.XMATCH(AA$2,Table2[#Headers],0))=0,"",INDEX(Table2[],_xlfn.XMATCH($A32,Table2[Steel Member],0),_xlfn.XMATCH(AA$2,Table2[#Headers],0)))</f>
        <v>#N/A</v>
      </c>
      <c r="AB32" s="4" t="e" cm="1">
        <f t="array" ref="AB32">IF(INDEX(Table2[],_xlfn.XMATCH($A32,Table2[Steel Member],0),_xlfn.XMATCH(AB$2,Table2[#Headers],0))=0,"",INDEX(Table2[],_xlfn.XMATCH($A32,Table2[Steel Member],0),_xlfn.XMATCH(AB$2,Table2[#Headers],0)))</f>
        <v>#N/A</v>
      </c>
      <c r="AC32" s="4" t="str" cm="1">
        <f t="array" ref="AC32">IFERROR(INDEX(Table8[],_xlfn.XMATCH($O32,Table8[Dimension Name Category],0),_xlfn.XMATCH(AC$2&amp;IF($L32," w/ tag"," w/o tag"),Table8[#Headers],0)),"")</f>
        <v/>
      </c>
      <c r="AD32" s="59" t="str">
        <f t="shared" si="19"/>
        <v/>
      </c>
      <c r="AE32" s="4" t="str">
        <f t="shared" si="20"/>
        <v>Steel Surface Area</v>
      </c>
      <c r="AF32" s="4" t="str">
        <f t="shared" si="21"/>
        <v>m2</v>
      </c>
      <c r="AG32" s="4" t="str" cm="1">
        <f t="array" ref="AG32">IFERROR(INDEX(Table8[],_xlfn.XMATCH($O32,Table8[Dimension Name Category],0),_xlfn.XMATCH(AG$2&amp;IF($L32," w/ tag"," w/o tag"),Table8[#Headers],0)),"")</f>
        <v/>
      </c>
      <c r="AH32" s="59" t="str">
        <f t="shared" si="22"/>
        <v/>
      </c>
      <c r="AI32" s="4"/>
      <c r="AJ32" s="4" t="str">
        <f t="shared" si="23"/>
        <v>Slope Length</v>
      </c>
      <c r="AK32" s="4" t="str">
        <f t="shared" si="24"/>
        <v>m</v>
      </c>
      <c r="AL32" s="4" t="e" cm="1">
        <f t="array" ref="AL32">IF(INDEX(Table2[],_xlfn.XMATCH($A32,Table2[Steel Member],0),_xlfn.XMATCH(AL$2,Table2[#Headers],0))=0,"",INDEX(Table2[],_xlfn.XMATCH($A32,Table2[Steel Member],0),_xlfn.XMATCH(AL$2,Table2[#Headers],0)))</f>
        <v>#N/A</v>
      </c>
      <c r="AM32" s="4"/>
      <c r="AN32" s="4" t="str">
        <f t="shared" si="25"/>
        <v>Slope Factor</v>
      </c>
      <c r="AO32" s="4"/>
      <c r="AP32" s="4" t="e" cm="1">
        <f t="array" ref="AP32">IF(INDEX(Table2[],_xlfn.XMATCH($A32,Table2[Steel Member],0),_xlfn.XMATCH(AP$2,Table2[#Headers],0))=0,"",INDEX(Table2[],_xlfn.XMATCH($A32,Table2[Steel Member],0),_xlfn.XMATCH(AP$2,Table2[#Headers],0)))</f>
        <v>#N/A</v>
      </c>
      <c r="AQ32" s="4"/>
      <c r="AR32" s="4"/>
      <c r="AS32" s="4"/>
      <c r="AT32" s="4"/>
    </row>
    <row r="33" spans="1:46" x14ac:dyDescent="0.25">
      <c r="A33" s="52" t="s">
        <v>508</v>
      </c>
      <c r="B33" s="52" t="s">
        <v>1141</v>
      </c>
      <c r="C33" s="52"/>
      <c r="D33" s="52"/>
      <c r="E33" s="52" t="s">
        <v>1132</v>
      </c>
      <c r="F33" s="64" cm="1">
        <f t="array" ref="F33">IF(COUNT(FIND(PurlinsxGirthsxBracings,$C33))&gt;0,0,ROUNDUP(IF(D33=0,0,VLOOKUP(D33,'DATA SHEET'!$B:$D,2,FALSE)),2))</f>
        <v>0</v>
      </c>
      <c r="G33" s="64" cm="1">
        <f t="array" ref="G33">IF(COUNT(FIND(PurlinsxGirthsxBracings,$C33))&gt;0,0,ROUNDUP(IF(D33=0,0,VLOOKUP(D33,'DATA SHEET'!$B:$D,3,FALSE)),2))</f>
        <v>0</v>
      </c>
      <c r="H33" s="53" t="s">
        <v>1163</v>
      </c>
      <c r="I33" s="66" t="str" cm="1">
        <f t="array" ref="I33">IF(AND(ISBLANK(B33),ISBLANK(C33),ISBLANK(E33)),0,IF(COUNT(FIND(PurlinsxGirthsxBracings,$C33))&gt;0,IF(B33=0,CONCATENATE(E33," ",C33),CONCATENATE(B33," - ",E33," ",C33)),IF(B33=0,IF(ISBLANK(C33),E33,CONCATENATE(D33,", ",F33,"kg/m, ",G33,"mm surface perimeter")),IF(AND(ISBLANK(C33),ISTEXT(E33)),CONCATENATE(B33," - ",E33),IF(AND(ISBLANK(C33),ISBLANK(E33)),B33,CONCATENATE(B33," - ",D33,", ",F33,"kg/m, ",G33,"mm surface perimeter"))))&amp;IF(ISBLANK(H33),"",H33)))</f>
        <v>CWB73c - CUSTOM_730_F50_W40; Steel Grade: 400PLUS</v>
      </c>
      <c r="J33" s="53"/>
      <c r="L33" s="4" t="b" cm="1">
        <f t="array" ref="L33">IF(COUNT(FIND({0,1,2,3,4,5,6,7,8,9},B33))&gt;0,COUNT(FIND({0,1,2,3,4,5,6,7,8,9},B33))&gt;0,"")</f>
        <v>1</v>
      </c>
      <c r="M33" s="4" t="str" cm="1">
        <f t="array" aca="1" ref="M33" ca="1">IFERROR(_xlfn.IFS(R33="Count",RANDBETWEEN(1,COUNTIF($R$11:$R$653,"Count")),R33="Length",RANDBETWEEN(1,COUNTIF($R$11:$R$653,"Length"))),"")</f>
        <v/>
      </c>
      <c r="N33" s="4" t="str">
        <f ca="1">IFERROR(_xlfn.RANK.EQ(M33,$M$11:$M$653)+COUNTIF($M$11:M33,M33)-1,"")</f>
        <v/>
      </c>
      <c r="O33" s="86" t="str">
        <f>IF(A33='DATA SHEET'!$L$36,C33,IFERROR(IF(AND(ISTEXT(I33),ISBLANK(C33)),"No details",VLOOKUP(C33,DimFolder,2,FALSE)),""))</f>
        <v>No details</v>
      </c>
      <c r="P33" s="4" t="str">
        <f t="shared" si="14"/>
        <v>Structural\Structural Steel\Purlins, Girths and Bracings\No details</v>
      </c>
      <c r="Q33" s="58" t="str">
        <f t="shared" si="15"/>
        <v>CWB73c - CUSTOM_730_F50_W40; Steel Grade: 400PLUS</v>
      </c>
      <c r="R33" s="4" t="e" cm="1">
        <f t="array" ref="R33">IF(INDEX(Table2[],_xlfn.XMATCH($A33,Table2[Steel Member],0),_xlfn.XMATCH(R$2,Table2[#Headers],0))=0,"",INDEX(Table2[],_xlfn.XMATCH($A33,Table2[Steel Member],0),_xlfn.XMATCH(R$2,Table2[#Headers],0)))</f>
        <v>#N/A</v>
      </c>
      <c r="S33" s="4" t="e" cm="1">
        <f t="array" ref="S33">IF(INDEX(Table2[],_xlfn.XMATCH($A33,Table2[Steel Member],0),_xlfn.XMATCH(S$2,Table2[#Headers],0))=0,"",INDEX(Table2[],_xlfn.XMATCH($A33,Table2[Steel Member],0),_xlfn.XMATCH(S$2,Table2[#Headers],0)))</f>
        <v>#N/A</v>
      </c>
      <c r="T33" s="4" t="str">
        <f t="shared" si="16"/>
        <v>t</v>
      </c>
      <c r="U33" s="4" t="e">
        <f ca="1">VLOOKUP(N33,'COLOR CODE'!$B:$D,2,FALSE)</f>
        <v>#N/A</v>
      </c>
      <c r="V33" s="4" t="str">
        <f t="shared" si="17"/>
        <v>Red</v>
      </c>
      <c r="W33" s="4" t="e" cm="1">
        <f t="array" ref="W33">IF(INDEX(Table2[],_xlfn.XMATCH($A33,Table2[Steel Member],0),_xlfn.XMATCH(W$2,Table2[#Headers],0))=0,"",INDEX(Table2[],_xlfn.XMATCH($A33,Table2[Steel Member],0),_xlfn.XMATCH(W$2,Table2[#Headers],0)))</f>
        <v>#N/A</v>
      </c>
      <c r="X33" s="4" t="e">
        <f t="shared" si="18"/>
        <v>#N/A</v>
      </c>
      <c r="Y33" s="4" t="e" cm="1">
        <f t="array" ref="Y33">IF(INDEX(Table2[],_xlfn.XMATCH($A33,Table2[Steel Member],0),_xlfn.XMATCH(Y$2,Table2[#Headers],0))=0,"",INDEX(Table2[],_xlfn.XMATCH($A33,Table2[Steel Member],0),_xlfn.XMATCH(Y$2,Table2[#Headers],0)))</f>
        <v>#N/A</v>
      </c>
      <c r="Z33" s="4" t="e" cm="1">
        <f t="array" ref="Z33">IF(INDEX(Table2[],_xlfn.XMATCH($A33,Table2[Steel Member],0),_xlfn.XMATCH(Z$2,Table2[#Headers],0))=0,"",INDEX(Table2[],_xlfn.XMATCH($A33,Table2[Steel Member],0),_xlfn.XMATCH(Z$2,Table2[#Headers],0)))</f>
        <v>#N/A</v>
      </c>
      <c r="AA33" s="4" t="e" cm="1">
        <f t="array" ref="AA33">IF(INDEX(Table2[],_xlfn.XMATCH($A33,Table2[Steel Member],0),_xlfn.XMATCH(AA$2,Table2[#Headers],0))=0,"",INDEX(Table2[],_xlfn.XMATCH($A33,Table2[Steel Member],0),_xlfn.XMATCH(AA$2,Table2[#Headers],0)))</f>
        <v>#N/A</v>
      </c>
      <c r="AB33" s="4" t="e" cm="1">
        <f t="array" ref="AB33">IF(INDEX(Table2[],_xlfn.XMATCH($A33,Table2[Steel Member],0),_xlfn.XMATCH(AB$2,Table2[#Headers],0))=0,"",INDEX(Table2[],_xlfn.XMATCH($A33,Table2[Steel Member],0),_xlfn.XMATCH(AB$2,Table2[#Headers],0)))</f>
        <v>#N/A</v>
      </c>
      <c r="AC33" s="4" t="str" cm="1">
        <f t="array" ref="AC33">IFERROR(INDEX(Table8[],_xlfn.XMATCH($O33,Table8[Dimension Name Category],0),_xlfn.XMATCH(AC$2&amp;IF($L33," w/ tag"," w/o tag"),Table8[#Headers],0)),"")</f>
        <v/>
      </c>
      <c r="AD33" s="59" t="str">
        <f t="shared" si="19"/>
        <v/>
      </c>
      <c r="AE33" s="4" t="str">
        <f t="shared" si="20"/>
        <v>Steel Surface Area</v>
      </c>
      <c r="AF33" s="4" t="str">
        <f t="shared" si="21"/>
        <v>m2</v>
      </c>
      <c r="AG33" s="4" t="str" cm="1">
        <f t="array" ref="AG33">IFERROR(INDEX(Table8[],_xlfn.XMATCH($O33,Table8[Dimension Name Category],0),_xlfn.XMATCH(AG$2&amp;IF($L33," w/ tag"," w/o tag"),Table8[#Headers],0)),"")</f>
        <v/>
      </c>
      <c r="AH33" s="59" t="str">
        <f t="shared" si="22"/>
        <v/>
      </c>
      <c r="AI33" s="4"/>
      <c r="AJ33" s="4" t="str">
        <f t="shared" si="23"/>
        <v>Slope Length</v>
      </c>
      <c r="AK33" s="4" t="str">
        <f t="shared" si="24"/>
        <v>m</v>
      </c>
      <c r="AL33" s="4" t="e" cm="1">
        <f t="array" ref="AL33">IF(INDEX(Table2[],_xlfn.XMATCH($A33,Table2[Steel Member],0),_xlfn.XMATCH(AL$2,Table2[#Headers],0))=0,"",INDEX(Table2[],_xlfn.XMATCH($A33,Table2[Steel Member],0),_xlfn.XMATCH(AL$2,Table2[#Headers],0)))</f>
        <v>#N/A</v>
      </c>
      <c r="AM33" s="4"/>
      <c r="AN33" s="4" t="str">
        <f t="shared" si="25"/>
        <v>Slope Factor</v>
      </c>
      <c r="AO33" s="4"/>
      <c r="AP33" s="4" t="e" cm="1">
        <f t="array" ref="AP33">IF(INDEX(Table2[],_xlfn.XMATCH($A33,Table2[Steel Member],0),_xlfn.XMATCH(AP$2,Table2[#Headers],0))=0,"",INDEX(Table2[],_xlfn.XMATCH($A33,Table2[Steel Member],0),_xlfn.XMATCH(AP$2,Table2[#Headers],0)))</f>
        <v>#N/A</v>
      </c>
      <c r="AQ33" s="4"/>
      <c r="AR33" s="4"/>
      <c r="AS33" s="4"/>
      <c r="AT33" s="4"/>
    </row>
    <row r="34" spans="1:46" x14ac:dyDescent="0.25">
      <c r="A34" s="52" t="s">
        <v>508</v>
      </c>
      <c r="B34" s="52" t="s">
        <v>1142</v>
      </c>
      <c r="C34" s="52"/>
      <c r="D34" s="52"/>
      <c r="E34" s="52" t="s">
        <v>1133</v>
      </c>
      <c r="F34" s="64" cm="1">
        <f t="array" ref="F34">IF(COUNT(FIND(PurlinsxGirthsxBracings,$C34))&gt;0,0,ROUNDUP(IF(D34=0,0,VLOOKUP(D34,'DATA SHEET'!$B:$D,2,FALSE)),2))</f>
        <v>0</v>
      </c>
      <c r="G34" s="64" cm="1">
        <f t="array" ref="G34">IF(COUNT(FIND(PurlinsxGirthsxBracings,$C34))&gt;0,0,ROUNDUP(IF(D34=0,0,VLOOKUP(D34,'DATA SHEET'!$B:$D,3,FALSE)),2))</f>
        <v>0</v>
      </c>
      <c r="H34" s="53" t="s">
        <v>1163</v>
      </c>
      <c r="I34" s="66" t="str" cm="1">
        <f t="array" ref="I34">IF(AND(ISBLANK(B34),ISBLANK(C34),ISBLANK(E34)),0,IF(COUNT(FIND(PurlinsxGirthsxBracings,$C34))&gt;0,IF(B34=0,CONCATENATE(E34," ",C34),CONCATENATE(B34," - ",E34," ",C34)),IF(B34=0,IF(ISBLANK(C34),E34,CONCATENATE(D34,", ",F34,"kg/m, ",G34,"mm surface perimeter")),IF(AND(ISBLANK(C34),ISTEXT(E34)),CONCATENATE(B34," - ",E34),IF(AND(ISBLANK(C34),ISBLANK(E34)),B34,CONCATENATE(B34," - ",D34,", ",F34,"kg/m, ",G34,"mm surface perimeter"))))&amp;IF(ISBLANK(H34),"",H34)))</f>
        <v>CWB73d - CUSTOM_730_F15_W30; Steel Grade: 400PLUS</v>
      </c>
      <c r="J34" s="53"/>
      <c r="L34" s="4" t="b" cm="1">
        <f t="array" ref="L34">IF(COUNT(FIND({0,1,2,3,4,5,6,7,8,9},B34))&gt;0,COUNT(FIND({0,1,2,3,4,5,6,7,8,9},B34))&gt;0,"")</f>
        <v>1</v>
      </c>
      <c r="M34" s="4" t="str" cm="1">
        <f t="array" aca="1" ref="M34" ca="1">IFERROR(_xlfn.IFS(R34="Count",RANDBETWEEN(1,COUNTIF($R$11:$R$653,"Count")),R34="Length",RANDBETWEEN(1,COUNTIF($R$11:$R$653,"Length"))),"")</f>
        <v/>
      </c>
      <c r="N34" s="4" t="str">
        <f ca="1">IFERROR(_xlfn.RANK.EQ(M34,$M$11:$M$653)+COUNTIF($M$11:M34,M34)-1,"")</f>
        <v/>
      </c>
      <c r="O34" s="86" t="str">
        <f>IF(A34='DATA SHEET'!$L$36,C34,IFERROR(IF(AND(ISTEXT(I34),ISBLANK(C34)),"No details",VLOOKUP(C34,DimFolder,2,FALSE)),""))</f>
        <v>No details</v>
      </c>
      <c r="P34" s="4" t="str">
        <f t="shared" si="14"/>
        <v>Structural\Structural Steel\Purlins, Girths and Bracings\No details</v>
      </c>
      <c r="Q34" s="58" t="str">
        <f t="shared" si="15"/>
        <v>CWB73d - CUSTOM_730_F15_W30; Steel Grade: 400PLUS</v>
      </c>
      <c r="R34" s="4" t="e" cm="1">
        <f t="array" ref="R34">IF(INDEX(Table2[],_xlfn.XMATCH($A34,Table2[Steel Member],0),_xlfn.XMATCH(R$2,Table2[#Headers],0))=0,"",INDEX(Table2[],_xlfn.XMATCH($A34,Table2[Steel Member],0),_xlfn.XMATCH(R$2,Table2[#Headers],0)))</f>
        <v>#N/A</v>
      </c>
      <c r="S34" s="4" t="e" cm="1">
        <f t="array" ref="S34">IF(INDEX(Table2[],_xlfn.XMATCH($A34,Table2[Steel Member],0),_xlfn.XMATCH(S$2,Table2[#Headers],0))=0,"",INDEX(Table2[],_xlfn.XMATCH($A34,Table2[Steel Member],0),_xlfn.XMATCH(S$2,Table2[#Headers],0)))</f>
        <v>#N/A</v>
      </c>
      <c r="T34" s="4" t="str">
        <f t="shared" si="16"/>
        <v>t</v>
      </c>
      <c r="U34" s="4" t="e">
        <f ca="1">VLOOKUP(N34,'COLOR CODE'!$B:$D,2,FALSE)</f>
        <v>#N/A</v>
      </c>
      <c r="V34" s="4" t="str">
        <f t="shared" si="17"/>
        <v>Red</v>
      </c>
      <c r="W34" s="4" t="e" cm="1">
        <f t="array" ref="W34">IF(INDEX(Table2[],_xlfn.XMATCH($A34,Table2[Steel Member],0),_xlfn.XMATCH(W$2,Table2[#Headers],0))=0,"",INDEX(Table2[],_xlfn.XMATCH($A34,Table2[Steel Member],0),_xlfn.XMATCH(W$2,Table2[#Headers],0)))</f>
        <v>#N/A</v>
      </c>
      <c r="X34" s="4" t="e">
        <f t="shared" si="18"/>
        <v>#N/A</v>
      </c>
      <c r="Y34" s="4" t="e" cm="1">
        <f t="array" ref="Y34">IF(INDEX(Table2[],_xlfn.XMATCH($A34,Table2[Steel Member],0),_xlfn.XMATCH(Y$2,Table2[#Headers],0))=0,"",INDEX(Table2[],_xlfn.XMATCH($A34,Table2[Steel Member],0),_xlfn.XMATCH(Y$2,Table2[#Headers],0)))</f>
        <v>#N/A</v>
      </c>
      <c r="Z34" s="4" t="e" cm="1">
        <f t="array" ref="Z34">IF(INDEX(Table2[],_xlfn.XMATCH($A34,Table2[Steel Member],0),_xlfn.XMATCH(Z$2,Table2[#Headers],0))=0,"",INDEX(Table2[],_xlfn.XMATCH($A34,Table2[Steel Member],0),_xlfn.XMATCH(Z$2,Table2[#Headers],0)))</f>
        <v>#N/A</v>
      </c>
      <c r="AA34" s="4" t="e" cm="1">
        <f t="array" ref="AA34">IF(INDEX(Table2[],_xlfn.XMATCH($A34,Table2[Steel Member],0),_xlfn.XMATCH(AA$2,Table2[#Headers],0))=0,"",INDEX(Table2[],_xlfn.XMATCH($A34,Table2[Steel Member],0),_xlfn.XMATCH(AA$2,Table2[#Headers],0)))</f>
        <v>#N/A</v>
      </c>
      <c r="AB34" s="4" t="e" cm="1">
        <f t="array" ref="AB34">IF(INDEX(Table2[],_xlfn.XMATCH($A34,Table2[Steel Member],0),_xlfn.XMATCH(AB$2,Table2[#Headers],0))=0,"",INDEX(Table2[],_xlfn.XMATCH($A34,Table2[Steel Member],0),_xlfn.XMATCH(AB$2,Table2[#Headers],0)))</f>
        <v>#N/A</v>
      </c>
      <c r="AC34" s="4" t="str" cm="1">
        <f t="array" ref="AC34">IFERROR(INDEX(Table8[],_xlfn.XMATCH($O34,Table8[Dimension Name Category],0),_xlfn.XMATCH(AC$2&amp;IF($L34," w/ tag"," w/o tag"),Table8[#Headers],0)),"")</f>
        <v/>
      </c>
      <c r="AD34" s="59" t="str">
        <f t="shared" si="19"/>
        <v/>
      </c>
      <c r="AE34" s="4" t="str">
        <f t="shared" si="20"/>
        <v>Steel Surface Area</v>
      </c>
      <c r="AF34" s="4" t="str">
        <f t="shared" si="21"/>
        <v>m2</v>
      </c>
      <c r="AG34" s="4" t="str" cm="1">
        <f t="array" ref="AG34">IFERROR(INDEX(Table8[],_xlfn.XMATCH($O34,Table8[Dimension Name Category],0),_xlfn.XMATCH(AG$2&amp;IF($L34," w/ tag"," w/o tag"),Table8[#Headers],0)),"")</f>
        <v/>
      </c>
      <c r="AH34" s="59" t="str">
        <f t="shared" si="22"/>
        <v/>
      </c>
      <c r="AI34" s="4"/>
      <c r="AJ34" s="4" t="str">
        <f t="shared" si="23"/>
        <v>Slope Length</v>
      </c>
      <c r="AK34" s="4" t="str">
        <f t="shared" si="24"/>
        <v>m</v>
      </c>
      <c r="AL34" s="4" t="e" cm="1">
        <f t="array" ref="AL34">IF(INDEX(Table2[],_xlfn.XMATCH($A34,Table2[Steel Member],0),_xlfn.XMATCH(AL$2,Table2[#Headers],0))=0,"",INDEX(Table2[],_xlfn.XMATCH($A34,Table2[Steel Member],0),_xlfn.XMATCH(AL$2,Table2[#Headers],0)))</f>
        <v>#N/A</v>
      </c>
      <c r="AM34" s="4"/>
      <c r="AN34" s="4" t="str">
        <f t="shared" si="25"/>
        <v>Slope Factor</v>
      </c>
      <c r="AO34" s="4"/>
      <c r="AP34" s="4" t="e" cm="1">
        <f t="array" ref="AP34">IF(INDEX(Table2[],_xlfn.XMATCH($A34,Table2[Steel Member],0),_xlfn.XMATCH(AP$2,Table2[#Headers],0))=0,"",INDEX(Table2[],_xlfn.XMATCH($A34,Table2[Steel Member],0),_xlfn.XMATCH(AP$2,Table2[#Headers],0)))</f>
        <v>#N/A</v>
      </c>
      <c r="AQ34" s="4"/>
      <c r="AR34" s="4"/>
      <c r="AS34" s="4"/>
      <c r="AT34" s="4"/>
    </row>
    <row r="35" spans="1:46" x14ac:dyDescent="0.25">
      <c r="A35" s="52" t="s">
        <v>508</v>
      </c>
      <c r="B35" s="52" t="s">
        <v>1118</v>
      </c>
      <c r="C35" s="52"/>
      <c r="D35" s="52"/>
      <c r="E35" s="52" t="s">
        <v>1134</v>
      </c>
      <c r="F35" s="64" cm="1">
        <f t="array" ref="F35">IF(COUNT(FIND(PurlinsxGirthsxBracings,$C35))&gt;0,0,ROUNDUP(IF(D35=0,0,VLOOKUP(D35,'DATA SHEET'!$B:$D,2,FALSE)),2))</f>
        <v>0</v>
      </c>
      <c r="G35" s="64" cm="1">
        <f t="array" ref="G35">IF(COUNT(FIND(PurlinsxGirthsxBracings,$C35))&gt;0,0,ROUNDUP(IF(D35=0,0,VLOOKUP(D35,'DATA SHEET'!$B:$D,3,FALSE)),2))</f>
        <v>0</v>
      </c>
      <c r="H35" s="53" t="s">
        <v>1163</v>
      </c>
      <c r="I35" s="66" t="str" cm="1">
        <f t="array" ref="I35">IF(AND(ISBLANK(B35),ISBLANK(C35),ISBLANK(E35)),0,IF(COUNT(FIND(PurlinsxGirthsxBracings,$C35))&gt;0,IF(B35=0,CONCATENATE(E35," ",C35),CONCATENATE(B35," - ",E35," ",C35)),IF(B35=0,IF(ISBLANK(C35),E35,CONCATENATE(D35,", ",F35,"kg/m, ",G35,"mm surface perimeter")),IF(AND(ISBLANK(C35),ISTEXT(E35)),CONCATENATE(B35," - ",E35),IF(AND(ISBLANK(C35),ISBLANK(E35)),B35,CONCATENATE(B35," - ",D35,", ",F35,"kg/m, ",G35,"mm surface perimeter"))))&amp;IF(ISBLANK(H35),"",H35)))</f>
        <v>CWB80d - CUSTOM_800_F60_W30; Steel Grade: 400PLUS</v>
      </c>
      <c r="J35" s="53"/>
      <c r="L35" s="4" t="b" cm="1">
        <f t="array" ref="L35">IF(COUNT(FIND({0,1,2,3,4,5,6,7,8,9},B35))&gt;0,COUNT(FIND({0,1,2,3,4,5,6,7,8,9},B35))&gt;0,"")</f>
        <v>1</v>
      </c>
      <c r="M35" s="4" t="str" cm="1">
        <f t="array" aca="1" ref="M35" ca="1">IFERROR(_xlfn.IFS(R35="Count",RANDBETWEEN(1,COUNTIF($R$11:$R$653,"Count")),R35="Length",RANDBETWEEN(1,COUNTIF($R$11:$R$653,"Length"))),"")</f>
        <v/>
      </c>
      <c r="N35" s="4" t="str">
        <f ca="1">IFERROR(_xlfn.RANK.EQ(M35,$M$11:$M$653)+COUNTIF($M$11:M35,M35)-1,"")</f>
        <v/>
      </c>
      <c r="O35" s="86" t="str">
        <f>IF(A35='DATA SHEET'!$L$36,C35,IFERROR(IF(AND(ISTEXT(I35),ISBLANK(C35)),"No details",VLOOKUP(C35,DimFolder,2,FALSE)),""))</f>
        <v>No details</v>
      </c>
      <c r="P35" s="4" t="str">
        <f t="shared" si="14"/>
        <v>Structural\Structural Steel\Purlins, Girths and Bracings\No details</v>
      </c>
      <c r="Q35" s="58" t="str">
        <f t="shared" si="15"/>
        <v>CWB80d - CUSTOM_800_F60_W30; Steel Grade: 400PLUS</v>
      </c>
      <c r="R35" s="4" t="e" cm="1">
        <f t="array" ref="R35">IF(INDEX(Table2[],_xlfn.XMATCH($A35,Table2[Steel Member],0),_xlfn.XMATCH(R$2,Table2[#Headers],0))=0,"",INDEX(Table2[],_xlfn.XMATCH($A35,Table2[Steel Member],0),_xlfn.XMATCH(R$2,Table2[#Headers],0)))</f>
        <v>#N/A</v>
      </c>
      <c r="S35" s="4" t="e" cm="1">
        <f t="array" ref="S35">IF(INDEX(Table2[],_xlfn.XMATCH($A35,Table2[Steel Member],0),_xlfn.XMATCH(S$2,Table2[#Headers],0))=0,"",INDEX(Table2[],_xlfn.XMATCH($A35,Table2[Steel Member],0),_xlfn.XMATCH(S$2,Table2[#Headers],0)))</f>
        <v>#N/A</v>
      </c>
      <c r="T35" s="4" t="str">
        <f t="shared" si="16"/>
        <v>t</v>
      </c>
      <c r="U35" s="4" t="e">
        <f ca="1">VLOOKUP(N35,'COLOR CODE'!$B:$D,2,FALSE)</f>
        <v>#N/A</v>
      </c>
      <c r="V35" s="4" t="str">
        <f t="shared" si="17"/>
        <v>Red</v>
      </c>
      <c r="W35" s="4" t="e" cm="1">
        <f t="array" ref="W35">IF(INDEX(Table2[],_xlfn.XMATCH($A35,Table2[Steel Member],0),_xlfn.XMATCH(W$2,Table2[#Headers],0))=0,"",INDEX(Table2[],_xlfn.XMATCH($A35,Table2[Steel Member],0),_xlfn.XMATCH(W$2,Table2[#Headers],0)))</f>
        <v>#N/A</v>
      </c>
      <c r="X35" s="4" t="e">
        <f t="shared" si="18"/>
        <v>#N/A</v>
      </c>
      <c r="Y35" s="4" t="e" cm="1">
        <f t="array" ref="Y35">IF(INDEX(Table2[],_xlfn.XMATCH($A35,Table2[Steel Member],0),_xlfn.XMATCH(Y$2,Table2[#Headers],0))=0,"",INDEX(Table2[],_xlfn.XMATCH($A35,Table2[Steel Member],0),_xlfn.XMATCH(Y$2,Table2[#Headers],0)))</f>
        <v>#N/A</v>
      </c>
      <c r="Z35" s="4" t="e" cm="1">
        <f t="array" ref="Z35">IF(INDEX(Table2[],_xlfn.XMATCH($A35,Table2[Steel Member],0),_xlfn.XMATCH(Z$2,Table2[#Headers],0))=0,"",INDEX(Table2[],_xlfn.XMATCH($A35,Table2[Steel Member],0),_xlfn.XMATCH(Z$2,Table2[#Headers],0)))</f>
        <v>#N/A</v>
      </c>
      <c r="AA35" s="4" t="e" cm="1">
        <f t="array" ref="AA35">IF(INDEX(Table2[],_xlfn.XMATCH($A35,Table2[Steel Member],0),_xlfn.XMATCH(AA$2,Table2[#Headers],0))=0,"",INDEX(Table2[],_xlfn.XMATCH($A35,Table2[Steel Member],0),_xlfn.XMATCH(AA$2,Table2[#Headers],0)))</f>
        <v>#N/A</v>
      </c>
      <c r="AB35" s="4" t="e" cm="1">
        <f t="array" ref="AB35">IF(INDEX(Table2[],_xlfn.XMATCH($A35,Table2[Steel Member],0),_xlfn.XMATCH(AB$2,Table2[#Headers],0))=0,"",INDEX(Table2[],_xlfn.XMATCH($A35,Table2[Steel Member],0),_xlfn.XMATCH(AB$2,Table2[#Headers],0)))</f>
        <v>#N/A</v>
      </c>
      <c r="AC35" s="4" t="str" cm="1">
        <f t="array" ref="AC35">IFERROR(INDEX(Table8[],_xlfn.XMATCH($O35,Table8[Dimension Name Category],0),_xlfn.XMATCH(AC$2&amp;IF($L35," w/ tag"," w/o tag"),Table8[#Headers],0)),"")</f>
        <v/>
      </c>
      <c r="AD35" s="59" t="str">
        <f t="shared" si="19"/>
        <v/>
      </c>
      <c r="AE35" s="4" t="str">
        <f t="shared" si="20"/>
        <v>Steel Surface Area</v>
      </c>
      <c r="AF35" s="4" t="str">
        <f t="shared" si="21"/>
        <v>m2</v>
      </c>
      <c r="AG35" s="4" t="str" cm="1">
        <f t="array" ref="AG35">IFERROR(INDEX(Table8[],_xlfn.XMATCH($O35,Table8[Dimension Name Category],0),_xlfn.XMATCH(AG$2&amp;IF($L35," w/ tag"," w/o tag"),Table8[#Headers],0)),"")</f>
        <v/>
      </c>
      <c r="AH35" s="59" t="str">
        <f t="shared" si="22"/>
        <v/>
      </c>
      <c r="AI35" s="4"/>
      <c r="AJ35" s="4" t="str">
        <f t="shared" si="23"/>
        <v>Slope Length</v>
      </c>
      <c r="AK35" s="4" t="str">
        <f t="shared" si="24"/>
        <v>m</v>
      </c>
      <c r="AL35" s="4" t="e" cm="1">
        <f t="array" ref="AL35">IF(INDEX(Table2[],_xlfn.XMATCH($A35,Table2[Steel Member],0),_xlfn.XMATCH(AL$2,Table2[#Headers],0))=0,"",INDEX(Table2[],_xlfn.XMATCH($A35,Table2[Steel Member],0),_xlfn.XMATCH(AL$2,Table2[#Headers],0)))</f>
        <v>#N/A</v>
      </c>
      <c r="AM35" s="4"/>
      <c r="AN35" s="4" t="str">
        <f t="shared" si="25"/>
        <v>Slope Factor</v>
      </c>
      <c r="AO35" s="4"/>
      <c r="AP35" s="4" t="e" cm="1">
        <f t="array" ref="AP35">IF(INDEX(Table2[],_xlfn.XMATCH($A35,Table2[Steel Member],0),_xlfn.XMATCH(AP$2,Table2[#Headers],0))=0,"",INDEX(Table2[],_xlfn.XMATCH($A35,Table2[Steel Member],0),_xlfn.XMATCH(AP$2,Table2[#Headers],0)))</f>
        <v>#N/A</v>
      </c>
      <c r="AQ35" s="4"/>
      <c r="AR35" s="4"/>
      <c r="AS35" s="4"/>
      <c r="AT35" s="4"/>
    </row>
    <row r="36" spans="1:46" x14ac:dyDescent="0.25">
      <c r="A36" s="52" t="s">
        <v>508</v>
      </c>
      <c r="B36" s="52" t="s">
        <v>1119</v>
      </c>
      <c r="C36" s="52"/>
      <c r="D36" s="52"/>
      <c r="E36" s="52" t="s">
        <v>1135</v>
      </c>
      <c r="F36" s="64" cm="1">
        <f t="array" ref="F36">IF(COUNT(FIND(PurlinsxGirthsxBracings,$C36))&gt;0,0,ROUNDUP(IF(D36=0,0,VLOOKUP(D36,'DATA SHEET'!$B:$D,2,FALSE)),2))</f>
        <v>0</v>
      </c>
      <c r="G36" s="64" cm="1">
        <f t="array" ref="G36">IF(COUNT(FIND(PurlinsxGirthsxBracings,$C36))&gt;0,0,ROUNDUP(IF(D36=0,0,VLOOKUP(D36,'DATA SHEET'!$B:$D,3,FALSE)),2))</f>
        <v>0</v>
      </c>
      <c r="H36" s="53" t="s">
        <v>1163</v>
      </c>
      <c r="I36" s="66" t="str" cm="1">
        <f t="array" ref="I36">IF(AND(ISBLANK(B36),ISBLANK(C36),ISBLANK(E36)),0,IF(COUNT(FIND(PurlinsxGirthsxBracings,$C36))&gt;0,IF(B36=0,CONCATENATE(E36," ",C36),CONCATENATE(B36," - ",E36," ",C36)),IF(B36=0,IF(ISBLANK(C36),E36,CONCATENATE(D36,", ",F36,"kg/m, ",G36,"mm surface perimeter")),IF(AND(ISBLANK(C36),ISTEXT(E36)),CONCATENATE(B36," - ",E36),IF(AND(ISBLANK(C36),ISBLANK(E36)),B36,CONCATENATE(B36," - ",D36,", ",F36,"kg/m, ",G36,"mm surface perimeter"))))&amp;IF(ISBLANK(H36),"",H36)))</f>
        <v>CWB90a - CUSTOM_900_F40_W12; Steel Grade: 400PLUS</v>
      </c>
      <c r="J36" s="53"/>
      <c r="L36" s="4" t="b" cm="1">
        <f t="array" ref="L36">IF(COUNT(FIND({0,1,2,3,4,5,6,7,8,9},B36))&gt;0,COUNT(FIND({0,1,2,3,4,5,6,7,8,9},B36))&gt;0,"")</f>
        <v>1</v>
      </c>
      <c r="M36" s="4" t="str" cm="1">
        <f t="array" aca="1" ref="M36" ca="1">IFERROR(_xlfn.IFS(R36="Count",RANDBETWEEN(1,COUNTIF($R$11:$R$653,"Count")),R36="Length",RANDBETWEEN(1,COUNTIF($R$11:$R$653,"Length"))),"")</f>
        <v/>
      </c>
      <c r="N36" s="4" t="str">
        <f ca="1">IFERROR(_xlfn.RANK.EQ(M36,$M$11:$M$653)+COUNTIF($M$11:M36,M36)-1,"")</f>
        <v/>
      </c>
      <c r="O36" s="86" t="str">
        <f>IF(A36='DATA SHEET'!$L$36,C36,IFERROR(IF(AND(ISTEXT(I36),ISBLANK(C36)),"No details",VLOOKUP(C36,DimFolder,2,FALSE)),""))</f>
        <v>No details</v>
      </c>
      <c r="P36" s="4" t="str">
        <f t="shared" si="14"/>
        <v>Structural\Structural Steel\Purlins, Girths and Bracings\No details</v>
      </c>
      <c r="Q36" s="58" t="str">
        <f t="shared" si="15"/>
        <v>CWB90a - CUSTOM_900_F40_W12; Steel Grade: 400PLUS</v>
      </c>
      <c r="R36" s="4" t="e" cm="1">
        <f t="array" ref="R36">IF(INDEX(Table2[],_xlfn.XMATCH($A36,Table2[Steel Member],0),_xlfn.XMATCH(R$2,Table2[#Headers],0))=0,"",INDEX(Table2[],_xlfn.XMATCH($A36,Table2[Steel Member],0),_xlfn.XMATCH(R$2,Table2[#Headers],0)))</f>
        <v>#N/A</v>
      </c>
      <c r="S36" s="4" t="e" cm="1">
        <f t="array" ref="S36">IF(INDEX(Table2[],_xlfn.XMATCH($A36,Table2[Steel Member],0),_xlfn.XMATCH(S$2,Table2[#Headers],0))=0,"",INDEX(Table2[],_xlfn.XMATCH($A36,Table2[Steel Member],0),_xlfn.XMATCH(S$2,Table2[#Headers],0)))</f>
        <v>#N/A</v>
      </c>
      <c r="T36" s="4" t="str">
        <f t="shared" si="16"/>
        <v>t</v>
      </c>
      <c r="U36" s="4" t="e">
        <f ca="1">VLOOKUP(N36,'COLOR CODE'!$B:$D,2,FALSE)</f>
        <v>#N/A</v>
      </c>
      <c r="V36" s="4" t="str">
        <f t="shared" si="17"/>
        <v>Red</v>
      </c>
      <c r="W36" s="4" t="e" cm="1">
        <f t="array" ref="W36">IF(INDEX(Table2[],_xlfn.XMATCH($A36,Table2[Steel Member],0),_xlfn.XMATCH(W$2,Table2[#Headers],0))=0,"",INDEX(Table2[],_xlfn.XMATCH($A36,Table2[Steel Member],0),_xlfn.XMATCH(W$2,Table2[#Headers],0)))</f>
        <v>#N/A</v>
      </c>
      <c r="X36" s="4" t="e">
        <f t="shared" si="18"/>
        <v>#N/A</v>
      </c>
      <c r="Y36" s="4" t="e" cm="1">
        <f t="array" ref="Y36">IF(INDEX(Table2[],_xlfn.XMATCH($A36,Table2[Steel Member],0),_xlfn.XMATCH(Y$2,Table2[#Headers],0))=0,"",INDEX(Table2[],_xlfn.XMATCH($A36,Table2[Steel Member],0),_xlfn.XMATCH(Y$2,Table2[#Headers],0)))</f>
        <v>#N/A</v>
      </c>
      <c r="Z36" s="4" t="e" cm="1">
        <f t="array" ref="Z36">IF(INDEX(Table2[],_xlfn.XMATCH($A36,Table2[Steel Member],0),_xlfn.XMATCH(Z$2,Table2[#Headers],0))=0,"",INDEX(Table2[],_xlfn.XMATCH($A36,Table2[Steel Member],0),_xlfn.XMATCH(Z$2,Table2[#Headers],0)))</f>
        <v>#N/A</v>
      </c>
      <c r="AA36" s="4" t="e" cm="1">
        <f t="array" ref="AA36">IF(INDEX(Table2[],_xlfn.XMATCH($A36,Table2[Steel Member],0),_xlfn.XMATCH(AA$2,Table2[#Headers],0))=0,"",INDEX(Table2[],_xlfn.XMATCH($A36,Table2[Steel Member],0),_xlfn.XMATCH(AA$2,Table2[#Headers],0)))</f>
        <v>#N/A</v>
      </c>
      <c r="AB36" s="4" t="e" cm="1">
        <f t="array" ref="AB36">IF(INDEX(Table2[],_xlfn.XMATCH($A36,Table2[Steel Member],0),_xlfn.XMATCH(AB$2,Table2[#Headers],0))=0,"",INDEX(Table2[],_xlfn.XMATCH($A36,Table2[Steel Member],0),_xlfn.XMATCH(AB$2,Table2[#Headers],0)))</f>
        <v>#N/A</v>
      </c>
      <c r="AC36" s="4" t="str" cm="1">
        <f t="array" ref="AC36">IFERROR(INDEX(Table8[],_xlfn.XMATCH($O36,Table8[Dimension Name Category],0),_xlfn.XMATCH(AC$2&amp;IF($L36," w/ tag"," w/o tag"),Table8[#Headers],0)),"")</f>
        <v/>
      </c>
      <c r="AD36" s="59" t="str">
        <f t="shared" si="19"/>
        <v/>
      </c>
      <c r="AE36" s="4" t="str">
        <f t="shared" si="20"/>
        <v>Steel Surface Area</v>
      </c>
      <c r="AF36" s="4" t="str">
        <f t="shared" si="21"/>
        <v>m2</v>
      </c>
      <c r="AG36" s="4" t="str" cm="1">
        <f t="array" ref="AG36">IFERROR(INDEX(Table8[],_xlfn.XMATCH($O36,Table8[Dimension Name Category],0),_xlfn.XMATCH(AG$2&amp;IF($L36," w/ tag"," w/o tag"),Table8[#Headers],0)),"")</f>
        <v/>
      </c>
      <c r="AH36" s="59" t="str">
        <f t="shared" si="22"/>
        <v/>
      </c>
      <c r="AI36" s="4"/>
      <c r="AJ36" s="4" t="str">
        <f t="shared" si="23"/>
        <v>Slope Length</v>
      </c>
      <c r="AK36" s="4" t="str">
        <f t="shared" si="24"/>
        <v>m</v>
      </c>
      <c r="AL36" s="4" t="e" cm="1">
        <f t="array" ref="AL36">IF(INDEX(Table2[],_xlfn.XMATCH($A36,Table2[Steel Member],0),_xlfn.XMATCH(AL$2,Table2[#Headers],0))=0,"",INDEX(Table2[],_xlfn.XMATCH($A36,Table2[Steel Member],0),_xlfn.XMATCH(AL$2,Table2[#Headers],0)))</f>
        <v>#N/A</v>
      </c>
      <c r="AM36" s="4"/>
      <c r="AN36" s="4" t="str">
        <f t="shared" si="25"/>
        <v>Slope Factor</v>
      </c>
      <c r="AO36" s="4"/>
      <c r="AP36" s="4" t="e" cm="1">
        <f t="array" ref="AP36">IF(INDEX(Table2[],_xlfn.XMATCH($A36,Table2[Steel Member],0),_xlfn.XMATCH(AP$2,Table2[#Headers],0))=0,"",INDEX(Table2[],_xlfn.XMATCH($A36,Table2[Steel Member],0),_xlfn.XMATCH(AP$2,Table2[#Headers],0)))</f>
        <v>#N/A</v>
      </c>
      <c r="AQ36" s="4"/>
      <c r="AR36" s="4"/>
      <c r="AS36" s="4"/>
      <c r="AT36" s="4"/>
    </row>
    <row r="37" spans="1:46" x14ac:dyDescent="0.25">
      <c r="A37" s="52" t="s">
        <v>508</v>
      </c>
      <c r="B37" s="52" t="s">
        <v>1120</v>
      </c>
      <c r="C37" s="52"/>
      <c r="D37" s="52"/>
      <c r="E37" s="52" t="s">
        <v>1136</v>
      </c>
      <c r="F37" s="64" cm="1">
        <f t="array" ref="F37">IF(COUNT(FIND(PurlinsxGirthsxBracings,$C37))&gt;0,0,ROUNDUP(IF(D37=0,0,VLOOKUP(D37,'DATA SHEET'!$B:$D,2,FALSE)),2))</f>
        <v>0</v>
      </c>
      <c r="G37" s="64" cm="1">
        <f t="array" ref="G37">IF(COUNT(FIND(PurlinsxGirthsxBracings,$C37))&gt;0,0,ROUNDUP(IF(D37=0,0,VLOOKUP(D37,'DATA SHEET'!$B:$D,3,FALSE)),2))</f>
        <v>0</v>
      </c>
      <c r="H37" s="53" t="s">
        <v>1163</v>
      </c>
      <c r="I37" s="66" t="str" cm="1">
        <f t="array" ref="I37">IF(AND(ISBLANK(B37),ISBLANK(C37),ISBLANK(E37)),0,IF(COUNT(FIND(PurlinsxGirthsxBracings,$C37))&gt;0,IF(B37=0,CONCATENATE(E37," ",C37),CONCATENATE(B37," - ",E37," ",C37)),IF(B37=0,IF(ISBLANK(C37),E37,CONCATENATE(D37,", ",F37,"kg/m, ",G37,"mm surface perimeter")),IF(AND(ISBLANK(C37),ISTEXT(E37)),CONCATENATE(B37," - ",E37),IF(AND(ISBLANK(C37),ISBLANK(E37)),B37,CONCATENATE(B37," - ",D37,", ",F37,"kg/m, ",G37,"mm surface perimeter"))))&amp;IF(ISBLANK(H37),"",H37)))</f>
        <v>CWB90b - CUSTOM_900_F40_W20; Steel Grade: 400PLUS</v>
      </c>
      <c r="J37" s="53"/>
      <c r="L37" s="4" t="b" cm="1">
        <f t="array" ref="L37">IF(COUNT(FIND({0,1,2,3,4,5,6,7,8,9},B37))&gt;0,COUNT(FIND({0,1,2,3,4,5,6,7,8,9},B37))&gt;0,"")</f>
        <v>1</v>
      </c>
      <c r="M37" s="4" t="str" cm="1">
        <f t="array" aca="1" ref="M37" ca="1">IFERROR(_xlfn.IFS(R37="Count",RANDBETWEEN(1,COUNTIF($R$11:$R$653,"Count")),R37="Length",RANDBETWEEN(1,COUNTIF($R$11:$R$653,"Length"))),"")</f>
        <v/>
      </c>
      <c r="N37" s="4" t="str">
        <f ca="1">IFERROR(_xlfn.RANK.EQ(M37,$M$11:$M$653)+COUNTIF($M$11:M37,M37)-1,"")</f>
        <v/>
      </c>
      <c r="O37" s="86" t="str">
        <f>IF(A37='DATA SHEET'!$L$36,C37,IFERROR(IF(AND(ISTEXT(I37),ISBLANK(C37)),"No details",VLOOKUP(C37,DimFolder,2,FALSE)),""))</f>
        <v>No details</v>
      </c>
      <c r="P37" s="4" t="str">
        <f t="shared" si="14"/>
        <v>Structural\Structural Steel\Purlins, Girths and Bracings\No details</v>
      </c>
      <c r="Q37" s="58" t="str">
        <f t="shared" si="15"/>
        <v>CWB90b - CUSTOM_900_F40_W20; Steel Grade: 400PLUS</v>
      </c>
      <c r="R37" s="4" t="e" cm="1">
        <f t="array" ref="R37">IF(INDEX(Table2[],_xlfn.XMATCH($A37,Table2[Steel Member],0),_xlfn.XMATCH(R$2,Table2[#Headers],0))=0,"",INDEX(Table2[],_xlfn.XMATCH($A37,Table2[Steel Member],0),_xlfn.XMATCH(R$2,Table2[#Headers],0)))</f>
        <v>#N/A</v>
      </c>
      <c r="S37" s="4" t="e" cm="1">
        <f t="array" ref="S37">IF(INDEX(Table2[],_xlfn.XMATCH($A37,Table2[Steel Member],0),_xlfn.XMATCH(S$2,Table2[#Headers],0))=0,"",INDEX(Table2[],_xlfn.XMATCH($A37,Table2[Steel Member],0),_xlfn.XMATCH(S$2,Table2[#Headers],0)))</f>
        <v>#N/A</v>
      </c>
      <c r="T37" s="4" t="str">
        <f t="shared" si="16"/>
        <v>t</v>
      </c>
      <c r="U37" s="4" t="e">
        <f ca="1">VLOOKUP(N37,'COLOR CODE'!$B:$D,2,FALSE)</f>
        <v>#N/A</v>
      </c>
      <c r="V37" s="4" t="str">
        <f t="shared" si="17"/>
        <v>Red</v>
      </c>
      <c r="W37" s="4" t="e" cm="1">
        <f t="array" ref="W37">IF(INDEX(Table2[],_xlfn.XMATCH($A37,Table2[Steel Member],0),_xlfn.XMATCH(W$2,Table2[#Headers],0))=0,"",INDEX(Table2[],_xlfn.XMATCH($A37,Table2[Steel Member],0),_xlfn.XMATCH(W$2,Table2[#Headers],0)))</f>
        <v>#N/A</v>
      </c>
      <c r="X37" s="4" t="e">
        <f t="shared" ref="X37:X56" si="27">W37</f>
        <v>#N/A</v>
      </c>
      <c r="Y37" s="4" t="e" cm="1">
        <f t="array" ref="Y37">IF(INDEX(Table2[],_xlfn.XMATCH($A37,Table2[Steel Member],0),_xlfn.XMATCH(Y$2,Table2[#Headers],0))=0,"",INDEX(Table2[],_xlfn.XMATCH($A37,Table2[Steel Member],0),_xlfn.XMATCH(Y$2,Table2[#Headers],0)))</f>
        <v>#N/A</v>
      </c>
      <c r="Z37" s="4" t="e" cm="1">
        <f t="array" ref="Z37">IF(INDEX(Table2[],_xlfn.XMATCH($A37,Table2[Steel Member],0),_xlfn.XMATCH(Z$2,Table2[#Headers],0))=0,"",INDEX(Table2[],_xlfn.XMATCH($A37,Table2[Steel Member],0),_xlfn.XMATCH(Z$2,Table2[#Headers],0)))</f>
        <v>#N/A</v>
      </c>
      <c r="AA37" s="4" t="e" cm="1">
        <f t="array" ref="AA37">IF(INDEX(Table2[],_xlfn.XMATCH($A37,Table2[Steel Member],0),_xlfn.XMATCH(AA$2,Table2[#Headers],0))=0,"",INDEX(Table2[],_xlfn.XMATCH($A37,Table2[Steel Member],0),_xlfn.XMATCH(AA$2,Table2[#Headers],0)))</f>
        <v>#N/A</v>
      </c>
      <c r="AB37" s="4" t="e" cm="1">
        <f t="array" ref="AB37">IF(INDEX(Table2[],_xlfn.XMATCH($A37,Table2[Steel Member],0),_xlfn.XMATCH(AB$2,Table2[#Headers],0))=0,"",INDEX(Table2[],_xlfn.XMATCH($A37,Table2[Steel Member],0),_xlfn.XMATCH(AB$2,Table2[#Headers],0)))</f>
        <v>#N/A</v>
      </c>
      <c r="AC37" s="4" t="str" cm="1">
        <f t="array" ref="AC37">IFERROR(INDEX(Table8[],_xlfn.XMATCH($O37,Table8[Dimension Name Category],0),_xlfn.XMATCH(AC$2&amp;IF($L37," w/ tag"," w/o tag"),Table8[#Headers],0)),"")</f>
        <v/>
      </c>
      <c r="AD37" s="59" t="str">
        <f t="shared" si="19"/>
        <v/>
      </c>
      <c r="AE37" s="4" t="str">
        <f t="shared" si="20"/>
        <v>Steel Surface Area</v>
      </c>
      <c r="AF37" s="4" t="str">
        <f t="shared" si="21"/>
        <v>m2</v>
      </c>
      <c r="AG37" s="4" t="str" cm="1">
        <f t="array" ref="AG37">IFERROR(INDEX(Table8[],_xlfn.XMATCH($O37,Table8[Dimension Name Category],0),_xlfn.XMATCH(AG$2&amp;IF($L37," w/ tag"," w/o tag"),Table8[#Headers],0)),"")</f>
        <v/>
      </c>
      <c r="AH37" s="59" t="str">
        <f t="shared" si="22"/>
        <v/>
      </c>
      <c r="AI37" s="4"/>
      <c r="AJ37" s="4" t="str">
        <f t="shared" si="23"/>
        <v>Slope Length</v>
      </c>
      <c r="AK37" s="4" t="str">
        <f t="shared" si="24"/>
        <v>m</v>
      </c>
      <c r="AL37" s="4" t="e" cm="1">
        <f t="array" ref="AL37">IF(INDEX(Table2[],_xlfn.XMATCH($A37,Table2[Steel Member],0),_xlfn.XMATCH(AL$2,Table2[#Headers],0))=0,"",INDEX(Table2[],_xlfn.XMATCH($A37,Table2[Steel Member],0),_xlfn.XMATCH(AL$2,Table2[#Headers],0)))</f>
        <v>#N/A</v>
      </c>
      <c r="AM37" s="4"/>
      <c r="AN37" s="4" t="str">
        <f t="shared" si="25"/>
        <v>Slope Factor</v>
      </c>
      <c r="AO37" s="4"/>
      <c r="AP37" s="4" t="e" cm="1">
        <f t="array" ref="AP37">IF(INDEX(Table2[],_xlfn.XMATCH($A37,Table2[Steel Member],0),_xlfn.XMATCH(AP$2,Table2[#Headers],0))=0,"",INDEX(Table2[],_xlfn.XMATCH($A37,Table2[Steel Member],0),_xlfn.XMATCH(AP$2,Table2[#Headers],0)))</f>
        <v>#N/A</v>
      </c>
      <c r="AQ37" s="4"/>
      <c r="AR37" s="4"/>
      <c r="AS37" s="4"/>
      <c r="AT37" s="4"/>
    </row>
    <row r="38" spans="1:46" x14ac:dyDescent="0.25">
      <c r="A38" s="52" t="s">
        <v>508</v>
      </c>
      <c r="B38" s="52" t="s">
        <v>1121</v>
      </c>
      <c r="C38" s="52"/>
      <c r="D38" s="52"/>
      <c r="E38" s="52" t="s">
        <v>1137</v>
      </c>
      <c r="F38" s="64" cm="1">
        <f t="array" ref="F38">IF(COUNT(FIND(PurlinsxGirthsxBracings,$C38))&gt;0,0,ROUNDUP(IF(D38=0,0,VLOOKUP(D38,'DATA SHEET'!$B:$D,2,FALSE)),2))</f>
        <v>0</v>
      </c>
      <c r="G38" s="64" cm="1">
        <f t="array" ref="G38">IF(COUNT(FIND(PurlinsxGirthsxBracings,$C38))&gt;0,0,ROUNDUP(IF(D38=0,0,VLOOKUP(D38,'DATA SHEET'!$B:$D,3,FALSE)),2))</f>
        <v>0</v>
      </c>
      <c r="H38" s="53" t="s">
        <v>1163</v>
      </c>
      <c r="I38" s="66" t="str" cm="1">
        <f t="array" ref="I38">IF(AND(ISBLANK(B38),ISBLANK(C38),ISBLANK(E38)),0,IF(COUNT(FIND(PurlinsxGirthsxBracings,$C38))&gt;0,IF(B38=0,CONCATENATE(E38," ",C38),CONCATENATE(B38," - ",E38," ",C38)),IF(B38=0,IF(ISBLANK(C38),E38,CONCATENATE(D38,", ",F38,"kg/m, ",G38,"mm surface perimeter")),IF(AND(ISBLANK(C38),ISTEXT(E38)),CONCATENATE(B38," - ",E38),IF(AND(ISBLANK(C38),ISBLANK(E38)),B38,CONCATENATE(B38," - ",D38,", ",F38,"kg/m, ",G38,"mm surface perimeter"))))&amp;IF(ISBLANK(H38),"",H38)))</f>
        <v>CWB90f - CUSTOM_900_F32_W12; Steel Grade: 400PLUS</v>
      </c>
      <c r="J38" s="53"/>
      <c r="L38" s="4" t="b" cm="1">
        <f t="array" ref="L38">IF(COUNT(FIND({0,1,2,3,4,5,6,7,8,9},B38))&gt;0,COUNT(FIND({0,1,2,3,4,5,6,7,8,9},B38))&gt;0,"")</f>
        <v>1</v>
      </c>
      <c r="M38" s="4" t="str" cm="1">
        <f t="array" aca="1" ref="M38" ca="1">IFERROR(_xlfn.IFS(R38="Count",RANDBETWEEN(1,COUNTIF($R$11:$R$653,"Count")),R38="Length",RANDBETWEEN(1,COUNTIF($R$11:$R$653,"Length"))),"")</f>
        <v/>
      </c>
      <c r="N38" s="4" t="str">
        <f ca="1">IFERROR(_xlfn.RANK.EQ(M38,$M$11:$M$653)+COUNTIF($M$11:M38,M38)-1,"")</f>
        <v/>
      </c>
      <c r="O38" s="86" t="str">
        <f>IF(A38='DATA SHEET'!$L$36,C38,IFERROR(IF(AND(ISTEXT(I38),ISBLANK(C38)),"No details",VLOOKUP(C38,DimFolder,2,FALSE)),""))</f>
        <v>No details</v>
      </c>
      <c r="P38" s="4" t="str">
        <f t="shared" si="14"/>
        <v>Structural\Structural Steel\Purlins, Girths and Bracings\No details</v>
      </c>
      <c r="Q38" s="58" t="str">
        <f t="shared" si="15"/>
        <v>CWB90f - CUSTOM_900_F32_W12; Steel Grade: 400PLUS</v>
      </c>
      <c r="R38" s="4" t="e" cm="1">
        <f t="array" ref="R38">IF(INDEX(Table2[],_xlfn.XMATCH($A38,Table2[Steel Member],0),_xlfn.XMATCH(R$2,Table2[#Headers],0))=0,"",INDEX(Table2[],_xlfn.XMATCH($A38,Table2[Steel Member],0),_xlfn.XMATCH(R$2,Table2[#Headers],0)))</f>
        <v>#N/A</v>
      </c>
      <c r="S38" s="4" t="e" cm="1">
        <f t="array" ref="S38">IF(INDEX(Table2[],_xlfn.XMATCH($A38,Table2[Steel Member],0),_xlfn.XMATCH(S$2,Table2[#Headers],0))=0,"",INDEX(Table2[],_xlfn.XMATCH($A38,Table2[Steel Member],0),_xlfn.XMATCH(S$2,Table2[#Headers],0)))</f>
        <v>#N/A</v>
      </c>
      <c r="T38" s="4" t="str">
        <f t="shared" si="16"/>
        <v>t</v>
      </c>
      <c r="U38" s="4" t="e">
        <f ca="1">VLOOKUP(N38,'COLOR CODE'!$B:$D,2,FALSE)</f>
        <v>#N/A</v>
      </c>
      <c r="V38" s="4" t="str">
        <f t="shared" si="17"/>
        <v>Red</v>
      </c>
      <c r="W38" s="4" t="e" cm="1">
        <f t="array" ref="W38">IF(INDEX(Table2[],_xlfn.XMATCH($A38,Table2[Steel Member],0),_xlfn.XMATCH(W$2,Table2[#Headers],0))=0,"",INDEX(Table2[],_xlfn.XMATCH($A38,Table2[Steel Member],0),_xlfn.XMATCH(W$2,Table2[#Headers],0)))</f>
        <v>#N/A</v>
      </c>
      <c r="X38" s="4" t="e">
        <f t="shared" si="27"/>
        <v>#N/A</v>
      </c>
      <c r="Y38" s="4" t="e" cm="1">
        <f t="array" ref="Y38">IF(INDEX(Table2[],_xlfn.XMATCH($A38,Table2[Steel Member],0),_xlfn.XMATCH(Y$2,Table2[#Headers],0))=0,"",INDEX(Table2[],_xlfn.XMATCH($A38,Table2[Steel Member],0),_xlfn.XMATCH(Y$2,Table2[#Headers],0)))</f>
        <v>#N/A</v>
      </c>
      <c r="Z38" s="4" t="e" cm="1">
        <f t="array" ref="Z38">IF(INDEX(Table2[],_xlfn.XMATCH($A38,Table2[Steel Member],0),_xlfn.XMATCH(Z$2,Table2[#Headers],0))=0,"",INDEX(Table2[],_xlfn.XMATCH($A38,Table2[Steel Member],0),_xlfn.XMATCH(Z$2,Table2[#Headers],0)))</f>
        <v>#N/A</v>
      </c>
      <c r="AA38" s="4" t="e" cm="1">
        <f t="array" ref="AA38">IF(INDEX(Table2[],_xlfn.XMATCH($A38,Table2[Steel Member],0),_xlfn.XMATCH(AA$2,Table2[#Headers],0))=0,"",INDEX(Table2[],_xlfn.XMATCH($A38,Table2[Steel Member],0),_xlfn.XMATCH(AA$2,Table2[#Headers],0)))</f>
        <v>#N/A</v>
      </c>
      <c r="AB38" s="4" t="e" cm="1">
        <f t="array" ref="AB38">IF(INDEX(Table2[],_xlfn.XMATCH($A38,Table2[Steel Member],0),_xlfn.XMATCH(AB$2,Table2[#Headers],0))=0,"",INDEX(Table2[],_xlfn.XMATCH($A38,Table2[Steel Member],0),_xlfn.XMATCH(AB$2,Table2[#Headers],0)))</f>
        <v>#N/A</v>
      </c>
      <c r="AC38" s="4" t="str" cm="1">
        <f t="array" ref="AC38">IFERROR(INDEX(Table8[],_xlfn.XMATCH($O38,Table8[Dimension Name Category],0),_xlfn.XMATCH(AC$2&amp;IF($L38," w/ tag"," w/o tag"),Table8[#Headers],0)),"")</f>
        <v/>
      </c>
      <c r="AD38" s="59" t="str">
        <f t="shared" si="19"/>
        <v/>
      </c>
      <c r="AE38" s="4" t="str">
        <f t="shared" si="20"/>
        <v>Steel Surface Area</v>
      </c>
      <c r="AF38" s="4" t="str">
        <f t="shared" si="21"/>
        <v>m2</v>
      </c>
      <c r="AG38" s="4" t="str" cm="1">
        <f t="array" ref="AG38">IFERROR(INDEX(Table8[],_xlfn.XMATCH($O38,Table8[Dimension Name Category],0),_xlfn.XMATCH(AG$2&amp;IF($L38," w/ tag"," w/o tag"),Table8[#Headers],0)),"")</f>
        <v/>
      </c>
      <c r="AH38" s="59" t="str">
        <f t="shared" si="22"/>
        <v/>
      </c>
      <c r="AI38" s="4"/>
      <c r="AJ38" s="4" t="str">
        <f t="shared" si="23"/>
        <v>Slope Length</v>
      </c>
      <c r="AK38" s="4" t="str">
        <f t="shared" si="24"/>
        <v>m</v>
      </c>
      <c r="AL38" s="4" t="e" cm="1">
        <f t="array" ref="AL38">IF(INDEX(Table2[],_xlfn.XMATCH($A38,Table2[Steel Member],0),_xlfn.XMATCH(AL$2,Table2[#Headers],0))=0,"",INDEX(Table2[],_xlfn.XMATCH($A38,Table2[Steel Member],0),_xlfn.XMATCH(AL$2,Table2[#Headers],0)))</f>
        <v>#N/A</v>
      </c>
      <c r="AM38" s="4"/>
      <c r="AN38" s="4" t="str">
        <f t="shared" si="25"/>
        <v>Slope Factor</v>
      </c>
      <c r="AO38" s="4"/>
      <c r="AP38" s="4" t="e" cm="1">
        <f t="array" ref="AP38">IF(INDEX(Table2[],_xlfn.XMATCH($A38,Table2[Steel Member],0),_xlfn.XMATCH(AP$2,Table2[#Headers],0))=0,"",INDEX(Table2[],_xlfn.XMATCH($A38,Table2[Steel Member],0),_xlfn.XMATCH(AP$2,Table2[#Headers],0)))</f>
        <v>#N/A</v>
      </c>
      <c r="AQ38" s="4"/>
      <c r="AR38" s="4"/>
      <c r="AS38" s="4"/>
      <c r="AT38" s="4"/>
    </row>
    <row r="39" spans="1:46" x14ac:dyDescent="0.25">
      <c r="A39" s="52" t="s">
        <v>508</v>
      </c>
      <c r="B39" s="52" t="s">
        <v>1122</v>
      </c>
      <c r="C39" s="52"/>
      <c r="D39" s="52"/>
      <c r="E39" s="52" t="s">
        <v>1138</v>
      </c>
      <c r="F39" s="64" cm="1">
        <f t="array" ref="F39">IF(COUNT(FIND(PurlinsxGirthsxBracings,$C39))&gt;0,0,ROUNDUP(IF(D39=0,0,VLOOKUP(D39,'DATA SHEET'!$B:$D,2,FALSE)),2))</f>
        <v>0</v>
      </c>
      <c r="G39" s="64" cm="1">
        <f t="array" ref="G39">IF(COUNT(FIND(PurlinsxGirthsxBracings,$C39))&gt;0,0,ROUNDUP(IF(D39=0,0,VLOOKUP(D39,'DATA SHEET'!$B:$D,3,FALSE)),2))</f>
        <v>0</v>
      </c>
      <c r="H39" s="53" t="s">
        <v>1163</v>
      </c>
      <c r="I39" s="66" t="str" cm="1">
        <f t="array" ref="I39">IF(AND(ISBLANK(B39),ISBLANK(C39),ISBLANK(E39)),0,IF(COUNT(FIND(PurlinsxGirthsxBracings,$C39))&gt;0,IF(B39=0,CONCATENATE(E39," ",C39),CONCATENATE(B39," - ",E39," ",C39)),IF(B39=0,IF(ISBLANK(C39),E39,CONCATENATE(D39,", ",F39,"kg/m, ",G39,"mm surface perimeter")),IF(AND(ISBLANK(C39),ISTEXT(E39)),CONCATENATE(B39," - ",E39),IF(AND(ISBLANK(C39),ISBLANK(E39)),B39,CONCATENATE(B39," - ",D39,", ",F39,"kg/m, ",G39,"mm surface perimeter"))))&amp;IF(ISBLANK(H39),"",H39)))</f>
        <v>CWB100a - CUSTOM_1000_F80_W70; Steel Grade: 400PLUS</v>
      </c>
      <c r="J39" s="53"/>
      <c r="L39" s="4" t="b" cm="1">
        <f t="array" ref="L39">IF(COUNT(FIND({0,1,2,3,4,5,6,7,8,9},B39))&gt;0,COUNT(FIND({0,1,2,3,4,5,6,7,8,9},B39))&gt;0,"")</f>
        <v>1</v>
      </c>
      <c r="M39" s="4" t="str" cm="1">
        <f t="array" aca="1" ref="M39" ca="1">IFERROR(_xlfn.IFS(R39="Count",RANDBETWEEN(1,COUNTIF($R$11:$R$653,"Count")),R39="Length",RANDBETWEEN(1,COUNTIF($R$11:$R$653,"Length"))),"")</f>
        <v/>
      </c>
      <c r="N39" s="4" t="str">
        <f ca="1">IFERROR(_xlfn.RANK.EQ(M39,$M$11:$M$653)+COUNTIF($M$11:M39,M39)-1,"")</f>
        <v/>
      </c>
      <c r="O39" s="86" t="str">
        <f>IF(A39='DATA SHEET'!$L$36,C39,IFERROR(IF(AND(ISTEXT(I39),ISBLANK(C39)),"No details",VLOOKUP(C39,DimFolder,2,FALSE)),""))</f>
        <v>No details</v>
      </c>
      <c r="P39" s="4" t="str">
        <f t="shared" si="14"/>
        <v>Structural\Structural Steel\Purlins, Girths and Bracings\No details</v>
      </c>
      <c r="Q39" s="58" t="str">
        <f t="shared" si="15"/>
        <v>CWB100a - CUSTOM_1000_F80_W70; Steel Grade: 400PLUS</v>
      </c>
      <c r="R39" s="4" t="e" cm="1">
        <f t="array" ref="R39">IF(INDEX(Table2[],_xlfn.XMATCH($A39,Table2[Steel Member],0),_xlfn.XMATCH(R$2,Table2[#Headers],0))=0,"",INDEX(Table2[],_xlfn.XMATCH($A39,Table2[Steel Member],0),_xlfn.XMATCH(R$2,Table2[#Headers],0)))</f>
        <v>#N/A</v>
      </c>
      <c r="S39" s="4" t="e" cm="1">
        <f t="array" ref="S39">IF(INDEX(Table2[],_xlfn.XMATCH($A39,Table2[Steel Member],0),_xlfn.XMATCH(S$2,Table2[#Headers],0))=0,"",INDEX(Table2[],_xlfn.XMATCH($A39,Table2[Steel Member],0),_xlfn.XMATCH(S$2,Table2[#Headers],0)))</f>
        <v>#N/A</v>
      </c>
      <c r="T39" s="4" t="str">
        <f t="shared" si="16"/>
        <v>t</v>
      </c>
      <c r="U39" s="4" t="e">
        <f ca="1">VLOOKUP(N39,'COLOR CODE'!$B:$D,2,FALSE)</f>
        <v>#N/A</v>
      </c>
      <c r="V39" s="4" t="str">
        <f t="shared" si="17"/>
        <v>Red</v>
      </c>
      <c r="W39" s="4" t="e" cm="1">
        <f t="array" ref="W39">IF(INDEX(Table2[],_xlfn.XMATCH($A39,Table2[Steel Member],0),_xlfn.XMATCH(W$2,Table2[#Headers],0))=0,"",INDEX(Table2[],_xlfn.XMATCH($A39,Table2[Steel Member],0),_xlfn.XMATCH(W$2,Table2[#Headers],0)))</f>
        <v>#N/A</v>
      </c>
      <c r="X39" s="4" t="e">
        <f t="shared" si="27"/>
        <v>#N/A</v>
      </c>
      <c r="Y39" s="4" t="e" cm="1">
        <f t="array" ref="Y39">IF(INDEX(Table2[],_xlfn.XMATCH($A39,Table2[Steel Member],0),_xlfn.XMATCH(Y$2,Table2[#Headers],0))=0,"",INDEX(Table2[],_xlfn.XMATCH($A39,Table2[Steel Member],0),_xlfn.XMATCH(Y$2,Table2[#Headers],0)))</f>
        <v>#N/A</v>
      </c>
      <c r="Z39" s="4" t="e" cm="1">
        <f t="array" ref="Z39">IF(INDEX(Table2[],_xlfn.XMATCH($A39,Table2[Steel Member],0),_xlfn.XMATCH(Z$2,Table2[#Headers],0))=0,"",INDEX(Table2[],_xlfn.XMATCH($A39,Table2[Steel Member],0),_xlfn.XMATCH(Z$2,Table2[#Headers],0)))</f>
        <v>#N/A</v>
      </c>
      <c r="AA39" s="4" t="e" cm="1">
        <f t="array" ref="AA39">IF(INDEX(Table2[],_xlfn.XMATCH($A39,Table2[Steel Member],0),_xlfn.XMATCH(AA$2,Table2[#Headers],0))=0,"",INDEX(Table2[],_xlfn.XMATCH($A39,Table2[Steel Member],0),_xlfn.XMATCH(AA$2,Table2[#Headers],0)))</f>
        <v>#N/A</v>
      </c>
      <c r="AB39" s="4" t="e" cm="1">
        <f t="array" ref="AB39">IF(INDEX(Table2[],_xlfn.XMATCH($A39,Table2[Steel Member],0),_xlfn.XMATCH(AB$2,Table2[#Headers],0))=0,"",INDEX(Table2[],_xlfn.XMATCH($A39,Table2[Steel Member],0),_xlfn.XMATCH(AB$2,Table2[#Headers],0)))</f>
        <v>#N/A</v>
      </c>
      <c r="AC39" s="4" t="str" cm="1">
        <f t="array" ref="AC39">IFERROR(INDEX(Table8[],_xlfn.XMATCH($O39,Table8[Dimension Name Category],0),_xlfn.XMATCH(AC$2&amp;IF($L39," w/ tag"," w/o tag"),Table8[#Headers],0)),"")</f>
        <v/>
      </c>
      <c r="AD39" s="59" t="str">
        <f t="shared" si="19"/>
        <v/>
      </c>
      <c r="AE39" s="4" t="str">
        <f t="shared" si="20"/>
        <v>Steel Surface Area</v>
      </c>
      <c r="AF39" s="4" t="str">
        <f t="shared" si="21"/>
        <v>m2</v>
      </c>
      <c r="AG39" s="4" t="str" cm="1">
        <f t="array" ref="AG39">IFERROR(INDEX(Table8[],_xlfn.XMATCH($O39,Table8[Dimension Name Category],0),_xlfn.XMATCH(AG$2&amp;IF($L39," w/ tag"," w/o tag"),Table8[#Headers],0)),"")</f>
        <v/>
      </c>
      <c r="AH39" s="59" t="str">
        <f t="shared" si="22"/>
        <v/>
      </c>
      <c r="AI39" s="4"/>
      <c r="AJ39" s="4" t="str">
        <f t="shared" si="23"/>
        <v>Slope Length</v>
      </c>
      <c r="AK39" s="4" t="str">
        <f t="shared" si="24"/>
        <v>m</v>
      </c>
      <c r="AL39" s="4" t="e" cm="1">
        <f t="array" ref="AL39">IF(INDEX(Table2[],_xlfn.XMATCH($A39,Table2[Steel Member],0),_xlfn.XMATCH(AL$2,Table2[#Headers],0))=0,"",INDEX(Table2[],_xlfn.XMATCH($A39,Table2[Steel Member],0),_xlfn.XMATCH(AL$2,Table2[#Headers],0)))</f>
        <v>#N/A</v>
      </c>
      <c r="AM39" s="4"/>
      <c r="AN39" s="4" t="str">
        <f t="shared" si="25"/>
        <v>Slope Factor</v>
      </c>
      <c r="AO39" s="4"/>
      <c r="AP39" s="4" t="e" cm="1">
        <f t="array" ref="AP39">IF(INDEX(Table2[],_xlfn.XMATCH($A39,Table2[Steel Member],0),_xlfn.XMATCH(AP$2,Table2[#Headers],0))=0,"",INDEX(Table2[],_xlfn.XMATCH($A39,Table2[Steel Member],0),_xlfn.XMATCH(AP$2,Table2[#Headers],0)))</f>
        <v>#N/A</v>
      </c>
      <c r="AQ39" s="4"/>
      <c r="AR39" s="4"/>
      <c r="AS39" s="4"/>
      <c r="AT39" s="4"/>
    </row>
    <row r="40" spans="1:46" x14ac:dyDescent="0.25">
      <c r="A40" s="52" t="s">
        <v>508</v>
      </c>
      <c r="B40" s="52" t="s">
        <v>1123</v>
      </c>
      <c r="C40" s="52"/>
      <c r="D40" s="52"/>
      <c r="E40" s="52" t="s">
        <v>1139</v>
      </c>
      <c r="F40" s="64" cm="1">
        <f t="array" ref="F40">IF(COUNT(FIND(PurlinsxGirthsxBracings,$C40))&gt;0,0,ROUNDUP(IF(D40=0,0,VLOOKUP(D40,'DATA SHEET'!$B:$D,2,FALSE)),2))</f>
        <v>0</v>
      </c>
      <c r="G40" s="64" cm="1">
        <f t="array" ref="G40">IF(COUNT(FIND(PurlinsxGirthsxBracings,$C40))&gt;0,0,ROUNDUP(IF(D40=0,0,VLOOKUP(D40,'DATA SHEET'!$B:$D,3,FALSE)),2))</f>
        <v>0</v>
      </c>
      <c r="H40" s="53" t="s">
        <v>1163</v>
      </c>
      <c r="I40" s="66" t="str" cm="1">
        <f t="array" ref="I40">IF(AND(ISBLANK(B40),ISBLANK(C40),ISBLANK(E40)),0,IF(COUNT(FIND(PurlinsxGirthsxBracings,$C40))&gt;0,IF(B40=0,CONCATENATE(E40," ",C40),CONCATENATE(B40," - ",E40," ",C40)),IF(B40=0,IF(ISBLANK(C40),E40,CONCATENATE(D40,", ",F40,"kg/m, ",G40,"mm surface perimeter")),IF(AND(ISBLANK(C40),ISTEXT(E40)),CONCATENATE(B40," - ",E40),IF(AND(ISBLANK(C40),ISBLANK(E40)),B40,CONCATENATE(B40," - ",D40,", ",F40,"kg/m, ",G40,"mm surface perimeter"))))&amp;IF(ISBLANK(H40),"",H40)))</f>
        <v>CWB120a - CUSTOM_1800_F70_W70; Steel Grade: 400PLUS</v>
      </c>
      <c r="J40" s="53"/>
      <c r="L40" s="4" t="b" cm="1">
        <f t="array" ref="L40">IF(COUNT(FIND({0,1,2,3,4,5,6,7,8,9},B40))&gt;0,COUNT(FIND({0,1,2,3,4,5,6,7,8,9},B40))&gt;0,"")</f>
        <v>1</v>
      </c>
      <c r="M40" s="4" t="str" cm="1">
        <f t="array" aca="1" ref="M40" ca="1">IFERROR(_xlfn.IFS(R40="Count",RANDBETWEEN(1,COUNTIF($R$11:$R$653,"Count")),R40="Length",RANDBETWEEN(1,COUNTIF($R$11:$R$653,"Length"))),"")</f>
        <v/>
      </c>
      <c r="N40" s="4" t="str">
        <f ca="1">IFERROR(_xlfn.RANK.EQ(M40,$M$11:$M$653)+COUNTIF($M$11:M40,M40)-1,"")</f>
        <v/>
      </c>
      <c r="O40" s="86" t="str">
        <f>IF(A40='DATA SHEET'!$L$36,C40,IFERROR(IF(AND(ISTEXT(I40),ISBLANK(C40)),"No details",VLOOKUP(C40,DimFolder,2,FALSE)),""))</f>
        <v>No details</v>
      </c>
      <c r="P40" s="4" t="str">
        <f t="shared" si="14"/>
        <v>Structural\Structural Steel\Purlins, Girths and Bracings\No details</v>
      </c>
      <c r="Q40" s="58" t="str">
        <f t="shared" si="15"/>
        <v>CWB120a - CUSTOM_1800_F70_W70; Steel Grade: 400PLUS</v>
      </c>
      <c r="R40" s="4" t="e" cm="1">
        <f t="array" ref="R40">IF(INDEX(Table2[],_xlfn.XMATCH($A40,Table2[Steel Member],0),_xlfn.XMATCH(R$2,Table2[#Headers],0))=0,"",INDEX(Table2[],_xlfn.XMATCH($A40,Table2[Steel Member],0),_xlfn.XMATCH(R$2,Table2[#Headers],0)))</f>
        <v>#N/A</v>
      </c>
      <c r="S40" s="4" t="e" cm="1">
        <f t="array" ref="S40">IF(INDEX(Table2[],_xlfn.XMATCH($A40,Table2[Steel Member],0),_xlfn.XMATCH(S$2,Table2[#Headers],0))=0,"",INDEX(Table2[],_xlfn.XMATCH($A40,Table2[Steel Member],0),_xlfn.XMATCH(S$2,Table2[#Headers],0)))</f>
        <v>#N/A</v>
      </c>
      <c r="T40" s="4" t="str">
        <f t="shared" si="16"/>
        <v>t</v>
      </c>
      <c r="U40" s="4" t="e">
        <f ca="1">VLOOKUP(N40,'COLOR CODE'!$B:$D,2,FALSE)</f>
        <v>#N/A</v>
      </c>
      <c r="V40" s="4" t="str">
        <f t="shared" si="17"/>
        <v>Red</v>
      </c>
      <c r="W40" s="4" t="e" cm="1">
        <f t="array" ref="W40">IF(INDEX(Table2[],_xlfn.XMATCH($A40,Table2[Steel Member],0),_xlfn.XMATCH(W$2,Table2[#Headers],0))=0,"",INDEX(Table2[],_xlfn.XMATCH($A40,Table2[Steel Member],0),_xlfn.XMATCH(W$2,Table2[#Headers],0)))</f>
        <v>#N/A</v>
      </c>
      <c r="X40" s="4" t="e">
        <f t="shared" si="27"/>
        <v>#N/A</v>
      </c>
      <c r="Y40" s="4" t="e" cm="1">
        <f t="array" ref="Y40">IF(INDEX(Table2[],_xlfn.XMATCH($A40,Table2[Steel Member],0),_xlfn.XMATCH(Y$2,Table2[#Headers],0))=0,"",INDEX(Table2[],_xlfn.XMATCH($A40,Table2[Steel Member],0),_xlfn.XMATCH(Y$2,Table2[#Headers],0)))</f>
        <v>#N/A</v>
      </c>
      <c r="Z40" s="4" t="e" cm="1">
        <f t="array" ref="Z40">IF(INDEX(Table2[],_xlfn.XMATCH($A40,Table2[Steel Member],0),_xlfn.XMATCH(Z$2,Table2[#Headers],0))=0,"",INDEX(Table2[],_xlfn.XMATCH($A40,Table2[Steel Member],0),_xlfn.XMATCH(Z$2,Table2[#Headers],0)))</f>
        <v>#N/A</v>
      </c>
      <c r="AA40" s="4" t="e" cm="1">
        <f t="array" ref="AA40">IF(INDEX(Table2[],_xlfn.XMATCH($A40,Table2[Steel Member],0),_xlfn.XMATCH(AA$2,Table2[#Headers],0))=0,"",INDEX(Table2[],_xlfn.XMATCH($A40,Table2[Steel Member],0),_xlfn.XMATCH(AA$2,Table2[#Headers],0)))</f>
        <v>#N/A</v>
      </c>
      <c r="AB40" s="4" t="e" cm="1">
        <f t="array" ref="AB40">IF(INDEX(Table2[],_xlfn.XMATCH($A40,Table2[Steel Member],0),_xlfn.XMATCH(AB$2,Table2[#Headers],0))=0,"",INDEX(Table2[],_xlfn.XMATCH($A40,Table2[Steel Member],0),_xlfn.XMATCH(AB$2,Table2[#Headers],0)))</f>
        <v>#N/A</v>
      </c>
      <c r="AC40" s="4" t="str" cm="1">
        <f t="array" ref="AC40">IFERROR(INDEX(Table8[],_xlfn.XMATCH($O40,Table8[Dimension Name Category],0),_xlfn.XMATCH(AC$2&amp;IF($L40," w/ tag"," w/o tag"),Table8[#Headers],0)),"")</f>
        <v/>
      </c>
      <c r="AD40" s="59" t="str">
        <f t="shared" si="19"/>
        <v/>
      </c>
      <c r="AE40" s="4" t="str">
        <f t="shared" si="20"/>
        <v>Steel Surface Area</v>
      </c>
      <c r="AF40" s="4" t="str">
        <f t="shared" si="21"/>
        <v>m2</v>
      </c>
      <c r="AG40" s="4" t="str" cm="1">
        <f t="array" ref="AG40">IFERROR(INDEX(Table8[],_xlfn.XMATCH($O40,Table8[Dimension Name Category],0),_xlfn.XMATCH(AG$2&amp;IF($L40," w/ tag"," w/o tag"),Table8[#Headers],0)),"")</f>
        <v/>
      </c>
      <c r="AH40" s="59" t="str">
        <f t="shared" si="22"/>
        <v/>
      </c>
      <c r="AI40" s="4"/>
      <c r="AJ40" s="4" t="str">
        <f t="shared" si="23"/>
        <v>Slope Length</v>
      </c>
      <c r="AK40" s="4" t="str">
        <f t="shared" si="24"/>
        <v>m</v>
      </c>
      <c r="AL40" s="4" t="e" cm="1">
        <f t="array" ref="AL40">IF(INDEX(Table2[],_xlfn.XMATCH($A40,Table2[Steel Member],0),_xlfn.XMATCH(AL$2,Table2[#Headers],0))=0,"",INDEX(Table2[],_xlfn.XMATCH($A40,Table2[Steel Member],0),_xlfn.XMATCH(AL$2,Table2[#Headers],0)))</f>
        <v>#N/A</v>
      </c>
      <c r="AM40" s="4"/>
      <c r="AN40" s="4" t="str">
        <f t="shared" si="25"/>
        <v>Slope Factor</v>
      </c>
      <c r="AO40" s="4"/>
      <c r="AP40" s="4" t="e" cm="1">
        <f t="array" ref="AP40">IF(INDEX(Table2[],_xlfn.XMATCH($A40,Table2[Steel Member],0),_xlfn.XMATCH(AP$2,Table2[#Headers],0))=0,"",INDEX(Table2[],_xlfn.XMATCH($A40,Table2[Steel Member],0),_xlfn.XMATCH(AP$2,Table2[#Headers],0)))</f>
        <v>#N/A</v>
      </c>
      <c r="AQ40" s="4"/>
      <c r="AR40" s="4"/>
      <c r="AS40" s="4"/>
      <c r="AT40" s="4"/>
    </row>
    <row r="41" spans="1:46" x14ac:dyDescent="0.25">
      <c r="A41" s="52" t="s">
        <v>508</v>
      </c>
      <c r="B41" s="52" t="s">
        <v>1124</v>
      </c>
      <c r="C41" s="52"/>
      <c r="D41" s="52"/>
      <c r="E41" s="52" t="s">
        <v>1140</v>
      </c>
      <c r="F41" s="64" cm="1">
        <f t="array" ref="F41">IF(COUNT(FIND(PurlinsxGirthsxBracings,$C41))&gt;0,0,ROUNDUP(IF(D41=0,0,VLOOKUP(D41,'DATA SHEET'!$B:$D,2,FALSE)),2))</f>
        <v>0</v>
      </c>
      <c r="G41" s="64" cm="1">
        <f t="array" ref="G41">IF(COUNT(FIND(PurlinsxGirthsxBracings,$C41))&gt;0,0,ROUNDUP(IF(D41=0,0,VLOOKUP(D41,'DATA SHEET'!$B:$D,3,FALSE)),2))</f>
        <v>0</v>
      </c>
      <c r="H41" s="53" t="s">
        <v>1163</v>
      </c>
      <c r="I41" s="66" t="str" cm="1">
        <f t="array" ref="I41">IF(AND(ISBLANK(B41),ISBLANK(C41),ISBLANK(E41)),0,IF(COUNT(FIND(PurlinsxGirthsxBracings,$C41))&gt;0,IF(B41=0,CONCATENATE(E41," ",C41),CONCATENATE(B41," - ",E41," ",C41)),IF(B41=0,IF(ISBLANK(C41),E41,CONCATENATE(D41,", ",F41,"kg/m, ",G41,"mm surface perimeter")),IF(AND(ISBLANK(C41),ISTEXT(E41)),CONCATENATE(B41," - ",E41),IF(AND(ISBLANK(C41),ISBLANK(E41)),B41,CONCATENATE(B41," - ",D41,", ",F41,"kg/m, ",G41,"mm surface perimeter"))))&amp;IF(ISBLANK(H41),"",H41)))</f>
        <v>CWB120b - CUSTOM_1500_F80_W85; Steel Grade: 400PLUS</v>
      </c>
      <c r="J41" s="53"/>
      <c r="L41" s="4" t="b" cm="1">
        <f t="array" ref="L41">IF(COUNT(FIND({0,1,2,3,4,5,6,7,8,9},B41))&gt;0,COUNT(FIND({0,1,2,3,4,5,6,7,8,9},B41))&gt;0,"")</f>
        <v>1</v>
      </c>
      <c r="M41" s="4" t="str" cm="1">
        <f t="array" aca="1" ref="M41" ca="1">IFERROR(_xlfn.IFS(R41="Count",RANDBETWEEN(1,COUNTIF($R$11:$R$653,"Count")),R41="Length",RANDBETWEEN(1,COUNTIF($R$11:$R$653,"Length"))),"")</f>
        <v/>
      </c>
      <c r="N41" s="4" t="str">
        <f ca="1">IFERROR(_xlfn.RANK.EQ(M41,$M$11:$M$653)+COUNTIF($M$11:M41,M41)-1,"")</f>
        <v/>
      </c>
      <c r="O41" s="86" t="str">
        <f>IF(A41='DATA SHEET'!$L$36,C41,IFERROR(IF(AND(ISTEXT(I41),ISBLANK(C41)),"No details",VLOOKUP(C41,DimFolder,2,FALSE)),""))</f>
        <v>No details</v>
      </c>
      <c r="P41" s="4" t="str">
        <f t="shared" si="14"/>
        <v>Structural\Structural Steel\Purlins, Girths and Bracings\No details</v>
      </c>
      <c r="Q41" s="58" t="str">
        <f t="shared" si="15"/>
        <v>CWB120b - CUSTOM_1500_F80_W85; Steel Grade: 400PLUS</v>
      </c>
      <c r="R41" s="4" t="e" cm="1">
        <f t="array" ref="R41">IF(INDEX(Table2[],_xlfn.XMATCH($A41,Table2[Steel Member],0),_xlfn.XMATCH(R$2,Table2[#Headers],0))=0,"",INDEX(Table2[],_xlfn.XMATCH($A41,Table2[Steel Member],0),_xlfn.XMATCH(R$2,Table2[#Headers],0)))</f>
        <v>#N/A</v>
      </c>
      <c r="S41" s="4" t="e" cm="1">
        <f t="array" ref="S41">IF(INDEX(Table2[],_xlfn.XMATCH($A41,Table2[Steel Member],0),_xlfn.XMATCH(S$2,Table2[#Headers],0))=0,"",INDEX(Table2[],_xlfn.XMATCH($A41,Table2[Steel Member],0),_xlfn.XMATCH(S$2,Table2[#Headers],0)))</f>
        <v>#N/A</v>
      </c>
      <c r="T41" s="4" t="str">
        <f t="shared" si="16"/>
        <v>t</v>
      </c>
      <c r="U41" s="4" t="e">
        <f ca="1">VLOOKUP(N41,'COLOR CODE'!$B:$D,2,FALSE)</f>
        <v>#N/A</v>
      </c>
      <c r="V41" s="4" t="str">
        <f t="shared" si="17"/>
        <v>Red</v>
      </c>
      <c r="W41" s="4" t="e" cm="1">
        <f t="array" ref="W41">IF(INDEX(Table2[],_xlfn.XMATCH($A41,Table2[Steel Member],0),_xlfn.XMATCH(W$2,Table2[#Headers],0))=0,"",INDEX(Table2[],_xlfn.XMATCH($A41,Table2[Steel Member],0),_xlfn.XMATCH(W$2,Table2[#Headers],0)))</f>
        <v>#N/A</v>
      </c>
      <c r="X41" s="4" t="e">
        <f t="shared" si="27"/>
        <v>#N/A</v>
      </c>
      <c r="Y41" s="4" t="e" cm="1">
        <f t="array" ref="Y41">IF(INDEX(Table2[],_xlfn.XMATCH($A41,Table2[Steel Member],0),_xlfn.XMATCH(Y$2,Table2[#Headers],0))=0,"",INDEX(Table2[],_xlfn.XMATCH($A41,Table2[Steel Member],0),_xlfn.XMATCH(Y$2,Table2[#Headers],0)))</f>
        <v>#N/A</v>
      </c>
      <c r="Z41" s="4" t="e" cm="1">
        <f t="array" ref="Z41">IF(INDEX(Table2[],_xlfn.XMATCH($A41,Table2[Steel Member],0),_xlfn.XMATCH(Z$2,Table2[#Headers],0))=0,"",INDEX(Table2[],_xlfn.XMATCH($A41,Table2[Steel Member],0),_xlfn.XMATCH(Z$2,Table2[#Headers],0)))</f>
        <v>#N/A</v>
      </c>
      <c r="AA41" s="4" t="e" cm="1">
        <f t="array" ref="AA41">IF(INDEX(Table2[],_xlfn.XMATCH($A41,Table2[Steel Member],0),_xlfn.XMATCH(AA$2,Table2[#Headers],0))=0,"",INDEX(Table2[],_xlfn.XMATCH($A41,Table2[Steel Member],0),_xlfn.XMATCH(AA$2,Table2[#Headers],0)))</f>
        <v>#N/A</v>
      </c>
      <c r="AB41" s="4" t="e" cm="1">
        <f t="array" ref="AB41">IF(INDEX(Table2[],_xlfn.XMATCH($A41,Table2[Steel Member],0),_xlfn.XMATCH(AB$2,Table2[#Headers],0))=0,"",INDEX(Table2[],_xlfn.XMATCH($A41,Table2[Steel Member],0),_xlfn.XMATCH(AB$2,Table2[#Headers],0)))</f>
        <v>#N/A</v>
      </c>
      <c r="AC41" s="4" t="str" cm="1">
        <f t="array" ref="AC41">IFERROR(INDEX(Table8[],_xlfn.XMATCH($O41,Table8[Dimension Name Category],0),_xlfn.XMATCH(AC$2&amp;IF($L41," w/ tag"," w/o tag"),Table8[#Headers],0)),"")</f>
        <v/>
      </c>
      <c r="AD41" s="59" t="str">
        <f t="shared" si="19"/>
        <v/>
      </c>
      <c r="AE41" s="4" t="str">
        <f t="shared" si="20"/>
        <v>Steel Surface Area</v>
      </c>
      <c r="AF41" s="4" t="str">
        <f t="shared" si="21"/>
        <v>m2</v>
      </c>
      <c r="AG41" s="4" t="str" cm="1">
        <f t="array" ref="AG41">IFERROR(INDEX(Table8[],_xlfn.XMATCH($O41,Table8[Dimension Name Category],0),_xlfn.XMATCH(AG$2&amp;IF($L41," w/ tag"," w/o tag"),Table8[#Headers],0)),"")</f>
        <v/>
      </c>
      <c r="AH41" s="59" t="str">
        <f t="shared" si="22"/>
        <v/>
      </c>
      <c r="AI41" s="4"/>
      <c r="AJ41" s="4" t="str">
        <f t="shared" si="23"/>
        <v>Slope Length</v>
      </c>
      <c r="AK41" s="4" t="str">
        <f t="shared" si="24"/>
        <v>m</v>
      </c>
      <c r="AL41" s="4" t="e" cm="1">
        <f t="array" ref="AL41">IF(INDEX(Table2[],_xlfn.XMATCH($A41,Table2[Steel Member],0),_xlfn.XMATCH(AL$2,Table2[#Headers],0))=0,"",INDEX(Table2[],_xlfn.XMATCH($A41,Table2[Steel Member],0),_xlfn.XMATCH(AL$2,Table2[#Headers],0)))</f>
        <v>#N/A</v>
      </c>
      <c r="AM41" s="4"/>
      <c r="AN41" s="4" t="str">
        <f t="shared" si="25"/>
        <v>Slope Factor</v>
      </c>
      <c r="AO41" s="4"/>
      <c r="AP41" s="4" t="e" cm="1">
        <f t="array" ref="AP41">IF(INDEX(Table2[],_xlfn.XMATCH($A41,Table2[Steel Member],0),_xlfn.XMATCH(AP$2,Table2[#Headers],0))=0,"",INDEX(Table2[],_xlfn.XMATCH($A41,Table2[Steel Member],0),_xlfn.XMATCH(AP$2,Table2[#Headers],0)))</f>
        <v>#N/A</v>
      </c>
      <c r="AQ41" s="4"/>
      <c r="AR41" s="4"/>
      <c r="AS41" s="4"/>
      <c r="AT41" s="4"/>
    </row>
    <row r="42" spans="1:46" x14ac:dyDescent="0.25">
      <c r="A42" s="52"/>
      <c r="B42" s="52"/>
      <c r="C42" s="52"/>
      <c r="D42" s="52"/>
      <c r="E42" s="52"/>
      <c r="F42" s="64" cm="1">
        <f t="array" ref="F42">IF(COUNT(FIND(PurlinsxGirthsxBracings,$C42))&gt;0,0,ROUNDUP(IF(D42=0,0,VLOOKUP(D42,'DATA SHEET'!$B:$D,2,FALSE)),2))</f>
        <v>0</v>
      </c>
      <c r="G42" s="64" cm="1">
        <f t="array" ref="G42">IF(COUNT(FIND(PurlinsxGirthsxBracings,$C42))&gt;0,0,ROUNDUP(IF(D42=0,0,VLOOKUP(D42,'DATA SHEET'!$B:$D,3,FALSE)),2))</f>
        <v>0</v>
      </c>
      <c r="H42" s="53"/>
      <c r="I42" s="66" cm="1">
        <f t="array" ref="I42">IF(AND(ISBLANK(B42),ISBLANK(C42),ISBLANK(E42)),0,IF(COUNT(FIND(PurlinsxGirthsxBracings,$C42))&gt;0,IF(B42=0,CONCATENATE(E42," ",C42),CONCATENATE(B42," - ",E42," ",C42)),IF(B42=0,IF(ISBLANK(C42),E42,CONCATENATE(D42,", ",F42,"kg/m, ",G42,"mm surface perimeter")),IF(AND(ISBLANK(C42),ISTEXT(E42)),CONCATENATE(B42," - ",E42),IF(AND(ISBLANK(C42),ISBLANK(E42)),B42,CONCATENATE(B42," - ",D42,", ",F42,"kg/m, ",G42,"mm surface perimeter"))))&amp;IF(ISBLANK(H42),"",H42)))</f>
        <v>0</v>
      </c>
      <c r="J42" s="53"/>
      <c r="L42" s="4" t="str" cm="1">
        <f t="array" ref="L42">IF(COUNT(FIND({0,1,2,3,4,5,6,7,8,9},B42))&gt;0,COUNT(FIND({0,1,2,3,4,5,6,7,8,9},B42))&gt;0,"")</f>
        <v/>
      </c>
      <c r="M42" s="4" t="str" cm="1">
        <f t="array" aca="1" ref="M42" ca="1">IFERROR(_xlfn.IFS(R42="Count",RANDBETWEEN(1,COUNTIF($R$11:$R$653,"Count")),R42="Length",RANDBETWEEN(1,COUNTIF($R$11:$R$653,"Length"))),"")</f>
        <v/>
      </c>
      <c r="N42" s="4" t="str">
        <f ca="1">IFERROR(_xlfn.RANK.EQ(M42,$M$11:$M$653)+COUNTIF($M$11:M42,M42)-1,"")</f>
        <v/>
      </c>
      <c r="O42" s="86" t="str">
        <f>IF(A42='DATA SHEET'!$L$36,C42,IFERROR(IF(AND(ISTEXT(I42),ISBLANK(C42)),"No details",VLOOKUP(C42,DimFolder,2,FALSE)),""))</f>
        <v/>
      </c>
      <c r="P42" s="4" t="str">
        <f t="shared" si="14"/>
        <v/>
      </c>
      <c r="Q42" s="58" t="str">
        <f t="shared" si="15"/>
        <v/>
      </c>
      <c r="R42" s="4" t="e" cm="1">
        <f t="array" ref="R42">IF(INDEX(Table2[],_xlfn.XMATCH($A42,Table2[Steel Member],0),_xlfn.XMATCH(R$2,Table2[#Headers],0))=0,"",INDEX(Table2[],_xlfn.XMATCH($A42,Table2[Steel Member],0),_xlfn.XMATCH(R$2,Table2[#Headers],0)))</f>
        <v>#N/A</v>
      </c>
      <c r="S42" s="4" t="e" cm="1">
        <f t="array" ref="S42">IF(INDEX(Table2[],_xlfn.XMATCH($A42,Table2[Steel Member],0),_xlfn.XMATCH(S$2,Table2[#Headers],0))=0,"",INDEX(Table2[],_xlfn.XMATCH($A42,Table2[Steel Member],0),_xlfn.XMATCH(S$2,Table2[#Headers],0)))</f>
        <v>#N/A</v>
      </c>
      <c r="T42" s="4" t="str">
        <f t="shared" si="16"/>
        <v/>
      </c>
      <c r="U42" s="4" t="e">
        <f ca="1">VLOOKUP(N42,'COLOR CODE'!$B:$D,2,FALSE)</f>
        <v>#N/A</v>
      </c>
      <c r="V42" s="4" t="str">
        <f t="shared" si="17"/>
        <v/>
      </c>
      <c r="W42" s="4" t="e" cm="1">
        <f t="array" ref="W42">IF(INDEX(Table2[],_xlfn.XMATCH($A42,Table2[Steel Member],0),_xlfn.XMATCH(W$2,Table2[#Headers],0))=0,"",INDEX(Table2[],_xlfn.XMATCH($A42,Table2[Steel Member],0),_xlfn.XMATCH(W$2,Table2[#Headers],0)))</f>
        <v>#N/A</v>
      </c>
      <c r="X42" s="4" t="e">
        <f t="shared" si="27"/>
        <v>#N/A</v>
      </c>
      <c r="Y42" s="4" t="e" cm="1">
        <f t="array" ref="Y42">IF(INDEX(Table2[],_xlfn.XMATCH($A42,Table2[Steel Member],0),_xlfn.XMATCH(Y$2,Table2[#Headers],0))=0,"",INDEX(Table2[],_xlfn.XMATCH($A42,Table2[Steel Member],0),_xlfn.XMATCH(Y$2,Table2[#Headers],0)))</f>
        <v>#N/A</v>
      </c>
      <c r="Z42" s="4" t="e" cm="1">
        <f t="array" ref="Z42">IF(INDEX(Table2[],_xlfn.XMATCH($A42,Table2[Steel Member],0),_xlfn.XMATCH(Z$2,Table2[#Headers],0))=0,"",INDEX(Table2[],_xlfn.XMATCH($A42,Table2[Steel Member],0),_xlfn.XMATCH(Z$2,Table2[#Headers],0)))</f>
        <v>#N/A</v>
      </c>
      <c r="AA42" s="4" t="e" cm="1">
        <f t="array" ref="AA42">IF(INDEX(Table2[],_xlfn.XMATCH($A42,Table2[Steel Member],0),_xlfn.XMATCH(AA$2,Table2[#Headers],0))=0,"",INDEX(Table2[],_xlfn.XMATCH($A42,Table2[Steel Member],0),_xlfn.XMATCH(AA$2,Table2[#Headers],0)))</f>
        <v>#N/A</v>
      </c>
      <c r="AB42" s="4" t="e" cm="1">
        <f t="array" ref="AB42">IF(INDEX(Table2[],_xlfn.XMATCH($A42,Table2[Steel Member],0),_xlfn.XMATCH(AB$2,Table2[#Headers],0))=0,"",INDEX(Table2[],_xlfn.XMATCH($A42,Table2[Steel Member],0),_xlfn.XMATCH(AB$2,Table2[#Headers],0)))</f>
        <v>#N/A</v>
      </c>
      <c r="AC42" s="4" t="str" cm="1">
        <f t="array" ref="AC42">IFERROR(INDEX(Table8[],_xlfn.XMATCH($O42,Table8[Dimension Name Category],0),_xlfn.XMATCH(AC$2&amp;IF($L42," w/ tag"," w/o tag"),Table8[#Headers],0)),"")</f>
        <v/>
      </c>
      <c r="AD42" s="59" t="str">
        <f t="shared" si="19"/>
        <v/>
      </c>
      <c r="AE42" s="4" t="str">
        <f t="shared" si="20"/>
        <v/>
      </c>
      <c r="AF42" s="4" t="str">
        <f t="shared" si="21"/>
        <v/>
      </c>
      <c r="AG42" s="4" t="str" cm="1">
        <f t="array" ref="AG42">IFERROR(INDEX(Table8[],_xlfn.XMATCH($O42,Table8[Dimension Name Category],0),_xlfn.XMATCH(AG$2&amp;IF($L42," w/ tag"," w/o tag"),Table8[#Headers],0)),"")</f>
        <v/>
      </c>
      <c r="AH42" s="59" t="str">
        <f t="shared" si="22"/>
        <v/>
      </c>
      <c r="AI42" s="4"/>
      <c r="AJ42" s="4" t="str">
        <f t="shared" si="23"/>
        <v/>
      </c>
      <c r="AK42" s="4" t="str">
        <f t="shared" si="24"/>
        <v/>
      </c>
      <c r="AL42" s="4" t="e" cm="1">
        <f t="array" ref="AL42">IF(INDEX(Table2[],_xlfn.XMATCH($A42,Table2[Steel Member],0),_xlfn.XMATCH(AL$2,Table2[#Headers],0))=0,"",INDEX(Table2[],_xlfn.XMATCH($A42,Table2[Steel Member],0),_xlfn.XMATCH(AL$2,Table2[#Headers],0)))</f>
        <v>#N/A</v>
      </c>
      <c r="AM42" s="4"/>
      <c r="AN42" s="4" t="str">
        <f t="shared" si="25"/>
        <v/>
      </c>
      <c r="AO42" s="4"/>
      <c r="AP42" s="4" t="e" cm="1">
        <f t="array" ref="AP42">IF(INDEX(Table2[],_xlfn.XMATCH($A42,Table2[Steel Member],0),_xlfn.XMATCH(AP$2,Table2[#Headers],0))=0,"",INDEX(Table2[],_xlfn.XMATCH($A42,Table2[Steel Member],0),_xlfn.XMATCH(AP$2,Table2[#Headers],0)))</f>
        <v>#N/A</v>
      </c>
      <c r="AQ42" s="4"/>
      <c r="AR42" s="4"/>
      <c r="AS42" s="4"/>
      <c r="AT42" s="4"/>
    </row>
    <row r="43" spans="1:46" x14ac:dyDescent="0.25">
      <c r="A43" s="52"/>
      <c r="B43" s="52"/>
      <c r="C43" s="52"/>
      <c r="D43" s="52"/>
      <c r="E43" s="52"/>
      <c r="F43" s="64" cm="1">
        <f t="array" ref="F43">IF(COUNT(FIND(PurlinsxGirthsxBracings,$C43))&gt;0,0,ROUNDUP(IF(D43=0,0,VLOOKUP(D43,'DATA SHEET'!$B:$D,2,FALSE)),2))</f>
        <v>0</v>
      </c>
      <c r="G43" s="64" cm="1">
        <f t="array" ref="G43">IF(COUNT(FIND(PurlinsxGirthsxBracings,$C43))&gt;0,0,ROUNDUP(IF(D43=0,0,VLOOKUP(D43,'DATA SHEET'!$B:$D,3,FALSE)),2))</f>
        <v>0</v>
      </c>
      <c r="H43" s="53"/>
      <c r="I43" s="66" cm="1">
        <f t="array" ref="I43">IF(AND(ISBLANK(B43),ISBLANK(C43),ISBLANK(E43)),0,IF(COUNT(FIND(PurlinsxGirthsxBracings,$C43))&gt;0,IF(B43=0,CONCATENATE(E43," ",C43),CONCATENATE(B43," - ",E43," ",C43)),IF(B43=0,IF(ISBLANK(C43),E43,CONCATENATE(D43,", ",F43,"kg/m, ",G43,"mm surface perimeter")),IF(AND(ISBLANK(C43),ISTEXT(E43)),CONCATENATE(B43," - ",E43),IF(AND(ISBLANK(C43),ISBLANK(E43)),B43,CONCATENATE(B43," - ",D43,", ",F43,"kg/m, ",G43,"mm surface perimeter"))))&amp;IF(ISBLANK(H43),"",H43)))</f>
        <v>0</v>
      </c>
      <c r="J43" s="53"/>
      <c r="L43" s="4" t="str" cm="1">
        <f t="array" ref="L43">IF(COUNT(FIND({0,1,2,3,4,5,6,7,8,9},B43))&gt;0,COUNT(FIND({0,1,2,3,4,5,6,7,8,9},B43))&gt;0,"")</f>
        <v/>
      </c>
      <c r="M43" s="4" t="str" cm="1">
        <f t="array" aca="1" ref="M43" ca="1">IFERROR(_xlfn.IFS(R43="Count",RANDBETWEEN(1,COUNTIF($R$11:$R$653,"Count")),R43="Length",RANDBETWEEN(1,COUNTIF($R$11:$R$653,"Length"))),"")</f>
        <v/>
      </c>
      <c r="N43" s="4" t="str">
        <f ca="1">IFERROR(_xlfn.RANK.EQ(M43,$M$11:$M$653)+COUNTIF($M$11:M43,M43)-1,"")</f>
        <v/>
      </c>
      <c r="O43" s="86" t="str">
        <f>IF(A43='DATA SHEET'!$L$36,C43,IFERROR(IF(AND(ISTEXT(I43),ISBLANK(C43)),"No details",VLOOKUP(C43,DimFolder,2,FALSE)),""))</f>
        <v/>
      </c>
      <c r="P43" s="4" t="str">
        <f t="shared" si="14"/>
        <v/>
      </c>
      <c r="Q43" s="58" t="str">
        <f t="shared" si="15"/>
        <v/>
      </c>
      <c r="R43" s="4" t="e" cm="1">
        <f t="array" ref="R43">IF(INDEX(Table2[],_xlfn.XMATCH($A43,Table2[Steel Member],0),_xlfn.XMATCH(R$2,Table2[#Headers],0))=0,"",INDEX(Table2[],_xlfn.XMATCH($A43,Table2[Steel Member],0),_xlfn.XMATCH(R$2,Table2[#Headers],0)))</f>
        <v>#N/A</v>
      </c>
      <c r="S43" s="4" t="e" cm="1">
        <f t="array" ref="S43">IF(INDEX(Table2[],_xlfn.XMATCH($A43,Table2[Steel Member],0),_xlfn.XMATCH(S$2,Table2[#Headers],0))=0,"",INDEX(Table2[],_xlfn.XMATCH($A43,Table2[Steel Member],0),_xlfn.XMATCH(S$2,Table2[#Headers],0)))</f>
        <v>#N/A</v>
      </c>
      <c r="T43" s="4" t="str">
        <f t="shared" si="16"/>
        <v/>
      </c>
      <c r="U43" s="4" t="e">
        <f ca="1">VLOOKUP(N43,'COLOR CODE'!$B:$D,2,FALSE)</f>
        <v>#N/A</v>
      </c>
      <c r="V43" s="4" t="str">
        <f t="shared" si="17"/>
        <v/>
      </c>
      <c r="W43" s="4" t="e" cm="1">
        <f t="array" ref="W43">IF(INDEX(Table2[],_xlfn.XMATCH($A43,Table2[Steel Member],0),_xlfn.XMATCH(W$2,Table2[#Headers],0))=0,"",INDEX(Table2[],_xlfn.XMATCH($A43,Table2[Steel Member],0),_xlfn.XMATCH(W$2,Table2[#Headers],0)))</f>
        <v>#N/A</v>
      </c>
      <c r="X43" s="4" t="e">
        <f t="shared" si="27"/>
        <v>#N/A</v>
      </c>
      <c r="Y43" s="4" t="e" cm="1">
        <f t="array" ref="Y43">IF(INDEX(Table2[],_xlfn.XMATCH($A43,Table2[Steel Member],0),_xlfn.XMATCH(Y$2,Table2[#Headers],0))=0,"",INDEX(Table2[],_xlfn.XMATCH($A43,Table2[Steel Member],0),_xlfn.XMATCH(Y$2,Table2[#Headers],0)))</f>
        <v>#N/A</v>
      </c>
      <c r="Z43" s="4" t="e" cm="1">
        <f t="array" ref="Z43">IF(INDEX(Table2[],_xlfn.XMATCH($A43,Table2[Steel Member],0),_xlfn.XMATCH(Z$2,Table2[#Headers],0))=0,"",INDEX(Table2[],_xlfn.XMATCH($A43,Table2[Steel Member],0),_xlfn.XMATCH(Z$2,Table2[#Headers],0)))</f>
        <v>#N/A</v>
      </c>
      <c r="AA43" s="4" t="e" cm="1">
        <f t="array" ref="AA43">IF(INDEX(Table2[],_xlfn.XMATCH($A43,Table2[Steel Member],0),_xlfn.XMATCH(AA$2,Table2[#Headers],0))=0,"",INDEX(Table2[],_xlfn.XMATCH($A43,Table2[Steel Member],0),_xlfn.XMATCH(AA$2,Table2[#Headers],0)))</f>
        <v>#N/A</v>
      </c>
      <c r="AB43" s="4" t="e" cm="1">
        <f t="array" ref="AB43">IF(INDEX(Table2[],_xlfn.XMATCH($A43,Table2[Steel Member],0),_xlfn.XMATCH(AB$2,Table2[#Headers],0))=0,"",INDEX(Table2[],_xlfn.XMATCH($A43,Table2[Steel Member],0),_xlfn.XMATCH(AB$2,Table2[#Headers],0)))</f>
        <v>#N/A</v>
      </c>
      <c r="AC43" s="4" t="str" cm="1">
        <f t="array" ref="AC43">IFERROR(INDEX(Table8[],_xlfn.XMATCH($O43,Table8[Dimension Name Category],0),_xlfn.XMATCH(AC$2&amp;IF($L43," w/ tag"," w/o tag"),Table8[#Headers],0)),"")</f>
        <v/>
      </c>
      <c r="AD43" s="59" t="str">
        <f t="shared" si="19"/>
        <v/>
      </c>
      <c r="AE43" s="4" t="str">
        <f t="shared" si="20"/>
        <v/>
      </c>
      <c r="AF43" s="4" t="str">
        <f t="shared" si="21"/>
        <v/>
      </c>
      <c r="AG43" s="4" t="str" cm="1">
        <f t="array" ref="AG43">IFERROR(INDEX(Table8[],_xlfn.XMATCH($O43,Table8[Dimension Name Category],0),_xlfn.XMATCH(AG$2&amp;IF($L43," w/ tag"," w/o tag"),Table8[#Headers],0)),"")</f>
        <v/>
      </c>
      <c r="AH43" s="59" t="str">
        <f t="shared" si="22"/>
        <v/>
      </c>
      <c r="AI43" s="4"/>
      <c r="AJ43" s="4" t="str">
        <f t="shared" si="23"/>
        <v/>
      </c>
      <c r="AK43" s="4" t="str">
        <f t="shared" si="24"/>
        <v/>
      </c>
      <c r="AL43" s="4" t="e" cm="1">
        <f t="array" ref="AL43">IF(INDEX(Table2[],_xlfn.XMATCH($A43,Table2[Steel Member],0),_xlfn.XMATCH(AL$2,Table2[#Headers],0))=0,"",INDEX(Table2[],_xlfn.XMATCH($A43,Table2[Steel Member],0),_xlfn.XMATCH(AL$2,Table2[#Headers],0)))</f>
        <v>#N/A</v>
      </c>
      <c r="AM43" s="4"/>
      <c r="AN43" s="4" t="str">
        <f t="shared" si="25"/>
        <v/>
      </c>
      <c r="AO43" s="4"/>
      <c r="AP43" s="4" t="e" cm="1">
        <f t="array" ref="AP43">IF(INDEX(Table2[],_xlfn.XMATCH($A43,Table2[Steel Member],0),_xlfn.XMATCH(AP$2,Table2[#Headers],0))=0,"",INDEX(Table2[],_xlfn.XMATCH($A43,Table2[Steel Member],0),_xlfn.XMATCH(AP$2,Table2[#Headers],0)))</f>
        <v>#N/A</v>
      </c>
      <c r="AQ43" s="4"/>
      <c r="AR43" s="4"/>
      <c r="AS43" s="4"/>
      <c r="AT43" s="4"/>
    </row>
    <row r="44" spans="1:46" x14ac:dyDescent="0.25">
      <c r="A44" s="52"/>
      <c r="B44" s="52"/>
      <c r="C44" s="52"/>
      <c r="D44" s="52"/>
      <c r="E44" s="52"/>
      <c r="F44" s="64" cm="1">
        <f t="array" ref="F44">IF(COUNT(FIND(PurlinsxGirthsxBracings,$C44))&gt;0,0,ROUNDUP(IF(D44=0,0,VLOOKUP(D44,'DATA SHEET'!$B:$D,2,FALSE)),2))</f>
        <v>0</v>
      </c>
      <c r="G44" s="64" cm="1">
        <f t="array" ref="G44">IF(COUNT(FIND(PurlinsxGirthsxBracings,$C44))&gt;0,0,ROUNDUP(IF(D44=0,0,VLOOKUP(D44,'DATA SHEET'!$B:$D,3,FALSE)),2))</f>
        <v>0</v>
      </c>
      <c r="H44" s="53"/>
      <c r="I44" s="66" cm="1">
        <f t="array" ref="I44">IF(AND(ISBLANK(B44),ISBLANK(C44),ISBLANK(E44)),0,IF(COUNT(FIND(PurlinsxGirthsxBracings,$C44))&gt;0,IF(B44=0,CONCATENATE(E44," ",C44),CONCATENATE(B44," - ",E44," ",C44)),IF(B44=0,IF(ISBLANK(C44),E44,CONCATENATE(D44,", ",F44,"kg/m, ",G44,"mm surface perimeter")),IF(AND(ISBLANK(C44),ISTEXT(E44)),CONCATENATE(B44," - ",E44),IF(AND(ISBLANK(C44),ISBLANK(E44)),B44,CONCATENATE(B44," - ",D44,", ",F44,"kg/m, ",G44,"mm surface perimeter"))))&amp;IF(ISBLANK(H44),"",H44)))</f>
        <v>0</v>
      </c>
      <c r="J44" s="53"/>
      <c r="L44" s="4" t="str" cm="1">
        <f t="array" ref="L44">IF(COUNT(FIND({0,1,2,3,4,5,6,7,8,9},B44))&gt;0,COUNT(FIND({0,1,2,3,4,5,6,7,8,9},B44))&gt;0,"")</f>
        <v/>
      </c>
      <c r="M44" s="4" t="str" cm="1">
        <f t="array" aca="1" ref="M44" ca="1">IFERROR(_xlfn.IFS(R44="Count",RANDBETWEEN(1,COUNTIF($R$11:$R$653,"Count")),R44="Length",RANDBETWEEN(1,COUNTIF($R$11:$R$653,"Length"))),"")</f>
        <v/>
      </c>
      <c r="N44" s="4" t="str">
        <f ca="1">IFERROR(_xlfn.RANK.EQ(M44,$M$11:$M$653)+COUNTIF($M$11:M44,M44)-1,"")</f>
        <v/>
      </c>
      <c r="O44" s="86" t="str">
        <f>IF(A44='DATA SHEET'!$L$36,C44,IFERROR(IF(AND(ISTEXT(I44),ISBLANK(C44)),"No details",VLOOKUP(C44,DimFolder,2,FALSE)),""))</f>
        <v/>
      </c>
      <c r="P44" s="4" t="str">
        <f t="shared" si="14"/>
        <v/>
      </c>
      <c r="Q44" s="58" t="str">
        <f t="shared" si="15"/>
        <v/>
      </c>
      <c r="R44" s="4" t="e" cm="1">
        <f t="array" ref="R44">IF(INDEX(Table2[],_xlfn.XMATCH($A44,Table2[Steel Member],0),_xlfn.XMATCH(R$2,Table2[#Headers],0))=0,"",INDEX(Table2[],_xlfn.XMATCH($A44,Table2[Steel Member],0),_xlfn.XMATCH(R$2,Table2[#Headers],0)))</f>
        <v>#N/A</v>
      </c>
      <c r="S44" s="4" t="e" cm="1">
        <f t="array" ref="S44">IF(INDEX(Table2[],_xlfn.XMATCH($A44,Table2[Steel Member],0),_xlfn.XMATCH(S$2,Table2[#Headers],0))=0,"",INDEX(Table2[],_xlfn.XMATCH($A44,Table2[Steel Member],0),_xlfn.XMATCH(S$2,Table2[#Headers],0)))</f>
        <v>#N/A</v>
      </c>
      <c r="T44" s="4" t="str">
        <f t="shared" si="16"/>
        <v/>
      </c>
      <c r="U44" s="4" t="e">
        <f ca="1">VLOOKUP(N44,'COLOR CODE'!$B:$D,2,FALSE)</f>
        <v>#N/A</v>
      </c>
      <c r="V44" s="4" t="str">
        <f t="shared" si="17"/>
        <v/>
      </c>
      <c r="W44" s="4" t="e" cm="1">
        <f t="array" ref="W44">IF(INDEX(Table2[],_xlfn.XMATCH($A44,Table2[Steel Member],0),_xlfn.XMATCH(W$2,Table2[#Headers],0))=0,"",INDEX(Table2[],_xlfn.XMATCH($A44,Table2[Steel Member],0),_xlfn.XMATCH(W$2,Table2[#Headers],0)))</f>
        <v>#N/A</v>
      </c>
      <c r="X44" s="4" t="e">
        <f t="shared" si="27"/>
        <v>#N/A</v>
      </c>
      <c r="Y44" s="4" t="e" cm="1">
        <f t="array" ref="Y44">IF(INDEX(Table2[],_xlfn.XMATCH($A44,Table2[Steel Member],0),_xlfn.XMATCH(Y$2,Table2[#Headers],0))=0,"",INDEX(Table2[],_xlfn.XMATCH($A44,Table2[Steel Member],0),_xlfn.XMATCH(Y$2,Table2[#Headers],0)))</f>
        <v>#N/A</v>
      </c>
      <c r="Z44" s="4" t="e" cm="1">
        <f t="array" ref="Z44">IF(INDEX(Table2[],_xlfn.XMATCH($A44,Table2[Steel Member],0),_xlfn.XMATCH(Z$2,Table2[#Headers],0))=0,"",INDEX(Table2[],_xlfn.XMATCH($A44,Table2[Steel Member],0),_xlfn.XMATCH(Z$2,Table2[#Headers],0)))</f>
        <v>#N/A</v>
      </c>
      <c r="AA44" s="4" t="e" cm="1">
        <f t="array" ref="AA44">IF(INDEX(Table2[],_xlfn.XMATCH($A44,Table2[Steel Member],0),_xlfn.XMATCH(AA$2,Table2[#Headers],0))=0,"",INDEX(Table2[],_xlfn.XMATCH($A44,Table2[Steel Member],0),_xlfn.XMATCH(AA$2,Table2[#Headers],0)))</f>
        <v>#N/A</v>
      </c>
      <c r="AB44" s="4" t="e" cm="1">
        <f t="array" ref="AB44">IF(INDEX(Table2[],_xlfn.XMATCH($A44,Table2[Steel Member],0),_xlfn.XMATCH(AB$2,Table2[#Headers],0))=0,"",INDEX(Table2[],_xlfn.XMATCH($A44,Table2[Steel Member],0),_xlfn.XMATCH(AB$2,Table2[#Headers],0)))</f>
        <v>#N/A</v>
      </c>
      <c r="AC44" s="4" t="str" cm="1">
        <f t="array" ref="AC44">IFERROR(INDEX(Table8[],_xlfn.XMATCH($O44,Table8[Dimension Name Category],0),_xlfn.XMATCH(AC$2&amp;IF($L44," w/ tag"," w/o tag"),Table8[#Headers],0)),"")</f>
        <v/>
      </c>
      <c r="AD44" s="59" t="str">
        <f t="shared" si="19"/>
        <v/>
      </c>
      <c r="AE44" s="4" t="str">
        <f t="shared" si="20"/>
        <v/>
      </c>
      <c r="AF44" s="4" t="str">
        <f t="shared" si="21"/>
        <v/>
      </c>
      <c r="AG44" s="4" t="str" cm="1">
        <f t="array" ref="AG44">IFERROR(INDEX(Table8[],_xlfn.XMATCH($O44,Table8[Dimension Name Category],0),_xlfn.XMATCH(AG$2&amp;IF($L44," w/ tag"," w/o tag"),Table8[#Headers],0)),"")</f>
        <v/>
      </c>
      <c r="AH44" s="59" t="str">
        <f t="shared" si="22"/>
        <v/>
      </c>
      <c r="AI44" s="4"/>
      <c r="AJ44" s="4" t="str">
        <f t="shared" si="23"/>
        <v/>
      </c>
      <c r="AK44" s="4" t="str">
        <f t="shared" si="24"/>
        <v/>
      </c>
      <c r="AL44" s="4" t="e" cm="1">
        <f t="array" ref="AL44">IF(INDEX(Table2[],_xlfn.XMATCH($A44,Table2[Steel Member],0),_xlfn.XMATCH(AL$2,Table2[#Headers],0))=0,"",INDEX(Table2[],_xlfn.XMATCH($A44,Table2[Steel Member],0),_xlfn.XMATCH(AL$2,Table2[#Headers],0)))</f>
        <v>#N/A</v>
      </c>
      <c r="AM44" s="4"/>
      <c r="AN44" s="4" t="str">
        <f t="shared" si="25"/>
        <v/>
      </c>
      <c r="AO44" s="4"/>
      <c r="AP44" s="4" t="e" cm="1">
        <f t="array" ref="AP44">IF(INDEX(Table2[],_xlfn.XMATCH($A44,Table2[Steel Member],0),_xlfn.XMATCH(AP$2,Table2[#Headers],0))=0,"",INDEX(Table2[],_xlfn.XMATCH($A44,Table2[Steel Member],0),_xlfn.XMATCH(AP$2,Table2[#Headers],0)))</f>
        <v>#N/A</v>
      </c>
      <c r="AQ44" s="4"/>
      <c r="AR44" s="4"/>
      <c r="AS44" s="4"/>
      <c r="AT44" s="4"/>
    </row>
    <row r="45" spans="1:46" x14ac:dyDescent="0.25">
      <c r="A45" s="52"/>
      <c r="B45" s="52"/>
      <c r="C45" s="52"/>
      <c r="D45" s="52"/>
      <c r="E45" s="52"/>
      <c r="F45" s="64" cm="1">
        <f t="array" ref="F45">IF(COUNT(FIND(PurlinsxGirthsxBracings,$C45))&gt;0,0,ROUNDUP(IF(D45=0,0,VLOOKUP(D45,'DATA SHEET'!$B:$D,2,FALSE)),2))</f>
        <v>0</v>
      </c>
      <c r="G45" s="64" cm="1">
        <f t="array" ref="G45">IF(COUNT(FIND(PurlinsxGirthsxBracings,$C45))&gt;0,0,ROUNDUP(IF(D45=0,0,VLOOKUP(D45,'DATA SHEET'!$B:$D,3,FALSE)),2))</f>
        <v>0</v>
      </c>
      <c r="H45" s="53"/>
      <c r="I45" s="66" cm="1">
        <f t="array" ref="I45">IF(AND(ISBLANK(B45),ISBLANK(C45),ISBLANK(E45)),0,IF(COUNT(FIND(PurlinsxGirthsxBracings,$C45))&gt;0,IF(B45=0,CONCATENATE(E45," ",C45),CONCATENATE(B45," - ",E45," ",C45)),IF(B45=0,IF(ISBLANK(C45),E45,CONCATENATE(D45,", ",F45,"kg/m, ",G45,"mm surface perimeter")),IF(AND(ISBLANK(C45),ISTEXT(E45)),CONCATENATE(B45," - ",E45),IF(AND(ISBLANK(C45),ISBLANK(E45)),B45,CONCATENATE(B45," - ",D45,", ",F45,"kg/m, ",G45,"mm surface perimeter"))))&amp;IF(ISBLANK(H45),"",H45)))</f>
        <v>0</v>
      </c>
      <c r="J45" s="53"/>
      <c r="L45" s="4" t="str" cm="1">
        <f t="array" ref="L45">IF(COUNT(FIND({0,1,2,3,4,5,6,7,8,9},B45))&gt;0,COUNT(FIND({0,1,2,3,4,5,6,7,8,9},B45))&gt;0,"")</f>
        <v/>
      </c>
      <c r="M45" s="4" t="str" cm="1">
        <f t="array" aca="1" ref="M45" ca="1">IFERROR(_xlfn.IFS(R45="Count",RANDBETWEEN(1,COUNTIF($R$11:$R$653,"Count")),R45="Length",RANDBETWEEN(1,COUNTIF($R$11:$R$653,"Length"))),"")</f>
        <v/>
      </c>
      <c r="N45" s="4" t="str">
        <f ca="1">IFERROR(_xlfn.RANK.EQ(M45,$M$11:$M$653)+COUNTIF($M$11:M45,M45)-1,"")</f>
        <v/>
      </c>
      <c r="O45" s="86" t="str">
        <f>IF(A45='DATA SHEET'!$L$36,C45,IFERROR(IF(AND(ISTEXT(I45),ISBLANK(C45)),"No details",VLOOKUP(C45,DimFolder,2,FALSE)),""))</f>
        <v/>
      </c>
      <c r="P45" s="4" t="str">
        <f t="shared" si="14"/>
        <v/>
      </c>
      <c r="Q45" s="58" t="str">
        <f t="shared" si="15"/>
        <v/>
      </c>
      <c r="R45" s="4" t="e" cm="1">
        <f t="array" ref="R45">IF(INDEX(Table2[],_xlfn.XMATCH($A45,Table2[Steel Member],0),_xlfn.XMATCH(R$2,Table2[#Headers],0))=0,"",INDEX(Table2[],_xlfn.XMATCH($A45,Table2[Steel Member],0),_xlfn.XMATCH(R$2,Table2[#Headers],0)))</f>
        <v>#N/A</v>
      </c>
      <c r="S45" s="4" t="e" cm="1">
        <f t="array" ref="S45">IF(INDEX(Table2[],_xlfn.XMATCH($A45,Table2[Steel Member],0),_xlfn.XMATCH(S$2,Table2[#Headers],0))=0,"",INDEX(Table2[],_xlfn.XMATCH($A45,Table2[Steel Member],0),_xlfn.XMATCH(S$2,Table2[#Headers],0)))</f>
        <v>#N/A</v>
      </c>
      <c r="T45" s="4" t="str">
        <f t="shared" si="16"/>
        <v/>
      </c>
      <c r="U45" s="4" t="e">
        <f ca="1">VLOOKUP(N45,'COLOR CODE'!$B:$D,2,FALSE)</f>
        <v>#N/A</v>
      </c>
      <c r="V45" s="4" t="str">
        <f t="shared" si="17"/>
        <v/>
      </c>
      <c r="W45" s="4" t="e" cm="1">
        <f t="array" ref="W45">IF(INDEX(Table2[],_xlfn.XMATCH($A45,Table2[Steel Member],0),_xlfn.XMATCH(W$2,Table2[#Headers],0))=0,"",INDEX(Table2[],_xlfn.XMATCH($A45,Table2[Steel Member],0),_xlfn.XMATCH(W$2,Table2[#Headers],0)))</f>
        <v>#N/A</v>
      </c>
      <c r="X45" s="4" t="e">
        <f t="shared" si="27"/>
        <v>#N/A</v>
      </c>
      <c r="Y45" s="4" t="e" cm="1">
        <f t="array" ref="Y45">IF(INDEX(Table2[],_xlfn.XMATCH($A45,Table2[Steel Member],0),_xlfn.XMATCH(Y$2,Table2[#Headers],0))=0,"",INDEX(Table2[],_xlfn.XMATCH($A45,Table2[Steel Member],0),_xlfn.XMATCH(Y$2,Table2[#Headers],0)))</f>
        <v>#N/A</v>
      </c>
      <c r="Z45" s="4" t="e" cm="1">
        <f t="array" ref="Z45">IF(INDEX(Table2[],_xlfn.XMATCH($A45,Table2[Steel Member],0),_xlfn.XMATCH(Z$2,Table2[#Headers],0))=0,"",INDEX(Table2[],_xlfn.XMATCH($A45,Table2[Steel Member],0),_xlfn.XMATCH(Z$2,Table2[#Headers],0)))</f>
        <v>#N/A</v>
      </c>
      <c r="AA45" s="4" t="e" cm="1">
        <f t="array" ref="AA45">IF(INDEX(Table2[],_xlfn.XMATCH($A45,Table2[Steel Member],0),_xlfn.XMATCH(AA$2,Table2[#Headers],0))=0,"",INDEX(Table2[],_xlfn.XMATCH($A45,Table2[Steel Member],0),_xlfn.XMATCH(AA$2,Table2[#Headers],0)))</f>
        <v>#N/A</v>
      </c>
      <c r="AB45" s="4" t="e" cm="1">
        <f t="array" ref="AB45">IF(INDEX(Table2[],_xlfn.XMATCH($A45,Table2[Steel Member],0),_xlfn.XMATCH(AB$2,Table2[#Headers],0))=0,"",INDEX(Table2[],_xlfn.XMATCH($A45,Table2[Steel Member],0),_xlfn.XMATCH(AB$2,Table2[#Headers],0)))</f>
        <v>#N/A</v>
      </c>
      <c r="AC45" s="4" t="str" cm="1">
        <f t="array" ref="AC45">IFERROR(INDEX(Table8[],_xlfn.XMATCH($O45,Table8[Dimension Name Category],0),_xlfn.XMATCH(AC$2&amp;IF($L45," w/ tag"," w/o tag"),Table8[#Headers],0)),"")</f>
        <v/>
      </c>
      <c r="AD45" s="59" t="str">
        <f t="shared" si="19"/>
        <v/>
      </c>
      <c r="AE45" s="4" t="str">
        <f t="shared" si="20"/>
        <v/>
      </c>
      <c r="AF45" s="4" t="str">
        <f t="shared" si="21"/>
        <v/>
      </c>
      <c r="AG45" s="4" t="str" cm="1">
        <f t="array" ref="AG45">IFERROR(INDEX(Table8[],_xlfn.XMATCH($O45,Table8[Dimension Name Category],0),_xlfn.XMATCH(AG$2&amp;IF($L45," w/ tag"," w/o tag"),Table8[#Headers],0)),"")</f>
        <v/>
      </c>
      <c r="AH45" s="59" t="str">
        <f t="shared" si="22"/>
        <v/>
      </c>
      <c r="AI45" s="4"/>
      <c r="AJ45" s="4" t="str">
        <f t="shared" si="23"/>
        <v/>
      </c>
      <c r="AK45" s="4" t="str">
        <f t="shared" si="24"/>
        <v/>
      </c>
      <c r="AL45" s="4" t="e" cm="1">
        <f t="array" ref="AL45">IF(INDEX(Table2[],_xlfn.XMATCH($A45,Table2[Steel Member],0),_xlfn.XMATCH(AL$2,Table2[#Headers],0))=0,"",INDEX(Table2[],_xlfn.XMATCH($A45,Table2[Steel Member],0),_xlfn.XMATCH(AL$2,Table2[#Headers],0)))</f>
        <v>#N/A</v>
      </c>
      <c r="AM45" s="4"/>
      <c r="AN45" s="4" t="str">
        <f t="shared" si="25"/>
        <v/>
      </c>
      <c r="AO45" s="4"/>
      <c r="AP45" s="4" t="e" cm="1">
        <f t="array" ref="AP45">IF(INDEX(Table2[],_xlfn.XMATCH($A45,Table2[Steel Member],0),_xlfn.XMATCH(AP$2,Table2[#Headers],0))=0,"",INDEX(Table2[],_xlfn.XMATCH($A45,Table2[Steel Member],0),_xlfn.XMATCH(AP$2,Table2[#Headers],0)))</f>
        <v>#N/A</v>
      </c>
      <c r="AQ45" s="4"/>
      <c r="AR45" s="4"/>
      <c r="AS45" s="4"/>
      <c r="AT45" s="4"/>
    </row>
    <row r="46" spans="1:46" x14ac:dyDescent="0.25">
      <c r="A46" s="52"/>
      <c r="B46" s="52"/>
      <c r="C46" s="52"/>
      <c r="D46" s="52"/>
      <c r="E46" s="52"/>
      <c r="F46" s="64" cm="1">
        <f t="array" ref="F46">IF(COUNT(FIND(PurlinsxGirthsxBracings,$C46))&gt;0,0,ROUNDUP(IF(D46=0,0,VLOOKUP(D46,'DATA SHEET'!$B:$D,2,FALSE)),2))</f>
        <v>0</v>
      </c>
      <c r="G46" s="64" cm="1">
        <f t="array" ref="G46">IF(COUNT(FIND(PurlinsxGirthsxBracings,$C46))&gt;0,0,ROUNDUP(IF(D46=0,0,VLOOKUP(D46,'DATA SHEET'!$B:$D,3,FALSE)),2))</f>
        <v>0</v>
      </c>
      <c r="H46" s="53"/>
      <c r="I46" s="66" cm="1">
        <f t="array" ref="I46">IF(AND(ISBLANK(B46),ISBLANK(C46),ISBLANK(E46)),0,IF(COUNT(FIND(PurlinsxGirthsxBracings,$C46))&gt;0,IF(B46=0,CONCATENATE(E46," ",C46),CONCATENATE(B46," - ",E46," ",C46)),IF(B46=0,IF(ISBLANK(C46),E46,CONCATENATE(D46,", ",F46,"kg/m, ",G46,"mm surface perimeter")),IF(AND(ISBLANK(C46),ISTEXT(E46)),CONCATENATE(B46," - ",E46),IF(AND(ISBLANK(C46),ISBLANK(E46)),B46,CONCATENATE(B46," - ",D46,", ",F46,"kg/m, ",G46,"mm surface perimeter"))))&amp;IF(ISBLANK(H46),"",H46)))</f>
        <v>0</v>
      </c>
      <c r="J46" s="53"/>
      <c r="L46" s="4" t="str" cm="1">
        <f t="array" ref="L46">IF(COUNT(FIND({0,1,2,3,4,5,6,7,8,9},B46))&gt;0,COUNT(FIND({0,1,2,3,4,5,6,7,8,9},B46))&gt;0,"")</f>
        <v/>
      </c>
      <c r="M46" s="4" t="str" cm="1">
        <f t="array" aca="1" ref="M46" ca="1">IFERROR(_xlfn.IFS(R46="Count",RANDBETWEEN(1,COUNTIF($R$11:$R$653,"Count")),R46="Length",RANDBETWEEN(1,COUNTIF($R$11:$R$653,"Length"))),"")</f>
        <v/>
      </c>
      <c r="N46" s="4" t="str">
        <f ca="1">IFERROR(_xlfn.RANK.EQ(M46,$M$11:$M$653)+COUNTIF($M$11:M46,M46)-1,"")</f>
        <v/>
      </c>
      <c r="O46" s="86" t="str">
        <f>IF(A46='DATA SHEET'!$L$36,C46,IFERROR(IF(AND(ISTEXT(I46),ISBLANK(C46)),"No details",VLOOKUP(C46,DimFolder,2,FALSE)),""))</f>
        <v/>
      </c>
      <c r="P46" s="4" t="str">
        <f t="shared" si="14"/>
        <v/>
      </c>
      <c r="Q46" s="58" t="str">
        <f t="shared" si="15"/>
        <v/>
      </c>
      <c r="R46" s="4" t="e" cm="1">
        <f t="array" ref="R46">IF(INDEX(Table2[],_xlfn.XMATCH($A46,Table2[Steel Member],0),_xlfn.XMATCH(R$2,Table2[#Headers],0))=0,"",INDEX(Table2[],_xlfn.XMATCH($A46,Table2[Steel Member],0),_xlfn.XMATCH(R$2,Table2[#Headers],0)))</f>
        <v>#N/A</v>
      </c>
      <c r="S46" s="4" t="e" cm="1">
        <f t="array" ref="S46">IF(INDEX(Table2[],_xlfn.XMATCH($A46,Table2[Steel Member],0),_xlfn.XMATCH(S$2,Table2[#Headers],0))=0,"",INDEX(Table2[],_xlfn.XMATCH($A46,Table2[Steel Member],0),_xlfn.XMATCH(S$2,Table2[#Headers],0)))</f>
        <v>#N/A</v>
      </c>
      <c r="T46" s="4" t="str">
        <f t="shared" si="16"/>
        <v/>
      </c>
      <c r="U46" s="4" t="e">
        <f ca="1">VLOOKUP(N46,'COLOR CODE'!$B:$D,2,FALSE)</f>
        <v>#N/A</v>
      </c>
      <c r="V46" s="4" t="str">
        <f t="shared" si="17"/>
        <v/>
      </c>
      <c r="W46" s="4" t="e" cm="1">
        <f t="array" ref="W46">IF(INDEX(Table2[],_xlfn.XMATCH($A46,Table2[Steel Member],0),_xlfn.XMATCH(W$2,Table2[#Headers],0))=0,"",INDEX(Table2[],_xlfn.XMATCH($A46,Table2[Steel Member],0),_xlfn.XMATCH(W$2,Table2[#Headers],0)))</f>
        <v>#N/A</v>
      </c>
      <c r="X46" s="4" t="e">
        <f t="shared" si="27"/>
        <v>#N/A</v>
      </c>
      <c r="Y46" s="4" t="e" cm="1">
        <f t="array" ref="Y46">IF(INDEX(Table2[],_xlfn.XMATCH($A46,Table2[Steel Member],0),_xlfn.XMATCH(Y$2,Table2[#Headers],0))=0,"",INDEX(Table2[],_xlfn.XMATCH($A46,Table2[Steel Member],0),_xlfn.XMATCH(Y$2,Table2[#Headers],0)))</f>
        <v>#N/A</v>
      </c>
      <c r="Z46" s="4" t="e" cm="1">
        <f t="array" ref="Z46">IF(INDEX(Table2[],_xlfn.XMATCH($A46,Table2[Steel Member],0),_xlfn.XMATCH(Z$2,Table2[#Headers],0))=0,"",INDEX(Table2[],_xlfn.XMATCH($A46,Table2[Steel Member],0),_xlfn.XMATCH(Z$2,Table2[#Headers],0)))</f>
        <v>#N/A</v>
      </c>
      <c r="AA46" s="4" t="e" cm="1">
        <f t="array" ref="AA46">IF(INDEX(Table2[],_xlfn.XMATCH($A46,Table2[Steel Member],0),_xlfn.XMATCH(AA$2,Table2[#Headers],0))=0,"",INDEX(Table2[],_xlfn.XMATCH($A46,Table2[Steel Member],0),_xlfn.XMATCH(AA$2,Table2[#Headers],0)))</f>
        <v>#N/A</v>
      </c>
      <c r="AB46" s="4" t="e" cm="1">
        <f t="array" ref="AB46">IF(INDEX(Table2[],_xlfn.XMATCH($A46,Table2[Steel Member],0),_xlfn.XMATCH(AB$2,Table2[#Headers],0))=0,"",INDEX(Table2[],_xlfn.XMATCH($A46,Table2[Steel Member],0),_xlfn.XMATCH(AB$2,Table2[#Headers],0)))</f>
        <v>#N/A</v>
      </c>
      <c r="AC46" s="4" t="str" cm="1">
        <f t="array" ref="AC46">IFERROR(INDEX(Table8[],_xlfn.XMATCH($O46,Table8[Dimension Name Category],0),_xlfn.XMATCH(AC$2&amp;IF($L46," w/ tag"," w/o tag"),Table8[#Headers],0)),"")</f>
        <v/>
      </c>
      <c r="AD46" s="59" t="str">
        <f t="shared" si="19"/>
        <v/>
      </c>
      <c r="AE46" s="4" t="str">
        <f t="shared" si="20"/>
        <v/>
      </c>
      <c r="AF46" s="4" t="str">
        <f t="shared" si="21"/>
        <v/>
      </c>
      <c r="AG46" s="4" t="str" cm="1">
        <f t="array" ref="AG46">IFERROR(INDEX(Table8[],_xlfn.XMATCH($O46,Table8[Dimension Name Category],0),_xlfn.XMATCH(AG$2&amp;IF($L46," w/ tag"," w/o tag"),Table8[#Headers],0)),"")</f>
        <v/>
      </c>
      <c r="AH46" s="59" t="str">
        <f t="shared" si="22"/>
        <v/>
      </c>
      <c r="AI46" s="4"/>
      <c r="AJ46" s="4" t="str">
        <f t="shared" si="23"/>
        <v/>
      </c>
      <c r="AK46" s="4" t="str">
        <f t="shared" si="24"/>
        <v/>
      </c>
      <c r="AL46" s="4" t="e" cm="1">
        <f t="array" ref="AL46">IF(INDEX(Table2[],_xlfn.XMATCH($A46,Table2[Steel Member],0),_xlfn.XMATCH(AL$2,Table2[#Headers],0))=0,"",INDEX(Table2[],_xlfn.XMATCH($A46,Table2[Steel Member],0),_xlfn.XMATCH(AL$2,Table2[#Headers],0)))</f>
        <v>#N/A</v>
      </c>
      <c r="AM46" s="4"/>
      <c r="AN46" s="4" t="str">
        <f t="shared" si="25"/>
        <v/>
      </c>
      <c r="AO46" s="4"/>
      <c r="AP46" s="4" t="e" cm="1">
        <f t="array" ref="AP46">IF(INDEX(Table2[],_xlfn.XMATCH($A46,Table2[Steel Member],0),_xlfn.XMATCH(AP$2,Table2[#Headers],0))=0,"",INDEX(Table2[],_xlfn.XMATCH($A46,Table2[Steel Member],0),_xlfn.XMATCH(AP$2,Table2[#Headers],0)))</f>
        <v>#N/A</v>
      </c>
      <c r="AQ46" s="4"/>
      <c r="AR46" s="4"/>
      <c r="AS46" s="4"/>
      <c r="AT46" s="4"/>
    </row>
    <row r="47" spans="1:46" x14ac:dyDescent="0.25">
      <c r="A47" s="52"/>
      <c r="B47" s="52"/>
      <c r="C47" s="52"/>
      <c r="D47" s="52"/>
      <c r="E47" s="52"/>
      <c r="F47" s="64" cm="1">
        <f t="array" ref="F47">IF(COUNT(FIND(PurlinsxGirthsxBracings,$C47))&gt;0,0,ROUNDUP(IF(D47=0,0,VLOOKUP(D47,'DATA SHEET'!$B:$D,2,FALSE)),2))</f>
        <v>0</v>
      </c>
      <c r="G47" s="64" cm="1">
        <f t="array" ref="G47">IF(COUNT(FIND(PurlinsxGirthsxBracings,$C47))&gt;0,0,ROUNDUP(IF(D47=0,0,VLOOKUP(D47,'DATA SHEET'!$B:$D,3,FALSE)),2))</f>
        <v>0</v>
      </c>
      <c r="H47" s="53"/>
      <c r="I47" s="66" cm="1">
        <f t="array" ref="I47">IF(AND(ISBLANK(B47),ISBLANK(C47),ISBLANK(E47)),0,IF(COUNT(FIND(PurlinsxGirthsxBracings,$C47))&gt;0,IF(B47=0,CONCATENATE(E47," ",C47),CONCATENATE(B47," - ",E47," ",C47)),IF(B47=0,IF(ISBLANK(C47),E47,CONCATENATE(D47,", ",F47,"kg/m, ",G47,"mm surface perimeter")),IF(AND(ISBLANK(C47),ISTEXT(E47)),CONCATENATE(B47," - ",E47),IF(AND(ISBLANK(C47),ISBLANK(E47)),B47,CONCATENATE(B47," - ",D47,", ",F47,"kg/m, ",G47,"mm surface perimeter"))))&amp;IF(ISBLANK(H47),"",H47)))</f>
        <v>0</v>
      </c>
      <c r="J47" s="53"/>
      <c r="L47" s="4" t="str" cm="1">
        <f t="array" ref="L47">IF(COUNT(FIND({0,1,2,3,4,5,6,7,8,9},B47))&gt;0,COUNT(FIND({0,1,2,3,4,5,6,7,8,9},B47))&gt;0,"")</f>
        <v/>
      </c>
      <c r="M47" s="4" t="str" cm="1">
        <f t="array" aca="1" ref="M47" ca="1">IFERROR(_xlfn.IFS(R47="Count",RANDBETWEEN(1,COUNTIF($R$11:$R$653,"Count")),R47="Length",RANDBETWEEN(1,COUNTIF($R$11:$R$653,"Length"))),"")</f>
        <v/>
      </c>
      <c r="N47" s="4" t="str">
        <f ca="1">IFERROR(_xlfn.RANK.EQ(M47,$M$11:$M$653)+COUNTIF($M$11:M47,M47)-1,"")</f>
        <v/>
      </c>
      <c r="O47" s="86" t="str">
        <f>IF(A47='DATA SHEET'!$L$36,C47,IFERROR(IF(AND(ISTEXT(I47),ISBLANK(C47)),"No details",VLOOKUP(C47,DimFolder,2,FALSE)),""))</f>
        <v/>
      </c>
      <c r="P47" s="4" t="str">
        <f t="shared" si="14"/>
        <v/>
      </c>
      <c r="Q47" s="58" t="str">
        <f t="shared" si="15"/>
        <v/>
      </c>
      <c r="R47" s="4" t="e" cm="1">
        <f t="array" ref="R47">IF(INDEX(Table2[],_xlfn.XMATCH($A47,Table2[Steel Member],0),_xlfn.XMATCH(R$2,Table2[#Headers],0))=0,"",INDEX(Table2[],_xlfn.XMATCH($A47,Table2[Steel Member],0),_xlfn.XMATCH(R$2,Table2[#Headers],0)))</f>
        <v>#N/A</v>
      </c>
      <c r="S47" s="4" t="e" cm="1">
        <f t="array" ref="S47">IF(INDEX(Table2[],_xlfn.XMATCH($A47,Table2[Steel Member],0),_xlfn.XMATCH(S$2,Table2[#Headers],0))=0,"",INDEX(Table2[],_xlfn.XMATCH($A47,Table2[Steel Member],0),_xlfn.XMATCH(S$2,Table2[#Headers],0)))</f>
        <v>#N/A</v>
      </c>
      <c r="T47" s="4" t="str">
        <f t="shared" si="16"/>
        <v/>
      </c>
      <c r="U47" s="4" t="e">
        <f ca="1">VLOOKUP(N47,'COLOR CODE'!$B:$D,2,FALSE)</f>
        <v>#N/A</v>
      </c>
      <c r="V47" s="4" t="str">
        <f t="shared" si="17"/>
        <v/>
      </c>
      <c r="W47" s="4" t="e" cm="1">
        <f t="array" ref="W47">IF(INDEX(Table2[],_xlfn.XMATCH($A47,Table2[Steel Member],0),_xlfn.XMATCH(W$2,Table2[#Headers],0))=0,"",INDEX(Table2[],_xlfn.XMATCH($A47,Table2[Steel Member],0),_xlfn.XMATCH(W$2,Table2[#Headers],0)))</f>
        <v>#N/A</v>
      </c>
      <c r="X47" s="4" t="e">
        <f t="shared" si="27"/>
        <v>#N/A</v>
      </c>
      <c r="Y47" s="4" t="e" cm="1">
        <f t="array" ref="Y47">IF(INDEX(Table2[],_xlfn.XMATCH($A47,Table2[Steel Member],0),_xlfn.XMATCH(Y$2,Table2[#Headers],0))=0,"",INDEX(Table2[],_xlfn.XMATCH($A47,Table2[Steel Member],0),_xlfn.XMATCH(Y$2,Table2[#Headers],0)))</f>
        <v>#N/A</v>
      </c>
      <c r="Z47" s="4" t="e" cm="1">
        <f t="array" ref="Z47">IF(INDEX(Table2[],_xlfn.XMATCH($A47,Table2[Steel Member],0),_xlfn.XMATCH(Z$2,Table2[#Headers],0))=0,"",INDEX(Table2[],_xlfn.XMATCH($A47,Table2[Steel Member],0),_xlfn.XMATCH(Z$2,Table2[#Headers],0)))</f>
        <v>#N/A</v>
      </c>
      <c r="AA47" s="4" t="e" cm="1">
        <f t="array" ref="AA47">IF(INDEX(Table2[],_xlfn.XMATCH($A47,Table2[Steel Member],0),_xlfn.XMATCH(AA$2,Table2[#Headers],0))=0,"",INDEX(Table2[],_xlfn.XMATCH($A47,Table2[Steel Member],0),_xlfn.XMATCH(AA$2,Table2[#Headers],0)))</f>
        <v>#N/A</v>
      </c>
      <c r="AB47" s="4" t="e" cm="1">
        <f t="array" ref="AB47">IF(INDEX(Table2[],_xlfn.XMATCH($A47,Table2[Steel Member],0),_xlfn.XMATCH(AB$2,Table2[#Headers],0))=0,"",INDEX(Table2[],_xlfn.XMATCH($A47,Table2[Steel Member],0),_xlfn.XMATCH(AB$2,Table2[#Headers],0)))</f>
        <v>#N/A</v>
      </c>
      <c r="AC47" s="4" t="str" cm="1">
        <f t="array" ref="AC47">IFERROR(INDEX(Table8[],_xlfn.XMATCH($O47,Table8[Dimension Name Category],0),_xlfn.XMATCH(AC$2&amp;IF($L47," w/ tag"," w/o tag"),Table8[#Headers],0)),"")</f>
        <v/>
      </c>
      <c r="AD47" s="59" t="str">
        <f t="shared" si="19"/>
        <v/>
      </c>
      <c r="AE47" s="4" t="str">
        <f t="shared" si="20"/>
        <v/>
      </c>
      <c r="AF47" s="4" t="str">
        <f t="shared" si="21"/>
        <v/>
      </c>
      <c r="AG47" s="4" t="str" cm="1">
        <f t="array" ref="AG47">IFERROR(INDEX(Table8[],_xlfn.XMATCH($O47,Table8[Dimension Name Category],0),_xlfn.XMATCH(AG$2&amp;IF($L47," w/ tag"," w/o tag"),Table8[#Headers],0)),"")</f>
        <v/>
      </c>
      <c r="AH47" s="59" t="str">
        <f t="shared" si="22"/>
        <v/>
      </c>
      <c r="AI47" s="4"/>
      <c r="AJ47" s="4" t="str">
        <f t="shared" si="23"/>
        <v/>
      </c>
      <c r="AK47" s="4" t="str">
        <f t="shared" si="24"/>
        <v/>
      </c>
      <c r="AL47" s="4" t="e" cm="1">
        <f t="array" ref="AL47">IF(INDEX(Table2[],_xlfn.XMATCH($A47,Table2[Steel Member],0),_xlfn.XMATCH(AL$2,Table2[#Headers],0))=0,"",INDEX(Table2[],_xlfn.XMATCH($A47,Table2[Steel Member],0),_xlfn.XMATCH(AL$2,Table2[#Headers],0)))</f>
        <v>#N/A</v>
      </c>
      <c r="AM47" s="4"/>
      <c r="AN47" s="4" t="str">
        <f t="shared" si="25"/>
        <v/>
      </c>
      <c r="AO47" s="4"/>
      <c r="AP47" s="4" t="e" cm="1">
        <f t="array" ref="AP47">IF(INDEX(Table2[],_xlfn.XMATCH($A47,Table2[Steel Member],0),_xlfn.XMATCH(AP$2,Table2[#Headers],0))=0,"",INDEX(Table2[],_xlfn.XMATCH($A47,Table2[Steel Member],0),_xlfn.XMATCH(AP$2,Table2[#Headers],0)))</f>
        <v>#N/A</v>
      </c>
      <c r="AQ47" s="4"/>
      <c r="AR47" s="4"/>
      <c r="AS47" s="4"/>
      <c r="AT47" s="4"/>
    </row>
    <row r="48" spans="1:46" x14ac:dyDescent="0.25">
      <c r="A48" s="52"/>
      <c r="B48" s="52"/>
      <c r="C48" s="52"/>
      <c r="D48" s="52"/>
      <c r="E48" s="52"/>
      <c r="F48" s="64" cm="1">
        <f t="array" ref="F48">IF(COUNT(FIND(PurlinsxGirthsxBracings,$C48))&gt;0,0,ROUNDUP(IF(D48=0,0,VLOOKUP(D48,'DATA SHEET'!$B:$D,2,FALSE)),2))</f>
        <v>0</v>
      </c>
      <c r="G48" s="64" cm="1">
        <f t="array" ref="G48">IF(COUNT(FIND(PurlinsxGirthsxBracings,$C48))&gt;0,0,ROUNDUP(IF(D48=0,0,VLOOKUP(D48,'DATA SHEET'!$B:$D,3,FALSE)),2))</f>
        <v>0</v>
      </c>
      <c r="H48" s="53"/>
      <c r="I48" s="66" cm="1">
        <f t="array" ref="I48">IF(AND(ISBLANK(B48),ISBLANK(C48),ISBLANK(E48)),0,IF(COUNT(FIND(PurlinsxGirthsxBracings,$C48))&gt;0,IF(B48=0,CONCATENATE(E48," ",C48),CONCATENATE(B48," - ",E48," ",C48)),IF(B48=0,IF(ISBLANK(C48),E48,CONCATENATE(D48,", ",F48,"kg/m, ",G48,"mm surface perimeter")),IF(AND(ISBLANK(C48),ISTEXT(E48)),CONCATENATE(B48," - ",E48),IF(AND(ISBLANK(C48),ISBLANK(E48)),B48,CONCATENATE(B48," - ",D48,", ",F48,"kg/m, ",G48,"mm surface perimeter"))))&amp;IF(ISBLANK(H48),"",H48)))</f>
        <v>0</v>
      </c>
      <c r="J48" s="53"/>
      <c r="L48" s="4" t="str" cm="1">
        <f t="array" ref="L48">IF(COUNT(FIND({0,1,2,3,4,5,6,7,8,9},B48))&gt;0,COUNT(FIND({0,1,2,3,4,5,6,7,8,9},B48))&gt;0,"")</f>
        <v/>
      </c>
      <c r="M48" s="4" t="str" cm="1">
        <f t="array" aca="1" ref="M48" ca="1">IFERROR(_xlfn.IFS(R48="Count",RANDBETWEEN(1,COUNTIF($R$11:$R$653,"Count")),R48="Length",RANDBETWEEN(1,COUNTIF($R$11:$R$653,"Length"))),"")</f>
        <v/>
      </c>
      <c r="N48" s="4" t="str">
        <f ca="1">IFERROR(_xlfn.RANK.EQ(M48,$M$11:$M$653)+COUNTIF($M$11:M48,M48)-1,"")</f>
        <v/>
      </c>
      <c r="O48" s="86" t="str">
        <f>IF(A48='DATA SHEET'!$L$36,C48,IFERROR(IF(AND(ISTEXT(I48),ISBLANK(C48)),"No details",VLOOKUP(C48,DimFolder,2,FALSE)),""))</f>
        <v/>
      </c>
      <c r="P48" s="4" t="str">
        <f t="shared" si="14"/>
        <v/>
      </c>
      <c r="Q48" s="58" t="str">
        <f t="shared" si="15"/>
        <v/>
      </c>
      <c r="R48" s="4" t="e" cm="1">
        <f t="array" ref="R48">IF(INDEX(Table2[],_xlfn.XMATCH($A48,Table2[Steel Member],0),_xlfn.XMATCH(R$2,Table2[#Headers],0))=0,"",INDEX(Table2[],_xlfn.XMATCH($A48,Table2[Steel Member],0),_xlfn.XMATCH(R$2,Table2[#Headers],0)))</f>
        <v>#N/A</v>
      </c>
      <c r="S48" s="4" t="e" cm="1">
        <f t="array" ref="S48">IF(INDEX(Table2[],_xlfn.XMATCH($A48,Table2[Steel Member],0),_xlfn.XMATCH(S$2,Table2[#Headers],0))=0,"",INDEX(Table2[],_xlfn.XMATCH($A48,Table2[Steel Member],0),_xlfn.XMATCH(S$2,Table2[#Headers],0)))</f>
        <v>#N/A</v>
      </c>
      <c r="T48" s="4" t="str">
        <f t="shared" si="16"/>
        <v/>
      </c>
      <c r="U48" s="4" t="e">
        <f ca="1">VLOOKUP(N48,'COLOR CODE'!$B:$D,2,FALSE)</f>
        <v>#N/A</v>
      </c>
      <c r="V48" s="4" t="str">
        <f t="shared" si="17"/>
        <v/>
      </c>
      <c r="W48" s="4" t="e" cm="1">
        <f t="array" ref="W48">IF(INDEX(Table2[],_xlfn.XMATCH($A48,Table2[Steel Member],0),_xlfn.XMATCH(W$2,Table2[#Headers],0))=0,"",INDEX(Table2[],_xlfn.XMATCH($A48,Table2[Steel Member],0),_xlfn.XMATCH(W$2,Table2[#Headers],0)))</f>
        <v>#N/A</v>
      </c>
      <c r="X48" s="4" t="e">
        <f t="shared" si="27"/>
        <v>#N/A</v>
      </c>
      <c r="Y48" s="4" t="e" cm="1">
        <f t="array" ref="Y48">IF(INDEX(Table2[],_xlfn.XMATCH($A48,Table2[Steel Member],0),_xlfn.XMATCH(Y$2,Table2[#Headers],0))=0,"",INDEX(Table2[],_xlfn.XMATCH($A48,Table2[Steel Member],0),_xlfn.XMATCH(Y$2,Table2[#Headers],0)))</f>
        <v>#N/A</v>
      </c>
      <c r="Z48" s="4" t="e" cm="1">
        <f t="array" ref="Z48">IF(INDEX(Table2[],_xlfn.XMATCH($A48,Table2[Steel Member],0),_xlfn.XMATCH(Z$2,Table2[#Headers],0))=0,"",INDEX(Table2[],_xlfn.XMATCH($A48,Table2[Steel Member],0),_xlfn.XMATCH(Z$2,Table2[#Headers],0)))</f>
        <v>#N/A</v>
      </c>
      <c r="AA48" s="4" t="e" cm="1">
        <f t="array" ref="AA48">IF(INDEX(Table2[],_xlfn.XMATCH($A48,Table2[Steel Member],0),_xlfn.XMATCH(AA$2,Table2[#Headers],0))=0,"",INDEX(Table2[],_xlfn.XMATCH($A48,Table2[Steel Member],0),_xlfn.XMATCH(AA$2,Table2[#Headers],0)))</f>
        <v>#N/A</v>
      </c>
      <c r="AB48" s="4" t="e" cm="1">
        <f t="array" ref="AB48">IF(INDEX(Table2[],_xlfn.XMATCH($A48,Table2[Steel Member],0),_xlfn.XMATCH(AB$2,Table2[#Headers],0))=0,"",INDEX(Table2[],_xlfn.XMATCH($A48,Table2[Steel Member],0),_xlfn.XMATCH(AB$2,Table2[#Headers],0)))</f>
        <v>#N/A</v>
      </c>
      <c r="AC48" s="4" t="str" cm="1">
        <f t="array" ref="AC48">IFERROR(INDEX(Table8[],_xlfn.XMATCH($O48,Table8[Dimension Name Category],0),_xlfn.XMATCH(AC$2&amp;IF($L48," w/ tag"," w/o tag"),Table8[#Headers],0)),"")</f>
        <v/>
      </c>
      <c r="AD48" s="59" t="str">
        <f t="shared" si="19"/>
        <v/>
      </c>
      <c r="AE48" s="4" t="str">
        <f t="shared" si="20"/>
        <v/>
      </c>
      <c r="AF48" s="4" t="str">
        <f t="shared" si="21"/>
        <v/>
      </c>
      <c r="AG48" s="4" t="str" cm="1">
        <f t="array" ref="AG48">IFERROR(INDEX(Table8[],_xlfn.XMATCH($O48,Table8[Dimension Name Category],0),_xlfn.XMATCH(AG$2&amp;IF($L48," w/ tag"," w/o tag"),Table8[#Headers],0)),"")</f>
        <v/>
      </c>
      <c r="AH48" s="59" t="str">
        <f t="shared" si="22"/>
        <v/>
      </c>
      <c r="AI48" s="4"/>
      <c r="AJ48" s="4" t="str">
        <f t="shared" si="23"/>
        <v/>
      </c>
      <c r="AK48" s="4" t="str">
        <f t="shared" si="24"/>
        <v/>
      </c>
      <c r="AL48" s="4" t="e" cm="1">
        <f t="array" ref="AL48">IF(INDEX(Table2[],_xlfn.XMATCH($A48,Table2[Steel Member],0),_xlfn.XMATCH(AL$2,Table2[#Headers],0))=0,"",INDEX(Table2[],_xlfn.XMATCH($A48,Table2[Steel Member],0),_xlfn.XMATCH(AL$2,Table2[#Headers],0)))</f>
        <v>#N/A</v>
      </c>
      <c r="AM48" s="4"/>
      <c r="AN48" s="4" t="str">
        <f t="shared" si="25"/>
        <v/>
      </c>
      <c r="AO48" s="4"/>
      <c r="AP48" s="4" t="e" cm="1">
        <f t="array" ref="AP48">IF(INDEX(Table2[],_xlfn.XMATCH($A48,Table2[Steel Member],0),_xlfn.XMATCH(AP$2,Table2[#Headers],0))=0,"",INDEX(Table2[],_xlfn.XMATCH($A48,Table2[Steel Member],0),_xlfn.XMATCH(AP$2,Table2[#Headers],0)))</f>
        <v>#N/A</v>
      </c>
      <c r="AQ48" s="4"/>
      <c r="AR48" s="4"/>
      <c r="AS48" s="4"/>
      <c r="AT48" s="4"/>
    </row>
    <row r="49" spans="1:46" x14ac:dyDescent="0.25">
      <c r="A49" s="52"/>
      <c r="B49" s="52"/>
      <c r="C49" s="52"/>
      <c r="D49" s="52"/>
      <c r="E49" s="52"/>
      <c r="F49" s="64" cm="1">
        <f t="array" ref="F49">IF(COUNT(FIND(PurlinsxGirthsxBracings,$C49))&gt;0,0,ROUNDUP(IF(D49=0,0,VLOOKUP(D49,'DATA SHEET'!$B:$D,2,FALSE)),2))</f>
        <v>0</v>
      </c>
      <c r="G49" s="64" cm="1">
        <f t="array" ref="G49">IF(COUNT(FIND(PurlinsxGirthsxBracings,$C49))&gt;0,0,ROUNDUP(IF(D49=0,0,VLOOKUP(D49,'DATA SHEET'!$B:$D,3,FALSE)),2))</f>
        <v>0</v>
      </c>
      <c r="H49" s="53"/>
      <c r="I49" s="66" cm="1">
        <f t="array" ref="I49">IF(AND(ISBLANK(B49),ISBLANK(C49),ISBLANK(E49)),0,IF(COUNT(FIND(PurlinsxGirthsxBracings,$C49))&gt;0,IF(B49=0,CONCATENATE(E49," ",C49),CONCATENATE(B49," - ",E49," ",C49)),IF(B49=0,IF(ISBLANK(C49),E49,CONCATENATE(D49,", ",F49,"kg/m, ",G49,"mm surface perimeter")),IF(AND(ISBLANK(C49),ISTEXT(E49)),CONCATENATE(B49," - ",E49),IF(AND(ISBLANK(C49),ISBLANK(E49)),B49,CONCATENATE(B49," - ",D49,", ",F49,"kg/m, ",G49,"mm surface perimeter"))))&amp;IF(ISBLANK(H49),"",H49)))</f>
        <v>0</v>
      </c>
      <c r="J49" s="53"/>
      <c r="L49" s="4" t="str" cm="1">
        <f t="array" ref="L49">IF(COUNT(FIND({0,1,2,3,4,5,6,7,8,9},B49))&gt;0,COUNT(FIND({0,1,2,3,4,5,6,7,8,9},B49))&gt;0,"")</f>
        <v/>
      </c>
      <c r="M49" s="4" t="str" cm="1">
        <f t="array" aca="1" ref="M49" ca="1">IFERROR(_xlfn.IFS(R49="Count",RANDBETWEEN(1,COUNTIF($R$11:$R$653,"Count")),R49="Length",RANDBETWEEN(1,COUNTIF($R$11:$R$653,"Length"))),"")</f>
        <v/>
      </c>
      <c r="N49" s="4" t="str">
        <f ca="1">IFERROR(_xlfn.RANK.EQ(M49,$M$11:$M$653)+COUNTIF($M$11:M49,M49)-1,"")</f>
        <v/>
      </c>
      <c r="O49" s="86" t="str">
        <f>IF(A49='DATA SHEET'!$L$36,C49,IFERROR(IF(AND(ISTEXT(I49),ISBLANK(C49)),"No details",VLOOKUP(C49,DimFolder,2,FALSE)),""))</f>
        <v/>
      </c>
      <c r="P49" s="4" t="str">
        <f t="shared" si="14"/>
        <v/>
      </c>
      <c r="Q49" s="58" t="str">
        <f t="shared" si="15"/>
        <v/>
      </c>
      <c r="R49" s="4" t="e" cm="1">
        <f t="array" ref="R49">IF(INDEX(Table2[],_xlfn.XMATCH($A49,Table2[Steel Member],0),_xlfn.XMATCH(R$2,Table2[#Headers],0))=0,"",INDEX(Table2[],_xlfn.XMATCH($A49,Table2[Steel Member],0),_xlfn.XMATCH(R$2,Table2[#Headers],0)))</f>
        <v>#N/A</v>
      </c>
      <c r="S49" s="4" t="e" cm="1">
        <f t="array" ref="S49">IF(INDEX(Table2[],_xlfn.XMATCH($A49,Table2[Steel Member],0),_xlfn.XMATCH(S$2,Table2[#Headers],0))=0,"",INDEX(Table2[],_xlfn.XMATCH($A49,Table2[Steel Member],0),_xlfn.XMATCH(S$2,Table2[#Headers],0)))</f>
        <v>#N/A</v>
      </c>
      <c r="T49" s="4" t="str">
        <f t="shared" si="16"/>
        <v/>
      </c>
      <c r="U49" s="4" t="e">
        <f ca="1">VLOOKUP(N49,'COLOR CODE'!$B:$D,2,FALSE)</f>
        <v>#N/A</v>
      </c>
      <c r="V49" s="4" t="str">
        <f t="shared" si="17"/>
        <v/>
      </c>
      <c r="W49" s="4" t="e" cm="1">
        <f t="array" ref="W49">IF(INDEX(Table2[],_xlfn.XMATCH($A49,Table2[Steel Member],0),_xlfn.XMATCH(W$2,Table2[#Headers],0))=0,"",INDEX(Table2[],_xlfn.XMATCH($A49,Table2[Steel Member],0),_xlfn.XMATCH(W$2,Table2[#Headers],0)))</f>
        <v>#N/A</v>
      </c>
      <c r="X49" s="4" t="e">
        <f t="shared" si="27"/>
        <v>#N/A</v>
      </c>
      <c r="Y49" s="4" t="e" cm="1">
        <f t="array" ref="Y49">IF(INDEX(Table2[],_xlfn.XMATCH($A49,Table2[Steel Member],0),_xlfn.XMATCH(Y$2,Table2[#Headers],0))=0,"",INDEX(Table2[],_xlfn.XMATCH($A49,Table2[Steel Member],0),_xlfn.XMATCH(Y$2,Table2[#Headers],0)))</f>
        <v>#N/A</v>
      </c>
      <c r="Z49" s="4" t="e" cm="1">
        <f t="array" ref="Z49">IF(INDEX(Table2[],_xlfn.XMATCH($A49,Table2[Steel Member],0),_xlfn.XMATCH(Z$2,Table2[#Headers],0))=0,"",INDEX(Table2[],_xlfn.XMATCH($A49,Table2[Steel Member],0),_xlfn.XMATCH(Z$2,Table2[#Headers],0)))</f>
        <v>#N/A</v>
      </c>
      <c r="AA49" s="4" t="e" cm="1">
        <f t="array" ref="AA49">IF(INDEX(Table2[],_xlfn.XMATCH($A49,Table2[Steel Member],0),_xlfn.XMATCH(AA$2,Table2[#Headers],0))=0,"",INDEX(Table2[],_xlfn.XMATCH($A49,Table2[Steel Member],0),_xlfn.XMATCH(AA$2,Table2[#Headers],0)))</f>
        <v>#N/A</v>
      </c>
      <c r="AB49" s="4" t="e" cm="1">
        <f t="array" ref="AB49">IF(INDEX(Table2[],_xlfn.XMATCH($A49,Table2[Steel Member],0),_xlfn.XMATCH(AB$2,Table2[#Headers],0))=0,"",INDEX(Table2[],_xlfn.XMATCH($A49,Table2[Steel Member],0),_xlfn.XMATCH(AB$2,Table2[#Headers],0)))</f>
        <v>#N/A</v>
      </c>
      <c r="AC49" s="4" t="str" cm="1">
        <f t="array" ref="AC49">IFERROR(INDEX(Table8[],_xlfn.XMATCH($O49,Table8[Dimension Name Category],0),_xlfn.XMATCH(AC$2&amp;IF($L49," w/ tag"," w/o tag"),Table8[#Headers],0)),"")</f>
        <v/>
      </c>
      <c r="AD49" s="59" t="str">
        <f t="shared" si="19"/>
        <v/>
      </c>
      <c r="AE49" s="4" t="str">
        <f t="shared" si="20"/>
        <v/>
      </c>
      <c r="AF49" s="4" t="str">
        <f t="shared" si="21"/>
        <v/>
      </c>
      <c r="AG49" s="4" t="str" cm="1">
        <f t="array" ref="AG49">IFERROR(INDEX(Table8[],_xlfn.XMATCH($O49,Table8[Dimension Name Category],0),_xlfn.XMATCH(AG$2&amp;IF($L49," w/ tag"," w/o tag"),Table8[#Headers],0)),"")</f>
        <v/>
      </c>
      <c r="AH49" s="59" t="str">
        <f t="shared" si="22"/>
        <v/>
      </c>
      <c r="AI49" s="4"/>
      <c r="AJ49" s="4" t="str">
        <f t="shared" si="23"/>
        <v/>
      </c>
      <c r="AK49" s="4" t="str">
        <f t="shared" si="24"/>
        <v/>
      </c>
      <c r="AL49" s="4" t="e" cm="1">
        <f t="array" ref="AL49">IF(INDEX(Table2[],_xlfn.XMATCH($A49,Table2[Steel Member],0),_xlfn.XMATCH(AL$2,Table2[#Headers],0))=0,"",INDEX(Table2[],_xlfn.XMATCH($A49,Table2[Steel Member],0),_xlfn.XMATCH(AL$2,Table2[#Headers],0)))</f>
        <v>#N/A</v>
      </c>
      <c r="AM49" s="4"/>
      <c r="AN49" s="4" t="str">
        <f t="shared" si="25"/>
        <v/>
      </c>
      <c r="AO49" s="4"/>
      <c r="AP49" s="4" t="e" cm="1">
        <f t="array" ref="AP49">IF(INDEX(Table2[],_xlfn.XMATCH($A49,Table2[Steel Member],0),_xlfn.XMATCH(AP$2,Table2[#Headers],0))=0,"",INDEX(Table2[],_xlfn.XMATCH($A49,Table2[Steel Member],0),_xlfn.XMATCH(AP$2,Table2[#Headers],0)))</f>
        <v>#N/A</v>
      </c>
      <c r="AQ49" s="4"/>
      <c r="AR49" s="4"/>
      <c r="AS49" s="4"/>
      <c r="AT49" s="4"/>
    </row>
    <row r="50" spans="1:46" x14ac:dyDescent="0.25">
      <c r="A50" s="52"/>
      <c r="B50" s="52"/>
      <c r="C50" s="52"/>
      <c r="D50" s="52"/>
      <c r="E50" s="52"/>
      <c r="F50" s="64" cm="1">
        <f t="array" ref="F50">IF(COUNT(FIND(PurlinsxGirthsxBracings,$C50))&gt;0,0,ROUNDUP(IF(D50=0,0,VLOOKUP(D50,'DATA SHEET'!$B:$D,2,FALSE)),2))</f>
        <v>0</v>
      </c>
      <c r="G50" s="64" cm="1">
        <f t="array" ref="G50">IF(COUNT(FIND(PurlinsxGirthsxBracings,$C50))&gt;0,0,ROUNDUP(IF(D50=0,0,VLOOKUP(D50,'DATA SHEET'!$B:$D,3,FALSE)),2))</f>
        <v>0</v>
      </c>
      <c r="H50" s="53"/>
      <c r="I50" s="66" cm="1">
        <f t="array" ref="I50">IF(AND(ISBLANK(B50),ISBLANK(C50),ISBLANK(E50)),0,IF(COUNT(FIND(PurlinsxGirthsxBracings,$C50))&gt;0,IF(B50=0,CONCATENATE(E50," ",C50),CONCATENATE(B50," - ",E50," ",C50)),IF(B50=0,IF(ISBLANK(C50),E50,CONCATENATE(D50,", ",F50,"kg/m, ",G50,"mm surface perimeter")),IF(AND(ISBLANK(C50),ISTEXT(E50)),CONCATENATE(B50," - ",E50),IF(AND(ISBLANK(C50),ISBLANK(E50)),B50,CONCATENATE(B50," - ",D50,", ",F50,"kg/m, ",G50,"mm surface perimeter"))))&amp;IF(ISBLANK(H50),"",H50)))</f>
        <v>0</v>
      </c>
      <c r="J50" s="53"/>
      <c r="L50" s="4" t="str" cm="1">
        <f t="array" ref="L50">IF(COUNT(FIND({0,1,2,3,4,5,6,7,8,9},B50))&gt;0,COUNT(FIND({0,1,2,3,4,5,6,7,8,9},B50))&gt;0,"")</f>
        <v/>
      </c>
      <c r="M50" s="4" t="str" cm="1">
        <f t="array" aca="1" ref="M50" ca="1">IFERROR(_xlfn.IFS(R50="Count",RANDBETWEEN(1,COUNTIF($R$11:$R$653,"Count")),R50="Length",RANDBETWEEN(1,COUNTIF($R$11:$R$653,"Length"))),"")</f>
        <v/>
      </c>
      <c r="N50" s="4" t="str">
        <f ca="1">IFERROR(_xlfn.RANK.EQ(M50,$M$11:$M$653)+COUNTIF($M$11:M50,M50)-1,"")</f>
        <v/>
      </c>
      <c r="O50" s="86" t="str">
        <f>IF(A50='DATA SHEET'!$L$36,C50,IFERROR(IF(AND(ISTEXT(I50),ISBLANK(C50)),"No details",VLOOKUP(C50,DimFolder,2,FALSE)),""))</f>
        <v/>
      </c>
      <c r="P50" s="4" t="str">
        <f t="shared" si="14"/>
        <v/>
      </c>
      <c r="Q50" s="58" t="str">
        <f t="shared" si="15"/>
        <v/>
      </c>
      <c r="R50" s="4" t="e" cm="1">
        <f t="array" ref="R50">IF(INDEX(Table2[],_xlfn.XMATCH($A50,Table2[Steel Member],0),_xlfn.XMATCH(R$2,Table2[#Headers],0))=0,"",INDEX(Table2[],_xlfn.XMATCH($A50,Table2[Steel Member],0),_xlfn.XMATCH(R$2,Table2[#Headers],0)))</f>
        <v>#N/A</v>
      </c>
      <c r="S50" s="4" t="e" cm="1">
        <f t="array" ref="S50">IF(INDEX(Table2[],_xlfn.XMATCH($A50,Table2[Steel Member],0),_xlfn.XMATCH(S$2,Table2[#Headers],0))=0,"",INDEX(Table2[],_xlfn.XMATCH($A50,Table2[Steel Member],0),_xlfn.XMATCH(S$2,Table2[#Headers],0)))</f>
        <v>#N/A</v>
      </c>
      <c r="T50" s="4" t="str">
        <f t="shared" si="16"/>
        <v/>
      </c>
      <c r="U50" s="4" t="e">
        <f ca="1">VLOOKUP(N50,'COLOR CODE'!$B:$D,2,FALSE)</f>
        <v>#N/A</v>
      </c>
      <c r="V50" s="4" t="str">
        <f t="shared" si="17"/>
        <v/>
      </c>
      <c r="W50" s="4" t="e" cm="1">
        <f t="array" ref="W50">IF(INDEX(Table2[],_xlfn.XMATCH($A50,Table2[Steel Member],0),_xlfn.XMATCH(W$2,Table2[#Headers],0))=0,"",INDEX(Table2[],_xlfn.XMATCH($A50,Table2[Steel Member],0),_xlfn.XMATCH(W$2,Table2[#Headers],0)))</f>
        <v>#N/A</v>
      </c>
      <c r="X50" s="4" t="e">
        <f t="shared" si="27"/>
        <v>#N/A</v>
      </c>
      <c r="Y50" s="4" t="e" cm="1">
        <f t="array" ref="Y50">IF(INDEX(Table2[],_xlfn.XMATCH($A50,Table2[Steel Member],0),_xlfn.XMATCH(Y$2,Table2[#Headers],0))=0,"",INDEX(Table2[],_xlfn.XMATCH($A50,Table2[Steel Member],0),_xlfn.XMATCH(Y$2,Table2[#Headers],0)))</f>
        <v>#N/A</v>
      </c>
      <c r="Z50" s="4" t="e" cm="1">
        <f t="array" ref="Z50">IF(INDEX(Table2[],_xlfn.XMATCH($A50,Table2[Steel Member],0),_xlfn.XMATCH(Z$2,Table2[#Headers],0))=0,"",INDEX(Table2[],_xlfn.XMATCH($A50,Table2[Steel Member],0),_xlfn.XMATCH(Z$2,Table2[#Headers],0)))</f>
        <v>#N/A</v>
      </c>
      <c r="AA50" s="4" t="e" cm="1">
        <f t="array" ref="AA50">IF(INDEX(Table2[],_xlfn.XMATCH($A50,Table2[Steel Member],0),_xlfn.XMATCH(AA$2,Table2[#Headers],0))=0,"",INDEX(Table2[],_xlfn.XMATCH($A50,Table2[Steel Member],0),_xlfn.XMATCH(AA$2,Table2[#Headers],0)))</f>
        <v>#N/A</v>
      </c>
      <c r="AB50" s="4" t="e" cm="1">
        <f t="array" ref="AB50">IF(INDEX(Table2[],_xlfn.XMATCH($A50,Table2[Steel Member],0),_xlfn.XMATCH(AB$2,Table2[#Headers],0))=0,"",INDEX(Table2[],_xlfn.XMATCH($A50,Table2[Steel Member],0),_xlfn.XMATCH(AB$2,Table2[#Headers],0)))</f>
        <v>#N/A</v>
      </c>
      <c r="AC50" s="4" t="str" cm="1">
        <f t="array" ref="AC50">IFERROR(INDEX(Table8[],_xlfn.XMATCH($O50,Table8[Dimension Name Category],0),_xlfn.XMATCH(AC$2&amp;IF($L50," w/ tag"," w/o tag"),Table8[#Headers],0)),"")</f>
        <v/>
      </c>
      <c r="AD50" s="59" t="str">
        <f t="shared" si="19"/>
        <v/>
      </c>
      <c r="AE50" s="4" t="str">
        <f t="shared" si="20"/>
        <v/>
      </c>
      <c r="AF50" s="4" t="str">
        <f t="shared" si="21"/>
        <v/>
      </c>
      <c r="AG50" s="4" t="str" cm="1">
        <f t="array" ref="AG50">IFERROR(INDEX(Table8[],_xlfn.XMATCH($O50,Table8[Dimension Name Category],0),_xlfn.XMATCH(AG$2&amp;IF($L50," w/ tag"," w/o tag"),Table8[#Headers],0)),"")</f>
        <v/>
      </c>
      <c r="AH50" s="59" t="str">
        <f t="shared" si="22"/>
        <v/>
      </c>
      <c r="AI50" s="4"/>
      <c r="AJ50" s="4" t="str">
        <f t="shared" si="23"/>
        <v/>
      </c>
      <c r="AK50" s="4" t="str">
        <f t="shared" si="24"/>
        <v/>
      </c>
      <c r="AL50" s="4" t="e" cm="1">
        <f t="array" ref="AL50">IF(INDEX(Table2[],_xlfn.XMATCH($A50,Table2[Steel Member],0),_xlfn.XMATCH(AL$2,Table2[#Headers],0))=0,"",INDEX(Table2[],_xlfn.XMATCH($A50,Table2[Steel Member],0),_xlfn.XMATCH(AL$2,Table2[#Headers],0)))</f>
        <v>#N/A</v>
      </c>
      <c r="AM50" s="4"/>
      <c r="AN50" s="4" t="str">
        <f t="shared" si="25"/>
        <v/>
      </c>
      <c r="AO50" s="4"/>
      <c r="AP50" s="4" t="e" cm="1">
        <f t="array" ref="AP50">IF(INDEX(Table2[],_xlfn.XMATCH($A50,Table2[Steel Member],0),_xlfn.XMATCH(AP$2,Table2[#Headers],0))=0,"",INDEX(Table2[],_xlfn.XMATCH($A50,Table2[Steel Member],0),_xlfn.XMATCH(AP$2,Table2[#Headers],0)))</f>
        <v>#N/A</v>
      </c>
      <c r="AQ50" s="4"/>
      <c r="AR50" s="4"/>
      <c r="AS50" s="4"/>
      <c r="AT50" s="4"/>
    </row>
    <row r="51" spans="1:46" x14ac:dyDescent="0.25">
      <c r="A51" s="52"/>
      <c r="B51" s="52"/>
      <c r="C51" s="52"/>
      <c r="D51" s="52"/>
      <c r="E51" s="52"/>
      <c r="F51" s="64" cm="1">
        <f t="array" ref="F51">IF(COUNT(FIND(PurlinsxGirthsxBracings,$C51))&gt;0,0,ROUNDUP(IF(D51=0,0,VLOOKUP(D51,'DATA SHEET'!$B:$D,2,FALSE)),2))</f>
        <v>0</v>
      </c>
      <c r="G51" s="64" cm="1">
        <f t="array" ref="G51">IF(COUNT(FIND(PurlinsxGirthsxBracings,$C51))&gt;0,0,ROUNDUP(IF(D51=0,0,VLOOKUP(D51,'DATA SHEET'!$B:$D,3,FALSE)),2))</f>
        <v>0</v>
      </c>
      <c r="H51" s="53"/>
      <c r="I51" s="66" cm="1">
        <f t="array" ref="I51">IF(AND(ISBLANK(B51),ISBLANK(C51),ISBLANK(E51)),0,IF(COUNT(FIND(PurlinsxGirthsxBracings,$C51))&gt;0,IF(B51=0,CONCATENATE(E51," ",C51),CONCATENATE(B51," - ",E51," ",C51)),IF(B51=0,IF(ISBLANK(C51),E51,CONCATENATE(D51,", ",F51,"kg/m, ",G51,"mm surface perimeter")),IF(AND(ISBLANK(C51),ISTEXT(E51)),CONCATENATE(B51," - ",E51),IF(AND(ISBLANK(C51),ISBLANK(E51)),B51,CONCATENATE(B51," - ",D51,", ",F51,"kg/m, ",G51,"mm surface perimeter"))))&amp;IF(ISBLANK(H51),"",H51)))</f>
        <v>0</v>
      </c>
      <c r="J51" s="53"/>
      <c r="L51" s="4" t="str" cm="1">
        <f t="array" ref="L51">IF(COUNT(FIND({0,1,2,3,4,5,6,7,8,9},B51))&gt;0,COUNT(FIND({0,1,2,3,4,5,6,7,8,9},B51))&gt;0,"")</f>
        <v/>
      </c>
      <c r="M51" s="4" t="str" cm="1">
        <f t="array" aca="1" ref="M51" ca="1">IFERROR(_xlfn.IFS(R51="Count",RANDBETWEEN(1,COUNTIF($R$11:$R$653,"Count")),R51="Length",RANDBETWEEN(1,COUNTIF($R$11:$R$653,"Length"))),"")</f>
        <v/>
      </c>
      <c r="N51" s="4" t="str">
        <f ca="1">IFERROR(_xlfn.RANK.EQ(M51,$M$11:$M$653)+COUNTIF($M$11:M51,M51)-1,"")</f>
        <v/>
      </c>
      <c r="O51" s="86" t="str">
        <f>IF(A51='DATA SHEET'!$L$36,C51,IFERROR(IF(AND(ISTEXT(I51),ISBLANK(C51)),"No details",VLOOKUP(C51,DimFolder,2,FALSE)),""))</f>
        <v/>
      </c>
      <c r="P51" s="4" t="str">
        <f t="shared" si="14"/>
        <v/>
      </c>
      <c r="Q51" s="58" t="str">
        <f t="shared" si="15"/>
        <v/>
      </c>
      <c r="R51" s="4" t="e" cm="1">
        <f t="array" ref="R51">IF(INDEX(Table2[],_xlfn.XMATCH($A51,Table2[Steel Member],0),_xlfn.XMATCH(R$2,Table2[#Headers],0))=0,"",INDEX(Table2[],_xlfn.XMATCH($A51,Table2[Steel Member],0),_xlfn.XMATCH(R$2,Table2[#Headers],0)))</f>
        <v>#N/A</v>
      </c>
      <c r="S51" s="4" t="e" cm="1">
        <f t="array" ref="S51">IF(INDEX(Table2[],_xlfn.XMATCH($A51,Table2[Steel Member],0),_xlfn.XMATCH(S$2,Table2[#Headers],0))=0,"",INDEX(Table2[],_xlfn.XMATCH($A51,Table2[Steel Member],0),_xlfn.XMATCH(S$2,Table2[#Headers],0)))</f>
        <v>#N/A</v>
      </c>
      <c r="T51" s="4" t="str">
        <f t="shared" si="16"/>
        <v/>
      </c>
      <c r="U51" s="4" t="e">
        <f ca="1">VLOOKUP(N51,'COLOR CODE'!$B:$D,2,FALSE)</f>
        <v>#N/A</v>
      </c>
      <c r="V51" s="4" t="str">
        <f t="shared" si="17"/>
        <v/>
      </c>
      <c r="W51" s="4" t="e" cm="1">
        <f t="array" ref="W51">IF(INDEX(Table2[],_xlfn.XMATCH($A51,Table2[Steel Member],0),_xlfn.XMATCH(W$2,Table2[#Headers],0))=0,"",INDEX(Table2[],_xlfn.XMATCH($A51,Table2[Steel Member],0),_xlfn.XMATCH(W$2,Table2[#Headers],0)))</f>
        <v>#N/A</v>
      </c>
      <c r="X51" s="4" t="e">
        <f t="shared" si="27"/>
        <v>#N/A</v>
      </c>
      <c r="Y51" s="4" t="e" cm="1">
        <f t="array" ref="Y51">IF(INDEX(Table2[],_xlfn.XMATCH($A51,Table2[Steel Member],0),_xlfn.XMATCH(Y$2,Table2[#Headers],0))=0,"",INDEX(Table2[],_xlfn.XMATCH($A51,Table2[Steel Member],0),_xlfn.XMATCH(Y$2,Table2[#Headers],0)))</f>
        <v>#N/A</v>
      </c>
      <c r="Z51" s="4" t="e" cm="1">
        <f t="array" ref="Z51">IF(INDEX(Table2[],_xlfn.XMATCH($A51,Table2[Steel Member],0),_xlfn.XMATCH(Z$2,Table2[#Headers],0))=0,"",INDEX(Table2[],_xlfn.XMATCH($A51,Table2[Steel Member],0),_xlfn.XMATCH(Z$2,Table2[#Headers],0)))</f>
        <v>#N/A</v>
      </c>
      <c r="AA51" s="4" t="e" cm="1">
        <f t="array" ref="AA51">IF(INDEX(Table2[],_xlfn.XMATCH($A51,Table2[Steel Member],0),_xlfn.XMATCH(AA$2,Table2[#Headers],0))=0,"",INDEX(Table2[],_xlfn.XMATCH($A51,Table2[Steel Member],0),_xlfn.XMATCH(AA$2,Table2[#Headers],0)))</f>
        <v>#N/A</v>
      </c>
      <c r="AB51" s="4" t="e" cm="1">
        <f t="array" ref="AB51">IF(INDEX(Table2[],_xlfn.XMATCH($A51,Table2[Steel Member],0),_xlfn.XMATCH(AB$2,Table2[#Headers],0))=0,"",INDEX(Table2[],_xlfn.XMATCH($A51,Table2[Steel Member],0),_xlfn.XMATCH(AB$2,Table2[#Headers],0)))</f>
        <v>#N/A</v>
      </c>
      <c r="AC51" s="4" t="str" cm="1">
        <f t="array" ref="AC51">IFERROR(INDEX(Table8[],_xlfn.XMATCH($O51,Table8[Dimension Name Category],0),_xlfn.XMATCH(AC$2&amp;IF($L51," w/ tag"," w/o tag"),Table8[#Headers],0)),"")</f>
        <v/>
      </c>
      <c r="AD51" s="59" t="str">
        <f t="shared" si="19"/>
        <v/>
      </c>
      <c r="AE51" s="4" t="str">
        <f t="shared" si="20"/>
        <v/>
      </c>
      <c r="AF51" s="4" t="str">
        <f t="shared" si="21"/>
        <v/>
      </c>
      <c r="AG51" s="4" t="str" cm="1">
        <f t="array" ref="AG51">IFERROR(INDEX(Table8[],_xlfn.XMATCH($O51,Table8[Dimension Name Category],0),_xlfn.XMATCH(AG$2&amp;IF($L51," w/ tag"," w/o tag"),Table8[#Headers],0)),"")</f>
        <v/>
      </c>
      <c r="AH51" s="59" t="str">
        <f t="shared" si="22"/>
        <v/>
      </c>
      <c r="AI51" s="4"/>
      <c r="AJ51" s="4" t="str">
        <f t="shared" si="23"/>
        <v/>
      </c>
      <c r="AK51" s="4" t="str">
        <f t="shared" si="24"/>
        <v/>
      </c>
      <c r="AL51" s="4" t="e" cm="1">
        <f t="array" ref="AL51">IF(INDEX(Table2[],_xlfn.XMATCH($A51,Table2[Steel Member],0),_xlfn.XMATCH(AL$2,Table2[#Headers],0))=0,"",INDEX(Table2[],_xlfn.XMATCH($A51,Table2[Steel Member],0),_xlfn.XMATCH(AL$2,Table2[#Headers],0)))</f>
        <v>#N/A</v>
      </c>
      <c r="AM51" s="4"/>
      <c r="AN51" s="4" t="str">
        <f t="shared" si="25"/>
        <v/>
      </c>
      <c r="AO51" s="4"/>
      <c r="AP51" s="4" t="e" cm="1">
        <f t="array" ref="AP51">IF(INDEX(Table2[],_xlfn.XMATCH($A51,Table2[Steel Member],0),_xlfn.XMATCH(AP$2,Table2[#Headers],0))=0,"",INDEX(Table2[],_xlfn.XMATCH($A51,Table2[Steel Member],0),_xlfn.XMATCH(AP$2,Table2[#Headers],0)))</f>
        <v>#N/A</v>
      </c>
      <c r="AQ51" s="4"/>
      <c r="AR51" s="4"/>
      <c r="AS51" s="4"/>
      <c r="AT51" s="4"/>
    </row>
    <row r="52" spans="1:46" x14ac:dyDescent="0.25">
      <c r="A52" s="52"/>
      <c r="B52" s="52"/>
      <c r="C52" s="52"/>
      <c r="D52" s="52"/>
      <c r="E52" s="52"/>
      <c r="F52" s="64" cm="1">
        <f t="array" ref="F52">IF(COUNT(FIND(PurlinsxGirthsxBracings,$C52))&gt;0,0,ROUNDUP(IF(D52=0,0,VLOOKUP(D52,'DATA SHEET'!$B:$D,2,FALSE)),2))</f>
        <v>0</v>
      </c>
      <c r="G52" s="64" cm="1">
        <f t="array" ref="G52">IF(COUNT(FIND(PurlinsxGirthsxBracings,$C52))&gt;0,0,ROUNDUP(IF(D52=0,0,VLOOKUP(D52,'DATA SHEET'!$B:$D,3,FALSE)),2))</f>
        <v>0</v>
      </c>
      <c r="H52" s="53"/>
      <c r="I52" s="66" cm="1">
        <f t="array" ref="I52">IF(AND(ISBLANK(B52),ISBLANK(C52),ISBLANK(E52)),0,IF(COUNT(FIND(PurlinsxGirthsxBracings,$C52))&gt;0,IF(B52=0,CONCATENATE(E52," ",C52),CONCATENATE(B52," - ",E52," ",C52)),IF(B52=0,IF(ISBLANK(C52),E52,CONCATENATE(D52,", ",F52,"kg/m, ",G52,"mm surface perimeter")),IF(AND(ISBLANK(C52),ISTEXT(E52)),CONCATENATE(B52," - ",E52),IF(AND(ISBLANK(C52),ISBLANK(E52)),B52,CONCATENATE(B52," - ",D52,", ",F52,"kg/m, ",G52,"mm surface perimeter"))))&amp;IF(ISBLANK(H52),"",H52)))</f>
        <v>0</v>
      </c>
      <c r="J52" s="53"/>
      <c r="L52" s="4" t="str" cm="1">
        <f t="array" ref="L52">IF(COUNT(FIND({0,1,2,3,4,5,6,7,8,9},B52))&gt;0,COUNT(FIND({0,1,2,3,4,5,6,7,8,9},B52))&gt;0,"")</f>
        <v/>
      </c>
      <c r="M52" s="4" t="str" cm="1">
        <f t="array" aca="1" ref="M52" ca="1">IFERROR(_xlfn.IFS(R52="Count",RANDBETWEEN(1,COUNTIF($R$11:$R$653,"Count")),R52="Length",RANDBETWEEN(1,COUNTIF($R$11:$R$653,"Length"))),"")</f>
        <v/>
      </c>
      <c r="N52" s="4" t="str">
        <f ca="1">IFERROR(_xlfn.RANK.EQ(M52,$M$11:$M$653)+COUNTIF($M$11:M52,M52)-1,"")</f>
        <v/>
      </c>
      <c r="O52" s="86" t="str">
        <f>IF(A52='DATA SHEET'!$L$36,C52,IFERROR(IF(AND(ISTEXT(I52),ISBLANK(C52)),"No details",VLOOKUP(C52,DimFolder,2,FALSE)),""))</f>
        <v/>
      </c>
      <c r="P52" s="4" t="str">
        <f t="shared" si="14"/>
        <v/>
      </c>
      <c r="Q52" s="58" t="str">
        <f t="shared" si="15"/>
        <v/>
      </c>
      <c r="R52" s="4" t="e" cm="1">
        <f t="array" ref="R52">IF(INDEX(Table2[],_xlfn.XMATCH($A52,Table2[Steel Member],0),_xlfn.XMATCH(R$2,Table2[#Headers],0))=0,"",INDEX(Table2[],_xlfn.XMATCH($A52,Table2[Steel Member],0),_xlfn.XMATCH(R$2,Table2[#Headers],0)))</f>
        <v>#N/A</v>
      </c>
      <c r="S52" s="4" t="e" cm="1">
        <f t="array" ref="S52">IF(INDEX(Table2[],_xlfn.XMATCH($A52,Table2[Steel Member],0),_xlfn.XMATCH(S$2,Table2[#Headers],0))=0,"",INDEX(Table2[],_xlfn.XMATCH($A52,Table2[Steel Member],0),_xlfn.XMATCH(S$2,Table2[#Headers],0)))</f>
        <v>#N/A</v>
      </c>
      <c r="T52" s="4" t="str">
        <f t="shared" si="16"/>
        <v/>
      </c>
      <c r="U52" s="4" t="e">
        <f ca="1">VLOOKUP(N52,'COLOR CODE'!$B:$D,2,FALSE)</f>
        <v>#N/A</v>
      </c>
      <c r="V52" s="4" t="str">
        <f t="shared" si="17"/>
        <v/>
      </c>
      <c r="W52" s="4" t="e" cm="1">
        <f t="array" ref="W52">IF(INDEX(Table2[],_xlfn.XMATCH($A52,Table2[Steel Member],0),_xlfn.XMATCH(W$2,Table2[#Headers],0))=0,"",INDEX(Table2[],_xlfn.XMATCH($A52,Table2[Steel Member],0),_xlfn.XMATCH(W$2,Table2[#Headers],0)))</f>
        <v>#N/A</v>
      </c>
      <c r="X52" s="4" t="e">
        <f t="shared" si="27"/>
        <v>#N/A</v>
      </c>
      <c r="Y52" s="4" t="e" cm="1">
        <f t="array" ref="Y52">IF(INDEX(Table2[],_xlfn.XMATCH($A52,Table2[Steel Member],0),_xlfn.XMATCH(Y$2,Table2[#Headers],0))=0,"",INDEX(Table2[],_xlfn.XMATCH($A52,Table2[Steel Member],0),_xlfn.XMATCH(Y$2,Table2[#Headers],0)))</f>
        <v>#N/A</v>
      </c>
      <c r="Z52" s="4" t="e" cm="1">
        <f t="array" ref="Z52">IF(INDEX(Table2[],_xlfn.XMATCH($A52,Table2[Steel Member],0),_xlfn.XMATCH(Z$2,Table2[#Headers],0))=0,"",INDEX(Table2[],_xlfn.XMATCH($A52,Table2[Steel Member],0),_xlfn.XMATCH(Z$2,Table2[#Headers],0)))</f>
        <v>#N/A</v>
      </c>
      <c r="AA52" s="4" t="e" cm="1">
        <f t="array" ref="AA52">IF(INDEX(Table2[],_xlfn.XMATCH($A52,Table2[Steel Member],0),_xlfn.XMATCH(AA$2,Table2[#Headers],0))=0,"",INDEX(Table2[],_xlfn.XMATCH($A52,Table2[Steel Member],0),_xlfn.XMATCH(AA$2,Table2[#Headers],0)))</f>
        <v>#N/A</v>
      </c>
      <c r="AB52" s="4" t="e" cm="1">
        <f t="array" ref="AB52">IF(INDEX(Table2[],_xlfn.XMATCH($A52,Table2[Steel Member],0),_xlfn.XMATCH(AB$2,Table2[#Headers],0))=0,"",INDEX(Table2[],_xlfn.XMATCH($A52,Table2[Steel Member],0),_xlfn.XMATCH(AB$2,Table2[#Headers],0)))</f>
        <v>#N/A</v>
      </c>
      <c r="AC52" s="4" t="str" cm="1">
        <f t="array" ref="AC52">IFERROR(INDEX(Table8[],_xlfn.XMATCH($O52,Table8[Dimension Name Category],0),_xlfn.XMATCH(AC$2&amp;IF($L52," w/ tag"," w/o tag"),Table8[#Headers],0)),"")</f>
        <v/>
      </c>
      <c r="AD52" s="59" t="str">
        <f t="shared" si="19"/>
        <v/>
      </c>
      <c r="AE52" s="4" t="str">
        <f t="shared" si="20"/>
        <v/>
      </c>
      <c r="AF52" s="4" t="str">
        <f t="shared" si="21"/>
        <v/>
      </c>
      <c r="AG52" s="4" t="str" cm="1">
        <f t="array" ref="AG52">IFERROR(INDEX(Table8[],_xlfn.XMATCH($O52,Table8[Dimension Name Category],0),_xlfn.XMATCH(AG$2&amp;IF($L52," w/ tag"," w/o tag"),Table8[#Headers],0)),"")</f>
        <v/>
      </c>
      <c r="AH52" s="59" t="str">
        <f t="shared" si="22"/>
        <v/>
      </c>
      <c r="AI52" s="4"/>
      <c r="AJ52" s="4" t="str">
        <f t="shared" si="23"/>
        <v/>
      </c>
      <c r="AK52" s="4" t="str">
        <f t="shared" si="24"/>
        <v/>
      </c>
      <c r="AL52" s="4" t="e" cm="1">
        <f t="array" ref="AL52">IF(INDEX(Table2[],_xlfn.XMATCH($A52,Table2[Steel Member],0),_xlfn.XMATCH(AL$2,Table2[#Headers],0))=0,"",INDEX(Table2[],_xlfn.XMATCH($A52,Table2[Steel Member],0),_xlfn.XMATCH(AL$2,Table2[#Headers],0)))</f>
        <v>#N/A</v>
      </c>
      <c r="AM52" s="4"/>
      <c r="AN52" s="4" t="str">
        <f t="shared" si="25"/>
        <v/>
      </c>
      <c r="AO52" s="4"/>
      <c r="AP52" s="4" t="e" cm="1">
        <f t="array" ref="AP52">IF(INDEX(Table2[],_xlfn.XMATCH($A52,Table2[Steel Member],0),_xlfn.XMATCH(AP$2,Table2[#Headers],0))=0,"",INDEX(Table2[],_xlfn.XMATCH($A52,Table2[Steel Member],0),_xlfn.XMATCH(AP$2,Table2[#Headers],0)))</f>
        <v>#N/A</v>
      </c>
      <c r="AQ52" s="4"/>
      <c r="AR52" s="4"/>
      <c r="AS52" s="4"/>
      <c r="AT52" s="4"/>
    </row>
    <row r="53" spans="1:46" x14ac:dyDescent="0.25">
      <c r="A53" s="52"/>
      <c r="B53" s="52"/>
      <c r="C53" s="52"/>
      <c r="D53" s="52"/>
      <c r="E53" s="52"/>
      <c r="F53" s="64" cm="1">
        <f t="array" ref="F53">IF(COUNT(FIND(PurlinsxGirthsxBracings,$C53))&gt;0,0,ROUNDUP(IF(D53=0,0,VLOOKUP(D53,'DATA SHEET'!$B:$D,2,FALSE)),2))</f>
        <v>0</v>
      </c>
      <c r="G53" s="64" cm="1">
        <f t="array" ref="G53">IF(COUNT(FIND(PurlinsxGirthsxBracings,$C53))&gt;0,0,ROUNDUP(IF(D53=0,0,VLOOKUP(D53,'DATA SHEET'!$B:$D,3,FALSE)),2))</f>
        <v>0</v>
      </c>
      <c r="H53" s="53"/>
      <c r="I53" s="66" cm="1">
        <f t="array" ref="I53">IF(AND(ISBLANK(B53),ISBLANK(C53),ISBLANK(E53)),0,IF(COUNT(FIND(PurlinsxGirthsxBracings,$C53))&gt;0,IF(B53=0,CONCATENATE(E53," ",C53),CONCATENATE(B53," - ",E53," ",C53)),IF(B53=0,IF(ISBLANK(C53),E53,CONCATENATE(D53,", ",F53,"kg/m, ",G53,"mm surface perimeter")),IF(AND(ISBLANK(C53),ISTEXT(E53)),CONCATENATE(B53," - ",E53),IF(AND(ISBLANK(C53),ISBLANK(E53)),B53,CONCATENATE(B53," - ",D53,", ",F53,"kg/m, ",G53,"mm surface perimeter"))))&amp;IF(ISBLANK(H53),"",H53)))</f>
        <v>0</v>
      </c>
      <c r="J53" s="53"/>
      <c r="L53" s="4" t="str" cm="1">
        <f t="array" ref="L53">IF(COUNT(FIND({0,1,2,3,4,5,6,7,8,9},B53))&gt;0,COUNT(FIND({0,1,2,3,4,5,6,7,8,9},B53))&gt;0,"")</f>
        <v/>
      </c>
      <c r="M53" s="4" t="str" cm="1">
        <f t="array" aca="1" ref="M53" ca="1">IFERROR(_xlfn.IFS(R53="Count",RANDBETWEEN(1,COUNTIF($R$11:$R$653,"Count")),R53="Length",RANDBETWEEN(1,COUNTIF($R$11:$R$653,"Length"))),"")</f>
        <v/>
      </c>
      <c r="N53" s="4" t="str">
        <f ca="1">IFERROR(_xlfn.RANK.EQ(M53,$M$11:$M$653)+COUNTIF($M$11:M53,M53)-1,"")</f>
        <v/>
      </c>
      <c r="O53" s="86" t="str">
        <f>IF(A53='DATA SHEET'!$L$36,C53,IFERROR(IF(AND(ISTEXT(I53),ISBLANK(C53)),"No details",VLOOKUP(C53,DimFolder,2,FALSE)),""))</f>
        <v/>
      </c>
      <c r="P53" s="4" t="str">
        <f t="shared" si="14"/>
        <v/>
      </c>
      <c r="Q53" s="58" t="str">
        <f t="shared" si="15"/>
        <v/>
      </c>
      <c r="R53" s="4" t="e" cm="1">
        <f t="array" ref="R53">IF(INDEX(Table2[],_xlfn.XMATCH($A53,Table2[Steel Member],0),_xlfn.XMATCH(R$2,Table2[#Headers],0))=0,"",INDEX(Table2[],_xlfn.XMATCH($A53,Table2[Steel Member],0),_xlfn.XMATCH(R$2,Table2[#Headers],0)))</f>
        <v>#N/A</v>
      </c>
      <c r="S53" s="4" t="e" cm="1">
        <f t="array" ref="S53">IF(INDEX(Table2[],_xlfn.XMATCH($A53,Table2[Steel Member],0),_xlfn.XMATCH(S$2,Table2[#Headers],0))=0,"",INDEX(Table2[],_xlfn.XMATCH($A53,Table2[Steel Member],0),_xlfn.XMATCH(S$2,Table2[#Headers],0)))</f>
        <v>#N/A</v>
      </c>
      <c r="T53" s="4" t="str">
        <f t="shared" si="16"/>
        <v/>
      </c>
      <c r="U53" s="4" t="e">
        <f ca="1">VLOOKUP(N53,'COLOR CODE'!$B:$D,2,FALSE)</f>
        <v>#N/A</v>
      </c>
      <c r="V53" s="4" t="str">
        <f t="shared" si="17"/>
        <v/>
      </c>
      <c r="W53" s="4" t="e" cm="1">
        <f t="array" ref="W53">IF(INDEX(Table2[],_xlfn.XMATCH($A53,Table2[Steel Member],0),_xlfn.XMATCH(W$2,Table2[#Headers],0))=0,"",INDEX(Table2[],_xlfn.XMATCH($A53,Table2[Steel Member],0),_xlfn.XMATCH(W$2,Table2[#Headers],0)))</f>
        <v>#N/A</v>
      </c>
      <c r="X53" s="4" t="e">
        <f t="shared" si="27"/>
        <v>#N/A</v>
      </c>
      <c r="Y53" s="4" t="e" cm="1">
        <f t="array" ref="Y53">IF(INDEX(Table2[],_xlfn.XMATCH($A53,Table2[Steel Member],0),_xlfn.XMATCH(Y$2,Table2[#Headers],0))=0,"",INDEX(Table2[],_xlfn.XMATCH($A53,Table2[Steel Member],0),_xlfn.XMATCH(Y$2,Table2[#Headers],0)))</f>
        <v>#N/A</v>
      </c>
      <c r="Z53" s="4" t="e" cm="1">
        <f t="array" ref="Z53">IF(INDEX(Table2[],_xlfn.XMATCH($A53,Table2[Steel Member],0),_xlfn.XMATCH(Z$2,Table2[#Headers],0))=0,"",INDEX(Table2[],_xlfn.XMATCH($A53,Table2[Steel Member],0),_xlfn.XMATCH(Z$2,Table2[#Headers],0)))</f>
        <v>#N/A</v>
      </c>
      <c r="AA53" s="4" t="e" cm="1">
        <f t="array" ref="AA53">IF(INDEX(Table2[],_xlfn.XMATCH($A53,Table2[Steel Member],0),_xlfn.XMATCH(AA$2,Table2[#Headers],0))=0,"",INDEX(Table2[],_xlfn.XMATCH($A53,Table2[Steel Member],0),_xlfn.XMATCH(AA$2,Table2[#Headers],0)))</f>
        <v>#N/A</v>
      </c>
      <c r="AB53" s="4" t="e" cm="1">
        <f t="array" ref="AB53">IF(INDEX(Table2[],_xlfn.XMATCH($A53,Table2[Steel Member],0),_xlfn.XMATCH(AB$2,Table2[#Headers],0))=0,"",INDEX(Table2[],_xlfn.XMATCH($A53,Table2[Steel Member],0),_xlfn.XMATCH(AB$2,Table2[#Headers],0)))</f>
        <v>#N/A</v>
      </c>
      <c r="AC53" s="4" t="str" cm="1">
        <f t="array" ref="AC53">IFERROR(INDEX(Table8[],_xlfn.XMATCH($O53,Table8[Dimension Name Category],0),_xlfn.XMATCH(AC$2&amp;IF($L53," w/ tag"," w/o tag"),Table8[#Headers],0)),"")</f>
        <v/>
      </c>
      <c r="AD53" s="59" t="str">
        <f t="shared" si="19"/>
        <v/>
      </c>
      <c r="AE53" s="4" t="str">
        <f t="shared" si="20"/>
        <v/>
      </c>
      <c r="AF53" s="4" t="str">
        <f t="shared" si="21"/>
        <v/>
      </c>
      <c r="AG53" s="4" t="str" cm="1">
        <f t="array" ref="AG53">IFERROR(INDEX(Table8[],_xlfn.XMATCH($O53,Table8[Dimension Name Category],0),_xlfn.XMATCH(AG$2&amp;IF($L53," w/ tag"," w/o tag"),Table8[#Headers],0)),"")</f>
        <v/>
      </c>
      <c r="AH53" s="59" t="str">
        <f t="shared" si="22"/>
        <v/>
      </c>
      <c r="AI53" s="4"/>
      <c r="AJ53" s="4" t="str">
        <f t="shared" si="23"/>
        <v/>
      </c>
      <c r="AK53" s="4" t="str">
        <f t="shared" si="24"/>
        <v/>
      </c>
      <c r="AL53" s="4" t="e" cm="1">
        <f t="array" ref="AL53">IF(INDEX(Table2[],_xlfn.XMATCH($A53,Table2[Steel Member],0),_xlfn.XMATCH(AL$2,Table2[#Headers],0))=0,"",INDEX(Table2[],_xlfn.XMATCH($A53,Table2[Steel Member],0),_xlfn.XMATCH(AL$2,Table2[#Headers],0)))</f>
        <v>#N/A</v>
      </c>
      <c r="AM53" s="4"/>
      <c r="AN53" s="4" t="str">
        <f t="shared" si="25"/>
        <v/>
      </c>
      <c r="AO53" s="4"/>
      <c r="AP53" s="4" t="e" cm="1">
        <f t="array" ref="AP53">IF(INDEX(Table2[],_xlfn.XMATCH($A53,Table2[Steel Member],0),_xlfn.XMATCH(AP$2,Table2[#Headers],0))=0,"",INDEX(Table2[],_xlfn.XMATCH($A53,Table2[Steel Member],0),_xlfn.XMATCH(AP$2,Table2[#Headers],0)))</f>
        <v>#N/A</v>
      </c>
      <c r="AQ53" s="4"/>
      <c r="AR53" s="4"/>
      <c r="AS53" s="4"/>
      <c r="AT53" s="4"/>
    </row>
    <row r="54" spans="1:46" x14ac:dyDescent="0.25">
      <c r="A54" s="52"/>
      <c r="B54" s="52"/>
      <c r="C54" s="52"/>
      <c r="D54" s="52"/>
      <c r="E54" s="52"/>
      <c r="F54" s="64" cm="1">
        <f t="array" ref="F54">IF(COUNT(FIND(PurlinsxGirthsxBracings,$C54))&gt;0,0,ROUNDUP(IF(D54=0,0,VLOOKUP(D54,'DATA SHEET'!$B:$D,2,FALSE)),2))</f>
        <v>0</v>
      </c>
      <c r="G54" s="64" cm="1">
        <f t="array" ref="G54">IF(COUNT(FIND(PurlinsxGirthsxBracings,$C54))&gt;0,0,ROUNDUP(IF(D54=0,0,VLOOKUP(D54,'DATA SHEET'!$B:$D,3,FALSE)),2))</f>
        <v>0</v>
      </c>
      <c r="H54" s="53"/>
      <c r="I54" s="66" cm="1">
        <f t="array" ref="I54">IF(AND(ISBLANK(B54),ISBLANK(C54),ISBLANK(E54)),0,IF(COUNT(FIND(PurlinsxGirthsxBracings,$C54))&gt;0,IF(B54=0,CONCATENATE(E54," ",C54),CONCATENATE(B54," - ",E54," ",C54)),IF(B54=0,IF(ISBLANK(C54),E54,CONCATENATE(D54,", ",F54,"kg/m, ",G54,"mm surface perimeter")),IF(AND(ISBLANK(C54),ISTEXT(E54)),CONCATENATE(B54," - ",E54),IF(AND(ISBLANK(C54),ISBLANK(E54)),B54,CONCATENATE(B54," - ",D54,", ",F54,"kg/m, ",G54,"mm surface perimeter"))))&amp;IF(ISBLANK(H54),"",H54)))</f>
        <v>0</v>
      </c>
      <c r="J54" s="53"/>
      <c r="L54" s="4" t="str" cm="1">
        <f t="array" ref="L54">IF(COUNT(FIND({0,1,2,3,4,5,6,7,8,9},B54))&gt;0,COUNT(FIND({0,1,2,3,4,5,6,7,8,9},B54))&gt;0,"")</f>
        <v/>
      </c>
      <c r="M54" s="4" t="str" cm="1">
        <f t="array" aca="1" ref="M54" ca="1">IFERROR(_xlfn.IFS(R54="Count",RANDBETWEEN(1,COUNTIF($R$11:$R$653,"Count")),R54="Length",RANDBETWEEN(1,COUNTIF($R$11:$R$653,"Length"))),"")</f>
        <v/>
      </c>
      <c r="N54" s="4" t="str">
        <f ca="1">IFERROR(_xlfn.RANK.EQ(M54,$M$11:$M$653)+COUNTIF($M$11:M54,M54)-1,"")</f>
        <v/>
      </c>
      <c r="O54" s="86" t="str">
        <f>IF(A54='DATA SHEET'!$L$36,C54,IFERROR(IF(AND(ISTEXT(I54),ISBLANK(C54)),"No details",VLOOKUP(C54,DimFolder,2,FALSE)),""))</f>
        <v/>
      </c>
      <c r="P54" s="4" t="str">
        <f t="shared" si="14"/>
        <v/>
      </c>
      <c r="Q54" s="58" t="str">
        <f t="shared" si="15"/>
        <v/>
      </c>
      <c r="R54" s="4" t="e" cm="1">
        <f t="array" ref="R54">IF(INDEX(Table2[],_xlfn.XMATCH($A54,Table2[Steel Member],0),_xlfn.XMATCH(R$2,Table2[#Headers],0))=0,"",INDEX(Table2[],_xlfn.XMATCH($A54,Table2[Steel Member],0),_xlfn.XMATCH(R$2,Table2[#Headers],0)))</f>
        <v>#N/A</v>
      </c>
      <c r="S54" s="4" t="e" cm="1">
        <f t="array" ref="S54">IF(INDEX(Table2[],_xlfn.XMATCH($A54,Table2[Steel Member],0),_xlfn.XMATCH(S$2,Table2[#Headers],0))=0,"",INDEX(Table2[],_xlfn.XMATCH($A54,Table2[Steel Member],0),_xlfn.XMATCH(S$2,Table2[#Headers],0)))</f>
        <v>#N/A</v>
      </c>
      <c r="T54" s="4" t="str">
        <f t="shared" si="16"/>
        <v/>
      </c>
      <c r="U54" s="4" t="e">
        <f ca="1">VLOOKUP(N54,'COLOR CODE'!$B:$D,2,FALSE)</f>
        <v>#N/A</v>
      </c>
      <c r="V54" s="4" t="str">
        <f t="shared" si="17"/>
        <v/>
      </c>
      <c r="W54" s="4" t="e" cm="1">
        <f t="array" ref="W54">IF(INDEX(Table2[],_xlfn.XMATCH($A54,Table2[Steel Member],0),_xlfn.XMATCH(W$2,Table2[#Headers],0))=0,"",INDEX(Table2[],_xlfn.XMATCH($A54,Table2[Steel Member],0),_xlfn.XMATCH(W$2,Table2[#Headers],0)))</f>
        <v>#N/A</v>
      </c>
      <c r="X54" s="4" t="e">
        <f t="shared" si="27"/>
        <v>#N/A</v>
      </c>
      <c r="Y54" s="4" t="e" cm="1">
        <f t="array" ref="Y54">IF(INDEX(Table2[],_xlfn.XMATCH($A54,Table2[Steel Member],0),_xlfn.XMATCH(Y$2,Table2[#Headers],0))=0,"",INDEX(Table2[],_xlfn.XMATCH($A54,Table2[Steel Member],0),_xlfn.XMATCH(Y$2,Table2[#Headers],0)))</f>
        <v>#N/A</v>
      </c>
      <c r="Z54" s="4" t="e" cm="1">
        <f t="array" ref="Z54">IF(INDEX(Table2[],_xlfn.XMATCH($A54,Table2[Steel Member],0),_xlfn.XMATCH(Z$2,Table2[#Headers],0))=0,"",INDEX(Table2[],_xlfn.XMATCH($A54,Table2[Steel Member],0),_xlfn.XMATCH(Z$2,Table2[#Headers],0)))</f>
        <v>#N/A</v>
      </c>
      <c r="AA54" s="4" t="e" cm="1">
        <f t="array" ref="AA54">IF(INDEX(Table2[],_xlfn.XMATCH($A54,Table2[Steel Member],0),_xlfn.XMATCH(AA$2,Table2[#Headers],0))=0,"",INDEX(Table2[],_xlfn.XMATCH($A54,Table2[Steel Member],0),_xlfn.XMATCH(AA$2,Table2[#Headers],0)))</f>
        <v>#N/A</v>
      </c>
      <c r="AB54" s="4" t="e" cm="1">
        <f t="array" ref="AB54">IF(INDEX(Table2[],_xlfn.XMATCH($A54,Table2[Steel Member],0),_xlfn.XMATCH(AB$2,Table2[#Headers],0))=0,"",INDEX(Table2[],_xlfn.XMATCH($A54,Table2[Steel Member],0),_xlfn.XMATCH(AB$2,Table2[#Headers],0)))</f>
        <v>#N/A</v>
      </c>
      <c r="AC54" s="4" t="str" cm="1">
        <f t="array" ref="AC54">IFERROR(INDEX(Table8[],_xlfn.XMATCH($O54,Table8[Dimension Name Category],0),_xlfn.XMATCH(AC$2&amp;IF($L54," w/ tag"," w/o tag"),Table8[#Headers],0)),"")</f>
        <v/>
      </c>
      <c r="AD54" s="59" t="str">
        <f t="shared" si="19"/>
        <v/>
      </c>
      <c r="AE54" s="4" t="str">
        <f t="shared" si="20"/>
        <v/>
      </c>
      <c r="AF54" s="4" t="str">
        <f t="shared" si="21"/>
        <v/>
      </c>
      <c r="AG54" s="4" t="str" cm="1">
        <f t="array" ref="AG54">IFERROR(INDEX(Table8[],_xlfn.XMATCH($O54,Table8[Dimension Name Category],0),_xlfn.XMATCH(AG$2&amp;IF($L54," w/ tag"," w/o tag"),Table8[#Headers],0)),"")</f>
        <v/>
      </c>
      <c r="AH54" s="59" t="str">
        <f t="shared" si="22"/>
        <v/>
      </c>
      <c r="AI54" s="4"/>
      <c r="AJ54" s="4" t="str">
        <f t="shared" si="23"/>
        <v/>
      </c>
      <c r="AK54" s="4" t="str">
        <f t="shared" si="24"/>
        <v/>
      </c>
      <c r="AL54" s="4" t="e" cm="1">
        <f t="array" ref="AL54">IF(INDEX(Table2[],_xlfn.XMATCH($A54,Table2[Steel Member],0),_xlfn.XMATCH(AL$2,Table2[#Headers],0))=0,"",INDEX(Table2[],_xlfn.XMATCH($A54,Table2[Steel Member],0),_xlfn.XMATCH(AL$2,Table2[#Headers],0)))</f>
        <v>#N/A</v>
      </c>
      <c r="AM54" s="4"/>
      <c r="AN54" s="4" t="str">
        <f t="shared" si="25"/>
        <v/>
      </c>
      <c r="AO54" s="4"/>
      <c r="AP54" s="4" t="e" cm="1">
        <f t="array" ref="AP54">IF(INDEX(Table2[],_xlfn.XMATCH($A54,Table2[Steel Member],0),_xlfn.XMATCH(AP$2,Table2[#Headers],0))=0,"",INDEX(Table2[],_xlfn.XMATCH($A54,Table2[Steel Member],0),_xlfn.XMATCH(AP$2,Table2[#Headers],0)))</f>
        <v>#N/A</v>
      </c>
      <c r="AQ54" s="4"/>
      <c r="AR54" s="4"/>
      <c r="AS54" s="4"/>
      <c r="AT54" s="4"/>
    </row>
    <row r="55" spans="1:46" x14ac:dyDescent="0.25">
      <c r="A55" s="52"/>
      <c r="B55" s="52"/>
      <c r="C55" s="52"/>
      <c r="D55" s="52"/>
      <c r="E55" s="52"/>
      <c r="F55" s="64" cm="1">
        <f t="array" ref="F55">IF(COUNT(FIND(PurlinsxGirthsxBracings,$C55))&gt;0,0,ROUNDUP(IF(D55=0,0,VLOOKUP(D55,'DATA SHEET'!$B:$D,2,FALSE)),2))</f>
        <v>0</v>
      </c>
      <c r="G55" s="64" cm="1">
        <f t="array" ref="G55">IF(COUNT(FIND(PurlinsxGirthsxBracings,$C55))&gt;0,0,ROUNDUP(IF(D55=0,0,VLOOKUP(D55,'DATA SHEET'!$B:$D,3,FALSE)),2))</f>
        <v>0</v>
      </c>
      <c r="H55" s="53"/>
      <c r="I55" s="66" cm="1">
        <f t="array" ref="I55">IF(AND(ISBLANK(B55),ISBLANK(C55),ISBLANK(E55)),0,IF(COUNT(FIND(PurlinsxGirthsxBracings,$C55))&gt;0,IF(B55=0,CONCATENATE(E55," ",C55),CONCATENATE(B55," - ",E55," ",C55)),IF(B55=0,IF(ISBLANK(C55),E55,CONCATENATE(D55,", ",F55,"kg/m, ",G55,"mm surface perimeter")),IF(AND(ISBLANK(C55),ISTEXT(E55)),CONCATENATE(B55," - ",E55),IF(AND(ISBLANK(C55),ISBLANK(E55)),B55,CONCATENATE(B55," - ",D55,", ",F55,"kg/m, ",G55,"mm surface perimeter"))))&amp;IF(ISBLANK(H55),"",H55)))</f>
        <v>0</v>
      </c>
      <c r="J55" s="53"/>
      <c r="L55" s="4" t="str" cm="1">
        <f t="array" ref="L55">IF(COUNT(FIND({0,1,2,3,4,5,6,7,8,9},B55))&gt;0,COUNT(FIND({0,1,2,3,4,5,6,7,8,9},B55))&gt;0,"")</f>
        <v/>
      </c>
      <c r="M55" s="4" t="str" cm="1">
        <f t="array" aca="1" ref="M55" ca="1">IFERROR(_xlfn.IFS(R55="Count",RANDBETWEEN(1,COUNTIF($R$11:$R$653,"Count")),R55="Length",RANDBETWEEN(1,COUNTIF($R$11:$R$653,"Length"))),"")</f>
        <v/>
      </c>
      <c r="N55" s="4" t="str">
        <f ca="1">IFERROR(_xlfn.RANK.EQ(M55,$M$11:$M$653)+COUNTIF($M$11:M55,M55)-1,"")</f>
        <v/>
      </c>
      <c r="O55" s="86" t="str">
        <f>IF(A55='DATA SHEET'!$L$36,C55,IFERROR(IF(AND(ISTEXT(I55),ISBLANK(C55)),"No details",VLOOKUP(C55,DimFolder,2,FALSE)),""))</f>
        <v/>
      </c>
      <c r="P55" s="4" t="str">
        <f t="shared" si="14"/>
        <v/>
      </c>
      <c r="Q55" s="58" t="str">
        <f t="shared" si="15"/>
        <v/>
      </c>
      <c r="R55" s="4" t="e" cm="1">
        <f t="array" ref="R55">IF(INDEX(Table2[],_xlfn.XMATCH($A55,Table2[Steel Member],0),_xlfn.XMATCH(R$2,Table2[#Headers],0))=0,"",INDEX(Table2[],_xlfn.XMATCH($A55,Table2[Steel Member],0),_xlfn.XMATCH(R$2,Table2[#Headers],0)))</f>
        <v>#N/A</v>
      </c>
      <c r="S55" s="4" t="e" cm="1">
        <f t="array" ref="S55">IF(INDEX(Table2[],_xlfn.XMATCH($A55,Table2[Steel Member],0),_xlfn.XMATCH(S$2,Table2[#Headers],0))=0,"",INDEX(Table2[],_xlfn.XMATCH($A55,Table2[Steel Member],0),_xlfn.XMATCH(S$2,Table2[#Headers],0)))</f>
        <v>#N/A</v>
      </c>
      <c r="T55" s="4" t="str">
        <f t="shared" si="16"/>
        <v/>
      </c>
      <c r="U55" s="4" t="e">
        <f ca="1">VLOOKUP(N55,'COLOR CODE'!$B:$D,2,FALSE)</f>
        <v>#N/A</v>
      </c>
      <c r="V55" s="4" t="str">
        <f t="shared" si="17"/>
        <v/>
      </c>
      <c r="W55" s="4" t="e" cm="1">
        <f t="array" ref="W55">IF(INDEX(Table2[],_xlfn.XMATCH($A55,Table2[Steel Member],0),_xlfn.XMATCH(W$2,Table2[#Headers],0))=0,"",INDEX(Table2[],_xlfn.XMATCH($A55,Table2[Steel Member],0),_xlfn.XMATCH(W$2,Table2[#Headers],0)))</f>
        <v>#N/A</v>
      </c>
      <c r="X55" s="4" t="e">
        <f t="shared" si="27"/>
        <v>#N/A</v>
      </c>
      <c r="Y55" s="4" t="e" cm="1">
        <f t="array" ref="Y55">IF(INDEX(Table2[],_xlfn.XMATCH($A55,Table2[Steel Member],0),_xlfn.XMATCH(Y$2,Table2[#Headers],0))=0,"",INDEX(Table2[],_xlfn.XMATCH($A55,Table2[Steel Member],0),_xlfn.XMATCH(Y$2,Table2[#Headers],0)))</f>
        <v>#N/A</v>
      </c>
      <c r="Z55" s="4" t="e" cm="1">
        <f t="array" ref="Z55">IF(INDEX(Table2[],_xlfn.XMATCH($A55,Table2[Steel Member],0),_xlfn.XMATCH(Z$2,Table2[#Headers],0))=0,"",INDEX(Table2[],_xlfn.XMATCH($A55,Table2[Steel Member],0),_xlfn.XMATCH(Z$2,Table2[#Headers],0)))</f>
        <v>#N/A</v>
      </c>
      <c r="AA55" s="4" t="e" cm="1">
        <f t="array" ref="AA55">IF(INDEX(Table2[],_xlfn.XMATCH($A55,Table2[Steel Member],0),_xlfn.XMATCH(AA$2,Table2[#Headers],0))=0,"",INDEX(Table2[],_xlfn.XMATCH($A55,Table2[Steel Member],0),_xlfn.XMATCH(AA$2,Table2[#Headers],0)))</f>
        <v>#N/A</v>
      </c>
      <c r="AB55" s="4" t="e" cm="1">
        <f t="array" ref="AB55">IF(INDEX(Table2[],_xlfn.XMATCH($A55,Table2[Steel Member],0),_xlfn.XMATCH(AB$2,Table2[#Headers],0))=0,"",INDEX(Table2[],_xlfn.XMATCH($A55,Table2[Steel Member],0),_xlfn.XMATCH(AB$2,Table2[#Headers],0)))</f>
        <v>#N/A</v>
      </c>
      <c r="AC55" s="4" t="str" cm="1">
        <f t="array" ref="AC55">IFERROR(INDEX(Table8[],_xlfn.XMATCH($O55,Table8[Dimension Name Category],0),_xlfn.XMATCH(AC$2&amp;IF($L55," w/ tag"," w/o tag"),Table8[#Headers],0)),"")</f>
        <v/>
      </c>
      <c r="AD55" s="59" t="str">
        <f t="shared" si="19"/>
        <v/>
      </c>
      <c r="AE55" s="4" t="str">
        <f t="shared" si="20"/>
        <v/>
      </c>
      <c r="AF55" s="4" t="str">
        <f t="shared" si="21"/>
        <v/>
      </c>
      <c r="AG55" s="4" t="str" cm="1">
        <f t="array" ref="AG55">IFERROR(INDEX(Table8[],_xlfn.XMATCH($O55,Table8[Dimension Name Category],0),_xlfn.XMATCH(AG$2&amp;IF($L55," w/ tag"," w/o tag"),Table8[#Headers],0)),"")</f>
        <v/>
      </c>
      <c r="AH55" s="59" t="str">
        <f t="shared" si="22"/>
        <v/>
      </c>
      <c r="AI55" s="4"/>
      <c r="AJ55" s="4" t="str">
        <f t="shared" si="23"/>
        <v/>
      </c>
      <c r="AK55" s="4" t="str">
        <f t="shared" si="24"/>
        <v/>
      </c>
      <c r="AL55" s="4" t="e" cm="1">
        <f t="array" ref="AL55">IF(INDEX(Table2[],_xlfn.XMATCH($A55,Table2[Steel Member],0),_xlfn.XMATCH(AL$2,Table2[#Headers],0))=0,"",INDEX(Table2[],_xlfn.XMATCH($A55,Table2[Steel Member],0),_xlfn.XMATCH(AL$2,Table2[#Headers],0)))</f>
        <v>#N/A</v>
      </c>
      <c r="AM55" s="4"/>
      <c r="AN55" s="4" t="str">
        <f t="shared" si="25"/>
        <v/>
      </c>
      <c r="AO55" s="4"/>
      <c r="AP55" s="4" t="e" cm="1">
        <f t="array" ref="AP55">IF(INDEX(Table2[],_xlfn.XMATCH($A55,Table2[Steel Member],0),_xlfn.XMATCH(AP$2,Table2[#Headers],0))=0,"",INDEX(Table2[],_xlfn.XMATCH($A55,Table2[Steel Member],0),_xlfn.XMATCH(AP$2,Table2[#Headers],0)))</f>
        <v>#N/A</v>
      </c>
      <c r="AQ55" s="4"/>
      <c r="AR55" s="4"/>
      <c r="AS55" s="4"/>
      <c r="AT55" s="4"/>
    </row>
    <row r="56" spans="1:46" x14ac:dyDescent="0.25">
      <c r="A56" s="52"/>
      <c r="B56" s="52"/>
      <c r="C56" s="52"/>
      <c r="D56" s="52"/>
      <c r="E56" s="52"/>
      <c r="F56" s="64" cm="1">
        <f t="array" ref="F56">IF(COUNT(FIND(PurlinsxGirthsxBracings,$C56))&gt;0,0,ROUNDUP(IF(D56=0,0,VLOOKUP(D56,'DATA SHEET'!$B:$D,2,FALSE)),2))</f>
        <v>0</v>
      </c>
      <c r="G56" s="64" cm="1">
        <f t="array" ref="G56">IF(COUNT(FIND(PurlinsxGirthsxBracings,$C56))&gt;0,0,ROUNDUP(IF(D56=0,0,VLOOKUP(D56,'DATA SHEET'!$B:$D,3,FALSE)),2))</f>
        <v>0</v>
      </c>
      <c r="H56" s="53"/>
      <c r="I56" s="66" cm="1">
        <f t="array" ref="I56">IF(AND(ISBLANK(B56),ISBLANK(C56),ISBLANK(E56)),0,IF(COUNT(FIND(PurlinsxGirthsxBracings,$C56))&gt;0,IF(B56=0,CONCATENATE(E56," ",C56),CONCATENATE(B56," - ",E56," ",C56)),IF(B56=0,IF(ISBLANK(C56),E56,CONCATENATE(D56,", ",F56,"kg/m, ",G56,"mm surface perimeter")),IF(AND(ISBLANK(C56),ISTEXT(E56)),CONCATENATE(B56," - ",E56),IF(AND(ISBLANK(C56),ISBLANK(E56)),B56,CONCATENATE(B56," - ",D56,", ",F56,"kg/m, ",G56,"mm surface perimeter"))))&amp;IF(ISBLANK(H56),"",H56)))</f>
        <v>0</v>
      </c>
      <c r="J56" s="53"/>
      <c r="L56" s="4" t="str" cm="1">
        <f t="array" ref="L56">IF(COUNT(FIND({0,1,2,3,4,5,6,7,8,9},B56))&gt;0,COUNT(FIND({0,1,2,3,4,5,6,7,8,9},B56))&gt;0,"")</f>
        <v/>
      </c>
      <c r="M56" s="4" t="str" cm="1">
        <f t="array" aca="1" ref="M56" ca="1">IFERROR(_xlfn.IFS(R56="Count",RANDBETWEEN(1,COUNTIF($R$11:$R$653,"Count")),R56="Length",RANDBETWEEN(1,COUNTIF($R$11:$R$653,"Length"))),"")</f>
        <v/>
      </c>
      <c r="N56" s="4" t="str">
        <f ca="1">IFERROR(_xlfn.RANK.EQ(M56,$M$11:$M$653)+COUNTIF($M$11:M56,M56)-1,"")</f>
        <v/>
      </c>
      <c r="O56" s="86" t="str">
        <f>IF(A56='DATA SHEET'!$L$36,C56,IFERROR(IF(AND(ISTEXT(I56),ISBLANK(C56)),"No details",VLOOKUP(C56,DimFolder,2,FALSE)),""))</f>
        <v/>
      </c>
      <c r="P56" s="4" t="str">
        <f t="shared" si="14"/>
        <v/>
      </c>
      <c r="Q56" s="58" t="str">
        <f t="shared" si="15"/>
        <v/>
      </c>
      <c r="R56" s="4" t="e" cm="1">
        <f t="array" ref="R56">IF(INDEX(Table2[],_xlfn.XMATCH($A56,Table2[Steel Member],0),_xlfn.XMATCH(R$2,Table2[#Headers],0))=0,"",INDEX(Table2[],_xlfn.XMATCH($A56,Table2[Steel Member],0),_xlfn.XMATCH(R$2,Table2[#Headers],0)))</f>
        <v>#N/A</v>
      </c>
      <c r="S56" s="4" t="e" cm="1">
        <f t="array" ref="S56">IF(INDEX(Table2[],_xlfn.XMATCH($A56,Table2[Steel Member],0),_xlfn.XMATCH(S$2,Table2[#Headers],0))=0,"",INDEX(Table2[],_xlfn.XMATCH($A56,Table2[Steel Member],0),_xlfn.XMATCH(S$2,Table2[#Headers],0)))</f>
        <v>#N/A</v>
      </c>
      <c r="T56" s="4" t="str">
        <f t="shared" si="16"/>
        <v/>
      </c>
      <c r="U56" s="4" t="e">
        <f ca="1">VLOOKUP(N56,'COLOR CODE'!$B:$D,2,FALSE)</f>
        <v>#N/A</v>
      </c>
      <c r="V56" s="4" t="str">
        <f t="shared" si="17"/>
        <v/>
      </c>
      <c r="W56" s="4" t="e" cm="1">
        <f t="array" ref="W56">IF(INDEX(Table2[],_xlfn.XMATCH($A56,Table2[Steel Member],0),_xlfn.XMATCH(W$2,Table2[#Headers],0))=0,"",INDEX(Table2[],_xlfn.XMATCH($A56,Table2[Steel Member],0),_xlfn.XMATCH(W$2,Table2[#Headers],0)))</f>
        <v>#N/A</v>
      </c>
      <c r="X56" s="4" t="e">
        <f t="shared" si="27"/>
        <v>#N/A</v>
      </c>
      <c r="Y56" s="4" t="e" cm="1">
        <f t="array" ref="Y56">IF(INDEX(Table2[],_xlfn.XMATCH($A56,Table2[Steel Member],0),_xlfn.XMATCH(Y$2,Table2[#Headers],0))=0,"",INDEX(Table2[],_xlfn.XMATCH($A56,Table2[Steel Member],0),_xlfn.XMATCH(Y$2,Table2[#Headers],0)))</f>
        <v>#N/A</v>
      </c>
      <c r="Z56" s="4" t="e" cm="1">
        <f t="array" ref="Z56">IF(INDEX(Table2[],_xlfn.XMATCH($A56,Table2[Steel Member],0),_xlfn.XMATCH(Z$2,Table2[#Headers],0))=0,"",INDEX(Table2[],_xlfn.XMATCH($A56,Table2[Steel Member],0),_xlfn.XMATCH(Z$2,Table2[#Headers],0)))</f>
        <v>#N/A</v>
      </c>
      <c r="AA56" s="4" t="e" cm="1">
        <f t="array" ref="AA56">IF(INDEX(Table2[],_xlfn.XMATCH($A56,Table2[Steel Member],0),_xlfn.XMATCH(AA$2,Table2[#Headers],0))=0,"",INDEX(Table2[],_xlfn.XMATCH($A56,Table2[Steel Member],0),_xlfn.XMATCH(AA$2,Table2[#Headers],0)))</f>
        <v>#N/A</v>
      </c>
      <c r="AB56" s="4" t="e" cm="1">
        <f t="array" ref="AB56">IF(INDEX(Table2[],_xlfn.XMATCH($A56,Table2[Steel Member],0),_xlfn.XMATCH(AB$2,Table2[#Headers],0))=0,"",INDEX(Table2[],_xlfn.XMATCH($A56,Table2[Steel Member],0),_xlfn.XMATCH(AB$2,Table2[#Headers],0)))</f>
        <v>#N/A</v>
      </c>
      <c r="AC56" s="4" t="str" cm="1">
        <f t="array" ref="AC56">IFERROR(INDEX(Table8[],_xlfn.XMATCH($O56,Table8[Dimension Name Category],0),_xlfn.XMATCH(AC$2&amp;IF($L56," w/ tag"," w/o tag"),Table8[#Headers],0)),"")</f>
        <v/>
      </c>
      <c r="AD56" s="59" t="str">
        <f t="shared" si="19"/>
        <v/>
      </c>
      <c r="AE56" s="4" t="str">
        <f t="shared" si="20"/>
        <v/>
      </c>
      <c r="AF56" s="4" t="str">
        <f t="shared" si="21"/>
        <v/>
      </c>
      <c r="AG56" s="4" t="str" cm="1">
        <f t="array" ref="AG56">IFERROR(INDEX(Table8[],_xlfn.XMATCH($O56,Table8[Dimension Name Category],0),_xlfn.XMATCH(AG$2&amp;IF($L56," w/ tag"," w/o tag"),Table8[#Headers],0)),"")</f>
        <v/>
      </c>
      <c r="AH56" s="59" t="str">
        <f t="shared" si="22"/>
        <v/>
      </c>
      <c r="AI56" s="4"/>
      <c r="AJ56" s="4" t="str">
        <f t="shared" si="23"/>
        <v/>
      </c>
      <c r="AK56" s="4" t="str">
        <f t="shared" si="24"/>
        <v/>
      </c>
      <c r="AL56" s="4" t="e" cm="1">
        <f t="array" ref="AL56">IF(INDEX(Table2[],_xlfn.XMATCH($A56,Table2[Steel Member],0),_xlfn.XMATCH(AL$2,Table2[#Headers],0))=0,"",INDEX(Table2[],_xlfn.XMATCH($A56,Table2[Steel Member],0),_xlfn.XMATCH(AL$2,Table2[#Headers],0)))</f>
        <v>#N/A</v>
      </c>
      <c r="AM56" s="4"/>
      <c r="AN56" s="4" t="str">
        <f t="shared" si="25"/>
        <v/>
      </c>
      <c r="AO56" s="4"/>
      <c r="AP56" s="4" t="e" cm="1">
        <f t="array" ref="AP56">IF(INDEX(Table2[],_xlfn.XMATCH($A56,Table2[Steel Member],0),_xlfn.XMATCH(AP$2,Table2[#Headers],0))=0,"",INDEX(Table2[],_xlfn.XMATCH($A56,Table2[Steel Member],0),_xlfn.XMATCH(AP$2,Table2[#Headers],0)))</f>
        <v>#N/A</v>
      </c>
      <c r="AQ56" s="4"/>
      <c r="AR56" s="4"/>
      <c r="AS56" s="4"/>
      <c r="AT56" s="4"/>
    </row>
    <row r="57" spans="1:46" x14ac:dyDescent="0.25">
      <c r="A57" s="52"/>
      <c r="B57" s="52"/>
      <c r="C57" s="52"/>
      <c r="D57" s="52"/>
      <c r="E57" s="52"/>
      <c r="F57" s="64" cm="1">
        <f t="array" ref="F57">IF(COUNT(FIND(PurlinsxGirthsxBracings,$C57))&gt;0,0,ROUNDUP(IF(D57=0,0,VLOOKUP(D57,'DATA SHEET'!$B:$D,2,FALSE)),2))</f>
        <v>0</v>
      </c>
      <c r="G57" s="64" cm="1">
        <f t="array" ref="G57">IF(COUNT(FIND(PurlinsxGirthsxBracings,$C57))&gt;0,0,ROUNDUP(IF(D57=0,0,VLOOKUP(D57,'DATA SHEET'!$B:$D,3,FALSE)),2))</f>
        <v>0</v>
      </c>
      <c r="H57" s="53"/>
      <c r="I57" s="66" cm="1">
        <f t="array" ref="I57">IF(AND(ISBLANK(B57),ISBLANK(C57),ISBLANK(E57)),0,IF(COUNT(FIND(PurlinsxGirthsxBracings,$C57))&gt;0,IF(B57=0,CONCATENATE(E57," ",C57),CONCATENATE(B57," - ",E57," ",C57)),IF(B57=0,IF(ISBLANK(C57),E57,CONCATENATE(D57,", ",F57,"kg/m, ",G57,"mm surface perimeter")),IF(AND(ISBLANK(C57),ISTEXT(E57)),CONCATENATE(B57," - ",E57),IF(AND(ISBLANK(C57),ISBLANK(E57)),B57,CONCATENATE(B57," - ",D57,", ",F57,"kg/m, ",G57,"mm surface perimeter"))))&amp;IF(ISBLANK(H57),"",H57)))</f>
        <v>0</v>
      </c>
      <c r="J57" s="53"/>
      <c r="L57" s="4" t="str" cm="1">
        <f t="array" ref="L57">IF(COUNT(FIND({0,1,2,3,4,5,6,7,8,9},B57))&gt;0,COUNT(FIND({0,1,2,3,4,5,6,7,8,9},B57))&gt;0,"")</f>
        <v/>
      </c>
      <c r="M57" s="4" t="str" cm="1">
        <f t="array" aca="1" ref="M57" ca="1">IFERROR(_xlfn.IFS(R57="Count",RANDBETWEEN(1,COUNTIF($R$11:$R$653,"Count")),R57="Length",RANDBETWEEN(1,COUNTIF($R$11:$R$653,"Length"))),"")</f>
        <v/>
      </c>
      <c r="N57" s="4" t="str">
        <f ca="1">IFERROR(_xlfn.RANK.EQ(M57,$M$11:$M$653)+COUNTIF($M$11:M57,M57)-1,"")</f>
        <v/>
      </c>
      <c r="O57" s="86" t="str">
        <f>IF(A57='DATA SHEET'!$L$36,C57,IFERROR(IF(AND(ISTEXT(I57),ISBLANK(C57)),"No details",VLOOKUP(C57,DimFolder,2,FALSE)),""))</f>
        <v/>
      </c>
      <c r="P57" s="4" t="str">
        <f t="shared" si="14"/>
        <v/>
      </c>
      <c r="Q57" s="58" t="str">
        <f t="shared" si="15"/>
        <v/>
      </c>
      <c r="R57" s="4" t="e" cm="1">
        <f t="array" ref="R57">IF(INDEX(Table2[],_xlfn.XMATCH($A57,Table2[Steel Member],0),_xlfn.XMATCH(R$2,Table2[#Headers],0))=0,"",INDEX(Table2[],_xlfn.XMATCH($A57,Table2[Steel Member],0),_xlfn.XMATCH(R$2,Table2[#Headers],0)))</f>
        <v>#N/A</v>
      </c>
      <c r="S57" s="4" t="e" cm="1">
        <f t="array" ref="S57">IF(INDEX(Table2[],_xlfn.XMATCH($A57,Table2[Steel Member],0),_xlfn.XMATCH(S$2,Table2[#Headers],0))=0,"",INDEX(Table2[],_xlfn.XMATCH($A57,Table2[Steel Member],0),_xlfn.XMATCH(S$2,Table2[#Headers],0)))</f>
        <v>#N/A</v>
      </c>
      <c r="T57" s="4" t="str">
        <f t="shared" si="16"/>
        <v/>
      </c>
      <c r="U57" s="4" t="e">
        <f ca="1">VLOOKUP(N57,'COLOR CODE'!$B:$D,2,FALSE)</f>
        <v>#N/A</v>
      </c>
      <c r="V57" s="4" t="str">
        <f t="shared" si="17"/>
        <v/>
      </c>
      <c r="W57" s="4" t="e" cm="1">
        <f t="array" ref="W57">IF(INDEX(Table2[],_xlfn.XMATCH($A57,Table2[Steel Member],0),_xlfn.XMATCH(W$2,Table2[#Headers],0))=0,"",INDEX(Table2[],_xlfn.XMATCH($A57,Table2[Steel Member],0),_xlfn.XMATCH(W$2,Table2[#Headers],0)))</f>
        <v>#N/A</v>
      </c>
      <c r="X57" s="4" t="e">
        <f t="shared" ref="X57:X72" si="28">W57</f>
        <v>#N/A</v>
      </c>
      <c r="Y57" s="4" t="e" cm="1">
        <f t="array" ref="Y57">IF(INDEX(Table2[],_xlfn.XMATCH($A57,Table2[Steel Member],0),_xlfn.XMATCH(Y$2,Table2[#Headers],0))=0,"",INDEX(Table2[],_xlfn.XMATCH($A57,Table2[Steel Member],0),_xlfn.XMATCH(Y$2,Table2[#Headers],0)))</f>
        <v>#N/A</v>
      </c>
      <c r="Z57" s="4" t="e" cm="1">
        <f t="array" ref="Z57">IF(INDEX(Table2[],_xlfn.XMATCH($A57,Table2[Steel Member],0),_xlfn.XMATCH(Z$2,Table2[#Headers],0))=0,"",INDEX(Table2[],_xlfn.XMATCH($A57,Table2[Steel Member],0),_xlfn.XMATCH(Z$2,Table2[#Headers],0)))</f>
        <v>#N/A</v>
      </c>
      <c r="AA57" s="4" t="e" cm="1">
        <f t="array" ref="AA57">IF(INDEX(Table2[],_xlfn.XMATCH($A57,Table2[Steel Member],0),_xlfn.XMATCH(AA$2,Table2[#Headers],0))=0,"",INDEX(Table2[],_xlfn.XMATCH($A57,Table2[Steel Member],0),_xlfn.XMATCH(AA$2,Table2[#Headers],0)))</f>
        <v>#N/A</v>
      </c>
      <c r="AB57" s="4" t="e" cm="1">
        <f t="array" ref="AB57">IF(INDEX(Table2[],_xlfn.XMATCH($A57,Table2[Steel Member],0),_xlfn.XMATCH(AB$2,Table2[#Headers],0))=0,"",INDEX(Table2[],_xlfn.XMATCH($A57,Table2[Steel Member],0),_xlfn.XMATCH(AB$2,Table2[#Headers],0)))</f>
        <v>#N/A</v>
      </c>
      <c r="AC57" s="4" t="str" cm="1">
        <f t="array" ref="AC57">IFERROR(INDEX(Table8[],_xlfn.XMATCH($O57,Table8[Dimension Name Category],0),_xlfn.XMATCH(AC$2&amp;IF($L57," w/ tag"," w/o tag"),Table8[#Headers],0)),"")</f>
        <v/>
      </c>
      <c r="AD57" s="59" t="str">
        <f t="shared" si="19"/>
        <v/>
      </c>
      <c r="AE57" s="4" t="str">
        <f t="shared" si="20"/>
        <v/>
      </c>
      <c r="AF57" s="4" t="str">
        <f t="shared" si="21"/>
        <v/>
      </c>
      <c r="AG57" s="4" t="str" cm="1">
        <f t="array" ref="AG57">IFERROR(INDEX(Table8[],_xlfn.XMATCH($O57,Table8[Dimension Name Category],0),_xlfn.XMATCH(AG$2&amp;IF($L57," w/ tag"," w/o tag"),Table8[#Headers],0)),"")</f>
        <v/>
      </c>
      <c r="AH57" s="59" t="str">
        <f t="shared" si="22"/>
        <v/>
      </c>
      <c r="AI57" s="4"/>
      <c r="AJ57" s="4" t="str">
        <f t="shared" si="23"/>
        <v/>
      </c>
      <c r="AK57" s="4" t="str">
        <f t="shared" si="24"/>
        <v/>
      </c>
      <c r="AL57" s="4" t="e" cm="1">
        <f t="array" ref="AL57">IF(INDEX(Table2[],_xlfn.XMATCH($A57,Table2[Steel Member],0),_xlfn.XMATCH(AL$2,Table2[#Headers],0))=0,"",INDEX(Table2[],_xlfn.XMATCH($A57,Table2[Steel Member],0),_xlfn.XMATCH(AL$2,Table2[#Headers],0)))</f>
        <v>#N/A</v>
      </c>
      <c r="AM57" s="4"/>
      <c r="AN57" s="4" t="str">
        <f t="shared" si="25"/>
        <v/>
      </c>
      <c r="AO57" s="4"/>
      <c r="AP57" s="4" t="e" cm="1">
        <f t="array" ref="AP57">IF(INDEX(Table2[],_xlfn.XMATCH($A57,Table2[Steel Member],0),_xlfn.XMATCH(AP$2,Table2[#Headers],0))=0,"",INDEX(Table2[],_xlfn.XMATCH($A57,Table2[Steel Member],0),_xlfn.XMATCH(AP$2,Table2[#Headers],0)))</f>
        <v>#N/A</v>
      </c>
      <c r="AQ57" s="4"/>
      <c r="AR57" s="4"/>
      <c r="AS57" s="4"/>
      <c r="AT57" s="4"/>
    </row>
    <row r="58" spans="1:46" x14ac:dyDescent="0.25">
      <c r="A58" s="52"/>
      <c r="B58" s="52"/>
      <c r="C58" s="52"/>
      <c r="D58" s="52"/>
      <c r="E58" s="52"/>
      <c r="F58" s="64" cm="1">
        <f t="array" ref="F58">IF(COUNT(FIND(PurlinsxGirthsxBracings,$C58))&gt;0,0,ROUNDUP(IF(D58=0,0,VLOOKUP(D58,'DATA SHEET'!$B:$D,2,FALSE)),2))</f>
        <v>0</v>
      </c>
      <c r="G58" s="64" cm="1">
        <f t="array" ref="G58">IF(COUNT(FIND(PurlinsxGirthsxBracings,$C58))&gt;0,0,ROUNDUP(IF(D58=0,0,VLOOKUP(D58,'DATA SHEET'!$B:$D,3,FALSE)),2))</f>
        <v>0</v>
      </c>
      <c r="H58" s="53"/>
      <c r="I58" s="66" cm="1">
        <f t="array" ref="I58">IF(AND(ISBLANK(B58),ISBLANK(C58),ISBLANK(E58)),0,IF(COUNT(FIND(PurlinsxGirthsxBracings,$C58))&gt;0,IF(B58=0,CONCATENATE(E58," ",C58),CONCATENATE(B58," - ",E58," ",C58)),IF(B58=0,IF(ISBLANK(C58),E58,CONCATENATE(D58,", ",F58,"kg/m, ",G58,"mm surface perimeter")),IF(AND(ISBLANK(C58),ISTEXT(E58)),CONCATENATE(B58," - ",E58),IF(AND(ISBLANK(C58),ISBLANK(E58)),B58,CONCATENATE(B58," - ",D58,", ",F58,"kg/m, ",G58,"mm surface perimeter"))))&amp;IF(ISBLANK(H58),"",H58)))</f>
        <v>0</v>
      </c>
      <c r="J58" s="53"/>
      <c r="L58" s="4" t="str" cm="1">
        <f t="array" ref="L58">IF(COUNT(FIND({0,1,2,3,4,5,6,7,8,9},B58))&gt;0,COUNT(FIND({0,1,2,3,4,5,6,7,8,9},B58))&gt;0,"")</f>
        <v/>
      </c>
      <c r="M58" s="4" t="str" cm="1">
        <f t="array" aca="1" ref="M58" ca="1">IFERROR(_xlfn.IFS(R58="Count",RANDBETWEEN(1,COUNTIF($R$11:$R$653,"Count")),R58="Length",RANDBETWEEN(1,COUNTIF($R$11:$R$653,"Length"))),"")</f>
        <v/>
      </c>
      <c r="N58" s="4" t="str">
        <f ca="1">IFERROR(_xlfn.RANK.EQ(M58,$M$11:$M$653)+COUNTIF($M$11:M58,M58)-1,"")</f>
        <v/>
      </c>
      <c r="O58" s="86" t="str">
        <f>IF(A58='DATA SHEET'!$L$36,C58,IFERROR(IF(AND(ISTEXT(I58),ISBLANK(C58)),"No details",VLOOKUP(C58,DimFolder,2,FALSE)),""))</f>
        <v/>
      </c>
      <c r="P58" s="4" t="str">
        <f t="shared" si="14"/>
        <v/>
      </c>
      <c r="Q58" s="58" t="str">
        <f t="shared" si="15"/>
        <v/>
      </c>
      <c r="R58" s="4" t="e" cm="1">
        <f t="array" ref="R58">IF(INDEX(Table2[],_xlfn.XMATCH($A58,Table2[Steel Member],0),_xlfn.XMATCH(R$2,Table2[#Headers],0))=0,"",INDEX(Table2[],_xlfn.XMATCH($A58,Table2[Steel Member],0),_xlfn.XMATCH(R$2,Table2[#Headers],0)))</f>
        <v>#N/A</v>
      </c>
      <c r="S58" s="4" t="e" cm="1">
        <f t="array" ref="S58">IF(INDEX(Table2[],_xlfn.XMATCH($A58,Table2[Steel Member],0),_xlfn.XMATCH(S$2,Table2[#Headers],0))=0,"",INDEX(Table2[],_xlfn.XMATCH($A58,Table2[Steel Member],0),_xlfn.XMATCH(S$2,Table2[#Headers],0)))</f>
        <v>#N/A</v>
      </c>
      <c r="T58" s="4" t="str">
        <f t="shared" ref="T58:T116" si="29">IF(AND(ISBLANK(B58),ISBLANK(C58)),"","t")</f>
        <v/>
      </c>
      <c r="U58" s="4" t="e">
        <f ca="1">VLOOKUP(N58,'COLOR CODE'!$B:$D,2,FALSE)</f>
        <v>#N/A</v>
      </c>
      <c r="V58" s="4" t="str">
        <f t="shared" ref="V58:V116" si="30">IF(AND(ISBLANK(B58),ISBLANK(C58)),"","Red")</f>
        <v/>
      </c>
      <c r="W58" s="4" t="e" cm="1">
        <f t="array" ref="W58">IF(INDEX(Table2[],_xlfn.XMATCH($A58,Table2[Steel Member],0),_xlfn.XMATCH(W$2,Table2[#Headers],0))=0,"",INDEX(Table2[],_xlfn.XMATCH($A58,Table2[Steel Member],0),_xlfn.XMATCH(W$2,Table2[#Headers],0)))</f>
        <v>#N/A</v>
      </c>
      <c r="X58" s="4" t="e">
        <f t="shared" si="28"/>
        <v>#N/A</v>
      </c>
      <c r="Y58" s="4" t="e" cm="1">
        <f t="array" ref="Y58">IF(INDEX(Table2[],_xlfn.XMATCH($A58,Table2[Steel Member],0),_xlfn.XMATCH(Y$2,Table2[#Headers],0))=0,"",INDEX(Table2[],_xlfn.XMATCH($A58,Table2[Steel Member],0),_xlfn.XMATCH(Y$2,Table2[#Headers],0)))</f>
        <v>#N/A</v>
      </c>
      <c r="Z58" s="4" t="e" cm="1">
        <f t="array" ref="Z58">IF(INDEX(Table2[],_xlfn.XMATCH($A58,Table2[Steel Member],0),_xlfn.XMATCH(Z$2,Table2[#Headers],0))=0,"",INDEX(Table2[],_xlfn.XMATCH($A58,Table2[Steel Member],0),_xlfn.XMATCH(Z$2,Table2[#Headers],0)))</f>
        <v>#N/A</v>
      </c>
      <c r="AA58" s="4" t="e" cm="1">
        <f t="array" ref="AA58">IF(INDEX(Table2[],_xlfn.XMATCH($A58,Table2[Steel Member],0),_xlfn.XMATCH(AA$2,Table2[#Headers],0))=0,"",INDEX(Table2[],_xlfn.XMATCH($A58,Table2[Steel Member],0),_xlfn.XMATCH(AA$2,Table2[#Headers],0)))</f>
        <v>#N/A</v>
      </c>
      <c r="AB58" s="4" t="e" cm="1">
        <f t="array" ref="AB58">IF(INDEX(Table2[],_xlfn.XMATCH($A58,Table2[Steel Member],0),_xlfn.XMATCH(AB$2,Table2[#Headers],0))=0,"",INDEX(Table2[],_xlfn.XMATCH($A58,Table2[Steel Member],0),_xlfn.XMATCH(AB$2,Table2[#Headers],0)))</f>
        <v>#N/A</v>
      </c>
      <c r="AC58" s="4" t="str" cm="1">
        <f t="array" ref="AC58">IFERROR(INDEX(Table8[],_xlfn.XMATCH($O58,Table8[Dimension Name Category],0),_xlfn.XMATCH(AC$2&amp;IF($L58," w/ tag"," w/o tag"),Table8[#Headers],0)),"")</f>
        <v/>
      </c>
      <c r="AD58" s="59" t="str">
        <f t="shared" ref="AD58:AD116" si="31">IF(OR($AC58="",$AC58=0),"",IF($A58=Column,"{Length}*XNUMBER({Dimension Group Name},"&amp;$AC58&amp;")/1000","{Length}*XNUMBER({Dimension Group Name},"&amp;$AC58&amp;")/1000*{Slope Factor}"))</f>
        <v/>
      </c>
      <c r="AE58" s="4" t="str">
        <f t="shared" ref="AE58:AE116" si="32">IF(AND(ISBLANK(B58),ISBLANK(C58)),"",IF($A58=Purlins_Girths_Bracings,"","Steel Surface Area"))</f>
        <v/>
      </c>
      <c r="AF58" s="4" t="str">
        <f t="shared" ref="AF58:AF116" si="33">IF(AND(ISBLANK(B58),ISBLANK(C58)),"",IF($A58=Purlins_Girths_Bracings,"","m2"))</f>
        <v/>
      </c>
      <c r="AG58" s="4" t="str" cm="1">
        <f t="array" ref="AG58">IFERROR(INDEX(Table8[],_xlfn.XMATCH($O58,Table8[Dimension Name Category],0),_xlfn.XMATCH(AG$2&amp;IF($L58," w/ tag"," w/o tag"),Table8[#Headers],0)),"")</f>
        <v/>
      </c>
      <c r="AH58" s="59" t="str">
        <f t="shared" ref="AH58:AH116" si="34">IF(OR($AG58="",$AG58=0),"",IF($A58=Column,"{Length}*XNUMBER({Dimension Group Name},"&amp;$AG58&amp;")/1000","{Length}*XNUMBER({Dimension Group Name},"&amp;$AG58&amp;")/1000*{Slope Factor}"))</f>
        <v/>
      </c>
      <c r="AI58" s="4"/>
      <c r="AJ58" s="4" t="str">
        <f t="shared" ref="AJ58:AJ116" si="35">IF(OR($A58=Column,$A58=""),"","Slope Length")</f>
        <v/>
      </c>
      <c r="AK58" s="4" t="str">
        <f t="shared" ref="AK58:AK116" si="36">IF(OR($A58=Column,$A58=""),"","m")</f>
        <v/>
      </c>
      <c r="AL58" s="4" t="e" cm="1">
        <f t="array" ref="AL58">IF(INDEX(Table2[],_xlfn.XMATCH($A58,Table2[Steel Member],0),_xlfn.XMATCH(AL$2,Table2[#Headers],0))=0,"",INDEX(Table2[],_xlfn.XMATCH($A58,Table2[Steel Member],0),_xlfn.XMATCH(AL$2,Table2[#Headers],0)))</f>
        <v>#N/A</v>
      </c>
      <c r="AM58" s="4"/>
      <c r="AN58" s="4" t="str">
        <f t="shared" ref="AN58:AN116" si="37">IF(OR($A58=Column,$A58=""),"","Slope Factor")</f>
        <v/>
      </c>
      <c r="AO58" s="4"/>
      <c r="AP58" s="4" t="e" cm="1">
        <f t="array" ref="AP58">IF(INDEX(Table2[],_xlfn.XMATCH($A58,Table2[Steel Member],0),_xlfn.XMATCH(AP$2,Table2[#Headers],0))=0,"",INDEX(Table2[],_xlfn.XMATCH($A58,Table2[Steel Member],0),_xlfn.XMATCH(AP$2,Table2[#Headers],0)))</f>
        <v>#N/A</v>
      </c>
      <c r="AQ58" s="4"/>
      <c r="AR58" s="4"/>
      <c r="AS58" s="4"/>
      <c r="AT58" s="4"/>
    </row>
    <row r="59" spans="1:46" x14ac:dyDescent="0.25">
      <c r="A59" s="52"/>
      <c r="B59" s="52"/>
      <c r="C59" s="52"/>
      <c r="D59" s="52"/>
      <c r="E59" s="52"/>
      <c r="F59" s="64" cm="1">
        <f t="array" ref="F59">IF(COUNT(FIND(PurlinsxGirthsxBracings,$C59))&gt;0,0,ROUNDUP(IF(D59=0,0,VLOOKUP(D59,'DATA SHEET'!$B:$D,2,FALSE)),2))</f>
        <v>0</v>
      </c>
      <c r="G59" s="64" cm="1">
        <f t="array" ref="G59">IF(COUNT(FIND(PurlinsxGirthsxBracings,$C59))&gt;0,0,ROUNDUP(IF(D59=0,0,VLOOKUP(D59,'DATA SHEET'!$B:$D,3,FALSE)),2))</f>
        <v>0</v>
      </c>
      <c r="H59" s="53"/>
      <c r="I59" s="66" cm="1">
        <f t="array" ref="I59">IF(AND(ISBLANK(B59),ISBLANK(C59),ISBLANK(E59)),0,IF(COUNT(FIND(PurlinsxGirthsxBracings,$C59))&gt;0,IF(B59=0,CONCATENATE(E59," ",C59),CONCATENATE(B59," - ",E59," ",C59)),IF(B59=0,IF(ISBLANK(C59),E59,CONCATENATE(D59,", ",F59,"kg/m, ",G59,"mm surface perimeter")),IF(AND(ISBLANK(C59),ISTEXT(E59)),CONCATENATE(B59," - ",E59),IF(AND(ISBLANK(C59),ISBLANK(E59)),B59,CONCATENATE(B59," - ",D59,", ",F59,"kg/m, ",G59,"mm surface perimeter"))))&amp;IF(ISBLANK(H59),"",H59)))</f>
        <v>0</v>
      </c>
      <c r="J59" s="53"/>
      <c r="L59" s="4" t="str" cm="1">
        <f t="array" ref="L59">IF(COUNT(FIND({0,1,2,3,4,5,6,7,8,9},B59))&gt;0,COUNT(FIND({0,1,2,3,4,5,6,7,8,9},B59))&gt;0,"")</f>
        <v/>
      </c>
      <c r="M59" s="4" t="str" cm="1">
        <f t="array" aca="1" ref="M59" ca="1">IFERROR(_xlfn.IFS(R59="Count",RANDBETWEEN(1,COUNTIF($R$11:$R$653,"Count")),R59="Length",RANDBETWEEN(1,COUNTIF($R$11:$R$653,"Length"))),"")</f>
        <v/>
      </c>
      <c r="N59" s="4" t="str">
        <f ca="1">IFERROR(_xlfn.RANK.EQ(M59,$M$11:$M$653)+COUNTIF($M$11:M59,M59)-1,"")</f>
        <v/>
      </c>
      <c r="O59" s="86" t="str">
        <f>IF(A59='DATA SHEET'!$L$36,C59,IFERROR(IF(AND(ISTEXT(I59),ISBLANK(C59)),"No details",VLOOKUP(C59,DimFolder,2,FALSE)),""))</f>
        <v/>
      </c>
      <c r="P59" s="4" t="str">
        <f t="shared" si="14"/>
        <v/>
      </c>
      <c r="Q59" s="58" t="str">
        <f t="shared" ref="Q59:Q117" si="38">IF(AND(ISBLANK(B59),ISBLANK(C59)),"",I59)</f>
        <v/>
      </c>
      <c r="R59" s="4" t="e" cm="1">
        <f t="array" ref="R59">IF(INDEX(Table2[],_xlfn.XMATCH($A59,Table2[Steel Member],0),_xlfn.XMATCH(R$2,Table2[#Headers],0))=0,"",INDEX(Table2[],_xlfn.XMATCH($A59,Table2[Steel Member],0),_xlfn.XMATCH(R$2,Table2[#Headers],0)))</f>
        <v>#N/A</v>
      </c>
      <c r="S59" s="4" t="e" cm="1">
        <f t="array" ref="S59">IF(INDEX(Table2[],_xlfn.XMATCH($A59,Table2[Steel Member],0),_xlfn.XMATCH(S$2,Table2[#Headers],0))=0,"",INDEX(Table2[],_xlfn.XMATCH($A59,Table2[Steel Member],0),_xlfn.XMATCH(S$2,Table2[#Headers],0)))</f>
        <v>#N/A</v>
      </c>
      <c r="T59" s="4" t="str">
        <f t="shared" si="29"/>
        <v/>
      </c>
      <c r="U59" s="4" t="e">
        <f ca="1">VLOOKUP(N59,'COLOR CODE'!$B:$D,2,FALSE)</f>
        <v>#N/A</v>
      </c>
      <c r="V59" s="4" t="str">
        <f t="shared" si="30"/>
        <v/>
      </c>
      <c r="W59" s="4" t="e" cm="1">
        <f t="array" ref="W59">IF(INDEX(Table2[],_xlfn.XMATCH($A59,Table2[Steel Member],0),_xlfn.XMATCH(W$2,Table2[#Headers],0))=0,"",INDEX(Table2[],_xlfn.XMATCH($A59,Table2[Steel Member],0),_xlfn.XMATCH(W$2,Table2[#Headers],0)))</f>
        <v>#N/A</v>
      </c>
      <c r="X59" s="4" t="e">
        <f t="shared" si="28"/>
        <v>#N/A</v>
      </c>
      <c r="Y59" s="4" t="e" cm="1">
        <f t="array" ref="Y59">IF(INDEX(Table2[],_xlfn.XMATCH($A59,Table2[Steel Member],0),_xlfn.XMATCH(Y$2,Table2[#Headers],0))=0,"",INDEX(Table2[],_xlfn.XMATCH($A59,Table2[Steel Member],0),_xlfn.XMATCH(Y$2,Table2[#Headers],0)))</f>
        <v>#N/A</v>
      </c>
      <c r="Z59" s="4" t="e" cm="1">
        <f t="array" ref="Z59">IF(INDEX(Table2[],_xlfn.XMATCH($A59,Table2[Steel Member],0),_xlfn.XMATCH(Z$2,Table2[#Headers],0))=0,"",INDEX(Table2[],_xlfn.XMATCH($A59,Table2[Steel Member],0),_xlfn.XMATCH(Z$2,Table2[#Headers],0)))</f>
        <v>#N/A</v>
      </c>
      <c r="AA59" s="4" t="e" cm="1">
        <f t="array" ref="AA59">IF(INDEX(Table2[],_xlfn.XMATCH($A59,Table2[Steel Member],0),_xlfn.XMATCH(AA$2,Table2[#Headers],0))=0,"",INDEX(Table2[],_xlfn.XMATCH($A59,Table2[Steel Member],0),_xlfn.XMATCH(AA$2,Table2[#Headers],0)))</f>
        <v>#N/A</v>
      </c>
      <c r="AB59" s="4" t="e" cm="1">
        <f t="array" ref="AB59">IF(INDEX(Table2[],_xlfn.XMATCH($A59,Table2[Steel Member],0),_xlfn.XMATCH(AB$2,Table2[#Headers],0))=0,"",INDEX(Table2[],_xlfn.XMATCH($A59,Table2[Steel Member],0),_xlfn.XMATCH(AB$2,Table2[#Headers],0)))</f>
        <v>#N/A</v>
      </c>
      <c r="AC59" s="4" t="str" cm="1">
        <f t="array" ref="AC59">IFERROR(INDEX(Table8[],_xlfn.XMATCH($O59,Table8[Dimension Name Category],0),_xlfn.XMATCH(AC$2&amp;IF($L59," w/ tag"," w/o tag"),Table8[#Headers],0)),"")</f>
        <v/>
      </c>
      <c r="AD59" s="59" t="str">
        <f t="shared" si="31"/>
        <v/>
      </c>
      <c r="AE59" s="4" t="str">
        <f t="shared" si="32"/>
        <v/>
      </c>
      <c r="AF59" s="4" t="str">
        <f t="shared" si="33"/>
        <v/>
      </c>
      <c r="AG59" s="4" t="str" cm="1">
        <f t="array" ref="AG59">IFERROR(INDEX(Table8[],_xlfn.XMATCH($O59,Table8[Dimension Name Category],0),_xlfn.XMATCH(AG$2&amp;IF($L59," w/ tag"," w/o tag"),Table8[#Headers],0)),"")</f>
        <v/>
      </c>
      <c r="AH59" s="59" t="str">
        <f t="shared" si="34"/>
        <v/>
      </c>
      <c r="AI59" s="4"/>
      <c r="AJ59" s="4" t="str">
        <f t="shared" si="35"/>
        <v/>
      </c>
      <c r="AK59" s="4" t="str">
        <f t="shared" si="36"/>
        <v/>
      </c>
      <c r="AL59" s="4" t="e" cm="1">
        <f t="array" ref="AL59">IF(INDEX(Table2[],_xlfn.XMATCH($A59,Table2[Steel Member],0),_xlfn.XMATCH(AL$2,Table2[#Headers],0))=0,"",INDEX(Table2[],_xlfn.XMATCH($A59,Table2[Steel Member],0),_xlfn.XMATCH(AL$2,Table2[#Headers],0)))</f>
        <v>#N/A</v>
      </c>
      <c r="AM59" s="4"/>
      <c r="AN59" s="4" t="str">
        <f t="shared" si="37"/>
        <v/>
      </c>
      <c r="AO59" s="4"/>
      <c r="AP59" s="4" t="e" cm="1">
        <f t="array" ref="AP59">IF(INDEX(Table2[],_xlfn.XMATCH($A59,Table2[Steel Member],0),_xlfn.XMATCH(AP$2,Table2[#Headers],0))=0,"",INDEX(Table2[],_xlfn.XMATCH($A59,Table2[Steel Member],0),_xlfn.XMATCH(AP$2,Table2[#Headers],0)))</f>
        <v>#N/A</v>
      </c>
      <c r="AQ59" s="4"/>
      <c r="AR59" s="4"/>
      <c r="AS59" s="4"/>
      <c r="AT59" s="4"/>
    </row>
    <row r="60" spans="1:46" x14ac:dyDescent="0.25">
      <c r="A60" s="52"/>
      <c r="B60" s="52"/>
      <c r="C60" s="52"/>
      <c r="D60" s="52"/>
      <c r="E60" s="52"/>
      <c r="F60" s="64" cm="1">
        <f t="array" ref="F60">IF(COUNT(FIND(PurlinsxGirthsxBracings,$C60))&gt;0,0,ROUNDUP(IF(D60=0,0,VLOOKUP(D60,'DATA SHEET'!$B:$D,2,FALSE)),2))</f>
        <v>0</v>
      </c>
      <c r="G60" s="64" cm="1">
        <f t="array" ref="G60">IF(COUNT(FIND(PurlinsxGirthsxBracings,$C60))&gt;0,0,ROUNDUP(IF(D60=0,0,VLOOKUP(D60,'DATA SHEET'!$B:$D,3,FALSE)),2))</f>
        <v>0</v>
      </c>
      <c r="H60" s="53"/>
      <c r="I60" s="66" cm="1">
        <f t="array" ref="I60">IF(AND(ISBLANK(B60),ISBLANK(C60),ISBLANK(E60)),0,IF(COUNT(FIND(PurlinsxGirthsxBracings,$C60))&gt;0,IF(B60=0,CONCATENATE(E60," ",C60),CONCATENATE(B60," - ",E60," ",C60)),IF(B60=0,IF(ISBLANK(C60),E60,CONCATENATE(D60,", ",F60,"kg/m, ",G60,"mm surface perimeter")),IF(AND(ISBLANK(C60),ISTEXT(E60)),CONCATENATE(B60," - ",E60),IF(AND(ISBLANK(C60),ISBLANK(E60)),B60,CONCATENATE(B60," - ",D60,", ",F60,"kg/m, ",G60,"mm surface perimeter"))))&amp;IF(ISBLANK(H60),"",H60)))</f>
        <v>0</v>
      </c>
      <c r="J60" s="53"/>
      <c r="L60" s="4" t="str" cm="1">
        <f t="array" ref="L60">IF(COUNT(FIND({0,1,2,3,4,5,6,7,8,9},B60))&gt;0,COUNT(FIND({0,1,2,3,4,5,6,7,8,9},B60))&gt;0,"")</f>
        <v/>
      </c>
      <c r="M60" s="4" t="str" cm="1">
        <f t="array" aca="1" ref="M60" ca="1">IFERROR(_xlfn.IFS(R60="Count",RANDBETWEEN(1,COUNTIF($R$11:$R$653,"Count")),R60="Length",RANDBETWEEN(1,COUNTIF($R$11:$R$653,"Length"))),"")</f>
        <v/>
      </c>
      <c r="N60" s="4" t="str">
        <f ca="1">IFERROR(_xlfn.RANK.EQ(M60,$M$11:$M$653)+COUNTIF($M$11:M60,M60)-1,"")</f>
        <v/>
      </c>
      <c r="O60" s="86" t="str">
        <f>IF(A60='DATA SHEET'!$L$36,C60,IFERROR(IF(AND(ISTEXT(I60),ISBLANK(C60)),"No details",VLOOKUP(C60,DimFolder,2,FALSE)),""))</f>
        <v/>
      </c>
      <c r="P60" s="4" t="str">
        <f t="shared" si="14"/>
        <v/>
      </c>
      <c r="Q60" s="58" t="str">
        <f t="shared" si="38"/>
        <v/>
      </c>
      <c r="R60" s="4" t="e" cm="1">
        <f t="array" ref="R60">IF(INDEX(Table2[],_xlfn.XMATCH($A60,Table2[Steel Member],0),_xlfn.XMATCH(R$2,Table2[#Headers],0))=0,"",INDEX(Table2[],_xlfn.XMATCH($A60,Table2[Steel Member],0),_xlfn.XMATCH(R$2,Table2[#Headers],0)))</f>
        <v>#N/A</v>
      </c>
      <c r="S60" s="4" t="e" cm="1">
        <f t="array" ref="S60">IF(INDEX(Table2[],_xlfn.XMATCH($A60,Table2[Steel Member],0),_xlfn.XMATCH(S$2,Table2[#Headers],0))=0,"",INDEX(Table2[],_xlfn.XMATCH($A60,Table2[Steel Member],0),_xlfn.XMATCH(S$2,Table2[#Headers],0)))</f>
        <v>#N/A</v>
      </c>
      <c r="T60" s="4" t="str">
        <f t="shared" si="29"/>
        <v/>
      </c>
      <c r="U60" s="4" t="e">
        <f ca="1">VLOOKUP(N60,'COLOR CODE'!$B:$D,2,FALSE)</f>
        <v>#N/A</v>
      </c>
      <c r="V60" s="4" t="str">
        <f t="shared" si="30"/>
        <v/>
      </c>
      <c r="W60" s="4" t="e" cm="1">
        <f t="array" ref="W60">IF(INDEX(Table2[],_xlfn.XMATCH($A60,Table2[Steel Member],0),_xlfn.XMATCH(W$2,Table2[#Headers],0))=0,"",INDEX(Table2[],_xlfn.XMATCH($A60,Table2[Steel Member],0),_xlfn.XMATCH(W$2,Table2[#Headers],0)))</f>
        <v>#N/A</v>
      </c>
      <c r="X60" s="4" t="e">
        <f t="shared" si="28"/>
        <v>#N/A</v>
      </c>
      <c r="Y60" s="4" t="e" cm="1">
        <f t="array" ref="Y60">IF(INDEX(Table2[],_xlfn.XMATCH($A60,Table2[Steel Member],0),_xlfn.XMATCH(Y$2,Table2[#Headers],0))=0,"",INDEX(Table2[],_xlfn.XMATCH($A60,Table2[Steel Member],0),_xlfn.XMATCH(Y$2,Table2[#Headers],0)))</f>
        <v>#N/A</v>
      </c>
      <c r="Z60" s="4" t="e" cm="1">
        <f t="array" ref="Z60">IF(INDEX(Table2[],_xlfn.XMATCH($A60,Table2[Steel Member],0),_xlfn.XMATCH(Z$2,Table2[#Headers],0))=0,"",INDEX(Table2[],_xlfn.XMATCH($A60,Table2[Steel Member],0),_xlfn.XMATCH(Z$2,Table2[#Headers],0)))</f>
        <v>#N/A</v>
      </c>
      <c r="AA60" s="4" t="e" cm="1">
        <f t="array" ref="AA60">IF(INDEX(Table2[],_xlfn.XMATCH($A60,Table2[Steel Member],0),_xlfn.XMATCH(AA$2,Table2[#Headers],0))=0,"",INDEX(Table2[],_xlfn.XMATCH($A60,Table2[Steel Member],0),_xlfn.XMATCH(AA$2,Table2[#Headers],0)))</f>
        <v>#N/A</v>
      </c>
      <c r="AB60" s="4" t="e" cm="1">
        <f t="array" ref="AB60">IF(INDEX(Table2[],_xlfn.XMATCH($A60,Table2[Steel Member],0),_xlfn.XMATCH(AB$2,Table2[#Headers],0))=0,"",INDEX(Table2[],_xlfn.XMATCH($A60,Table2[Steel Member],0),_xlfn.XMATCH(AB$2,Table2[#Headers],0)))</f>
        <v>#N/A</v>
      </c>
      <c r="AC60" s="4" t="str" cm="1">
        <f t="array" ref="AC60">IFERROR(INDEX(Table8[],_xlfn.XMATCH($O60,Table8[Dimension Name Category],0),_xlfn.XMATCH(AC$2&amp;IF($L60," w/ tag"," w/o tag"),Table8[#Headers],0)),"")</f>
        <v/>
      </c>
      <c r="AD60" s="59" t="str">
        <f t="shared" si="31"/>
        <v/>
      </c>
      <c r="AE60" s="4" t="str">
        <f t="shared" si="32"/>
        <v/>
      </c>
      <c r="AF60" s="4" t="str">
        <f t="shared" si="33"/>
        <v/>
      </c>
      <c r="AG60" s="4" t="str" cm="1">
        <f t="array" ref="AG60">IFERROR(INDEX(Table8[],_xlfn.XMATCH($O60,Table8[Dimension Name Category],0),_xlfn.XMATCH(AG$2&amp;IF($L60," w/ tag"," w/o tag"),Table8[#Headers],0)),"")</f>
        <v/>
      </c>
      <c r="AH60" s="59" t="str">
        <f t="shared" si="34"/>
        <v/>
      </c>
      <c r="AI60" s="4"/>
      <c r="AJ60" s="4" t="str">
        <f t="shared" si="35"/>
        <v/>
      </c>
      <c r="AK60" s="4" t="str">
        <f t="shared" si="36"/>
        <v/>
      </c>
      <c r="AL60" s="4" t="e" cm="1">
        <f t="array" ref="AL60">IF(INDEX(Table2[],_xlfn.XMATCH($A60,Table2[Steel Member],0),_xlfn.XMATCH(AL$2,Table2[#Headers],0))=0,"",INDEX(Table2[],_xlfn.XMATCH($A60,Table2[Steel Member],0),_xlfn.XMATCH(AL$2,Table2[#Headers],0)))</f>
        <v>#N/A</v>
      </c>
      <c r="AM60" s="4"/>
      <c r="AN60" s="4" t="str">
        <f t="shared" si="37"/>
        <v/>
      </c>
      <c r="AO60" s="4"/>
      <c r="AP60" s="4" t="e" cm="1">
        <f t="array" ref="AP60">IF(INDEX(Table2[],_xlfn.XMATCH($A60,Table2[Steel Member],0),_xlfn.XMATCH(AP$2,Table2[#Headers],0))=0,"",INDEX(Table2[],_xlfn.XMATCH($A60,Table2[Steel Member],0),_xlfn.XMATCH(AP$2,Table2[#Headers],0)))</f>
        <v>#N/A</v>
      </c>
      <c r="AQ60" s="4"/>
      <c r="AR60" s="4"/>
      <c r="AS60" s="4"/>
      <c r="AT60" s="4"/>
    </row>
    <row r="61" spans="1:46" x14ac:dyDescent="0.25">
      <c r="A61" s="52"/>
      <c r="B61" s="52"/>
      <c r="C61" s="52"/>
      <c r="D61" s="52"/>
      <c r="E61" s="52"/>
      <c r="F61" s="64" cm="1">
        <f t="array" ref="F61">IF(COUNT(FIND(PurlinsxGirthsxBracings,$C61))&gt;0,0,ROUNDUP(IF(D61=0,0,VLOOKUP(D61,'DATA SHEET'!$B:$D,2,FALSE)),2))</f>
        <v>0</v>
      </c>
      <c r="G61" s="64" cm="1">
        <f t="array" ref="G61">IF(COUNT(FIND(PurlinsxGirthsxBracings,$C61))&gt;0,0,ROUNDUP(IF(D61=0,0,VLOOKUP(D61,'DATA SHEET'!$B:$D,3,FALSE)),2))</f>
        <v>0</v>
      </c>
      <c r="H61" s="53"/>
      <c r="I61" s="66" cm="1">
        <f t="array" ref="I61">IF(AND(ISBLANK(B61),ISBLANK(C61),ISBLANK(E61)),0,IF(COUNT(FIND(PurlinsxGirthsxBracings,$C61))&gt;0,IF(B61=0,CONCATENATE(E61," ",C61),CONCATENATE(B61," - ",E61," ",C61)),IF(B61=0,IF(ISBLANK(C61),E61,CONCATENATE(D61,", ",F61,"kg/m, ",G61,"mm surface perimeter")),IF(AND(ISBLANK(C61),ISTEXT(E61)),CONCATENATE(B61," - ",E61),IF(AND(ISBLANK(C61),ISBLANK(E61)),B61,CONCATENATE(B61," - ",D61,", ",F61,"kg/m, ",G61,"mm surface perimeter"))))&amp;IF(ISBLANK(H61),"",H61)))</f>
        <v>0</v>
      </c>
      <c r="J61" s="53"/>
      <c r="L61" s="4" t="str" cm="1">
        <f t="array" ref="L61">IF(COUNT(FIND({0,1,2,3,4,5,6,7,8,9},B61))&gt;0,COUNT(FIND({0,1,2,3,4,5,6,7,8,9},B61))&gt;0,"")</f>
        <v/>
      </c>
      <c r="M61" s="4" t="str" cm="1">
        <f t="array" aca="1" ref="M61" ca="1">IFERROR(_xlfn.IFS(R61="Count",RANDBETWEEN(1,COUNTIF($R$11:$R$653,"Count")),R61="Length",RANDBETWEEN(1,COUNTIF($R$11:$R$653,"Length"))),"")</f>
        <v/>
      </c>
      <c r="N61" s="4" t="str">
        <f ca="1">IFERROR(_xlfn.RANK.EQ(M61,$M$11:$M$653)+COUNTIF($M$11:M61,M61)-1,"")</f>
        <v/>
      </c>
      <c r="O61" s="86" t="str">
        <f>IF(A61='DATA SHEET'!$L$36,C61,IFERROR(IF(AND(ISTEXT(I61),ISBLANK(C61)),"No details",VLOOKUP(C61,DimFolder,2,FALSE)),""))</f>
        <v/>
      </c>
      <c r="P61" s="4" t="str">
        <f t="shared" si="14"/>
        <v/>
      </c>
      <c r="Q61" s="58" t="str">
        <f t="shared" si="38"/>
        <v/>
      </c>
      <c r="R61" s="4" t="e" cm="1">
        <f t="array" ref="R61">IF(INDEX(Table2[],_xlfn.XMATCH($A61,Table2[Steel Member],0),_xlfn.XMATCH(R$2,Table2[#Headers],0))=0,"",INDEX(Table2[],_xlfn.XMATCH($A61,Table2[Steel Member],0),_xlfn.XMATCH(R$2,Table2[#Headers],0)))</f>
        <v>#N/A</v>
      </c>
      <c r="S61" s="4" t="e" cm="1">
        <f t="array" ref="S61">IF(INDEX(Table2[],_xlfn.XMATCH($A61,Table2[Steel Member],0),_xlfn.XMATCH(S$2,Table2[#Headers],0))=0,"",INDEX(Table2[],_xlfn.XMATCH($A61,Table2[Steel Member],0),_xlfn.XMATCH(S$2,Table2[#Headers],0)))</f>
        <v>#N/A</v>
      </c>
      <c r="T61" s="4" t="str">
        <f t="shared" si="29"/>
        <v/>
      </c>
      <c r="U61" s="4" t="e">
        <f ca="1">VLOOKUP(N61,'COLOR CODE'!$B:$D,2,FALSE)</f>
        <v>#N/A</v>
      </c>
      <c r="V61" s="4" t="str">
        <f t="shared" si="30"/>
        <v/>
      </c>
      <c r="W61" s="4" t="e" cm="1">
        <f t="array" ref="W61">IF(INDEX(Table2[],_xlfn.XMATCH($A61,Table2[Steel Member],0),_xlfn.XMATCH(W$2,Table2[#Headers],0))=0,"",INDEX(Table2[],_xlfn.XMATCH($A61,Table2[Steel Member],0),_xlfn.XMATCH(W$2,Table2[#Headers],0)))</f>
        <v>#N/A</v>
      </c>
      <c r="X61" s="4" t="e">
        <f t="shared" si="28"/>
        <v>#N/A</v>
      </c>
      <c r="Y61" s="4" t="e" cm="1">
        <f t="array" ref="Y61">IF(INDEX(Table2[],_xlfn.XMATCH($A61,Table2[Steel Member],0),_xlfn.XMATCH(Y$2,Table2[#Headers],0))=0,"",INDEX(Table2[],_xlfn.XMATCH($A61,Table2[Steel Member],0),_xlfn.XMATCH(Y$2,Table2[#Headers],0)))</f>
        <v>#N/A</v>
      </c>
      <c r="Z61" s="4" t="e" cm="1">
        <f t="array" ref="Z61">IF(INDEX(Table2[],_xlfn.XMATCH($A61,Table2[Steel Member],0),_xlfn.XMATCH(Z$2,Table2[#Headers],0))=0,"",INDEX(Table2[],_xlfn.XMATCH($A61,Table2[Steel Member],0),_xlfn.XMATCH(Z$2,Table2[#Headers],0)))</f>
        <v>#N/A</v>
      </c>
      <c r="AA61" s="4" t="e" cm="1">
        <f t="array" ref="AA61">IF(INDEX(Table2[],_xlfn.XMATCH($A61,Table2[Steel Member],0),_xlfn.XMATCH(AA$2,Table2[#Headers],0))=0,"",INDEX(Table2[],_xlfn.XMATCH($A61,Table2[Steel Member],0),_xlfn.XMATCH(AA$2,Table2[#Headers],0)))</f>
        <v>#N/A</v>
      </c>
      <c r="AB61" s="4" t="e" cm="1">
        <f t="array" ref="AB61">IF(INDEX(Table2[],_xlfn.XMATCH($A61,Table2[Steel Member],0),_xlfn.XMATCH(AB$2,Table2[#Headers],0))=0,"",INDEX(Table2[],_xlfn.XMATCH($A61,Table2[Steel Member],0),_xlfn.XMATCH(AB$2,Table2[#Headers],0)))</f>
        <v>#N/A</v>
      </c>
      <c r="AC61" s="4" t="str" cm="1">
        <f t="array" ref="AC61">IFERROR(INDEX(Table8[],_xlfn.XMATCH($O61,Table8[Dimension Name Category],0),_xlfn.XMATCH(AC$2&amp;IF($L61," w/ tag"," w/o tag"),Table8[#Headers],0)),"")</f>
        <v/>
      </c>
      <c r="AD61" s="59" t="str">
        <f t="shared" si="31"/>
        <v/>
      </c>
      <c r="AE61" s="4" t="str">
        <f t="shared" si="32"/>
        <v/>
      </c>
      <c r="AF61" s="4" t="str">
        <f t="shared" si="33"/>
        <v/>
      </c>
      <c r="AG61" s="4" t="str" cm="1">
        <f t="array" ref="AG61">IFERROR(INDEX(Table8[],_xlfn.XMATCH($O61,Table8[Dimension Name Category],0),_xlfn.XMATCH(AG$2&amp;IF($L61," w/ tag"," w/o tag"),Table8[#Headers],0)),"")</f>
        <v/>
      </c>
      <c r="AH61" s="59" t="str">
        <f t="shared" si="34"/>
        <v/>
      </c>
      <c r="AI61" s="4"/>
      <c r="AJ61" s="4" t="str">
        <f t="shared" si="35"/>
        <v/>
      </c>
      <c r="AK61" s="4" t="str">
        <f t="shared" si="36"/>
        <v/>
      </c>
      <c r="AL61" s="4" t="e" cm="1">
        <f t="array" ref="AL61">IF(INDEX(Table2[],_xlfn.XMATCH($A61,Table2[Steel Member],0),_xlfn.XMATCH(AL$2,Table2[#Headers],0))=0,"",INDEX(Table2[],_xlfn.XMATCH($A61,Table2[Steel Member],0),_xlfn.XMATCH(AL$2,Table2[#Headers],0)))</f>
        <v>#N/A</v>
      </c>
      <c r="AM61" s="4"/>
      <c r="AN61" s="4" t="str">
        <f t="shared" si="37"/>
        <v/>
      </c>
      <c r="AO61" s="4"/>
      <c r="AP61" s="4" t="e" cm="1">
        <f t="array" ref="AP61">IF(INDEX(Table2[],_xlfn.XMATCH($A61,Table2[Steel Member],0),_xlfn.XMATCH(AP$2,Table2[#Headers],0))=0,"",INDEX(Table2[],_xlfn.XMATCH($A61,Table2[Steel Member],0),_xlfn.XMATCH(AP$2,Table2[#Headers],0)))</f>
        <v>#N/A</v>
      </c>
      <c r="AQ61" s="4"/>
      <c r="AR61" s="4"/>
      <c r="AS61" s="4"/>
      <c r="AT61" s="4"/>
    </row>
    <row r="62" spans="1:46" x14ac:dyDescent="0.25">
      <c r="A62" s="52"/>
      <c r="B62" s="52"/>
      <c r="C62" s="52"/>
      <c r="D62" s="52"/>
      <c r="E62" s="52"/>
      <c r="F62" s="64" cm="1">
        <f t="array" ref="F62">IF(COUNT(FIND(PurlinsxGirthsxBracings,$C62))&gt;0,0,ROUNDUP(IF(D62=0,0,VLOOKUP(D62,'DATA SHEET'!$B:$D,2,FALSE)),2))</f>
        <v>0</v>
      </c>
      <c r="G62" s="64" cm="1">
        <f t="array" ref="G62">IF(COUNT(FIND(PurlinsxGirthsxBracings,$C62))&gt;0,0,ROUNDUP(IF(D62=0,0,VLOOKUP(D62,'DATA SHEET'!$B:$D,3,FALSE)),2))</f>
        <v>0</v>
      </c>
      <c r="H62" s="53"/>
      <c r="I62" s="66" cm="1">
        <f t="array" ref="I62">IF(AND(ISBLANK(B62),ISBLANK(C62),ISBLANK(E62)),0,IF(COUNT(FIND(PurlinsxGirthsxBracings,$C62))&gt;0,IF(B62=0,CONCATENATE(E62," ",C62),CONCATENATE(B62," - ",E62," ",C62)),IF(B62=0,IF(ISBLANK(C62),E62,CONCATENATE(D62,", ",F62,"kg/m, ",G62,"mm surface perimeter")),IF(AND(ISBLANK(C62),ISTEXT(E62)),CONCATENATE(B62," - ",E62),IF(AND(ISBLANK(C62),ISBLANK(E62)),B62,CONCATENATE(B62," - ",D62,", ",F62,"kg/m, ",G62,"mm surface perimeter"))))&amp;IF(ISBLANK(H62),"",H62)))</f>
        <v>0</v>
      </c>
      <c r="J62" s="53"/>
      <c r="L62" s="4" t="str" cm="1">
        <f t="array" ref="L62">IF(COUNT(FIND({0,1,2,3,4,5,6,7,8,9},B62))&gt;0,COUNT(FIND({0,1,2,3,4,5,6,7,8,9},B62))&gt;0,"")</f>
        <v/>
      </c>
      <c r="M62" s="4" t="str" cm="1">
        <f t="array" aca="1" ref="M62" ca="1">IFERROR(_xlfn.IFS(R62="Count",RANDBETWEEN(1,COUNTIF($R$11:$R$653,"Count")),R62="Length",RANDBETWEEN(1,COUNTIF($R$11:$R$653,"Length"))),"")</f>
        <v/>
      </c>
      <c r="N62" s="4" t="str">
        <f ca="1">IFERROR(_xlfn.RANK.EQ(M62,$M$11:$M$653)+COUNTIF($M$11:M62,M62)-1,"")</f>
        <v/>
      </c>
      <c r="O62" s="86" t="str">
        <f>IF(A62='DATA SHEET'!$L$36,C62,IFERROR(IF(AND(ISTEXT(I62),ISBLANK(C62)),"No details",VLOOKUP(C62,DimFolder,2,FALSE)),""))</f>
        <v/>
      </c>
      <c r="P62" s="4" t="str">
        <f t="shared" si="14"/>
        <v/>
      </c>
      <c r="Q62" s="58" t="str">
        <f t="shared" si="38"/>
        <v/>
      </c>
      <c r="R62" s="4" t="e" cm="1">
        <f t="array" ref="R62">IF(INDEX(Table2[],_xlfn.XMATCH($A62,Table2[Steel Member],0),_xlfn.XMATCH(R$2,Table2[#Headers],0))=0,"",INDEX(Table2[],_xlfn.XMATCH($A62,Table2[Steel Member],0),_xlfn.XMATCH(R$2,Table2[#Headers],0)))</f>
        <v>#N/A</v>
      </c>
      <c r="S62" s="4" t="e" cm="1">
        <f t="array" ref="S62">IF(INDEX(Table2[],_xlfn.XMATCH($A62,Table2[Steel Member],0),_xlfn.XMATCH(S$2,Table2[#Headers],0))=0,"",INDEX(Table2[],_xlfn.XMATCH($A62,Table2[Steel Member],0),_xlfn.XMATCH(S$2,Table2[#Headers],0)))</f>
        <v>#N/A</v>
      </c>
      <c r="T62" s="4" t="str">
        <f t="shared" si="29"/>
        <v/>
      </c>
      <c r="U62" s="4" t="e">
        <f ca="1">VLOOKUP(N62,'COLOR CODE'!$B:$D,2,FALSE)</f>
        <v>#N/A</v>
      </c>
      <c r="V62" s="4" t="str">
        <f t="shared" si="30"/>
        <v/>
      </c>
      <c r="W62" s="4" t="e" cm="1">
        <f t="array" ref="W62">IF(INDEX(Table2[],_xlfn.XMATCH($A62,Table2[Steel Member],0),_xlfn.XMATCH(W$2,Table2[#Headers],0))=0,"",INDEX(Table2[],_xlfn.XMATCH($A62,Table2[Steel Member],0),_xlfn.XMATCH(W$2,Table2[#Headers],0)))</f>
        <v>#N/A</v>
      </c>
      <c r="X62" s="4" t="e">
        <f t="shared" si="28"/>
        <v>#N/A</v>
      </c>
      <c r="Y62" s="4" t="e" cm="1">
        <f t="array" ref="Y62">IF(INDEX(Table2[],_xlfn.XMATCH($A62,Table2[Steel Member],0),_xlfn.XMATCH(Y$2,Table2[#Headers],0))=0,"",INDEX(Table2[],_xlfn.XMATCH($A62,Table2[Steel Member],0),_xlfn.XMATCH(Y$2,Table2[#Headers],0)))</f>
        <v>#N/A</v>
      </c>
      <c r="Z62" s="4" t="e" cm="1">
        <f t="array" ref="Z62">IF(INDEX(Table2[],_xlfn.XMATCH($A62,Table2[Steel Member],0),_xlfn.XMATCH(Z$2,Table2[#Headers],0))=0,"",INDEX(Table2[],_xlfn.XMATCH($A62,Table2[Steel Member],0),_xlfn.XMATCH(Z$2,Table2[#Headers],0)))</f>
        <v>#N/A</v>
      </c>
      <c r="AA62" s="4" t="e" cm="1">
        <f t="array" ref="AA62">IF(INDEX(Table2[],_xlfn.XMATCH($A62,Table2[Steel Member],0),_xlfn.XMATCH(AA$2,Table2[#Headers],0))=0,"",INDEX(Table2[],_xlfn.XMATCH($A62,Table2[Steel Member],0),_xlfn.XMATCH(AA$2,Table2[#Headers],0)))</f>
        <v>#N/A</v>
      </c>
      <c r="AB62" s="4" t="e" cm="1">
        <f t="array" ref="AB62">IF(INDEX(Table2[],_xlfn.XMATCH($A62,Table2[Steel Member],0),_xlfn.XMATCH(AB$2,Table2[#Headers],0))=0,"",INDEX(Table2[],_xlfn.XMATCH($A62,Table2[Steel Member],0),_xlfn.XMATCH(AB$2,Table2[#Headers],0)))</f>
        <v>#N/A</v>
      </c>
      <c r="AC62" s="4" t="str" cm="1">
        <f t="array" ref="AC62">IFERROR(INDEX(Table8[],_xlfn.XMATCH($O62,Table8[Dimension Name Category],0),_xlfn.XMATCH(AC$2&amp;IF($L62," w/ tag"," w/o tag"),Table8[#Headers],0)),"")</f>
        <v/>
      </c>
      <c r="AD62" s="59" t="str">
        <f t="shared" si="31"/>
        <v/>
      </c>
      <c r="AE62" s="4" t="str">
        <f t="shared" si="32"/>
        <v/>
      </c>
      <c r="AF62" s="4" t="str">
        <f t="shared" si="33"/>
        <v/>
      </c>
      <c r="AG62" s="4" t="str" cm="1">
        <f t="array" ref="AG62">IFERROR(INDEX(Table8[],_xlfn.XMATCH($O62,Table8[Dimension Name Category],0),_xlfn.XMATCH(AG$2&amp;IF($L62," w/ tag"," w/o tag"),Table8[#Headers],0)),"")</f>
        <v/>
      </c>
      <c r="AH62" s="59" t="str">
        <f t="shared" si="34"/>
        <v/>
      </c>
      <c r="AI62" s="4"/>
      <c r="AJ62" s="4" t="str">
        <f t="shared" si="35"/>
        <v/>
      </c>
      <c r="AK62" s="4" t="str">
        <f t="shared" si="36"/>
        <v/>
      </c>
      <c r="AL62" s="4" t="e" cm="1">
        <f t="array" ref="AL62">IF(INDEX(Table2[],_xlfn.XMATCH($A62,Table2[Steel Member],0),_xlfn.XMATCH(AL$2,Table2[#Headers],0))=0,"",INDEX(Table2[],_xlfn.XMATCH($A62,Table2[Steel Member],0),_xlfn.XMATCH(AL$2,Table2[#Headers],0)))</f>
        <v>#N/A</v>
      </c>
      <c r="AM62" s="4"/>
      <c r="AN62" s="4" t="str">
        <f t="shared" si="37"/>
        <v/>
      </c>
      <c r="AO62" s="4"/>
      <c r="AP62" s="4" t="e" cm="1">
        <f t="array" ref="AP62">IF(INDEX(Table2[],_xlfn.XMATCH($A62,Table2[Steel Member],0),_xlfn.XMATCH(AP$2,Table2[#Headers],0))=0,"",INDEX(Table2[],_xlfn.XMATCH($A62,Table2[Steel Member],0),_xlfn.XMATCH(AP$2,Table2[#Headers],0)))</f>
        <v>#N/A</v>
      </c>
      <c r="AQ62" s="4"/>
      <c r="AR62" s="4"/>
      <c r="AS62" s="4"/>
      <c r="AT62" s="4"/>
    </row>
    <row r="63" spans="1:46" x14ac:dyDescent="0.25">
      <c r="A63" s="52"/>
      <c r="B63" s="52"/>
      <c r="C63" s="52"/>
      <c r="D63" s="52"/>
      <c r="E63" s="52"/>
      <c r="F63" s="64" cm="1">
        <f t="array" ref="F63">IF(COUNT(FIND(PurlinsxGirthsxBracings,$C63))&gt;0,0,ROUNDUP(IF(D63=0,0,VLOOKUP(D63,'DATA SHEET'!$B:$D,2,FALSE)),2))</f>
        <v>0</v>
      </c>
      <c r="G63" s="64" cm="1">
        <f t="array" ref="G63">IF(COUNT(FIND(PurlinsxGirthsxBracings,$C63))&gt;0,0,ROUNDUP(IF(D63=0,0,VLOOKUP(D63,'DATA SHEET'!$B:$D,3,FALSE)),2))</f>
        <v>0</v>
      </c>
      <c r="H63" s="53"/>
      <c r="I63" s="66" cm="1">
        <f t="array" ref="I63">IF(AND(ISBLANK(B63),ISBLANK(C63),ISBLANK(E63)),0,IF(COUNT(FIND(PurlinsxGirthsxBracings,$C63))&gt;0,IF(B63=0,CONCATENATE(E63," ",C63),CONCATENATE(B63," - ",E63," ",C63)),IF(B63=0,IF(ISBLANK(C63),E63,CONCATENATE(D63,", ",F63,"kg/m, ",G63,"mm surface perimeter")),IF(AND(ISBLANK(C63),ISTEXT(E63)),CONCATENATE(B63," - ",E63),IF(AND(ISBLANK(C63),ISBLANK(E63)),B63,CONCATENATE(B63," - ",D63,", ",F63,"kg/m, ",G63,"mm surface perimeter"))))&amp;IF(ISBLANK(H63),"",H63)))</f>
        <v>0</v>
      </c>
      <c r="J63" s="53"/>
      <c r="L63" s="4" t="str" cm="1">
        <f t="array" ref="L63">IF(COUNT(FIND({0,1,2,3,4,5,6,7,8,9},B63))&gt;0,COUNT(FIND({0,1,2,3,4,5,6,7,8,9},B63))&gt;0,"")</f>
        <v/>
      </c>
      <c r="M63" s="4" t="str" cm="1">
        <f t="array" aca="1" ref="M63" ca="1">IFERROR(_xlfn.IFS(R63="Count",RANDBETWEEN(1,COUNTIF($R$11:$R$653,"Count")),R63="Length",RANDBETWEEN(1,COUNTIF($R$11:$R$653,"Length"))),"")</f>
        <v/>
      </c>
      <c r="N63" s="4" t="str">
        <f ca="1">IFERROR(_xlfn.RANK.EQ(M63,$M$11:$M$653)+COUNTIF($M$11:M63,M63)-1,"")</f>
        <v/>
      </c>
      <c r="O63" s="86" t="str">
        <f>IF(A63='DATA SHEET'!$L$36,C63,IFERROR(IF(AND(ISTEXT(I63),ISBLANK(C63)),"No details",VLOOKUP(C63,DimFolder,2,FALSE)),""))</f>
        <v/>
      </c>
      <c r="P63" s="4" t="str">
        <f t="shared" si="14"/>
        <v/>
      </c>
      <c r="Q63" s="58" t="str">
        <f t="shared" si="38"/>
        <v/>
      </c>
      <c r="R63" s="4" t="e" cm="1">
        <f t="array" ref="R63">IF(INDEX(Table2[],_xlfn.XMATCH($A63,Table2[Steel Member],0),_xlfn.XMATCH(R$2,Table2[#Headers],0))=0,"",INDEX(Table2[],_xlfn.XMATCH($A63,Table2[Steel Member],0),_xlfn.XMATCH(R$2,Table2[#Headers],0)))</f>
        <v>#N/A</v>
      </c>
      <c r="S63" s="4" t="e" cm="1">
        <f t="array" ref="S63">IF(INDEX(Table2[],_xlfn.XMATCH($A63,Table2[Steel Member],0),_xlfn.XMATCH(S$2,Table2[#Headers],0))=0,"",INDEX(Table2[],_xlfn.XMATCH($A63,Table2[Steel Member],0),_xlfn.XMATCH(S$2,Table2[#Headers],0)))</f>
        <v>#N/A</v>
      </c>
      <c r="T63" s="4" t="str">
        <f t="shared" si="29"/>
        <v/>
      </c>
      <c r="U63" s="4" t="e">
        <f ca="1">VLOOKUP(N63,'COLOR CODE'!$B:$D,2,FALSE)</f>
        <v>#N/A</v>
      </c>
      <c r="V63" s="4" t="str">
        <f t="shared" si="30"/>
        <v/>
      </c>
      <c r="W63" s="4" t="e" cm="1">
        <f t="array" ref="W63">IF(INDEX(Table2[],_xlfn.XMATCH($A63,Table2[Steel Member],0),_xlfn.XMATCH(W$2,Table2[#Headers],0))=0,"",INDEX(Table2[],_xlfn.XMATCH($A63,Table2[Steel Member],0),_xlfn.XMATCH(W$2,Table2[#Headers],0)))</f>
        <v>#N/A</v>
      </c>
      <c r="X63" s="4" t="e">
        <f t="shared" si="28"/>
        <v>#N/A</v>
      </c>
      <c r="Y63" s="4" t="e" cm="1">
        <f t="array" ref="Y63">IF(INDEX(Table2[],_xlfn.XMATCH($A63,Table2[Steel Member],0),_xlfn.XMATCH(Y$2,Table2[#Headers],0))=0,"",INDEX(Table2[],_xlfn.XMATCH($A63,Table2[Steel Member],0),_xlfn.XMATCH(Y$2,Table2[#Headers],0)))</f>
        <v>#N/A</v>
      </c>
      <c r="Z63" s="4" t="e" cm="1">
        <f t="array" ref="Z63">IF(INDEX(Table2[],_xlfn.XMATCH($A63,Table2[Steel Member],0),_xlfn.XMATCH(Z$2,Table2[#Headers],0))=0,"",INDEX(Table2[],_xlfn.XMATCH($A63,Table2[Steel Member],0),_xlfn.XMATCH(Z$2,Table2[#Headers],0)))</f>
        <v>#N/A</v>
      </c>
      <c r="AA63" s="4" t="e" cm="1">
        <f t="array" ref="AA63">IF(INDEX(Table2[],_xlfn.XMATCH($A63,Table2[Steel Member],0),_xlfn.XMATCH(AA$2,Table2[#Headers],0))=0,"",INDEX(Table2[],_xlfn.XMATCH($A63,Table2[Steel Member],0),_xlfn.XMATCH(AA$2,Table2[#Headers],0)))</f>
        <v>#N/A</v>
      </c>
      <c r="AB63" s="4" t="e" cm="1">
        <f t="array" ref="AB63">IF(INDEX(Table2[],_xlfn.XMATCH($A63,Table2[Steel Member],0),_xlfn.XMATCH(AB$2,Table2[#Headers],0))=0,"",INDEX(Table2[],_xlfn.XMATCH($A63,Table2[Steel Member],0),_xlfn.XMATCH(AB$2,Table2[#Headers],0)))</f>
        <v>#N/A</v>
      </c>
      <c r="AC63" s="4" t="str" cm="1">
        <f t="array" ref="AC63">IFERROR(INDEX(Table8[],_xlfn.XMATCH($O63,Table8[Dimension Name Category],0),_xlfn.XMATCH(AC$2&amp;IF($L63," w/ tag"," w/o tag"),Table8[#Headers],0)),"")</f>
        <v/>
      </c>
      <c r="AD63" s="59" t="str">
        <f t="shared" si="31"/>
        <v/>
      </c>
      <c r="AE63" s="4" t="str">
        <f t="shared" si="32"/>
        <v/>
      </c>
      <c r="AF63" s="4" t="str">
        <f t="shared" si="33"/>
        <v/>
      </c>
      <c r="AG63" s="4" t="str" cm="1">
        <f t="array" ref="AG63">IFERROR(INDEX(Table8[],_xlfn.XMATCH($O63,Table8[Dimension Name Category],0),_xlfn.XMATCH(AG$2&amp;IF($L63," w/ tag"," w/o tag"),Table8[#Headers],0)),"")</f>
        <v/>
      </c>
      <c r="AH63" s="59" t="str">
        <f t="shared" si="34"/>
        <v/>
      </c>
      <c r="AI63" s="4"/>
      <c r="AJ63" s="4" t="str">
        <f t="shared" si="35"/>
        <v/>
      </c>
      <c r="AK63" s="4" t="str">
        <f t="shared" si="36"/>
        <v/>
      </c>
      <c r="AL63" s="4" t="e" cm="1">
        <f t="array" ref="AL63">IF(INDEX(Table2[],_xlfn.XMATCH($A63,Table2[Steel Member],0),_xlfn.XMATCH(AL$2,Table2[#Headers],0))=0,"",INDEX(Table2[],_xlfn.XMATCH($A63,Table2[Steel Member],0),_xlfn.XMATCH(AL$2,Table2[#Headers],0)))</f>
        <v>#N/A</v>
      </c>
      <c r="AM63" s="4"/>
      <c r="AN63" s="4" t="str">
        <f t="shared" si="37"/>
        <v/>
      </c>
      <c r="AO63" s="4"/>
      <c r="AP63" s="4" t="e" cm="1">
        <f t="array" ref="AP63">IF(INDEX(Table2[],_xlfn.XMATCH($A63,Table2[Steel Member],0),_xlfn.XMATCH(AP$2,Table2[#Headers],0))=0,"",INDEX(Table2[],_xlfn.XMATCH($A63,Table2[Steel Member],0),_xlfn.XMATCH(AP$2,Table2[#Headers],0)))</f>
        <v>#N/A</v>
      </c>
      <c r="AQ63" s="4"/>
      <c r="AR63" s="4"/>
      <c r="AS63" s="4"/>
      <c r="AT63" s="4"/>
    </row>
    <row r="64" spans="1:46" x14ac:dyDescent="0.25">
      <c r="A64" s="52"/>
      <c r="B64" s="52"/>
      <c r="C64" s="52"/>
      <c r="D64" s="52"/>
      <c r="E64" s="52"/>
      <c r="F64" s="64" cm="1">
        <f t="array" ref="F64">IF(COUNT(FIND(PurlinsxGirthsxBracings,$C64))&gt;0,0,ROUNDUP(IF(D64=0,0,VLOOKUP(D64,'DATA SHEET'!$B:$D,2,FALSE)),2))</f>
        <v>0</v>
      </c>
      <c r="G64" s="64" cm="1">
        <f t="array" ref="G64">IF(COUNT(FIND(PurlinsxGirthsxBracings,$C64))&gt;0,0,ROUNDUP(IF(D64=0,0,VLOOKUP(D64,'DATA SHEET'!$B:$D,3,FALSE)),2))</f>
        <v>0</v>
      </c>
      <c r="H64" s="53"/>
      <c r="I64" s="66" cm="1">
        <f t="array" ref="I64">IF(AND(ISBLANK(B64),ISBLANK(C64),ISBLANK(E64)),0,IF(COUNT(FIND(PurlinsxGirthsxBracings,$C64))&gt;0,IF(B64=0,CONCATENATE(E64," ",C64),CONCATENATE(B64," - ",E64," ",C64)),IF(B64=0,IF(ISBLANK(C64),E64,CONCATENATE(D64,", ",F64,"kg/m, ",G64,"mm surface perimeter")),IF(AND(ISBLANK(C64),ISTEXT(E64)),CONCATENATE(B64," - ",E64),IF(AND(ISBLANK(C64),ISBLANK(E64)),B64,CONCATENATE(B64," - ",D64,", ",F64,"kg/m, ",G64,"mm surface perimeter"))))&amp;IF(ISBLANK(H64),"",H64)))</f>
        <v>0</v>
      </c>
      <c r="J64" s="53"/>
      <c r="L64" s="4" t="str" cm="1">
        <f t="array" ref="L64">IF(COUNT(FIND({0,1,2,3,4,5,6,7,8,9},B64))&gt;0,COUNT(FIND({0,1,2,3,4,5,6,7,8,9},B64))&gt;0,"")</f>
        <v/>
      </c>
      <c r="M64" s="4" t="str" cm="1">
        <f t="array" aca="1" ref="M64" ca="1">IFERROR(_xlfn.IFS(R64="Count",RANDBETWEEN(1,COUNTIF($R$11:$R$653,"Count")),R64="Length",RANDBETWEEN(1,COUNTIF($R$11:$R$653,"Length"))),"")</f>
        <v/>
      </c>
      <c r="N64" s="4" t="str">
        <f ca="1">IFERROR(_xlfn.RANK.EQ(M64,$M$11:$M$653)+COUNTIF($M$11:M64,M64)-1,"")</f>
        <v/>
      </c>
      <c r="O64" s="86" t="str">
        <f>IF(A64='DATA SHEET'!$L$36,C64,IFERROR(IF(AND(ISTEXT(I64),ISBLANK(C64)),"No details",VLOOKUP(C64,DimFolder,2,FALSE)),""))</f>
        <v/>
      </c>
      <c r="P64" s="4" t="str">
        <f t="shared" si="14"/>
        <v/>
      </c>
      <c r="Q64" s="58" t="str">
        <f t="shared" si="38"/>
        <v/>
      </c>
      <c r="R64" s="4" t="e" cm="1">
        <f t="array" ref="R64">IF(INDEX(Table2[],_xlfn.XMATCH($A64,Table2[Steel Member],0),_xlfn.XMATCH(R$2,Table2[#Headers],0))=0,"",INDEX(Table2[],_xlfn.XMATCH($A64,Table2[Steel Member],0),_xlfn.XMATCH(R$2,Table2[#Headers],0)))</f>
        <v>#N/A</v>
      </c>
      <c r="S64" s="4" t="e" cm="1">
        <f t="array" ref="S64">IF(INDEX(Table2[],_xlfn.XMATCH($A64,Table2[Steel Member],0),_xlfn.XMATCH(S$2,Table2[#Headers],0))=0,"",INDEX(Table2[],_xlfn.XMATCH($A64,Table2[Steel Member],0),_xlfn.XMATCH(S$2,Table2[#Headers],0)))</f>
        <v>#N/A</v>
      </c>
      <c r="T64" s="4" t="str">
        <f t="shared" si="29"/>
        <v/>
      </c>
      <c r="U64" s="4" t="e">
        <f ca="1">VLOOKUP(N64,'COLOR CODE'!$B:$D,2,FALSE)</f>
        <v>#N/A</v>
      </c>
      <c r="V64" s="4" t="str">
        <f t="shared" si="30"/>
        <v/>
      </c>
      <c r="W64" s="4" t="e" cm="1">
        <f t="array" ref="W64">IF(INDEX(Table2[],_xlfn.XMATCH($A64,Table2[Steel Member],0),_xlfn.XMATCH(W$2,Table2[#Headers],0))=0,"",INDEX(Table2[],_xlfn.XMATCH($A64,Table2[Steel Member],0),_xlfn.XMATCH(W$2,Table2[#Headers],0)))</f>
        <v>#N/A</v>
      </c>
      <c r="X64" s="4" t="e">
        <f t="shared" si="28"/>
        <v>#N/A</v>
      </c>
      <c r="Y64" s="4" t="e" cm="1">
        <f t="array" ref="Y64">IF(INDEX(Table2[],_xlfn.XMATCH($A64,Table2[Steel Member],0),_xlfn.XMATCH(Y$2,Table2[#Headers],0))=0,"",INDEX(Table2[],_xlfn.XMATCH($A64,Table2[Steel Member],0),_xlfn.XMATCH(Y$2,Table2[#Headers],0)))</f>
        <v>#N/A</v>
      </c>
      <c r="Z64" s="4" t="e" cm="1">
        <f t="array" ref="Z64">IF(INDEX(Table2[],_xlfn.XMATCH($A64,Table2[Steel Member],0),_xlfn.XMATCH(Z$2,Table2[#Headers],0))=0,"",INDEX(Table2[],_xlfn.XMATCH($A64,Table2[Steel Member],0),_xlfn.XMATCH(Z$2,Table2[#Headers],0)))</f>
        <v>#N/A</v>
      </c>
      <c r="AA64" s="4" t="e" cm="1">
        <f t="array" ref="AA64">IF(INDEX(Table2[],_xlfn.XMATCH($A64,Table2[Steel Member],0),_xlfn.XMATCH(AA$2,Table2[#Headers],0))=0,"",INDEX(Table2[],_xlfn.XMATCH($A64,Table2[Steel Member],0),_xlfn.XMATCH(AA$2,Table2[#Headers],0)))</f>
        <v>#N/A</v>
      </c>
      <c r="AB64" s="4" t="e" cm="1">
        <f t="array" ref="AB64">IF(INDEX(Table2[],_xlfn.XMATCH($A64,Table2[Steel Member],0),_xlfn.XMATCH(AB$2,Table2[#Headers],0))=0,"",INDEX(Table2[],_xlfn.XMATCH($A64,Table2[Steel Member],0),_xlfn.XMATCH(AB$2,Table2[#Headers],0)))</f>
        <v>#N/A</v>
      </c>
      <c r="AC64" s="4" t="str" cm="1">
        <f t="array" ref="AC64">IFERROR(INDEX(Table8[],_xlfn.XMATCH($O64,Table8[Dimension Name Category],0),_xlfn.XMATCH(AC$2&amp;IF($L64," w/ tag"," w/o tag"),Table8[#Headers],0)),"")</f>
        <v/>
      </c>
      <c r="AD64" s="59" t="str">
        <f t="shared" si="31"/>
        <v/>
      </c>
      <c r="AE64" s="4" t="str">
        <f t="shared" si="32"/>
        <v/>
      </c>
      <c r="AF64" s="4" t="str">
        <f t="shared" si="33"/>
        <v/>
      </c>
      <c r="AG64" s="4" t="str" cm="1">
        <f t="array" ref="AG64">IFERROR(INDEX(Table8[],_xlfn.XMATCH($O64,Table8[Dimension Name Category],0),_xlfn.XMATCH(AG$2&amp;IF($L64," w/ tag"," w/o tag"),Table8[#Headers],0)),"")</f>
        <v/>
      </c>
      <c r="AH64" s="59" t="str">
        <f t="shared" si="34"/>
        <v/>
      </c>
      <c r="AI64" s="4"/>
      <c r="AJ64" s="4" t="str">
        <f t="shared" si="35"/>
        <v/>
      </c>
      <c r="AK64" s="4" t="str">
        <f t="shared" si="36"/>
        <v/>
      </c>
      <c r="AL64" s="4" t="e" cm="1">
        <f t="array" ref="AL64">IF(INDEX(Table2[],_xlfn.XMATCH($A64,Table2[Steel Member],0),_xlfn.XMATCH(AL$2,Table2[#Headers],0))=0,"",INDEX(Table2[],_xlfn.XMATCH($A64,Table2[Steel Member],0),_xlfn.XMATCH(AL$2,Table2[#Headers],0)))</f>
        <v>#N/A</v>
      </c>
      <c r="AM64" s="4"/>
      <c r="AN64" s="4" t="str">
        <f t="shared" si="37"/>
        <v/>
      </c>
      <c r="AO64" s="4"/>
      <c r="AP64" s="4" t="e" cm="1">
        <f t="array" ref="AP64">IF(INDEX(Table2[],_xlfn.XMATCH($A64,Table2[Steel Member],0),_xlfn.XMATCH(AP$2,Table2[#Headers],0))=0,"",INDEX(Table2[],_xlfn.XMATCH($A64,Table2[Steel Member],0),_xlfn.XMATCH(AP$2,Table2[#Headers],0)))</f>
        <v>#N/A</v>
      </c>
      <c r="AQ64" s="4"/>
      <c r="AR64" s="4"/>
      <c r="AS64" s="4"/>
      <c r="AT64" s="4"/>
    </row>
    <row r="65" spans="1:46" x14ac:dyDescent="0.25">
      <c r="A65" s="52"/>
      <c r="B65" s="52"/>
      <c r="C65" s="52"/>
      <c r="D65" s="52"/>
      <c r="E65" s="52"/>
      <c r="F65" s="64" cm="1">
        <f t="array" ref="F65">IF(COUNT(FIND(PurlinsxGirthsxBracings,$C65))&gt;0,0,ROUNDUP(IF(D65=0,0,VLOOKUP(D65,'DATA SHEET'!$B:$D,2,FALSE)),2))</f>
        <v>0</v>
      </c>
      <c r="G65" s="64" cm="1">
        <f t="array" ref="G65">IF(COUNT(FIND(PurlinsxGirthsxBracings,$C65))&gt;0,0,ROUNDUP(IF(D65=0,0,VLOOKUP(D65,'DATA SHEET'!$B:$D,3,FALSE)),2))</f>
        <v>0</v>
      </c>
      <c r="H65" s="53"/>
      <c r="I65" s="66" cm="1">
        <f t="array" ref="I65">IF(AND(ISBLANK(B65),ISBLANK(C65),ISBLANK(E65)),0,IF(COUNT(FIND(PurlinsxGirthsxBracings,$C65))&gt;0,IF(B65=0,CONCATENATE(E65," ",C65),CONCATENATE(B65," - ",E65," ",C65)),IF(B65=0,IF(ISBLANK(C65),E65,CONCATENATE(D65,", ",F65,"kg/m, ",G65,"mm surface perimeter")),IF(AND(ISBLANK(C65),ISTEXT(E65)),CONCATENATE(B65," - ",E65),IF(AND(ISBLANK(C65),ISBLANK(E65)),B65,CONCATENATE(B65," - ",D65,", ",F65,"kg/m, ",G65,"mm surface perimeter"))))&amp;IF(ISBLANK(H65),"",H65)))</f>
        <v>0</v>
      </c>
      <c r="J65" s="53"/>
      <c r="L65" s="4" t="str" cm="1">
        <f t="array" ref="L65">IF(COUNT(FIND({0,1,2,3,4,5,6,7,8,9},B65))&gt;0,COUNT(FIND({0,1,2,3,4,5,6,7,8,9},B65))&gt;0,"")</f>
        <v/>
      </c>
      <c r="M65" s="4" t="str" cm="1">
        <f t="array" aca="1" ref="M65" ca="1">IFERROR(_xlfn.IFS(R65="Count",RANDBETWEEN(1,COUNTIF($R$11:$R$653,"Count")),R65="Length",RANDBETWEEN(1,COUNTIF($R$11:$R$653,"Length"))),"")</f>
        <v/>
      </c>
      <c r="N65" s="4" t="str">
        <f ca="1">IFERROR(_xlfn.RANK.EQ(M65,$M$11:$M$653)+COUNTIF($M$11:M65,M65)-1,"")</f>
        <v/>
      </c>
      <c r="O65" s="86" t="str">
        <f>IF(A65='DATA SHEET'!$L$36,C65,IFERROR(IF(AND(ISTEXT(I65),ISBLANK(C65)),"No details",VLOOKUP(C65,DimFolder,2,FALSE)),""))</f>
        <v/>
      </c>
      <c r="P65" s="4" t="str">
        <f t="shared" si="14"/>
        <v/>
      </c>
      <c r="Q65" s="58" t="str">
        <f t="shared" si="38"/>
        <v/>
      </c>
      <c r="R65" s="4" t="e" cm="1">
        <f t="array" ref="R65">IF(INDEX(Table2[],_xlfn.XMATCH($A65,Table2[Steel Member],0),_xlfn.XMATCH(R$2,Table2[#Headers],0))=0,"",INDEX(Table2[],_xlfn.XMATCH($A65,Table2[Steel Member],0),_xlfn.XMATCH(R$2,Table2[#Headers],0)))</f>
        <v>#N/A</v>
      </c>
      <c r="S65" s="4" t="e" cm="1">
        <f t="array" ref="S65">IF(INDEX(Table2[],_xlfn.XMATCH($A65,Table2[Steel Member],0),_xlfn.XMATCH(S$2,Table2[#Headers],0))=0,"",INDEX(Table2[],_xlfn.XMATCH($A65,Table2[Steel Member],0),_xlfn.XMATCH(S$2,Table2[#Headers],0)))</f>
        <v>#N/A</v>
      </c>
      <c r="T65" s="4" t="str">
        <f t="shared" si="29"/>
        <v/>
      </c>
      <c r="U65" s="4" t="e">
        <f ca="1">VLOOKUP(N65,'COLOR CODE'!$B:$D,2,FALSE)</f>
        <v>#N/A</v>
      </c>
      <c r="V65" s="4" t="str">
        <f t="shared" si="30"/>
        <v/>
      </c>
      <c r="W65" s="4" t="e" cm="1">
        <f t="array" ref="W65">IF(INDEX(Table2[],_xlfn.XMATCH($A65,Table2[Steel Member],0),_xlfn.XMATCH(W$2,Table2[#Headers],0))=0,"",INDEX(Table2[],_xlfn.XMATCH($A65,Table2[Steel Member],0),_xlfn.XMATCH(W$2,Table2[#Headers],0)))</f>
        <v>#N/A</v>
      </c>
      <c r="X65" s="4" t="e">
        <f t="shared" si="28"/>
        <v>#N/A</v>
      </c>
      <c r="Y65" s="4" t="e" cm="1">
        <f t="array" ref="Y65">IF(INDEX(Table2[],_xlfn.XMATCH($A65,Table2[Steel Member],0),_xlfn.XMATCH(Y$2,Table2[#Headers],0))=0,"",INDEX(Table2[],_xlfn.XMATCH($A65,Table2[Steel Member],0),_xlfn.XMATCH(Y$2,Table2[#Headers],0)))</f>
        <v>#N/A</v>
      </c>
      <c r="Z65" s="4" t="e" cm="1">
        <f t="array" ref="Z65">IF(INDEX(Table2[],_xlfn.XMATCH($A65,Table2[Steel Member],0),_xlfn.XMATCH(Z$2,Table2[#Headers],0))=0,"",INDEX(Table2[],_xlfn.XMATCH($A65,Table2[Steel Member],0),_xlfn.XMATCH(Z$2,Table2[#Headers],0)))</f>
        <v>#N/A</v>
      </c>
      <c r="AA65" s="4" t="e" cm="1">
        <f t="array" ref="AA65">IF(INDEX(Table2[],_xlfn.XMATCH($A65,Table2[Steel Member],0),_xlfn.XMATCH(AA$2,Table2[#Headers],0))=0,"",INDEX(Table2[],_xlfn.XMATCH($A65,Table2[Steel Member],0),_xlfn.XMATCH(AA$2,Table2[#Headers],0)))</f>
        <v>#N/A</v>
      </c>
      <c r="AB65" s="4" t="e" cm="1">
        <f t="array" ref="AB65">IF(INDEX(Table2[],_xlfn.XMATCH($A65,Table2[Steel Member],0),_xlfn.XMATCH(AB$2,Table2[#Headers],0))=0,"",INDEX(Table2[],_xlfn.XMATCH($A65,Table2[Steel Member],0),_xlfn.XMATCH(AB$2,Table2[#Headers],0)))</f>
        <v>#N/A</v>
      </c>
      <c r="AC65" s="4" t="str" cm="1">
        <f t="array" ref="AC65">IFERROR(INDEX(Table8[],_xlfn.XMATCH($O65,Table8[Dimension Name Category],0),_xlfn.XMATCH(AC$2&amp;IF($L65," w/ tag"," w/o tag"),Table8[#Headers],0)),"")</f>
        <v/>
      </c>
      <c r="AD65" s="59" t="str">
        <f t="shared" si="31"/>
        <v/>
      </c>
      <c r="AE65" s="4" t="str">
        <f t="shared" si="32"/>
        <v/>
      </c>
      <c r="AF65" s="4" t="str">
        <f t="shared" si="33"/>
        <v/>
      </c>
      <c r="AG65" s="4" t="str" cm="1">
        <f t="array" ref="AG65">IFERROR(INDEX(Table8[],_xlfn.XMATCH($O65,Table8[Dimension Name Category],0),_xlfn.XMATCH(AG$2&amp;IF($L65," w/ tag"," w/o tag"),Table8[#Headers],0)),"")</f>
        <v/>
      </c>
      <c r="AH65" s="59" t="str">
        <f t="shared" si="34"/>
        <v/>
      </c>
      <c r="AI65" s="4"/>
      <c r="AJ65" s="4" t="str">
        <f t="shared" si="35"/>
        <v/>
      </c>
      <c r="AK65" s="4" t="str">
        <f t="shared" si="36"/>
        <v/>
      </c>
      <c r="AL65" s="4" t="e" cm="1">
        <f t="array" ref="AL65">IF(INDEX(Table2[],_xlfn.XMATCH($A65,Table2[Steel Member],0),_xlfn.XMATCH(AL$2,Table2[#Headers],0))=0,"",INDEX(Table2[],_xlfn.XMATCH($A65,Table2[Steel Member],0),_xlfn.XMATCH(AL$2,Table2[#Headers],0)))</f>
        <v>#N/A</v>
      </c>
      <c r="AM65" s="4"/>
      <c r="AN65" s="4" t="str">
        <f t="shared" si="37"/>
        <v/>
      </c>
      <c r="AO65" s="4"/>
      <c r="AP65" s="4" t="e" cm="1">
        <f t="array" ref="AP65">IF(INDEX(Table2[],_xlfn.XMATCH($A65,Table2[Steel Member],0),_xlfn.XMATCH(AP$2,Table2[#Headers],0))=0,"",INDEX(Table2[],_xlfn.XMATCH($A65,Table2[Steel Member],0),_xlfn.XMATCH(AP$2,Table2[#Headers],0)))</f>
        <v>#N/A</v>
      </c>
      <c r="AQ65" s="4"/>
      <c r="AR65" s="4"/>
      <c r="AS65" s="4"/>
      <c r="AT65" s="4"/>
    </row>
    <row r="66" spans="1:46" x14ac:dyDescent="0.25">
      <c r="A66" s="52"/>
      <c r="B66" s="52"/>
      <c r="C66" s="52"/>
      <c r="D66" s="52"/>
      <c r="E66" s="52"/>
      <c r="F66" s="64" cm="1">
        <f t="array" ref="F66">IF(COUNT(FIND(PurlinsxGirthsxBracings,$C66))&gt;0,0,ROUNDUP(IF(D66=0,0,VLOOKUP(D66,'DATA SHEET'!$B:$D,2,FALSE)),2))</f>
        <v>0</v>
      </c>
      <c r="G66" s="64" cm="1">
        <f t="array" ref="G66">IF(COUNT(FIND(PurlinsxGirthsxBracings,$C66))&gt;0,0,ROUNDUP(IF(D66=0,0,VLOOKUP(D66,'DATA SHEET'!$B:$D,3,FALSE)),2))</f>
        <v>0</v>
      </c>
      <c r="H66" s="53"/>
      <c r="I66" s="66" cm="1">
        <f t="array" ref="I66">IF(AND(ISBLANK(B66),ISBLANK(C66),ISBLANK(E66)),0,IF(COUNT(FIND(PurlinsxGirthsxBracings,$C66))&gt;0,IF(B66=0,CONCATENATE(E66," ",C66),CONCATENATE(B66," - ",E66," ",C66)),IF(B66=0,IF(ISBLANK(C66),E66,CONCATENATE(D66,", ",F66,"kg/m, ",G66,"mm surface perimeter")),IF(AND(ISBLANK(C66),ISTEXT(E66)),CONCATENATE(B66," - ",E66),IF(AND(ISBLANK(C66),ISBLANK(E66)),B66,CONCATENATE(B66," - ",D66,", ",F66,"kg/m, ",G66,"mm surface perimeter"))))&amp;IF(ISBLANK(H66),"",H66)))</f>
        <v>0</v>
      </c>
      <c r="J66" s="53"/>
      <c r="L66" s="4" t="str" cm="1">
        <f t="array" ref="L66">IF(COUNT(FIND({0,1,2,3,4,5,6,7,8,9},B66))&gt;0,COUNT(FIND({0,1,2,3,4,5,6,7,8,9},B66))&gt;0,"")</f>
        <v/>
      </c>
      <c r="M66" s="4" t="str" cm="1">
        <f t="array" aca="1" ref="M66" ca="1">IFERROR(_xlfn.IFS(R66="Count",RANDBETWEEN(1,COUNTIF($R$11:$R$653,"Count")),R66="Length",RANDBETWEEN(1,COUNTIF($R$11:$R$653,"Length"))),"")</f>
        <v/>
      </c>
      <c r="N66" s="4" t="str">
        <f ca="1">IFERROR(_xlfn.RANK.EQ(M66,$M$11:$M$653)+COUNTIF($M$11:M66,M66)-1,"")</f>
        <v/>
      </c>
      <c r="O66" s="86" t="str">
        <f>IF(A66='DATA SHEET'!$L$36,C66,IFERROR(IF(AND(ISTEXT(I66),ISBLANK(C66)),"No details",VLOOKUP(C66,DimFolder,2,FALSE)),""))</f>
        <v/>
      </c>
      <c r="P66" s="4" t="str">
        <f t="shared" si="14"/>
        <v/>
      </c>
      <c r="Q66" s="58" t="str">
        <f t="shared" si="38"/>
        <v/>
      </c>
      <c r="R66" s="4" t="e" cm="1">
        <f t="array" ref="R66">IF(INDEX(Table2[],_xlfn.XMATCH($A66,Table2[Steel Member],0),_xlfn.XMATCH(R$2,Table2[#Headers],0))=0,"",INDEX(Table2[],_xlfn.XMATCH($A66,Table2[Steel Member],0),_xlfn.XMATCH(R$2,Table2[#Headers],0)))</f>
        <v>#N/A</v>
      </c>
      <c r="S66" s="4" t="e" cm="1">
        <f t="array" ref="S66">IF(INDEX(Table2[],_xlfn.XMATCH($A66,Table2[Steel Member],0),_xlfn.XMATCH(S$2,Table2[#Headers],0))=0,"",INDEX(Table2[],_xlfn.XMATCH($A66,Table2[Steel Member],0),_xlfn.XMATCH(S$2,Table2[#Headers],0)))</f>
        <v>#N/A</v>
      </c>
      <c r="T66" s="4" t="str">
        <f t="shared" si="29"/>
        <v/>
      </c>
      <c r="U66" s="4" t="e">
        <f ca="1">VLOOKUP(N66,'COLOR CODE'!$B:$D,2,FALSE)</f>
        <v>#N/A</v>
      </c>
      <c r="V66" s="4" t="str">
        <f t="shared" si="30"/>
        <v/>
      </c>
      <c r="W66" s="4" t="e" cm="1">
        <f t="array" ref="W66">IF(INDEX(Table2[],_xlfn.XMATCH($A66,Table2[Steel Member],0),_xlfn.XMATCH(W$2,Table2[#Headers],0))=0,"",INDEX(Table2[],_xlfn.XMATCH($A66,Table2[Steel Member],0),_xlfn.XMATCH(W$2,Table2[#Headers],0)))</f>
        <v>#N/A</v>
      </c>
      <c r="X66" s="4" t="e">
        <f t="shared" si="28"/>
        <v>#N/A</v>
      </c>
      <c r="Y66" s="4" t="e" cm="1">
        <f t="array" ref="Y66">IF(INDEX(Table2[],_xlfn.XMATCH($A66,Table2[Steel Member],0),_xlfn.XMATCH(Y$2,Table2[#Headers],0))=0,"",INDEX(Table2[],_xlfn.XMATCH($A66,Table2[Steel Member],0),_xlfn.XMATCH(Y$2,Table2[#Headers],0)))</f>
        <v>#N/A</v>
      </c>
      <c r="Z66" s="4" t="e" cm="1">
        <f t="array" ref="Z66">IF(INDEX(Table2[],_xlfn.XMATCH($A66,Table2[Steel Member],0),_xlfn.XMATCH(Z$2,Table2[#Headers],0))=0,"",INDEX(Table2[],_xlfn.XMATCH($A66,Table2[Steel Member],0),_xlfn.XMATCH(Z$2,Table2[#Headers],0)))</f>
        <v>#N/A</v>
      </c>
      <c r="AA66" s="4" t="e" cm="1">
        <f t="array" ref="AA66">IF(INDEX(Table2[],_xlfn.XMATCH($A66,Table2[Steel Member],0),_xlfn.XMATCH(AA$2,Table2[#Headers],0))=0,"",INDEX(Table2[],_xlfn.XMATCH($A66,Table2[Steel Member],0),_xlfn.XMATCH(AA$2,Table2[#Headers],0)))</f>
        <v>#N/A</v>
      </c>
      <c r="AB66" s="4" t="e" cm="1">
        <f t="array" ref="AB66">IF(INDEX(Table2[],_xlfn.XMATCH($A66,Table2[Steel Member],0),_xlfn.XMATCH(AB$2,Table2[#Headers],0))=0,"",INDEX(Table2[],_xlfn.XMATCH($A66,Table2[Steel Member],0),_xlfn.XMATCH(AB$2,Table2[#Headers],0)))</f>
        <v>#N/A</v>
      </c>
      <c r="AC66" s="4" t="str" cm="1">
        <f t="array" ref="AC66">IFERROR(INDEX(Table8[],_xlfn.XMATCH($O66,Table8[Dimension Name Category],0),_xlfn.XMATCH(AC$2&amp;IF($L66," w/ tag"," w/o tag"),Table8[#Headers],0)),"")</f>
        <v/>
      </c>
      <c r="AD66" s="59" t="str">
        <f t="shared" si="31"/>
        <v/>
      </c>
      <c r="AE66" s="4" t="str">
        <f t="shared" si="32"/>
        <v/>
      </c>
      <c r="AF66" s="4" t="str">
        <f t="shared" si="33"/>
        <v/>
      </c>
      <c r="AG66" s="4" t="str" cm="1">
        <f t="array" ref="AG66">IFERROR(INDEX(Table8[],_xlfn.XMATCH($O66,Table8[Dimension Name Category],0),_xlfn.XMATCH(AG$2&amp;IF($L66," w/ tag"," w/o tag"),Table8[#Headers],0)),"")</f>
        <v/>
      </c>
      <c r="AH66" s="59" t="str">
        <f t="shared" si="34"/>
        <v/>
      </c>
      <c r="AI66" s="4"/>
      <c r="AJ66" s="4" t="str">
        <f t="shared" si="35"/>
        <v/>
      </c>
      <c r="AK66" s="4" t="str">
        <f t="shared" si="36"/>
        <v/>
      </c>
      <c r="AL66" s="4" t="e" cm="1">
        <f t="array" ref="AL66">IF(INDEX(Table2[],_xlfn.XMATCH($A66,Table2[Steel Member],0),_xlfn.XMATCH(AL$2,Table2[#Headers],0))=0,"",INDEX(Table2[],_xlfn.XMATCH($A66,Table2[Steel Member],0),_xlfn.XMATCH(AL$2,Table2[#Headers],0)))</f>
        <v>#N/A</v>
      </c>
      <c r="AM66" s="4"/>
      <c r="AN66" s="4" t="str">
        <f t="shared" si="37"/>
        <v/>
      </c>
      <c r="AO66" s="4"/>
      <c r="AP66" s="4" t="e" cm="1">
        <f t="array" ref="AP66">IF(INDEX(Table2[],_xlfn.XMATCH($A66,Table2[Steel Member],0),_xlfn.XMATCH(AP$2,Table2[#Headers],0))=0,"",INDEX(Table2[],_xlfn.XMATCH($A66,Table2[Steel Member],0),_xlfn.XMATCH(AP$2,Table2[#Headers],0)))</f>
        <v>#N/A</v>
      </c>
      <c r="AQ66" s="4"/>
      <c r="AR66" s="4"/>
      <c r="AS66" s="4"/>
      <c r="AT66" s="4"/>
    </row>
    <row r="67" spans="1:46" x14ac:dyDescent="0.25">
      <c r="A67" s="52"/>
      <c r="B67" s="53"/>
      <c r="C67" s="52"/>
      <c r="D67" s="52"/>
      <c r="E67" s="52"/>
      <c r="F67" s="64" cm="1">
        <f t="array" ref="F67">IF(COUNT(FIND(PurlinsxGirthsxBracings,$C67))&gt;0,0,ROUNDUP(IF(D67=0,0,VLOOKUP(D67,'DATA SHEET'!$B:$D,2,FALSE)),2))</f>
        <v>0</v>
      </c>
      <c r="G67" s="64" cm="1">
        <f t="array" ref="G67">IF(COUNT(FIND(PurlinsxGirthsxBracings,$C67))&gt;0,0,ROUNDUP(IF(D67=0,0,VLOOKUP(D67,'DATA SHEET'!$B:$D,3,FALSE)),2))</f>
        <v>0</v>
      </c>
      <c r="H67" s="53"/>
      <c r="I67" s="66" cm="1">
        <f t="array" ref="I67">IF(AND(ISBLANK(B67),ISBLANK(C67),ISBLANK(E67)),0,IF(COUNT(FIND(PurlinsxGirthsxBracings,$C67))&gt;0,IF(B67=0,CONCATENATE(E67," ",C67),CONCATENATE(B67," - ",E67," ",C67)),IF(B67=0,IF(ISBLANK(C67),E67,CONCATENATE(D67,", ",F67,"kg/m, ",G67,"mm surface perimeter")),IF(AND(ISBLANK(C67),ISTEXT(E67)),CONCATENATE(B67," - ",E67),IF(AND(ISBLANK(C67),ISBLANK(E67)),B67,CONCATENATE(B67," - ",D67,", ",F67,"kg/m, ",G67,"mm surface perimeter"))))&amp;IF(ISBLANK(H67),"",H67)))</f>
        <v>0</v>
      </c>
      <c r="J67" s="53"/>
      <c r="L67" s="4" t="str" cm="1">
        <f t="array" ref="L67">IF(COUNT(FIND({0,1,2,3,4,5,6,7,8,9},B67))&gt;0,COUNT(FIND({0,1,2,3,4,5,6,7,8,9},B67))&gt;0,"")</f>
        <v/>
      </c>
      <c r="M67" s="4" t="str" cm="1">
        <f t="array" aca="1" ref="M67" ca="1">IFERROR(_xlfn.IFS(R67="Count",RANDBETWEEN(1,COUNTIF($R$11:$R$653,"Count")),R67="Length",RANDBETWEEN(1,COUNTIF($R$11:$R$653,"Length"))),"")</f>
        <v/>
      </c>
      <c r="N67" s="4" t="str">
        <f ca="1">IFERROR(_xlfn.RANK.EQ(M67,$M$11:$M$653)+COUNTIF($M$11:M67,M67)-1,"")</f>
        <v/>
      </c>
      <c r="O67" s="86" t="str">
        <f>IF(A67='DATA SHEET'!$L$36,C67,IFERROR(IF(AND(ISTEXT(I67),ISBLANK(C67)),"No details",VLOOKUP(C67,DimFolder,2,FALSE)),""))</f>
        <v/>
      </c>
      <c r="P67" s="4" t="str">
        <f t="shared" si="14"/>
        <v/>
      </c>
      <c r="Q67" s="58" t="str">
        <f t="shared" ref="Q67" si="39">IF(AND(ISBLANK(B67),ISBLANK(C67)),"",I67)</f>
        <v/>
      </c>
      <c r="R67" s="4" t="e" cm="1">
        <f t="array" ref="R67">IF(INDEX(Table2[],_xlfn.XMATCH($A67,Table2[Steel Member],0),_xlfn.XMATCH(R$2,Table2[#Headers],0))=0,"",INDEX(Table2[],_xlfn.XMATCH($A67,Table2[Steel Member],0),_xlfn.XMATCH(R$2,Table2[#Headers],0)))</f>
        <v>#N/A</v>
      </c>
      <c r="S67" s="4" t="e" cm="1">
        <f t="array" ref="S67">IF(INDEX(Table2[],_xlfn.XMATCH($A67,Table2[Steel Member],0),_xlfn.XMATCH(S$2,Table2[#Headers],0))=0,"",INDEX(Table2[],_xlfn.XMATCH($A67,Table2[Steel Member],0),_xlfn.XMATCH(S$2,Table2[#Headers],0)))</f>
        <v>#N/A</v>
      </c>
      <c r="T67" s="4" t="str">
        <f t="shared" ref="T67" si="40">IF(AND(ISBLANK(B67),ISBLANK(C67)),"","t")</f>
        <v/>
      </c>
      <c r="U67" s="4" t="e">
        <f ca="1">VLOOKUP(N67,'COLOR CODE'!$B:$D,2,FALSE)</f>
        <v>#N/A</v>
      </c>
      <c r="V67" s="4" t="str">
        <f t="shared" ref="V67" si="41">IF(AND(ISBLANK(B67),ISBLANK(C67)),"","Red")</f>
        <v/>
      </c>
      <c r="W67" s="4" t="e" cm="1">
        <f t="array" ref="W67">IF(INDEX(Table2[],_xlfn.XMATCH($A67,Table2[Steel Member],0),_xlfn.XMATCH(W$2,Table2[#Headers],0))=0,"",INDEX(Table2[],_xlfn.XMATCH($A67,Table2[Steel Member],0),_xlfn.XMATCH(W$2,Table2[#Headers],0)))</f>
        <v>#N/A</v>
      </c>
      <c r="X67" s="4" t="e">
        <f t="shared" ref="X67" si="42">W67</f>
        <v>#N/A</v>
      </c>
      <c r="Y67" s="4" t="e" cm="1">
        <f t="array" ref="Y67">IF(INDEX(Table2[],_xlfn.XMATCH($A67,Table2[Steel Member],0),_xlfn.XMATCH(Y$2,Table2[#Headers],0))=0,"",INDEX(Table2[],_xlfn.XMATCH($A67,Table2[Steel Member],0),_xlfn.XMATCH(Y$2,Table2[#Headers],0)))</f>
        <v>#N/A</v>
      </c>
      <c r="Z67" s="4" t="e" cm="1">
        <f t="array" ref="Z67">IF(INDEX(Table2[],_xlfn.XMATCH($A67,Table2[Steel Member],0),_xlfn.XMATCH(Z$2,Table2[#Headers],0))=0,"",INDEX(Table2[],_xlfn.XMATCH($A67,Table2[Steel Member],0),_xlfn.XMATCH(Z$2,Table2[#Headers],0)))</f>
        <v>#N/A</v>
      </c>
      <c r="AA67" s="4" t="e" cm="1">
        <f t="array" ref="AA67">IF(INDEX(Table2[],_xlfn.XMATCH($A67,Table2[Steel Member],0),_xlfn.XMATCH(AA$2,Table2[#Headers],0))=0,"",INDEX(Table2[],_xlfn.XMATCH($A67,Table2[Steel Member],0),_xlfn.XMATCH(AA$2,Table2[#Headers],0)))</f>
        <v>#N/A</v>
      </c>
      <c r="AB67" s="4" t="e" cm="1">
        <f t="array" ref="AB67">IF(INDEX(Table2[],_xlfn.XMATCH($A67,Table2[Steel Member],0),_xlfn.XMATCH(AB$2,Table2[#Headers],0))=0,"",INDEX(Table2[],_xlfn.XMATCH($A67,Table2[Steel Member],0),_xlfn.XMATCH(AB$2,Table2[#Headers],0)))</f>
        <v>#N/A</v>
      </c>
      <c r="AC67" s="4" t="str" cm="1">
        <f t="array" ref="AC67">IFERROR(INDEX(Table8[],_xlfn.XMATCH($O67,Table8[Dimension Name Category],0),_xlfn.XMATCH(AC$2&amp;IF($L67," w/ tag"," w/o tag"),Table8[#Headers],0)),"")</f>
        <v/>
      </c>
      <c r="AD67" s="59" t="str">
        <f t="shared" si="31"/>
        <v/>
      </c>
      <c r="AE67" s="4" t="str">
        <f t="shared" ref="AE67" si="43">IF(AND(ISBLANK(B67),ISBLANK(C67)),"",IF($A67=Purlins_Girths_Bracings,"","Steel Surface Area"))</f>
        <v/>
      </c>
      <c r="AF67" s="4" t="str">
        <f t="shared" ref="AF67" si="44">IF(AND(ISBLANK(B67),ISBLANK(C67)),"",IF($A67=Purlins_Girths_Bracings,"","m2"))</f>
        <v/>
      </c>
      <c r="AG67" s="4" t="str" cm="1">
        <f t="array" ref="AG67">IFERROR(INDEX(Table8[],_xlfn.XMATCH($O67,Table8[Dimension Name Category],0),_xlfn.XMATCH(AG$2&amp;IF($L67," w/ tag"," w/o tag"),Table8[#Headers],0)),"")</f>
        <v/>
      </c>
      <c r="AH67" s="59" t="str">
        <f t="shared" si="34"/>
        <v/>
      </c>
      <c r="AI67" s="4"/>
      <c r="AJ67" s="4" t="str">
        <f t="shared" si="35"/>
        <v/>
      </c>
      <c r="AK67" s="4" t="str">
        <f t="shared" si="36"/>
        <v/>
      </c>
      <c r="AL67" s="4" t="e" cm="1">
        <f t="array" ref="AL67">IF(INDEX(Table2[],_xlfn.XMATCH($A67,Table2[Steel Member],0),_xlfn.XMATCH(AL$2,Table2[#Headers],0))=0,"",INDEX(Table2[],_xlfn.XMATCH($A67,Table2[Steel Member],0),_xlfn.XMATCH(AL$2,Table2[#Headers],0)))</f>
        <v>#N/A</v>
      </c>
      <c r="AM67" s="4"/>
      <c r="AN67" s="4" t="str">
        <f t="shared" si="37"/>
        <v/>
      </c>
      <c r="AO67" s="4"/>
      <c r="AP67" s="4" t="e" cm="1">
        <f t="array" ref="AP67">IF(INDEX(Table2[],_xlfn.XMATCH($A67,Table2[Steel Member],0),_xlfn.XMATCH(AP$2,Table2[#Headers],0))=0,"",INDEX(Table2[],_xlfn.XMATCH($A67,Table2[Steel Member],0),_xlfn.XMATCH(AP$2,Table2[#Headers],0)))</f>
        <v>#N/A</v>
      </c>
      <c r="AQ67" s="4"/>
      <c r="AR67" s="4"/>
      <c r="AS67" s="4"/>
      <c r="AT67" s="4"/>
    </row>
    <row r="68" spans="1:46" x14ac:dyDescent="0.25">
      <c r="A68" s="52"/>
      <c r="B68" s="53"/>
      <c r="C68" s="52"/>
      <c r="D68" s="52"/>
      <c r="E68" s="52"/>
      <c r="F68" s="64" cm="1">
        <f t="array" ref="F68">IF(COUNT(FIND(PurlinsxGirthsxBracings,$C68))&gt;0,0,ROUNDUP(IF(D68=0,0,VLOOKUP(D68,'DATA SHEET'!$B:$D,2,FALSE)),2))</f>
        <v>0</v>
      </c>
      <c r="G68" s="64" cm="1">
        <f t="array" ref="G68">IF(COUNT(FIND(PurlinsxGirthsxBracings,$C68))&gt;0,0,ROUNDUP(IF(D68=0,0,VLOOKUP(D68,'DATA SHEET'!$B:$D,3,FALSE)),2))</f>
        <v>0</v>
      </c>
      <c r="H68" s="53"/>
      <c r="I68" s="66" cm="1">
        <f t="array" ref="I68">IF(AND(ISBLANK(B68),ISBLANK(C68),ISBLANK(E68)),0,IF(COUNT(FIND(PurlinsxGirthsxBracings,$C68))&gt;0,IF(B68=0,CONCATENATE(E68," ",C68),CONCATENATE(B68," - ",E68," ",C68)),IF(B68=0,IF(ISBLANK(C68),E68,CONCATENATE(D68,", ",F68,"kg/m, ",G68,"mm surface perimeter")),IF(AND(ISBLANK(C68),ISTEXT(E68)),CONCATENATE(B68," - ",E68),IF(AND(ISBLANK(C68),ISBLANK(E68)),B68,CONCATENATE(B68," - ",D68,", ",F68,"kg/m, ",G68,"mm surface perimeter"))))&amp;IF(ISBLANK(H68),"",H68)))</f>
        <v>0</v>
      </c>
      <c r="J68" s="53"/>
      <c r="L68" s="4" t="str" cm="1">
        <f t="array" ref="L68">IF(COUNT(FIND({0,1,2,3,4,5,6,7,8,9},B68))&gt;0,COUNT(FIND({0,1,2,3,4,5,6,7,8,9},B68))&gt;0,"")</f>
        <v/>
      </c>
      <c r="M68" s="4" t="str" cm="1">
        <f t="array" aca="1" ref="M68" ca="1">IFERROR(_xlfn.IFS(R68="Count",RANDBETWEEN(1,COUNTIF($R$11:$R$653,"Count")),R68="Length",RANDBETWEEN(1,COUNTIF($R$11:$R$653,"Length"))),"")</f>
        <v/>
      </c>
      <c r="N68" s="4" t="str">
        <f ca="1">IFERROR(_xlfn.RANK.EQ(M68,$M$11:$M$653)+COUNTIF($M$11:M68,M68)-1,"")</f>
        <v/>
      </c>
      <c r="O68" s="86" t="str">
        <f>IF(A68='DATA SHEET'!$L$36,C68,IFERROR(IF(AND(ISTEXT(I68),ISBLANK(C68)),"No details",VLOOKUP(C68,DimFolder,2,FALSE)),""))</f>
        <v/>
      </c>
      <c r="P68" s="4" t="str">
        <f t="shared" si="14"/>
        <v/>
      </c>
      <c r="Q68" s="58" t="str">
        <f t="shared" si="38"/>
        <v/>
      </c>
      <c r="R68" s="4" t="e" cm="1">
        <f t="array" ref="R68">IF(INDEX(Table2[],_xlfn.XMATCH($A68,Table2[Steel Member],0),_xlfn.XMATCH(R$2,Table2[#Headers],0))=0,"",INDEX(Table2[],_xlfn.XMATCH($A68,Table2[Steel Member],0),_xlfn.XMATCH(R$2,Table2[#Headers],0)))</f>
        <v>#N/A</v>
      </c>
      <c r="S68" s="4" t="e" cm="1">
        <f t="array" ref="S68">IF(INDEX(Table2[],_xlfn.XMATCH($A68,Table2[Steel Member],0),_xlfn.XMATCH(S$2,Table2[#Headers],0))=0,"",INDEX(Table2[],_xlfn.XMATCH($A68,Table2[Steel Member],0),_xlfn.XMATCH(S$2,Table2[#Headers],0)))</f>
        <v>#N/A</v>
      </c>
      <c r="T68" s="4" t="str">
        <f t="shared" si="29"/>
        <v/>
      </c>
      <c r="U68" s="4" t="e">
        <f ca="1">VLOOKUP(N68,'COLOR CODE'!$B:$D,2,FALSE)</f>
        <v>#N/A</v>
      </c>
      <c r="V68" s="4" t="str">
        <f t="shared" si="30"/>
        <v/>
      </c>
      <c r="W68" s="4" t="e" cm="1">
        <f t="array" ref="W68">IF(INDEX(Table2[],_xlfn.XMATCH($A68,Table2[Steel Member],0),_xlfn.XMATCH(W$2,Table2[#Headers],0))=0,"",INDEX(Table2[],_xlfn.XMATCH($A68,Table2[Steel Member],0),_xlfn.XMATCH(W$2,Table2[#Headers],0)))</f>
        <v>#N/A</v>
      </c>
      <c r="X68" s="4" t="e">
        <f t="shared" si="28"/>
        <v>#N/A</v>
      </c>
      <c r="Y68" s="4" t="e" cm="1">
        <f t="array" ref="Y68">IF(INDEX(Table2[],_xlfn.XMATCH($A68,Table2[Steel Member],0),_xlfn.XMATCH(Y$2,Table2[#Headers],0))=0,"",INDEX(Table2[],_xlfn.XMATCH($A68,Table2[Steel Member],0),_xlfn.XMATCH(Y$2,Table2[#Headers],0)))</f>
        <v>#N/A</v>
      </c>
      <c r="Z68" s="4" t="e" cm="1">
        <f t="array" ref="Z68">IF(INDEX(Table2[],_xlfn.XMATCH($A68,Table2[Steel Member],0),_xlfn.XMATCH(Z$2,Table2[#Headers],0))=0,"",INDEX(Table2[],_xlfn.XMATCH($A68,Table2[Steel Member],0),_xlfn.XMATCH(Z$2,Table2[#Headers],0)))</f>
        <v>#N/A</v>
      </c>
      <c r="AA68" s="4" t="e" cm="1">
        <f t="array" ref="AA68">IF(INDEX(Table2[],_xlfn.XMATCH($A68,Table2[Steel Member],0),_xlfn.XMATCH(AA$2,Table2[#Headers],0))=0,"",INDEX(Table2[],_xlfn.XMATCH($A68,Table2[Steel Member],0),_xlfn.XMATCH(AA$2,Table2[#Headers],0)))</f>
        <v>#N/A</v>
      </c>
      <c r="AB68" s="4" t="e" cm="1">
        <f t="array" ref="AB68">IF(INDEX(Table2[],_xlfn.XMATCH($A68,Table2[Steel Member],0),_xlfn.XMATCH(AB$2,Table2[#Headers],0))=0,"",INDEX(Table2[],_xlfn.XMATCH($A68,Table2[Steel Member],0),_xlfn.XMATCH(AB$2,Table2[#Headers],0)))</f>
        <v>#N/A</v>
      </c>
      <c r="AC68" s="4" t="str" cm="1">
        <f t="array" ref="AC68">IFERROR(INDEX(Table8[],_xlfn.XMATCH($O68,Table8[Dimension Name Category],0),_xlfn.XMATCH(AC$2&amp;IF($L68," w/ tag"," w/o tag"),Table8[#Headers],0)),"")</f>
        <v/>
      </c>
      <c r="AD68" s="59" t="str">
        <f t="shared" si="31"/>
        <v/>
      </c>
      <c r="AE68" s="4" t="str">
        <f t="shared" si="32"/>
        <v/>
      </c>
      <c r="AF68" s="4" t="str">
        <f t="shared" si="33"/>
        <v/>
      </c>
      <c r="AG68" s="4" t="str" cm="1">
        <f t="array" ref="AG68">IFERROR(INDEX(Table8[],_xlfn.XMATCH($O68,Table8[Dimension Name Category],0),_xlfn.XMATCH(AG$2&amp;IF($L68," w/ tag"," w/o tag"),Table8[#Headers],0)),"")</f>
        <v/>
      </c>
      <c r="AH68" s="59" t="str">
        <f t="shared" si="34"/>
        <v/>
      </c>
      <c r="AI68" s="4"/>
      <c r="AJ68" s="4" t="str">
        <f t="shared" si="35"/>
        <v/>
      </c>
      <c r="AK68" s="4" t="str">
        <f t="shared" si="36"/>
        <v/>
      </c>
      <c r="AL68" s="4" t="e" cm="1">
        <f t="array" ref="AL68">IF(INDEX(Table2[],_xlfn.XMATCH($A68,Table2[Steel Member],0),_xlfn.XMATCH(AL$2,Table2[#Headers],0))=0,"",INDEX(Table2[],_xlfn.XMATCH($A68,Table2[Steel Member],0),_xlfn.XMATCH(AL$2,Table2[#Headers],0)))</f>
        <v>#N/A</v>
      </c>
      <c r="AM68" s="4"/>
      <c r="AN68" s="4" t="str">
        <f t="shared" si="37"/>
        <v/>
      </c>
      <c r="AO68" s="4"/>
      <c r="AP68" s="4" t="e" cm="1">
        <f t="array" ref="AP68">IF(INDEX(Table2[],_xlfn.XMATCH($A68,Table2[Steel Member],0),_xlfn.XMATCH(AP$2,Table2[#Headers],0))=0,"",INDEX(Table2[],_xlfn.XMATCH($A68,Table2[Steel Member],0),_xlfn.XMATCH(AP$2,Table2[#Headers],0)))</f>
        <v>#N/A</v>
      </c>
      <c r="AQ68" s="4"/>
      <c r="AR68" s="4"/>
      <c r="AS68" s="4"/>
      <c r="AT68" s="4"/>
    </row>
    <row r="69" spans="1:46" x14ac:dyDescent="0.25">
      <c r="A69" s="52"/>
      <c r="B69" s="52"/>
      <c r="C69" s="52"/>
      <c r="D69" s="52"/>
      <c r="E69" s="52"/>
      <c r="F69" s="64" cm="1">
        <f t="array" ref="F69">IF(COUNT(FIND(PurlinsxGirthsxBracings,$C69))&gt;0,0,ROUNDUP(IF(D69=0,0,VLOOKUP(D69,'DATA SHEET'!$B:$D,2,FALSE)),2))</f>
        <v>0</v>
      </c>
      <c r="G69" s="64" cm="1">
        <f t="array" ref="G69">IF(COUNT(FIND(PurlinsxGirthsxBracings,$C69))&gt;0,0,ROUNDUP(IF(D69=0,0,VLOOKUP(D69,'DATA SHEET'!$B:$D,3,FALSE)),2))</f>
        <v>0</v>
      </c>
      <c r="H69" s="53"/>
      <c r="I69" s="66" cm="1">
        <f t="array" ref="I69">IF(AND(ISBLANK(B69),ISBLANK(C69),ISBLANK(E69)),0,IF(COUNT(FIND(PurlinsxGirthsxBracings,$C69))&gt;0,IF(B69=0,CONCATENATE(E69," ",C69),CONCATENATE(B69," - ",E69," ",C69)),IF(B69=0,IF(ISBLANK(C69),E69,CONCATENATE(D69,", ",F69,"kg/m, ",G69,"mm surface perimeter")),IF(AND(ISBLANK(C69),ISTEXT(E69)),CONCATENATE(B69," - ",E69),IF(AND(ISBLANK(C69),ISBLANK(E69)),B69,CONCATENATE(B69," - ",D69,", ",F69,"kg/m, ",G69,"mm surface perimeter"))))&amp;IF(ISBLANK(H69),"",H69)))</f>
        <v>0</v>
      </c>
      <c r="J69" s="53"/>
      <c r="L69" s="4" t="str" cm="1">
        <f t="array" ref="L69">IF(COUNT(FIND({0,1,2,3,4,5,6,7,8,9},B69))&gt;0,COUNT(FIND({0,1,2,3,4,5,6,7,8,9},B69))&gt;0,"")</f>
        <v/>
      </c>
      <c r="M69" s="4" t="str" cm="1">
        <f t="array" aca="1" ref="M69" ca="1">IFERROR(_xlfn.IFS(R69="Count",RANDBETWEEN(1,COUNTIF($R$11:$R$653,"Count")),R69="Length",RANDBETWEEN(1,COUNTIF($R$11:$R$653,"Length"))),"")</f>
        <v/>
      </c>
      <c r="N69" s="4" t="str">
        <f ca="1">IFERROR(_xlfn.RANK.EQ(M69,$M$11:$M$653)+COUNTIF($M$11:M69,M69)-1,"")</f>
        <v/>
      </c>
      <c r="O69" s="86" t="str">
        <f>IF(A69='DATA SHEET'!$L$36,C69,IFERROR(IF(AND(ISTEXT(I69),ISBLANK(C69)),"No details",VLOOKUP(C69,DimFolder,2,FALSE)),""))</f>
        <v/>
      </c>
      <c r="P69" s="4" t="str">
        <f t="shared" si="14"/>
        <v/>
      </c>
      <c r="Q69" s="58" t="str">
        <f t="shared" si="38"/>
        <v/>
      </c>
      <c r="R69" s="4" t="e" cm="1">
        <f t="array" ref="R69">IF(INDEX(Table2[],_xlfn.XMATCH($A69,Table2[Steel Member],0),_xlfn.XMATCH(R$2,Table2[#Headers],0))=0,"",INDEX(Table2[],_xlfn.XMATCH($A69,Table2[Steel Member],0),_xlfn.XMATCH(R$2,Table2[#Headers],0)))</f>
        <v>#N/A</v>
      </c>
      <c r="S69" s="4" t="e" cm="1">
        <f t="array" ref="S69">IF(INDEX(Table2[],_xlfn.XMATCH($A69,Table2[Steel Member],0),_xlfn.XMATCH(S$2,Table2[#Headers],0))=0,"",INDEX(Table2[],_xlfn.XMATCH($A69,Table2[Steel Member],0),_xlfn.XMATCH(S$2,Table2[#Headers],0)))</f>
        <v>#N/A</v>
      </c>
      <c r="T69" s="4" t="str">
        <f t="shared" si="29"/>
        <v/>
      </c>
      <c r="U69" s="4" t="e">
        <f ca="1">VLOOKUP(N69,'COLOR CODE'!$B:$D,2,FALSE)</f>
        <v>#N/A</v>
      </c>
      <c r="V69" s="4" t="str">
        <f t="shared" si="30"/>
        <v/>
      </c>
      <c r="W69" s="4" t="e" cm="1">
        <f t="array" ref="W69">IF(INDEX(Table2[],_xlfn.XMATCH($A69,Table2[Steel Member],0),_xlfn.XMATCH(W$2,Table2[#Headers],0))=0,"",INDEX(Table2[],_xlfn.XMATCH($A69,Table2[Steel Member],0),_xlfn.XMATCH(W$2,Table2[#Headers],0)))</f>
        <v>#N/A</v>
      </c>
      <c r="X69" s="4" t="e">
        <f t="shared" si="28"/>
        <v>#N/A</v>
      </c>
      <c r="Y69" s="4" t="e" cm="1">
        <f t="array" ref="Y69">IF(INDEX(Table2[],_xlfn.XMATCH($A69,Table2[Steel Member],0),_xlfn.XMATCH(Y$2,Table2[#Headers],0))=0,"",INDEX(Table2[],_xlfn.XMATCH($A69,Table2[Steel Member],0),_xlfn.XMATCH(Y$2,Table2[#Headers],0)))</f>
        <v>#N/A</v>
      </c>
      <c r="Z69" s="4" t="e" cm="1">
        <f t="array" ref="Z69">IF(INDEX(Table2[],_xlfn.XMATCH($A69,Table2[Steel Member],0),_xlfn.XMATCH(Z$2,Table2[#Headers],0))=0,"",INDEX(Table2[],_xlfn.XMATCH($A69,Table2[Steel Member],0),_xlfn.XMATCH(Z$2,Table2[#Headers],0)))</f>
        <v>#N/A</v>
      </c>
      <c r="AA69" s="4" t="e" cm="1">
        <f t="array" ref="AA69">IF(INDEX(Table2[],_xlfn.XMATCH($A69,Table2[Steel Member],0),_xlfn.XMATCH(AA$2,Table2[#Headers],0))=0,"",INDEX(Table2[],_xlfn.XMATCH($A69,Table2[Steel Member],0),_xlfn.XMATCH(AA$2,Table2[#Headers],0)))</f>
        <v>#N/A</v>
      </c>
      <c r="AB69" s="4" t="e" cm="1">
        <f t="array" ref="AB69">IF(INDEX(Table2[],_xlfn.XMATCH($A69,Table2[Steel Member],0),_xlfn.XMATCH(AB$2,Table2[#Headers],0))=0,"",INDEX(Table2[],_xlfn.XMATCH($A69,Table2[Steel Member],0),_xlfn.XMATCH(AB$2,Table2[#Headers],0)))</f>
        <v>#N/A</v>
      </c>
      <c r="AC69" s="4" t="str" cm="1">
        <f t="array" ref="AC69">IFERROR(INDEX(Table8[],_xlfn.XMATCH($O69,Table8[Dimension Name Category],0),_xlfn.XMATCH(AC$2&amp;IF($L69," w/ tag"," w/o tag"),Table8[#Headers],0)),"")</f>
        <v/>
      </c>
      <c r="AD69" s="59" t="str">
        <f t="shared" si="31"/>
        <v/>
      </c>
      <c r="AE69" s="4" t="str">
        <f t="shared" si="32"/>
        <v/>
      </c>
      <c r="AF69" s="4" t="str">
        <f t="shared" si="33"/>
        <v/>
      </c>
      <c r="AG69" s="4" t="str" cm="1">
        <f t="array" ref="AG69">IFERROR(INDEX(Table8[],_xlfn.XMATCH($O69,Table8[Dimension Name Category],0),_xlfn.XMATCH(AG$2&amp;IF($L69," w/ tag"," w/o tag"),Table8[#Headers],0)),"")</f>
        <v/>
      </c>
      <c r="AH69" s="59" t="str">
        <f t="shared" si="34"/>
        <v/>
      </c>
      <c r="AI69" s="4"/>
      <c r="AJ69" s="4" t="str">
        <f t="shared" si="35"/>
        <v/>
      </c>
      <c r="AK69" s="4" t="str">
        <f t="shared" si="36"/>
        <v/>
      </c>
      <c r="AL69" s="4" t="e" cm="1">
        <f t="array" ref="AL69">IF(INDEX(Table2[],_xlfn.XMATCH($A69,Table2[Steel Member],0),_xlfn.XMATCH(AL$2,Table2[#Headers],0))=0,"",INDEX(Table2[],_xlfn.XMATCH($A69,Table2[Steel Member],0),_xlfn.XMATCH(AL$2,Table2[#Headers],0)))</f>
        <v>#N/A</v>
      </c>
      <c r="AM69" s="4"/>
      <c r="AN69" s="4" t="str">
        <f t="shared" si="37"/>
        <v/>
      </c>
      <c r="AO69" s="4"/>
      <c r="AP69" s="4" t="e" cm="1">
        <f t="array" ref="AP69">IF(INDEX(Table2[],_xlfn.XMATCH($A69,Table2[Steel Member],0),_xlfn.XMATCH(AP$2,Table2[#Headers],0))=0,"",INDEX(Table2[],_xlfn.XMATCH($A69,Table2[Steel Member],0),_xlfn.XMATCH(AP$2,Table2[#Headers],0)))</f>
        <v>#N/A</v>
      </c>
      <c r="AQ69" s="4"/>
      <c r="AR69" s="4"/>
      <c r="AS69" s="4"/>
      <c r="AT69" s="4"/>
    </row>
    <row r="70" spans="1:46" x14ac:dyDescent="0.25">
      <c r="A70" s="52"/>
      <c r="B70" s="52"/>
      <c r="C70" s="52"/>
      <c r="D70" s="52"/>
      <c r="E70" s="52"/>
      <c r="F70" s="64" cm="1">
        <f t="array" ref="F70">IF(COUNT(FIND(PurlinsxGirthsxBracings,$C70))&gt;0,0,ROUNDUP(IF(D70=0,0,VLOOKUP(D70,'DATA SHEET'!$B:$D,2,FALSE)),2))</f>
        <v>0</v>
      </c>
      <c r="G70" s="64" cm="1">
        <f t="array" ref="G70">IF(COUNT(FIND(PurlinsxGirthsxBracings,$C70))&gt;0,0,ROUNDUP(IF(D70=0,0,VLOOKUP(D70,'DATA SHEET'!$B:$D,3,FALSE)),2))</f>
        <v>0</v>
      </c>
      <c r="H70" s="53"/>
      <c r="I70" s="66" cm="1">
        <f t="array" ref="I70">IF(AND(ISBLANK(B70),ISBLANK(C70),ISBLANK(E70)),0,IF(COUNT(FIND(PurlinsxGirthsxBracings,$C70))&gt;0,IF(B70=0,CONCATENATE(E70," ",C70),CONCATENATE(B70," - ",E70," ",C70)),IF(B70=0,IF(ISBLANK(C70),E70,CONCATENATE(D70,", ",F70,"kg/m, ",G70,"mm surface perimeter")),IF(AND(ISBLANK(C70),ISTEXT(E70)),CONCATENATE(B70," - ",E70),IF(AND(ISBLANK(C70),ISBLANK(E70)),B70,CONCATENATE(B70," - ",D70,", ",F70,"kg/m, ",G70,"mm surface perimeter"))))&amp;IF(ISBLANK(H70),"",H70)))</f>
        <v>0</v>
      </c>
      <c r="J70" s="53"/>
      <c r="L70" s="4" t="str" cm="1">
        <f t="array" ref="L70">IF(COUNT(FIND({0,1,2,3,4,5,6,7,8,9},B70))&gt;0,COUNT(FIND({0,1,2,3,4,5,6,7,8,9},B70))&gt;0,"")</f>
        <v/>
      </c>
      <c r="M70" s="4" t="str" cm="1">
        <f t="array" aca="1" ref="M70" ca="1">IFERROR(_xlfn.IFS(R70="Count",RANDBETWEEN(1,COUNTIF($R$11:$R$653,"Count")),R70="Length",RANDBETWEEN(1,COUNTIF($R$11:$R$653,"Length"))),"")</f>
        <v/>
      </c>
      <c r="N70" s="4" t="str">
        <f ca="1">IFERROR(_xlfn.RANK.EQ(M70,$M$11:$M$653)+COUNTIF($M$11:M70,M70)-1,"")</f>
        <v/>
      </c>
      <c r="O70" s="86" t="str">
        <f>IF(A70='DATA SHEET'!$L$36,C70,IFERROR(IF(AND(ISTEXT(I70),ISBLANK(C70)),"No details",VLOOKUP(C70,DimFolder,2,FALSE)),""))</f>
        <v/>
      </c>
      <c r="P70" s="4" t="str">
        <f t="shared" si="14"/>
        <v/>
      </c>
      <c r="Q70" s="58" t="str">
        <f t="shared" si="38"/>
        <v/>
      </c>
      <c r="R70" s="4" t="e" cm="1">
        <f t="array" ref="R70">IF(INDEX(Table2[],_xlfn.XMATCH($A70,Table2[Steel Member],0),_xlfn.XMATCH(R$2,Table2[#Headers],0))=0,"",INDEX(Table2[],_xlfn.XMATCH($A70,Table2[Steel Member],0),_xlfn.XMATCH(R$2,Table2[#Headers],0)))</f>
        <v>#N/A</v>
      </c>
      <c r="S70" s="4" t="e" cm="1">
        <f t="array" ref="S70">IF(INDEX(Table2[],_xlfn.XMATCH($A70,Table2[Steel Member],0),_xlfn.XMATCH(S$2,Table2[#Headers],0))=0,"",INDEX(Table2[],_xlfn.XMATCH($A70,Table2[Steel Member],0),_xlfn.XMATCH(S$2,Table2[#Headers],0)))</f>
        <v>#N/A</v>
      </c>
      <c r="T70" s="4" t="str">
        <f t="shared" si="29"/>
        <v/>
      </c>
      <c r="U70" s="4" t="e">
        <f ca="1">VLOOKUP(N70,'COLOR CODE'!$B:$D,2,FALSE)</f>
        <v>#N/A</v>
      </c>
      <c r="V70" s="4" t="str">
        <f t="shared" si="30"/>
        <v/>
      </c>
      <c r="W70" s="4" t="e" cm="1">
        <f t="array" ref="W70">IF(INDEX(Table2[],_xlfn.XMATCH($A70,Table2[Steel Member],0),_xlfn.XMATCH(W$2,Table2[#Headers],0))=0,"",INDEX(Table2[],_xlfn.XMATCH($A70,Table2[Steel Member],0),_xlfn.XMATCH(W$2,Table2[#Headers],0)))</f>
        <v>#N/A</v>
      </c>
      <c r="X70" s="4" t="e">
        <f t="shared" si="28"/>
        <v>#N/A</v>
      </c>
      <c r="Y70" s="4" t="e" cm="1">
        <f t="array" ref="Y70">IF(INDEX(Table2[],_xlfn.XMATCH($A70,Table2[Steel Member],0),_xlfn.XMATCH(Y$2,Table2[#Headers],0))=0,"",INDEX(Table2[],_xlfn.XMATCH($A70,Table2[Steel Member],0),_xlfn.XMATCH(Y$2,Table2[#Headers],0)))</f>
        <v>#N/A</v>
      </c>
      <c r="Z70" s="4" t="e" cm="1">
        <f t="array" ref="Z70">IF(INDEX(Table2[],_xlfn.XMATCH($A70,Table2[Steel Member],0),_xlfn.XMATCH(Z$2,Table2[#Headers],0))=0,"",INDEX(Table2[],_xlfn.XMATCH($A70,Table2[Steel Member],0),_xlfn.XMATCH(Z$2,Table2[#Headers],0)))</f>
        <v>#N/A</v>
      </c>
      <c r="AA70" s="4" t="e" cm="1">
        <f t="array" ref="AA70">IF(INDEX(Table2[],_xlfn.XMATCH($A70,Table2[Steel Member],0),_xlfn.XMATCH(AA$2,Table2[#Headers],0))=0,"",INDEX(Table2[],_xlfn.XMATCH($A70,Table2[Steel Member],0),_xlfn.XMATCH(AA$2,Table2[#Headers],0)))</f>
        <v>#N/A</v>
      </c>
      <c r="AB70" s="4" t="e" cm="1">
        <f t="array" ref="AB70">IF(INDEX(Table2[],_xlfn.XMATCH($A70,Table2[Steel Member],0),_xlfn.XMATCH(AB$2,Table2[#Headers],0))=0,"",INDEX(Table2[],_xlfn.XMATCH($A70,Table2[Steel Member],0),_xlfn.XMATCH(AB$2,Table2[#Headers],0)))</f>
        <v>#N/A</v>
      </c>
      <c r="AC70" s="4" t="str" cm="1">
        <f t="array" ref="AC70">IFERROR(INDEX(Table8[],_xlfn.XMATCH($O70,Table8[Dimension Name Category],0),_xlfn.XMATCH(AC$2&amp;IF($L70," w/ tag"," w/o tag"),Table8[#Headers],0)),"")</f>
        <v/>
      </c>
      <c r="AD70" s="59" t="str">
        <f t="shared" si="31"/>
        <v/>
      </c>
      <c r="AE70" s="4" t="str">
        <f t="shared" si="32"/>
        <v/>
      </c>
      <c r="AF70" s="4" t="str">
        <f t="shared" si="33"/>
        <v/>
      </c>
      <c r="AG70" s="4" t="str" cm="1">
        <f t="array" ref="AG70">IFERROR(INDEX(Table8[],_xlfn.XMATCH($O70,Table8[Dimension Name Category],0),_xlfn.XMATCH(AG$2&amp;IF($L70," w/ tag"," w/o tag"),Table8[#Headers],0)),"")</f>
        <v/>
      </c>
      <c r="AH70" s="59" t="str">
        <f t="shared" si="34"/>
        <v/>
      </c>
      <c r="AI70" s="4"/>
      <c r="AJ70" s="4" t="str">
        <f t="shared" si="35"/>
        <v/>
      </c>
      <c r="AK70" s="4" t="str">
        <f t="shared" si="36"/>
        <v/>
      </c>
      <c r="AL70" s="4" t="e" cm="1">
        <f t="array" ref="AL70">IF(INDEX(Table2[],_xlfn.XMATCH($A70,Table2[Steel Member],0),_xlfn.XMATCH(AL$2,Table2[#Headers],0))=0,"",INDEX(Table2[],_xlfn.XMATCH($A70,Table2[Steel Member],0),_xlfn.XMATCH(AL$2,Table2[#Headers],0)))</f>
        <v>#N/A</v>
      </c>
      <c r="AM70" s="4"/>
      <c r="AN70" s="4" t="str">
        <f t="shared" si="37"/>
        <v/>
      </c>
      <c r="AO70" s="4"/>
      <c r="AP70" s="4" t="e" cm="1">
        <f t="array" ref="AP70">IF(INDEX(Table2[],_xlfn.XMATCH($A70,Table2[Steel Member],0),_xlfn.XMATCH(AP$2,Table2[#Headers],0))=0,"",INDEX(Table2[],_xlfn.XMATCH($A70,Table2[Steel Member],0),_xlfn.XMATCH(AP$2,Table2[#Headers],0)))</f>
        <v>#N/A</v>
      </c>
      <c r="AQ70" s="4"/>
      <c r="AR70" s="4"/>
      <c r="AS70" s="4"/>
      <c r="AT70" s="4"/>
    </row>
    <row r="71" spans="1:46" x14ac:dyDescent="0.25">
      <c r="A71" s="52"/>
      <c r="B71" s="52"/>
      <c r="C71" s="52"/>
      <c r="D71" s="52"/>
      <c r="E71" s="52"/>
      <c r="F71" s="64" cm="1">
        <f t="array" ref="F71">IF(COUNT(FIND(PurlinsxGirthsxBracings,$C71))&gt;0,0,ROUNDUP(IF(D71=0,0,VLOOKUP(D71,'DATA SHEET'!$B:$D,2,FALSE)),2))</f>
        <v>0</v>
      </c>
      <c r="G71" s="64" cm="1">
        <f t="array" ref="G71">IF(COUNT(FIND(PurlinsxGirthsxBracings,$C71))&gt;0,0,ROUNDUP(IF(D71=0,0,VLOOKUP(D71,'DATA SHEET'!$B:$D,3,FALSE)),2))</f>
        <v>0</v>
      </c>
      <c r="H71" s="53"/>
      <c r="I71" s="66" cm="1">
        <f t="array" ref="I71">IF(AND(ISBLANK(B71),ISBLANK(C71),ISBLANK(E71)),0,IF(COUNT(FIND(PurlinsxGirthsxBracings,$C71))&gt;0,IF(B71=0,CONCATENATE(E71," ",C71),CONCATENATE(B71," - ",E71," ",C71)),IF(B71=0,IF(ISBLANK(C71),E71,CONCATENATE(D71,", ",F71,"kg/m, ",G71,"mm surface perimeter")),IF(AND(ISBLANK(C71),ISTEXT(E71)),CONCATENATE(B71," - ",E71),IF(AND(ISBLANK(C71),ISBLANK(E71)),B71,CONCATENATE(B71," - ",D71,", ",F71,"kg/m, ",G71,"mm surface perimeter"))))&amp;IF(ISBLANK(H71),"",H71)))</f>
        <v>0</v>
      </c>
      <c r="J71" s="53"/>
      <c r="L71" s="4" t="str" cm="1">
        <f t="array" ref="L71">IF(COUNT(FIND({0,1,2,3,4,5,6,7,8,9},B71))&gt;0,COUNT(FIND({0,1,2,3,4,5,6,7,8,9},B71))&gt;0,"")</f>
        <v/>
      </c>
      <c r="M71" s="4" t="str" cm="1">
        <f t="array" aca="1" ref="M71" ca="1">IFERROR(_xlfn.IFS(R71="Count",RANDBETWEEN(1,COUNTIF($R$11:$R$653,"Count")),R71="Length",RANDBETWEEN(1,COUNTIF($R$11:$R$653,"Length"))),"")</f>
        <v/>
      </c>
      <c r="N71" s="4" t="str">
        <f ca="1">IFERROR(_xlfn.RANK.EQ(M71,$M$11:$M$653)+COUNTIF($M$11:M71,M71)-1,"")</f>
        <v/>
      </c>
      <c r="O71" s="86" t="str">
        <f>IF(A71='DATA SHEET'!$L$36,C71,IFERROR(IF(AND(ISTEXT(I71),ISBLANK(C71)),"No details",VLOOKUP(C71,DimFolder,2,FALSE)),""))</f>
        <v/>
      </c>
      <c r="P71" s="4" t="str">
        <f t="shared" si="14"/>
        <v/>
      </c>
      <c r="Q71" s="58" t="str">
        <f t="shared" si="38"/>
        <v/>
      </c>
      <c r="R71" s="4" t="e" cm="1">
        <f t="array" ref="R71">IF(INDEX(Table2[],_xlfn.XMATCH($A71,Table2[Steel Member],0),_xlfn.XMATCH(R$2,Table2[#Headers],0))=0,"",INDEX(Table2[],_xlfn.XMATCH($A71,Table2[Steel Member],0),_xlfn.XMATCH(R$2,Table2[#Headers],0)))</f>
        <v>#N/A</v>
      </c>
      <c r="S71" s="4" t="e" cm="1">
        <f t="array" ref="S71">IF(INDEX(Table2[],_xlfn.XMATCH($A71,Table2[Steel Member],0),_xlfn.XMATCH(S$2,Table2[#Headers],0))=0,"",INDEX(Table2[],_xlfn.XMATCH($A71,Table2[Steel Member],0),_xlfn.XMATCH(S$2,Table2[#Headers],0)))</f>
        <v>#N/A</v>
      </c>
      <c r="T71" s="4" t="str">
        <f t="shared" si="29"/>
        <v/>
      </c>
      <c r="U71" s="4" t="e">
        <f ca="1">VLOOKUP(N71,'COLOR CODE'!$B:$D,2,FALSE)</f>
        <v>#N/A</v>
      </c>
      <c r="V71" s="4" t="str">
        <f t="shared" si="30"/>
        <v/>
      </c>
      <c r="W71" s="4" t="e" cm="1">
        <f t="array" ref="W71">IF(INDEX(Table2[],_xlfn.XMATCH($A71,Table2[Steel Member],0),_xlfn.XMATCH(W$2,Table2[#Headers],0))=0,"",INDEX(Table2[],_xlfn.XMATCH($A71,Table2[Steel Member],0),_xlfn.XMATCH(W$2,Table2[#Headers],0)))</f>
        <v>#N/A</v>
      </c>
      <c r="X71" s="4" t="e">
        <f t="shared" si="28"/>
        <v>#N/A</v>
      </c>
      <c r="Y71" s="4" t="e" cm="1">
        <f t="array" ref="Y71">IF(INDEX(Table2[],_xlfn.XMATCH($A71,Table2[Steel Member],0),_xlfn.XMATCH(Y$2,Table2[#Headers],0))=0,"",INDEX(Table2[],_xlfn.XMATCH($A71,Table2[Steel Member],0),_xlfn.XMATCH(Y$2,Table2[#Headers],0)))</f>
        <v>#N/A</v>
      </c>
      <c r="Z71" s="4" t="e" cm="1">
        <f t="array" ref="Z71">IF(INDEX(Table2[],_xlfn.XMATCH($A71,Table2[Steel Member],0),_xlfn.XMATCH(Z$2,Table2[#Headers],0))=0,"",INDEX(Table2[],_xlfn.XMATCH($A71,Table2[Steel Member],0),_xlfn.XMATCH(Z$2,Table2[#Headers],0)))</f>
        <v>#N/A</v>
      </c>
      <c r="AA71" s="4" t="e" cm="1">
        <f t="array" ref="AA71">IF(INDEX(Table2[],_xlfn.XMATCH($A71,Table2[Steel Member],0),_xlfn.XMATCH(AA$2,Table2[#Headers],0))=0,"",INDEX(Table2[],_xlfn.XMATCH($A71,Table2[Steel Member],0),_xlfn.XMATCH(AA$2,Table2[#Headers],0)))</f>
        <v>#N/A</v>
      </c>
      <c r="AB71" s="4" t="e" cm="1">
        <f t="array" ref="AB71">IF(INDEX(Table2[],_xlfn.XMATCH($A71,Table2[Steel Member],0),_xlfn.XMATCH(AB$2,Table2[#Headers],0))=0,"",INDEX(Table2[],_xlfn.XMATCH($A71,Table2[Steel Member],0),_xlfn.XMATCH(AB$2,Table2[#Headers],0)))</f>
        <v>#N/A</v>
      </c>
      <c r="AC71" s="4" t="str" cm="1">
        <f t="array" ref="AC71">IFERROR(INDEX(Table8[],_xlfn.XMATCH($O71,Table8[Dimension Name Category],0),_xlfn.XMATCH(AC$2&amp;IF($L71," w/ tag"," w/o tag"),Table8[#Headers],0)),"")</f>
        <v/>
      </c>
      <c r="AD71" s="59" t="str">
        <f t="shared" si="31"/>
        <v/>
      </c>
      <c r="AE71" s="4" t="str">
        <f t="shared" si="32"/>
        <v/>
      </c>
      <c r="AF71" s="4" t="str">
        <f t="shared" si="33"/>
        <v/>
      </c>
      <c r="AG71" s="4" t="str" cm="1">
        <f t="array" ref="AG71">IFERROR(INDEX(Table8[],_xlfn.XMATCH($O71,Table8[Dimension Name Category],0),_xlfn.XMATCH(AG$2&amp;IF($L71," w/ tag"," w/o tag"),Table8[#Headers],0)),"")</f>
        <v/>
      </c>
      <c r="AH71" s="59" t="str">
        <f t="shared" si="34"/>
        <v/>
      </c>
      <c r="AI71" s="4"/>
      <c r="AJ71" s="4" t="str">
        <f t="shared" si="35"/>
        <v/>
      </c>
      <c r="AK71" s="4" t="str">
        <f t="shared" si="36"/>
        <v/>
      </c>
      <c r="AL71" s="4" t="e" cm="1">
        <f t="array" ref="AL71">IF(INDEX(Table2[],_xlfn.XMATCH($A71,Table2[Steel Member],0),_xlfn.XMATCH(AL$2,Table2[#Headers],0))=0,"",INDEX(Table2[],_xlfn.XMATCH($A71,Table2[Steel Member],0),_xlfn.XMATCH(AL$2,Table2[#Headers],0)))</f>
        <v>#N/A</v>
      </c>
      <c r="AM71" s="4"/>
      <c r="AN71" s="4" t="str">
        <f t="shared" si="37"/>
        <v/>
      </c>
      <c r="AO71" s="4"/>
      <c r="AP71" s="4" t="e" cm="1">
        <f t="array" ref="AP71">IF(INDEX(Table2[],_xlfn.XMATCH($A71,Table2[Steel Member],0),_xlfn.XMATCH(AP$2,Table2[#Headers],0))=0,"",INDEX(Table2[],_xlfn.XMATCH($A71,Table2[Steel Member],0),_xlfn.XMATCH(AP$2,Table2[#Headers],0)))</f>
        <v>#N/A</v>
      </c>
      <c r="AQ71" s="4"/>
      <c r="AR71" s="4"/>
      <c r="AS71" s="4"/>
      <c r="AT71" s="4"/>
    </row>
    <row r="72" spans="1:46" x14ac:dyDescent="0.25">
      <c r="A72" s="52"/>
      <c r="B72" s="52"/>
      <c r="C72" s="52"/>
      <c r="D72" s="52"/>
      <c r="E72" s="52"/>
      <c r="F72" s="64" cm="1">
        <f t="array" ref="F72">IF(COUNT(FIND(PurlinsxGirthsxBracings,$C72))&gt;0,0,ROUNDUP(IF(D72=0,0,VLOOKUP(D72,'DATA SHEET'!$B:$D,2,FALSE)),2))</f>
        <v>0</v>
      </c>
      <c r="G72" s="64" cm="1">
        <f t="array" ref="G72">IF(COUNT(FIND(PurlinsxGirthsxBracings,$C72))&gt;0,0,ROUNDUP(IF(D72=0,0,VLOOKUP(D72,'DATA SHEET'!$B:$D,3,FALSE)),2))</f>
        <v>0</v>
      </c>
      <c r="H72" s="53"/>
      <c r="I72" s="66" cm="1">
        <f t="array" ref="I72">IF(AND(ISBLANK(B72),ISBLANK(C72),ISBLANK(E72)),0,IF(COUNT(FIND(PurlinsxGirthsxBracings,$C72))&gt;0,IF(B72=0,CONCATENATE(E72," ",C72),CONCATENATE(B72," - ",E72," ",C72)),IF(B72=0,IF(ISBLANK(C72),E72,CONCATENATE(D72,", ",F72,"kg/m, ",G72,"mm surface perimeter")),IF(AND(ISBLANK(C72),ISTEXT(E72)),CONCATENATE(B72," - ",E72),IF(AND(ISBLANK(C72),ISBLANK(E72)),B72,CONCATENATE(B72," - ",D72,", ",F72,"kg/m, ",G72,"mm surface perimeter"))))&amp;IF(ISBLANK(H72),"",H72)))</f>
        <v>0</v>
      </c>
      <c r="J72" s="53"/>
      <c r="L72" s="4" t="str" cm="1">
        <f t="array" ref="L72">IF(COUNT(FIND({0,1,2,3,4,5,6,7,8,9},B72))&gt;0,COUNT(FIND({0,1,2,3,4,5,6,7,8,9},B72))&gt;0,"")</f>
        <v/>
      </c>
      <c r="M72" s="4" t="str" cm="1">
        <f t="array" aca="1" ref="M72" ca="1">IFERROR(_xlfn.IFS(R72="Count",RANDBETWEEN(1,COUNTIF($R$11:$R$653,"Count")),R72="Length",RANDBETWEEN(1,COUNTIF($R$11:$R$653,"Length"))),"")</f>
        <v/>
      </c>
      <c r="N72" s="4" t="str">
        <f ca="1">IFERROR(_xlfn.RANK.EQ(M72,$M$11:$M$653)+COUNTIF($M$11:M72,M72)-1,"")</f>
        <v/>
      </c>
      <c r="O72" s="86" t="str">
        <f>IF(A72='DATA SHEET'!$L$36,C72,IFERROR(IF(AND(ISTEXT(I72),ISBLANK(C72)),"No details",VLOOKUP(C72,DimFolder,2,FALSE)),""))</f>
        <v/>
      </c>
      <c r="P72" s="4" t="str">
        <f t="shared" si="14"/>
        <v/>
      </c>
      <c r="Q72" s="58" t="str">
        <f t="shared" si="38"/>
        <v/>
      </c>
      <c r="R72" s="4" t="e" cm="1">
        <f t="array" ref="R72">IF(INDEX(Table2[],_xlfn.XMATCH($A72,Table2[Steel Member],0),_xlfn.XMATCH(R$2,Table2[#Headers],0))=0,"",INDEX(Table2[],_xlfn.XMATCH($A72,Table2[Steel Member],0),_xlfn.XMATCH(R$2,Table2[#Headers],0)))</f>
        <v>#N/A</v>
      </c>
      <c r="S72" s="4" t="e" cm="1">
        <f t="array" ref="S72">IF(INDEX(Table2[],_xlfn.XMATCH($A72,Table2[Steel Member],0),_xlfn.XMATCH(S$2,Table2[#Headers],0))=0,"",INDEX(Table2[],_xlfn.XMATCH($A72,Table2[Steel Member],0),_xlfn.XMATCH(S$2,Table2[#Headers],0)))</f>
        <v>#N/A</v>
      </c>
      <c r="T72" s="4" t="str">
        <f t="shared" si="29"/>
        <v/>
      </c>
      <c r="U72" s="4" t="e">
        <f ca="1">VLOOKUP(N72,'COLOR CODE'!$B:$D,2,FALSE)</f>
        <v>#N/A</v>
      </c>
      <c r="V72" s="4" t="str">
        <f t="shared" si="30"/>
        <v/>
      </c>
      <c r="W72" s="4" t="e" cm="1">
        <f t="array" ref="W72">IF(INDEX(Table2[],_xlfn.XMATCH($A72,Table2[Steel Member],0),_xlfn.XMATCH(W$2,Table2[#Headers],0))=0,"",INDEX(Table2[],_xlfn.XMATCH($A72,Table2[Steel Member],0),_xlfn.XMATCH(W$2,Table2[#Headers],0)))</f>
        <v>#N/A</v>
      </c>
      <c r="X72" s="4" t="e">
        <f t="shared" si="28"/>
        <v>#N/A</v>
      </c>
      <c r="Y72" s="4" t="e" cm="1">
        <f t="array" ref="Y72">IF(INDEX(Table2[],_xlfn.XMATCH($A72,Table2[Steel Member],0),_xlfn.XMATCH(Y$2,Table2[#Headers],0))=0,"",INDEX(Table2[],_xlfn.XMATCH($A72,Table2[Steel Member],0),_xlfn.XMATCH(Y$2,Table2[#Headers],0)))</f>
        <v>#N/A</v>
      </c>
      <c r="Z72" s="4" t="e" cm="1">
        <f t="array" ref="Z72">IF(INDEX(Table2[],_xlfn.XMATCH($A72,Table2[Steel Member],0),_xlfn.XMATCH(Z$2,Table2[#Headers],0))=0,"",INDEX(Table2[],_xlfn.XMATCH($A72,Table2[Steel Member],0),_xlfn.XMATCH(Z$2,Table2[#Headers],0)))</f>
        <v>#N/A</v>
      </c>
      <c r="AA72" s="4" t="e" cm="1">
        <f t="array" ref="AA72">IF(INDEX(Table2[],_xlfn.XMATCH($A72,Table2[Steel Member],0),_xlfn.XMATCH(AA$2,Table2[#Headers],0))=0,"",INDEX(Table2[],_xlfn.XMATCH($A72,Table2[Steel Member],0),_xlfn.XMATCH(AA$2,Table2[#Headers],0)))</f>
        <v>#N/A</v>
      </c>
      <c r="AB72" s="4" t="e" cm="1">
        <f t="array" ref="AB72">IF(INDEX(Table2[],_xlfn.XMATCH($A72,Table2[Steel Member],0),_xlfn.XMATCH(AB$2,Table2[#Headers],0))=0,"",INDEX(Table2[],_xlfn.XMATCH($A72,Table2[Steel Member],0),_xlfn.XMATCH(AB$2,Table2[#Headers],0)))</f>
        <v>#N/A</v>
      </c>
      <c r="AC72" s="4" t="str" cm="1">
        <f t="array" ref="AC72">IFERROR(INDEX(Table8[],_xlfn.XMATCH($O72,Table8[Dimension Name Category],0),_xlfn.XMATCH(AC$2&amp;IF($L72," w/ tag"," w/o tag"),Table8[#Headers],0)),"")</f>
        <v/>
      </c>
      <c r="AD72" s="59" t="str">
        <f t="shared" si="31"/>
        <v/>
      </c>
      <c r="AE72" s="4" t="str">
        <f t="shared" si="32"/>
        <v/>
      </c>
      <c r="AF72" s="4" t="str">
        <f t="shared" si="33"/>
        <v/>
      </c>
      <c r="AG72" s="4" t="str" cm="1">
        <f t="array" ref="AG72">IFERROR(INDEX(Table8[],_xlfn.XMATCH($O72,Table8[Dimension Name Category],0),_xlfn.XMATCH(AG$2&amp;IF($L72," w/ tag"," w/o tag"),Table8[#Headers],0)),"")</f>
        <v/>
      </c>
      <c r="AH72" s="59" t="str">
        <f t="shared" si="34"/>
        <v/>
      </c>
      <c r="AI72" s="4"/>
      <c r="AJ72" s="4" t="str">
        <f t="shared" si="35"/>
        <v/>
      </c>
      <c r="AK72" s="4" t="str">
        <f t="shared" si="36"/>
        <v/>
      </c>
      <c r="AL72" s="4" t="e" cm="1">
        <f t="array" ref="AL72">IF(INDEX(Table2[],_xlfn.XMATCH($A72,Table2[Steel Member],0),_xlfn.XMATCH(AL$2,Table2[#Headers],0))=0,"",INDEX(Table2[],_xlfn.XMATCH($A72,Table2[Steel Member],0),_xlfn.XMATCH(AL$2,Table2[#Headers],0)))</f>
        <v>#N/A</v>
      </c>
      <c r="AM72" s="4"/>
      <c r="AN72" s="4" t="str">
        <f t="shared" si="37"/>
        <v/>
      </c>
      <c r="AO72" s="4"/>
      <c r="AP72" s="4" t="e" cm="1">
        <f t="array" ref="AP72">IF(INDEX(Table2[],_xlfn.XMATCH($A72,Table2[Steel Member],0),_xlfn.XMATCH(AP$2,Table2[#Headers],0))=0,"",INDEX(Table2[],_xlfn.XMATCH($A72,Table2[Steel Member],0),_xlfn.XMATCH(AP$2,Table2[#Headers],0)))</f>
        <v>#N/A</v>
      </c>
      <c r="AQ72" s="4"/>
      <c r="AR72" s="4"/>
      <c r="AS72" s="4"/>
      <c r="AT72" s="4"/>
    </row>
    <row r="73" spans="1:46" x14ac:dyDescent="0.25">
      <c r="A73" s="52"/>
      <c r="B73" s="52"/>
      <c r="C73" s="52"/>
      <c r="D73" s="52"/>
      <c r="E73" s="52"/>
      <c r="F73" s="64" cm="1">
        <f t="array" ref="F73">IF(COUNT(FIND(PurlinsxGirthsxBracings,$C73))&gt;0,0,ROUNDUP(IF(D73=0,0,VLOOKUP(D73,'DATA SHEET'!$B:$D,2,FALSE)),2))</f>
        <v>0</v>
      </c>
      <c r="G73" s="64" cm="1">
        <f t="array" ref="G73">IF(COUNT(FIND(PurlinsxGirthsxBracings,$C73))&gt;0,0,ROUNDUP(IF(D73=0,0,VLOOKUP(D73,'DATA SHEET'!$B:$D,3,FALSE)),2))</f>
        <v>0</v>
      </c>
      <c r="H73" s="53"/>
      <c r="I73" s="66" cm="1">
        <f t="array" ref="I73">IF(AND(ISBLANK(B73),ISBLANK(C73),ISBLANK(E73)),0,IF(COUNT(FIND(PurlinsxGirthsxBracings,$C73))&gt;0,IF(B73=0,CONCATENATE(E73," ",C73),CONCATENATE(B73," - ",E73," ",C73)),IF(B73=0,IF(ISBLANK(C73),E73,CONCATENATE(D73,", ",F73,"kg/m, ",G73,"mm surface perimeter")),IF(AND(ISBLANK(C73),ISTEXT(E73)),CONCATENATE(B73," - ",E73),IF(AND(ISBLANK(C73),ISBLANK(E73)),B73,CONCATENATE(B73," - ",D73,", ",F73,"kg/m, ",G73,"mm surface perimeter"))))&amp;IF(ISBLANK(H73),"",H73)))</f>
        <v>0</v>
      </c>
      <c r="J73" s="53"/>
      <c r="L73" s="4" t="str" cm="1">
        <f t="array" ref="L73">IF(COUNT(FIND({0,1,2,3,4,5,6,7,8,9},B73))&gt;0,COUNT(FIND({0,1,2,3,4,5,6,7,8,9},B73))&gt;0,"")</f>
        <v/>
      </c>
      <c r="M73" s="4" t="str" cm="1">
        <f t="array" aca="1" ref="M73" ca="1">IFERROR(_xlfn.IFS(R73="Count",RANDBETWEEN(1,COUNTIF($R$11:$R$653,"Count")),R73="Length",RANDBETWEEN(1,COUNTIF($R$11:$R$653,"Length"))),"")</f>
        <v/>
      </c>
      <c r="N73" s="4" t="str">
        <f ca="1">IFERROR(_xlfn.RANK.EQ(M73,$M$11:$M$653)+COUNTIF($M$11:M73,M73)-1,"")</f>
        <v/>
      </c>
      <c r="O73" s="86" t="str">
        <f>IF(A73='DATA SHEET'!$L$36,C73,IFERROR(IF(AND(ISTEXT(I73),ISBLANK(C73)),"No details",VLOOKUP(C73,DimFolder,2,FALSE)),""))</f>
        <v/>
      </c>
      <c r="P73" s="4" t="str">
        <f t="shared" si="14"/>
        <v/>
      </c>
      <c r="Q73" s="58" t="str">
        <f t="shared" ref="Q73:Q86" si="45">IF(AND(ISBLANK(B73),ISBLANK(C73)),"",I73)</f>
        <v/>
      </c>
      <c r="R73" s="4" t="e" cm="1">
        <f t="array" ref="R73">IF(INDEX(Table2[],_xlfn.XMATCH($A73,Table2[Steel Member],0),_xlfn.XMATCH(R$2,Table2[#Headers],0))=0,"",INDEX(Table2[],_xlfn.XMATCH($A73,Table2[Steel Member],0),_xlfn.XMATCH(R$2,Table2[#Headers],0)))</f>
        <v>#N/A</v>
      </c>
      <c r="S73" s="4" t="e" cm="1">
        <f t="array" ref="S73">IF(INDEX(Table2[],_xlfn.XMATCH($A73,Table2[Steel Member],0),_xlfn.XMATCH(S$2,Table2[#Headers],0))=0,"",INDEX(Table2[],_xlfn.XMATCH($A73,Table2[Steel Member],0),_xlfn.XMATCH(S$2,Table2[#Headers],0)))</f>
        <v>#N/A</v>
      </c>
      <c r="T73" s="4" t="str">
        <f t="shared" ref="T73:T86" si="46">IF(AND(ISBLANK(B73),ISBLANK(C73)),"","t")</f>
        <v/>
      </c>
      <c r="U73" s="4" t="e">
        <f ca="1">VLOOKUP(N73,'COLOR CODE'!$B:$D,2,FALSE)</f>
        <v>#N/A</v>
      </c>
      <c r="V73" s="4" t="str">
        <f t="shared" ref="V73:V86" si="47">IF(AND(ISBLANK(B73),ISBLANK(C73)),"","Red")</f>
        <v/>
      </c>
      <c r="W73" s="4" t="e" cm="1">
        <f t="array" ref="W73">IF(INDEX(Table2[],_xlfn.XMATCH($A73,Table2[Steel Member],0),_xlfn.XMATCH(W$2,Table2[#Headers],0))=0,"",INDEX(Table2[],_xlfn.XMATCH($A73,Table2[Steel Member],0),_xlfn.XMATCH(W$2,Table2[#Headers],0)))</f>
        <v>#N/A</v>
      </c>
      <c r="X73" s="4" t="e">
        <f t="shared" ref="X73:X86" si="48">W73</f>
        <v>#N/A</v>
      </c>
      <c r="Y73" s="4" t="e" cm="1">
        <f t="array" ref="Y73">IF(INDEX(Table2[],_xlfn.XMATCH($A73,Table2[Steel Member],0),_xlfn.XMATCH(Y$2,Table2[#Headers],0))=0,"",INDEX(Table2[],_xlfn.XMATCH($A73,Table2[Steel Member],0),_xlfn.XMATCH(Y$2,Table2[#Headers],0)))</f>
        <v>#N/A</v>
      </c>
      <c r="Z73" s="4" t="e" cm="1">
        <f t="array" ref="Z73">IF(INDEX(Table2[],_xlfn.XMATCH($A73,Table2[Steel Member],0),_xlfn.XMATCH(Z$2,Table2[#Headers],0))=0,"",INDEX(Table2[],_xlfn.XMATCH($A73,Table2[Steel Member],0),_xlfn.XMATCH(Z$2,Table2[#Headers],0)))</f>
        <v>#N/A</v>
      </c>
      <c r="AA73" s="4" t="e" cm="1">
        <f t="array" ref="AA73">IF(INDEX(Table2[],_xlfn.XMATCH($A73,Table2[Steel Member],0),_xlfn.XMATCH(AA$2,Table2[#Headers],0))=0,"",INDEX(Table2[],_xlfn.XMATCH($A73,Table2[Steel Member],0),_xlfn.XMATCH(AA$2,Table2[#Headers],0)))</f>
        <v>#N/A</v>
      </c>
      <c r="AB73" s="4" t="e" cm="1">
        <f t="array" ref="AB73">IF(INDEX(Table2[],_xlfn.XMATCH($A73,Table2[Steel Member],0),_xlfn.XMATCH(AB$2,Table2[#Headers],0))=0,"",INDEX(Table2[],_xlfn.XMATCH($A73,Table2[Steel Member],0),_xlfn.XMATCH(AB$2,Table2[#Headers],0)))</f>
        <v>#N/A</v>
      </c>
      <c r="AC73" s="4" t="str" cm="1">
        <f t="array" ref="AC73">IFERROR(INDEX(Table8[],_xlfn.XMATCH($O73,Table8[Dimension Name Category],0),_xlfn.XMATCH(AC$2&amp;IF($L73," w/ tag"," w/o tag"),Table8[#Headers],0)),"")</f>
        <v/>
      </c>
      <c r="AD73" s="59" t="str">
        <f t="shared" si="31"/>
        <v/>
      </c>
      <c r="AE73" s="4" t="str">
        <f t="shared" ref="AE73:AE86" si="49">IF(AND(ISBLANK(B73),ISBLANK(C73)),"",IF($A73=Purlins_Girths_Bracings,"","Steel Surface Area"))</f>
        <v/>
      </c>
      <c r="AF73" s="4" t="str">
        <f t="shared" ref="AF73:AF86" si="50">IF(AND(ISBLANK(B73),ISBLANK(C73)),"",IF($A73=Purlins_Girths_Bracings,"","m2"))</f>
        <v/>
      </c>
      <c r="AG73" s="4" t="str" cm="1">
        <f t="array" ref="AG73">IFERROR(INDEX(Table8[],_xlfn.XMATCH($O73,Table8[Dimension Name Category],0),_xlfn.XMATCH(AG$2&amp;IF($L73," w/ tag"," w/o tag"),Table8[#Headers],0)),"")</f>
        <v/>
      </c>
      <c r="AH73" s="59" t="str">
        <f t="shared" si="34"/>
        <v/>
      </c>
      <c r="AI73" s="4"/>
      <c r="AJ73" s="4" t="str">
        <f t="shared" si="35"/>
        <v/>
      </c>
      <c r="AK73" s="4" t="str">
        <f t="shared" si="36"/>
        <v/>
      </c>
      <c r="AL73" s="4" t="e" cm="1">
        <f t="array" ref="AL73">IF(INDEX(Table2[],_xlfn.XMATCH($A73,Table2[Steel Member],0),_xlfn.XMATCH(AL$2,Table2[#Headers],0))=0,"",INDEX(Table2[],_xlfn.XMATCH($A73,Table2[Steel Member],0),_xlfn.XMATCH(AL$2,Table2[#Headers],0)))</f>
        <v>#N/A</v>
      </c>
      <c r="AM73" s="4"/>
      <c r="AN73" s="4" t="str">
        <f t="shared" si="37"/>
        <v/>
      </c>
      <c r="AO73" s="4"/>
      <c r="AP73" s="4" t="e" cm="1">
        <f t="array" ref="AP73">IF(INDEX(Table2[],_xlfn.XMATCH($A73,Table2[Steel Member],0),_xlfn.XMATCH(AP$2,Table2[#Headers],0))=0,"",INDEX(Table2[],_xlfn.XMATCH($A73,Table2[Steel Member],0),_xlfn.XMATCH(AP$2,Table2[#Headers],0)))</f>
        <v>#N/A</v>
      </c>
      <c r="AQ73" s="4"/>
      <c r="AR73" s="4"/>
      <c r="AS73" s="4"/>
      <c r="AT73" s="4"/>
    </row>
    <row r="74" spans="1:46" x14ac:dyDescent="0.25">
      <c r="A74" s="52"/>
      <c r="B74" s="52"/>
      <c r="C74" s="52"/>
      <c r="D74" s="52"/>
      <c r="E74" s="52"/>
      <c r="F74" s="64" cm="1">
        <f t="array" ref="F74">IF(COUNT(FIND(PurlinsxGirthsxBracings,$C74))&gt;0,0,ROUNDUP(IF(D74=0,0,VLOOKUP(D74,'DATA SHEET'!$B:$D,2,FALSE)),2))</f>
        <v>0</v>
      </c>
      <c r="G74" s="64" cm="1">
        <f t="array" ref="G74">IF(COUNT(FIND(PurlinsxGirthsxBracings,$C74))&gt;0,0,ROUNDUP(IF(D74=0,0,VLOOKUP(D74,'DATA SHEET'!$B:$D,3,FALSE)),2))</f>
        <v>0</v>
      </c>
      <c r="H74" s="53"/>
      <c r="I74" s="66" cm="1">
        <f t="array" ref="I74">IF(AND(ISBLANK(B74),ISBLANK(C74),ISBLANK(E74)),0,IF(COUNT(FIND(PurlinsxGirthsxBracings,$C74))&gt;0,IF(B74=0,CONCATENATE(E74," ",C74),CONCATENATE(B74," - ",E74," ",C74)),IF(B74=0,IF(ISBLANK(C74),E74,CONCATENATE(D74,", ",F74,"kg/m, ",G74,"mm surface perimeter")),IF(AND(ISBLANK(C74),ISTEXT(E74)),CONCATENATE(B74," - ",E74),IF(AND(ISBLANK(C74),ISBLANK(E74)),B74,CONCATENATE(B74," - ",D74,", ",F74,"kg/m, ",G74,"mm surface perimeter"))))&amp;IF(ISBLANK(H74),"",H74)))</f>
        <v>0</v>
      </c>
      <c r="J74" s="53"/>
      <c r="L74" s="4" t="str" cm="1">
        <f t="array" ref="L74">IF(COUNT(FIND({0,1,2,3,4,5,6,7,8,9},B74))&gt;0,COUNT(FIND({0,1,2,3,4,5,6,7,8,9},B74))&gt;0,"")</f>
        <v/>
      </c>
      <c r="M74" s="4" t="str" cm="1">
        <f t="array" aca="1" ref="M74" ca="1">IFERROR(_xlfn.IFS(R74="Count",RANDBETWEEN(1,COUNTIF($R$11:$R$653,"Count")),R74="Length",RANDBETWEEN(1,COUNTIF($R$11:$R$653,"Length"))),"")</f>
        <v/>
      </c>
      <c r="N74" s="4" t="str">
        <f ca="1">IFERROR(_xlfn.RANK.EQ(M74,$M$11:$M$653)+COUNTIF($M$11:M74,M74)-1,"")</f>
        <v/>
      </c>
      <c r="O74" s="86" t="str">
        <f>IF(A74='DATA SHEET'!$L$36,C74,IFERROR(IF(AND(ISTEXT(I74),ISBLANK(C74)),"No details",VLOOKUP(C74,DimFolder,2,FALSE)),""))</f>
        <v/>
      </c>
      <c r="P74" s="4" t="str">
        <f t="shared" si="14"/>
        <v/>
      </c>
      <c r="Q74" s="58" t="str">
        <f t="shared" si="45"/>
        <v/>
      </c>
      <c r="R74" s="4" t="e" cm="1">
        <f t="array" ref="R74">IF(INDEX(Table2[],_xlfn.XMATCH($A74,Table2[Steel Member],0),_xlfn.XMATCH(R$2,Table2[#Headers],0))=0,"",INDEX(Table2[],_xlfn.XMATCH($A74,Table2[Steel Member],0),_xlfn.XMATCH(R$2,Table2[#Headers],0)))</f>
        <v>#N/A</v>
      </c>
      <c r="S74" s="4" t="e" cm="1">
        <f t="array" ref="S74">IF(INDEX(Table2[],_xlfn.XMATCH($A74,Table2[Steel Member],0),_xlfn.XMATCH(S$2,Table2[#Headers],0))=0,"",INDEX(Table2[],_xlfn.XMATCH($A74,Table2[Steel Member],0),_xlfn.XMATCH(S$2,Table2[#Headers],0)))</f>
        <v>#N/A</v>
      </c>
      <c r="T74" s="4" t="str">
        <f t="shared" si="46"/>
        <v/>
      </c>
      <c r="U74" s="4" t="e">
        <f ca="1">VLOOKUP(N74,'COLOR CODE'!$B:$D,2,FALSE)</f>
        <v>#N/A</v>
      </c>
      <c r="V74" s="4" t="str">
        <f t="shared" si="47"/>
        <v/>
      </c>
      <c r="W74" s="4" t="e" cm="1">
        <f t="array" ref="W74">IF(INDEX(Table2[],_xlfn.XMATCH($A74,Table2[Steel Member],0),_xlfn.XMATCH(W$2,Table2[#Headers],0))=0,"",INDEX(Table2[],_xlfn.XMATCH($A74,Table2[Steel Member],0),_xlfn.XMATCH(W$2,Table2[#Headers],0)))</f>
        <v>#N/A</v>
      </c>
      <c r="X74" s="4" t="e">
        <f t="shared" si="48"/>
        <v>#N/A</v>
      </c>
      <c r="Y74" s="4" t="e" cm="1">
        <f t="array" ref="Y74">IF(INDEX(Table2[],_xlfn.XMATCH($A74,Table2[Steel Member],0),_xlfn.XMATCH(Y$2,Table2[#Headers],0))=0,"",INDEX(Table2[],_xlfn.XMATCH($A74,Table2[Steel Member],0),_xlfn.XMATCH(Y$2,Table2[#Headers],0)))</f>
        <v>#N/A</v>
      </c>
      <c r="Z74" s="4" t="e" cm="1">
        <f t="array" ref="Z74">IF(INDEX(Table2[],_xlfn.XMATCH($A74,Table2[Steel Member],0),_xlfn.XMATCH(Z$2,Table2[#Headers],0))=0,"",INDEX(Table2[],_xlfn.XMATCH($A74,Table2[Steel Member],0),_xlfn.XMATCH(Z$2,Table2[#Headers],0)))</f>
        <v>#N/A</v>
      </c>
      <c r="AA74" s="4" t="e" cm="1">
        <f t="array" ref="AA74">IF(INDEX(Table2[],_xlfn.XMATCH($A74,Table2[Steel Member],0),_xlfn.XMATCH(AA$2,Table2[#Headers],0))=0,"",INDEX(Table2[],_xlfn.XMATCH($A74,Table2[Steel Member],0),_xlfn.XMATCH(AA$2,Table2[#Headers],0)))</f>
        <v>#N/A</v>
      </c>
      <c r="AB74" s="4" t="e" cm="1">
        <f t="array" ref="AB74">IF(INDEX(Table2[],_xlfn.XMATCH($A74,Table2[Steel Member],0),_xlfn.XMATCH(AB$2,Table2[#Headers],0))=0,"",INDEX(Table2[],_xlfn.XMATCH($A74,Table2[Steel Member],0),_xlfn.XMATCH(AB$2,Table2[#Headers],0)))</f>
        <v>#N/A</v>
      </c>
      <c r="AC74" s="4" t="str" cm="1">
        <f t="array" ref="AC74">IFERROR(INDEX(Table8[],_xlfn.XMATCH($O74,Table8[Dimension Name Category],0),_xlfn.XMATCH(AC$2&amp;IF($L74," w/ tag"," w/o tag"),Table8[#Headers],0)),"")</f>
        <v/>
      </c>
      <c r="AD74" s="59" t="str">
        <f t="shared" si="31"/>
        <v/>
      </c>
      <c r="AE74" s="4" t="str">
        <f t="shared" si="49"/>
        <v/>
      </c>
      <c r="AF74" s="4" t="str">
        <f t="shared" si="50"/>
        <v/>
      </c>
      <c r="AG74" s="4" t="str" cm="1">
        <f t="array" ref="AG74">IFERROR(INDEX(Table8[],_xlfn.XMATCH($O74,Table8[Dimension Name Category],0),_xlfn.XMATCH(AG$2&amp;IF($L74," w/ tag"," w/o tag"),Table8[#Headers],0)),"")</f>
        <v/>
      </c>
      <c r="AH74" s="59" t="str">
        <f t="shared" si="34"/>
        <v/>
      </c>
      <c r="AI74" s="4"/>
      <c r="AJ74" s="4" t="str">
        <f t="shared" si="35"/>
        <v/>
      </c>
      <c r="AK74" s="4" t="str">
        <f t="shared" si="36"/>
        <v/>
      </c>
      <c r="AL74" s="4" t="e" cm="1">
        <f t="array" ref="AL74">IF(INDEX(Table2[],_xlfn.XMATCH($A74,Table2[Steel Member],0),_xlfn.XMATCH(AL$2,Table2[#Headers],0))=0,"",INDEX(Table2[],_xlfn.XMATCH($A74,Table2[Steel Member],0),_xlfn.XMATCH(AL$2,Table2[#Headers],0)))</f>
        <v>#N/A</v>
      </c>
      <c r="AM74" s="4"/>
      <c r="AN74" s="4" t="str">
        <f t="shared" si="37"/>
        <v/>
      </c>
      <c r="AO74" s="4"/>
      <c r="AP74" s="4" t="e" cm="1">
        <f t="array" ref="AP74">IF(INDEX(Table2[],_xlfn.XMATCH($A74,Table2[Steel Member],0),_xlfn.XMATCH(AP$2,Table2[#Headers],0))=0,"",INDEX(Table2[],_xlfn.XMATCH($A74,Table2[Steel Member],0),_xlfn.XMATCH(AP$2,Table2[#Headers],0)))</f>
        <v>#N/A</v>
      </c>
      <c r="AQ74" s="4"/>
      <c r="AR74" s="4"/>
      <c r="AS74" s="4"/>
      <c r="AT74" s="4"/>
    </row>
    <row r="75" spans="1:46" x14ac:dyDescent="0.25">
      <c r="A75" s="52"/>
      <c r="B75" s="52"/>
      <c r="C75" s="52"/>
      <c r="D75" s="52"/>
      <c r="E75" s="52"/>
      <c r="F75" s="64" cm="1">
        <f t="array" ref="F75">IF(COUNT(FIND(PurlinsxGirthsxBracings,$C75))&gt;0,0,ROUNDUP(IF(D75=0,0,VLOOKUP(D75,'DATA SHEET'!$B:$D,2,FALSE)),2))</f>
        <v>0</v>
      </c>
      <c r="G75" s="64" cm="1">
        <f t="array" ref="G75">IF(COUNT(FIND(PurlinsxGirthsxBracings,$C75))&gt;0,0,ROUNDUP(IF(D75=0,0,VLOOKUP(D75,'DATA SHEET'!$B:$D,3,FALSE)),2))</f>
        <v>0</v>
      </c>
      <c r="H75" s="53"/>
      <c r="I75" s="66" cm="1">
        <f t="array" ref="I75">IF(AND(ISBLANK(B75),ISBLANK(C75),ISBLANK(E75)),0,IF(COUNT(FIND(PurlinsxGirthsxBracings,$C75))&gt;0,IF(B75=0,CONCATENATE(E75," ",C75),CONCATENATE(B75," - ",E75," ",C75)),IF(B75=0,IF(ISBLANK(C75),E75,CONCATENATE(D75,", ",F75,"kg/m, ",G75,"mm surface perimeter")),IF(AND(ISBLANK(C75),ISTEXT(E75)),CONCATENATE(B75," - ",E75),IF(AND(ISBLANK(C75),ISBLANK(E75)),B75,CONCATENATE(B75," - ",D75,", ",F75,"kg/m, ",G75,"mm surface perimeter"))))&amp;IF(ISBLANK(H75),"",H75)))</f>
        <v>0</v>
      </c>
      <c r="J75" s="53"/>
      <c r="L75" s="4" t="str" cm="1">
        <f t="array" ref="L75">IF(COUNT(FIND({0,1,2,3,4,5,6,7,8,9},B75))&gt;0,COUNT(FIND({0,1,2,3,4,5,6,7,8,9},B75))&gt;0,"")</f>
        <v/>
      </c>
      <c r="M75" s="4" t="str" cm="1">
        <f t="array" aca="1" ref="M75" ca="1">IFERROR(_xlfn.IFS(R75="Count",RANDBETWEEN(1,COUNTIF($R$11:$R$653,"Count")),R75="Length",RANDBETWEEN(1,COUNTIF($R$11:$R$653,"Length"))),"")</f>
        <v/>
      </c>
      <c r="N75" s="4" t="str">
        <f ca="1">IFERROR(_xlfn.RANK.EQ(M75,$M$11:$M$653)+COUNTIF($M$11:M75,M75)-1,"")</f>
        <v/>
      </c>
      <c r="O75" s="86" t="str">
        <f>IF(A75='DATA SHEET'!$L$36,C75,IFERROR(IF(AND(ISTEXT(I75),ISBLANK(C75)),"No details",VLOOKUP(C75,DimFolder,2,FALSE)),""))</f>
        <v/>
      </c>
      <c r="P75" s="4" t="str">
        <f t="shared" ref="P75:P138" si="51">IF(AND(ISBLANK(B75),ISBLANK(C75)),"",CONCATENATE("Structural\Structural Steel\",A75,"\",O75))</f>
        <v/>
      </c>
      <c r="Q75" s="58" t="str">
        <f t="shared" si="45"/>
        <v/>
      </c>
      <c r="R75" s="4" t="e" cm="1">
        <f t="array" ref="R75">IF(INDEX(Table2[],_xlfn.XMATCH($A75,Table2[Steel Member],0),_xlfn.XMATCH(R$2,Table2[#Headers],0))=0,"",INDEX(Table2[],_xlfn.XMATCH($A75,Table2[Steel Member],0),_xlfn.XMATCH(R$2,Table2[#Headers],0)))</f>
        <v>#N/A</v>
      </c>
      <c r="S75" s="4" t="e" cm="1">
        <f t="array" ref="S75">IF(INDEX(Table2[],_xlfn.XMATCH($A75,Table2[Steel Member],0),_xlfn.XMATCH(S$2,Table2[#Headers],0))=0,"",INDEX(Table2[],_xlfn.XMATCH($A75,Table2[Steel Member],0),_xlfn.XMATCH(S$2,Table2[#Headers],0)))</f>
        <v>#N/A</v>
      </c>
      <c r="T75" s="4" t="str">
        <f t="shared" si="46"/>
        <v/>
      </c>
      <c r="U75" s="4" t="e">
        <f ca="1">VLOOKUP(N75,'COLOR CODE'!$B:$D,2,FALSE)</f>
        <v>#N/A</v>
      </c>
      <c r="V75" s="4" t="str">
        <f t="shared" si="47"/>
        <v/>
      </c>
      <c r="W75" s="4" t="e" cm="1">
        <f t="array" ref="W75">IF(INDEX(Table2[],_xlfn.XMATCH($A75,Table2[Steel Member],0),_xlfn.XMATCH(W$2,Table2[#Headers],0))=0,"",INDEX(Table2[],_xlfn.XMATCH($A75,Table2[Steel Member],0),_xlfn.XMATCH(W$2,Table2[#Headers],0)))</f>
        <v>#N/A</v>
      </c>
      <c r="X75" s="4" t="e">
        <f t="shared" si="48"/>
        <v>#N/A</v>
      </c>
      <c r="Y75" s="4" t="e" cm="1">
        <f t="array" ref="Y75">IF(INDEX(Table2[],_xlfn.XMATCH($A75,Table2[Steel Member],0),_xlfn.XMATCH(Y$2,Table2[#Headers],0))=0,"",INDEX(Table2[],_xlfn.XMATCH($A75,Table2[Steel Member],0),_xlfn.XMATCH(Y$2,Table2[#Headers],0)))</f>
        <v>#N/A</v>
      </c>
      <c r="Z75" s="4" t="e" cm="1">
        <f t="array" ref="Z75">IF(INDEX(Table2[],_xlfn.XMATCH($A75,Table2[Steel Member],0),_xlfn.XMATCH(Z$2,Table2[#Headers],0))=0,"",INDEX(Table2[],_xlfn.XMATCH($A75,Table2[Steel Member],0),_xlfn.XMATCH(Z$2,Table2[#Headers],0)))</f>
        <v>#N/A</v>
      </c>
      <c r="AA75" s="4" t="e" cm="1">
        <f t="array" ref="AA75">IF(INDEX(Table2[],_xlfn.XMATCH($A75,Table2[Steel Member],0),_xlfn.XMATCH(AA$2,Table2[#Headers],0))=0,"",INDEX(Table2[],_xlfn.XMATCH($A75,Table2[Steel Member],0),_xlfn.XMATCH(AA$2,Table2[#Headers],0)))</f>
        <v>#N/A</v>
      </c>
      <c r="AB75" s="4" t="e" cm="1">
        <f t="array" ref="AB75">IF(INDEX(Table2[],_xlfn.XMATCH($A75,Table2[Steel Member],0),_xlfn.XMATCH(AB$2,Table2[#Headers],0))=0,"",INDEX(Table2[],_xlfn.XMATCH($A75,Table2[Steel Member],0),_xlfn.XMATCH(AB$2,Table2[#Headers],0)))</f>
        <v>#N/A</v>
      </c>
      <c r="AC75" s="4" t="str" cm="1">
        <f t="array" ref="AC75">IFERROR(INDEX(Table8[],_xlfn.XMATCH($O75,Table8[Dimension Name Category],0),_xlfn.XMATCH(AC$2&amp;IF($L75," w/ tag"," w/o tag"),Table8[#Headers],0)),"")</f>
        <v/>
      </c>
      <c r="AD75" s="59" t="str">
        <f t="shared" si="31"/>
        <v/>
      </c>
      <c r="AE75" s="4" t="str">
        <f t="shared" si="49"/>
        <v/>
      </c>
      <c r="AF75" s="4" t="str">
        <f t="shared" si="50"/>
        <v/>
      </c>
      <c r="AG75" s="4" t="str" cm="1">
        <f t="array" ref="AG75">IFERROR(INDEX(Table8[],_xlfn.XMATCH($O75,Table8[Dimension Name Category],0),_xlfn.XMATCH(AG$2&amp;IF($L75," w/ tag"," w/o tag"),Table8[#Headers],0)),"")</f>
        <v/>
      </c>
      <c r="AH75" s="59" t="str">
        <f t="shared" si="34"/>
        <v/>
      </c>
      <c r="AI75" s="4"/>
      <c r="AJ75" s="4" t="str">
        <f t="shared" si="35"/>
        <v/>
      </c>
      <c r="AK75" s="4" t="str">
        <f t="shared" si="36"/>
        <v/>
      </c>
      <c r="AL75" s="4" t="e" cm="1">
        <f t="array" ref="AL75">IF(INDEX(Table2[],_xlfn.XMATCH($A75,Table2[Steel Member],0),_xlfn.XMATCH(AL$2,Table2[#Headers],0))=0,"",INDEX(Table2[],_xlfn.XMATCH($A75,Table2[Steel Member],0),_xlfn.XMATCH(AL$2,Table2[#Headers],0)))</f>
        <v>#N/A</v>
      </c>
      <c r="AM75" s="4"/>
      <c r="AN75" s="4" t="str">
        <f t="shared" si="37"/>
        <v/>
      </c>
      <c r="AO75" s="4"/>
      <c r="AP75" s="4" t="e" cm="1">
        <f t="array" ref="AP75">IF(INDEX(Table2[],_xlfn.XMATCH($A75,Table2[Steel Member],0),_xlfn.XMATCH(AP$2,Table2[#Headers],0))=0,"",INDEX(Table2[],_xlfn.XMATCH($A75,Table2[Steel Member],0),_xlfn.XMATCH(AP$2,Table2[#Headers],0)))</f>
        <v>#N/A</v>
      </c>
      <c r="AQ75" s="4"/>
      <c r="AR75" s="4"/>
      <c r="AS75" s="4"/>
      <c r="AT75" s="4"/>
    </row>
    <row r="76" spans="1:46" x14ac:dyDescent="0.25">
      <c r="A76" s="52"/>
      <c r="B76" s="52"/>
      <c r="C76" s="52"/>
      <c r="D76" s="52"/>
      <c r="E76" s="52"/>
      <c r="F76" s="64" cm="1">
        <f t="array" ref="F76">IF(COUNT(FIND(PurlinsxGirthsxBracings,$C76))&gt;0,0,ROUNDUP(IF(D76=0,0,VLOOKUP(D76,'DATA SHEET'!$B:$D,2,FALSE)),2))</f>
        <v>0</v>
      </c>
      <c r="G76" s="64" cm="1">
        <f t="array" ref="G76">IF(COUNT(FIND(PurlinsxGirthsxBracings,$C76))&gt;0,0,ROUNDUP(IF(D76=0,0,VLOOKUP(D76,'DATA SHEET'!$B:$D,3,FALSE)),2))</f>
        <v>0</v>
      </c>
      <c r="H76" s="53"/>
      <c r="I76" s="66" cm="1">
        <f t="array" ref="I76">IF(AND(ISBLANK(B76),ISBLANK(C76),ISBLANK(E76)),0,IF(COUNT(FIND(PurlinsxGirthsxBracings,$C76))&gt;0,IF(B76=0,CONCATENATE(E76," ",C76),CONCATENATE(B76," - ",E76," ",C76)),IF(B76=0,IF(ISBLANK(C76),E76,CONCATENATE(D76,", ",F76,"kg/m, ",G76,"mm surface perimeter")),IF(AND(ISBLANK(C76),ISTEXT(E76)),CONCATENATE(B76," - ",E76),IF(AND(ISBLANK(C76),ISBLANK(E76)),B76,CONCATENATE(B76," - ",D76,", ",F76,"kg/m, ",G76,"mm surface perimeter"))))&amp;IF(ISBLANK(H76),"",H76)))</f>
        <v>0</v>
      </c>
      <c r="J76" s="53"/>
      <c r="L76" s="4" t="str" cm="1">
        <f t="array" ref="L76">IF(COUNT(FIND({0,1,2,3,4,5,6,7,8,9},B76))&gt;0,COUNT(FIND({0,1,2,3,4,5,6,7,8,9},B76))&gt;0,"")</f>
        <v/>
      </c>
      <c r="M76" s="4" t="str" cm="1">
        <f t="array" aca="1" ref="M76" ca="1">IFERROR(_xlfn.IFS(R76="Count",RANDBETWEEN(1,COUNTIF($R$11:$R$653,"Count")),R76="Length",RANDBETWEEN(1,COUNTIF($R$11:$R$653,"Length"))),"")</f>
        <v/>
      </c>
      <c r="N76" s="4" t="str">
        <f ca="1">IFERROR(_xlfn.RANK.EQ(M76,$M$11:$M$653)+COUNTIF($M$11:M76,M76)-1,"")</f>
        <v/>
      </c>
      <c r="O76" s="86" t="str">
        <f>IF(A76='DATA SHEET'!$L$36,C76,IFERROR(IF(AND(ISTEXT(I76),ISBLANK(C76)),"No details",VLOOKUP(C76,DimFolder,2,FALSE)),""))</f>
        <v/>
      </c>
      <c r="P76" s="4" t="str">
        <f t="shared" si="51"/>
        <v/>
      </c>
      <c r="Q76" s="58" t="str">
        <f t="shared" si="45"/>
        <v/>
      </c>
      <c r="R76" s="4" t="e" cm="1">
        <f t="array" ref="R76">IF(INDEX(Table2[],_xlfn.XMATCH($A76,Table2[Steel Member],0),_xlfn.XMATCH(R$2,Table2[#Headers],0))=0,"",INDEX(Table2[],_xlfn.XMATCH($A76,Table2[Steel Member],0),_xlfn.XMATCH(R$2,Table2[#Headers],0)))</f>
        <v>#N/A</v>
      </c>
      <c r="S76" s="4" t="e" cm="1">
        <f t="array" ref="S76">IF(INDEX(Table2[],_xlfn.XMATCH($A76,Table2[Steel Member],0),_xlfn.XMATCH(S$2,Table2[#Headers],0))=0,"",INDEX(Table2[],_xlfn.XMATCH($A76,Table2[Steel Member],0),_xlfn.XMATCH(S$2,Table2[#Headers],0)))</f>
        <v>#N/A</v>
      </c>
      <c r="T76" s="4" t="str">
        <f t="shared" si="46"/>
        <v/>
      </c>
      <c r="U76" s="4" t="e">
        <f ca="1">VLOOKUP(N76,'COLOR CODE'!$B:$D,2,FALSE)</f>
        <v>#N/A</v>
      </c>
      <c r="V76" s="4" t="str">
        <f t="shared" si="47"/>
        <v/>
      </c>
      <c r="W76" s="4" t="e" cm="1">
        <f t="array" ref="W76">IF(INDEX(Table2[],_xlfn.XMATCH($A76,Table2[Steel Member],0),_xlfn.XMATCH(W$2,Table2[#Headers],0))=0,"",INDEX(Table2[],_xlfn.XMATCH($A76,Table2[Steel Member],0),_xlfn.XMATCH(W$2,Table2[#Headers],0)))</f>
        <v>#N/A</v>
      </c>
      <c r="X76" s="4" t="e">
        <f t="shared" si="48"/>
        <v>#N/A</v>
      </c>
      <c r="Y76" s="4" t="e" cm="1">
        <f t="array" ref="Y76">IF(INDEX(Table2[],_xlfn.XMATCH($A76,Table2[Steel Member],0),_xlfn.XMATCH(Y$2,Table2[#Headers],0))=0,"",INDEX(Table2[],_xlfn.XMATCH($A76,Table2[Steel Member],0),_xlfn.XMATCH(Y$2,Table2[#Headers],0)))</f>
        <v>#N/A</v>
      </c>
      <c r="Z76" s="4" t="e" cm="1">
        <f t="array" ref="Z76">IF(INDEX(Table2[],_xlfn.XMATCH($A76,Table2[Steel Member],0),_xlfn.XMATCH(Z$2,Table2[#Headers],0))=0,"",INDEX(Table2[],_xlfn.XMATCH($A76,Table2[Steel Member],0),_xlfn.XMATCH(Z$2,Table2[#Headers],0)))</f>
        <v>#N/A</v>
      </c>
      <c r="AA76" s="4" t="e" cm="1">
        <f t="array" ref="AA76">IF(INDEX(Table2[],_xlfn.XMATCH($A76,Table2[Steel Member],0),_xlfn.XMATCH(AA$2,Table2[#Headers],0))=0,"",INDEX(Table2[],_xlfn.XMATCH($A76,Table2[Steel Member],0),_xlfn.XMATCH(AA$2,Table2[#Headers],0)))</f>
        <v>#N/A</v>
      </c>
      <c r="AB76" s="4" t="e" cm="1">
        <f t="array" ref="AB76">IF(INDEX(Table2[],_xlfn.XMATCH($A76,Table2[Steel Member],0),_xlfn.XMATCH(AB$2,Table2[#Headers],0))=0,"",INDEX(Table2[],_xlfn.XMATCH($A76,Table2[Steel Member],0),_xlfn.XMATCH(AB$2,Table2[#Headers],0)))</f>
        <v>#N/A</v>
      </c>
      <c r="AC76" s="4" t="str" cm="1">
        <f t="array" ref="AC76">IFERROR(INDEX(Table8[],_xlfn.XMATCH($O76,Table8[Dimension Name Category],0),_xlfn.XMATCH(AC$2&amp;IF($L76," w/ tag"," w/o tag"),Table8[#Headers],0)),"")</f>
        <v/>
      </c>
      <c r="AD76" s="59" t="str">
        <f t="shared" si="31"/>
        <v/>
      </c>
      <c r="AE76" s="4" t="str">
        <f t="shared" si="49"/>
        <v/>
      </c>
      <c r="AF76" s="4" t="str">
        <f t="shared" si="50"/>
        <v/>
      </c>
      <c r="AG76" s="4" t="str" cm="1">
        <f t="array" ref="AG76">IFERROR(INDEX(Table8[],_xlfn.XMATCH($O76,Table8[Dimension Name Category],0),_xlfn.XMATCH(AG$2&amp;IF($L76," w/ tag"," w/o tag"),Table8[#Headers],0)),"")</f>
        <v/>
      </c>
      <c r="AH76" s="59" t="str">
        <f t="shared" si="34"/>
        <v/>
      </c>
      <c r="AI76" s="4"/>
      <c r="AJ76" s="4" t="str">
        <f t="shared" si="35"/>
        <v/>
      </c>
      <c r="AK76" s="4" t="str">
        <f t="shared" si="36"/>
        <v/>
      </c>
      <c r="AL76" s="4" t="e" cm="1">
        <f t="array" ref="AL76">IF(INDEX(Table2[],_xlfn.XMATCH($A76,Table2[Steel Member],0),_xlfn.XMATCH(AL$2,Table2[#Headers],0))=0,"",INDEX(Table2[],_xlfn.XMATCH($A76,Table2[Steel Member],0),_xlfn.XMATCH(AL$2,Table2[#Headers],0)))</f>
        <v>#N/A</v>
      </c>
      <c r="AM76" s="4"/>
      <c r="AN76" s="4" t="str">
        <f t="shared" si="37"/>
        <v/>
      </c>
      <c r="AO76" s="4"/>
      <c r="AP76" s="4" t="e" cm="1">
        <f t="array" ref="AP76">IF(INDEX(Table2[],_xlfn.XMATCH($A76,Table2[Steel Member],0),_xlfn.XMATCH(AP$2,Table2[#Headers],0))=0,"",INDEX(Table2[],_xlfn.XMATCH($A76,Table2[Steel Member],0),_xlfn.XMATCH(AP$2,Table2[#Headers],0)))</f>
        <v>#N/A</v>
      </c>
      <c r="AQ76" s="4"/>
      <c r="AR76" s="4"/>
      <c r="AS76" s="4"/>
      <c r="AT76" s="4"/>
    </row>
    <row r="77" spans="1:46" x14ac:dyDescent="0.25">
      <c r="A77" s="52"/>
      <c r="B77" s="52"/>
      <c r="C77" s="52"/>
      <c r="D77" s="52"/>
      <c r="E77" s="52"/>
      <c r="F77" s="64" cm="1">
        <f t="array" ref="F77">IF(COUNT(FIND(PurlinsxGirthsxBracings,$C77))&gt;0,0,ROUNDUP(IF(D77=0,0,VLOOKUP(D77,'DATA SHEET'!$B:$D,2,FALSE)),2))</f>
        <v>0</v>
      </c>
      <c r="G77" s="64" cm="1">
        <f t="array" ref="G77">IF(COUNT(FIND(PurlinsxGirthsxBracings,$C77))&gt;0,0,ROUNDUP(IF(D77=0,0,VLOOKUP(D77,'DATA SHEET'!$B:$D,3,FALSE)),2))</f>
        <v>0</v>
      </c>
      <c r="H77" s="53"/>
      <c r="I77" s="66" cm="1">
        <f t="array" ref="I77">IF(AND(ISBLANK(B77),ISBLANK(C77),ISBLANK(E77)),0,IF(COUNT(FIND(PurlinsxGirthsxBracings,$C77))&gt;0,IF(B77=0,CONCATENATE(E77," ",C77),CONCATENATE(B77," - ",E77," ",C77)),IF(B77=0,IF(ISBLANK(C77),E77,CONCATENATE(D77,", ",F77,"kg/m, ",G77,"mm surface perimeter")),IF(AND(ISBLANK(C77),ISTEXT(E77)),CONCATENATE(B77," - ",E77),IF(AND(ISBLANK(C77),ISBLANK(E77)),B77,CONCATENATE(B77," - ",D77,", ",F77,"kg/m, ",G77,"mm surface perimeter"))))&amp;IF(ISBLANK(H77),"",H77)))</f>
        <v>0</v>
      </c>
      <c r="J77" s="53"/>
      <c r="L77" s="4" t="str" cm="1">
        <f t="array" ref="L77">IF(COUNT(FIND({0,1,2,3,4,5,6,7,8,9},B77))&gt;0,COUNT(FIND({0,1,2,3,4,5,6,7,8,9},B77))&gt;0,"")</f>
        <v/>
      </c>
      <c r="M77" s="4" t="str" cm="1">
        <f t="array" aca="1" ref="M77" ca="1">IFERROR(_xlfn.IFS(R77="Count",RANDBETWEEN(1,COUNTIF($R$11:$R$653,"Count")),R77="Length",RANDBETWEEN(1,COUNTIF($R$11:$R$653,"Length"))),"")</f>
        <v/>
      </c>
      <c r="N77" s="4" t="str">
        <f ca="1">IFERROR(_xlfn.RANK.EQ(M77,$M$11:$M$653)+COUNTIF($M$11:M77,M77)-1,"")</f>
        <v/>
      </c>
      <c r="O77" s="86" t="str">
        <f>IF(A77='DATA SHEET'!$L$36,C77,IFERROR(IF(AND(ISTEXT(I77),ISBLANK(C77)),"No details",VLOOKUP(C77,DimFolder,2,FALSE)),""))</f>
        <v/>
      </c>
      <c r="P77" s="4" t="str">
        <f t="shared" si="51"/>
        <v/>
      </c>
      <c r="Q77" s="58" t="str">
        <f t="shared" si="45"/>
        <v/>
      </c>
      <c r="R77" s="4" t="e" cm="1">
        <f t="array" ref="R77">IF(INDEX(Table2[],_xlfn.XMATCH($A77,Table2[Steel Member],0),_xlfn.XMATCH(R$2,Table2[#Headers],0))=0,"",INDEX(Table2[],_xlfn.XMATCH($A77,Table2[Steel Member],0),_xlfn.XMATCH(R$2,Table2[#Headers],0)))</f>
        <v>#N/A</v>
      </c>
      <c r="S77" s="4" t="e" cm="1">
        <f t="array" ref="S77">IF(INDEX(Table2[],_xlfn.XMATCH($A77,Table2[Steel Member],0),_xlfn.XMATCH(S$2,Table2[#Headers],0))=0,"",INDEX(Table2[],_xlfn.XMATCH($A77,Table2[Steel Member],0),_xlfn.XMATCH(S$2,Table2[#Headers],0)))</f>
        <v>#N/A</v>
      </c>
      <c r="T77" s="4" t="str">
        <f t="shared" si="46"/>
        <v/>
      </c>
      <c r="U77" s="4" t="e">
        <f ca="1">VLOOKUP(N77,'COLOR CODE'!$B:$D,2,FALSE)</f>
        <v>#N/A</v>
      </c>
      <c r="V77" s="4" t="str">
        <f t="shared" si="47"/>
        <v/>
      </c>
      <c r="W77" s="4" t="e" cm="1">
        <f t="array" ref="W77">IF(INDEX(Table2[],_xlfn.XMATCH($A77,Table2[Steel Member],0),_xlfn.XMATCH(W$2,Table2[#Headers],0))=0,"",INDEX(Table2[],_xlfn.XMATCH($A77,Table2[Steel Member],0),_xlfn.XMATCH(W$2,Table2[#Headers],0)))</f>
        <v>#N/A</v>
      </c>
      <c r="X77" s="4" t="e">
        <f t="shared" si="48"/>
        <v>#N/A</v>
      </c>
      <c r="Y77" s="4" t="e" cm="1">
        <f t="array" ref="Y77">IF(INDEX(Table2[],_xlfn.XMATCH($A77,Table2[Steel Member],0),_xlfn.XMATCH(Y$2,Table2[#Headers],0))=0,"",INDEX(Table2[],_xlfn.XMATCH($A77,Table2[Steel Member],0),_xlfn.XMATCH(Y$2,Table2[#Headers],0)))</f>
        <v>#N/A</v>
      </c>
      <c r="Z77" s="4" t="e" cm="1">
        <f t="array" ref="Z77">IF(INDEX(Table2[],_xlfn.XMATCH($A77,Table2[Steel Member],0),_xlfn.XMATCH(Z$2,Table2[#Headers],0))=0,"",INDEX(Table2[],_xlfn.XMATCH($A77,Table2[Steel Member],0),_xlfn.XMATCH(Z$2,Table2[#Headers],0)))</f>
        <v>#N/A</v>
      </c>
      <c r="AA77" s="4" t="e" cm="1">
        <f t="array" ref="AA77">IF(INDEX(Table2[],_xlfn.XMATCH($A77,Table2[Steel Member],0),_xlfn.XMATCH(AA$2,Table2[#Headers],0))=0,"",INDEX(Table2[],_xlfn.XMATCH($A77,Table2[Steel Member],0),_xlfn.XMATCH(AA$2,Table2[#Headers],0)))</f>
        <v>#N/A</v>
      </c>
      <c r="AB77" s="4" t="e" cm="1">
        <f t="array" ref="AB77">IF(INDEX(Table2[],_xlfn.XMATCH($A77,Table2[Steel Member],0),_xlfn.XMATCH(AB$2,Table2[#Headers],0))=0,"",INDEX(Table2[],_xlfn.XMATCH($A77,Table2[Steel Member],0),_xlfn.XMATCH(AB$2,Table2[#Headers],0)))</f>
        <v>#N/A</v>
      </c>
      <c r="AC77" s="4" t="str" cm="1">
        <f t="array" ref="AC77">IFERROR(INDEX(Table8[],_xlfn.XMATCH($O77,Table8[Dimension Name Category],0),_xlfn.XMATCH(AC$2&amp;IF($L77," w/ tag"," w/o tag"),Table8[#Headers],0)),"")</f>
        <v/>
      </c>
      <c r="AD77" s="59" t="str">
        <f t="shared" si="31"/>
        <v/>
      </c>
      <c r="AE77" s="4" t="str">
        <f t="shared" si="49"/>
        <v/>
      </c>
      <c r="AF77" s="4" t="str">
        <f t="shared" si="50"/>
        <v/>
      </c>
      <c r="AG77" s="4" t="str" cm="1">
        <f t="array" ref="AG77">IFERROR(INDEX(Table8[],_xlfn.XMATCH($O77,Table8[Dimension Name Category],0),_xlfn.XMATCH(AG$2&amp;IF($L77," w/ tag"," w/o tag"),Table8[#Headers],0)),"")</f>
        <v/>
      </c>
      <c r="AH77" s="59" t="str">
        <f t="shared" si="34"/>
        <v/>
      </c>
      <c r="AI77" s="4"/>
      <c r="AJ77" s="4" t="str">
        <f t="shared" si="35"/>
        <v/>
      </c>
      <c r="AK77" s="4" t="str">
        <f t="shared" si="36"/>
        <v/>
      </c>
      <c r="AL77" s="4" t="e" cm="1">
        <f t="array" ref="AL77">IF(INDEX(Table2[],_xlfn.XMATCH($A77,Table2[Steel Member],0),_xlfn.XMATCH(AL$2,Table2[#Headers],0))=0,"",INDEX(Table2[],_xlfn.XMATCH($A77,Table2[Steel Member],0),_xlfn.XMATCH(AL$2,Table2[#Headers],0)))</f>
        <v>#N/A</v>
      </c>
      <c r="AM77" s="4"/>
      <c r="AN77" s="4" t="str">
        <f t="shared" si="37"/>
        <v/>
      </c>
      <c r="AO77" s="4"/>
      <c r="AP77" s="4" t="e" cm="1">
        <f t="array" ref="AP77">IF(INDEX(Table2[],_xlfn.XMATCH($A77,Table2[Steel Member],0),_xlfn.XMATCH(AP$2,Table2[#Headers],0))=0,"",INDEX(Table2[],_xlfn.XMATCH($A77,Table2[Steel Member],0),_xlfn.XMATCH(AP$2,Table2[#Headers],0)))</f>
        <v>#N/A</v>
      </c>
      <c r="AQ77" s="4"/>
      <c r="AR77" s="4"/>
      <c r="AS77" s="4"/>
      <c r="AT77" s="4"/>
    </row>
    <row r="78" spans="1:46" x14ac:dyDescent="0.25">
      <c r="A78" s="52"/>
      <c r="B78" s="52"/>
      <c r="C78" s="52"/>
      <c r="D78" s="52"/>
      <c r="E78" s="52"/>
      <c r="F78" s="64" cm="1">
        <f t="array" ref="F78">IF(COUNT(FIND(PurlinsxGirthsxBracings,$C78))&gt;0,0,ROUNDUP(IF(D78=0,0,VLOOKUP(D78,'DATA SHEET'!$B:$D,2,FALSE)),2))</f>
        <v>0</v>
      </c>
      <c r="G78" s="64" cm="1">
        <f t="array" ref="G78">IF(COUNT(FIND(PurlinsxGirthsxBracings,$C78))&gt;0,0,ROUNDUP(IF(D78=0,0,VLOOKUP(D78,'DATA SHEET'!$B:$D,3,FALSE)),2))</f>
        <v>0</v>
      </c>
      <c r="H78" s="53"/>
      <c r="I78" s="66" cm="1">
        <f t="array" ref="I78">IF(AND(ISBLANK(B78),ISBLANK(C78),ISBLANK(E78)),0,IF(COUNT(FIND(PurlinsxGirthsxBracings,$C78))&gt;0,IF(B78=0,CONCATENATE(E78," ",C78),CONCATENATE(B78," - ",E78," ",C78)),IF(B78=0,IF(ISBLANK(C78),E78,CONCATENATE(D78,", ",F78,"kg/m, ",G78,"mm surface perimeter")),IF(AND(ISBLANK(C78),ISTEXT(E78)),CONCATENATE(B78," - ",E78),IF(AND(ISBLANK(C78),ISBLANK(E78)),B78,CONCATENATE(B78," - ",D78,", ",F78,"kg/m, ",G78,"mm surface perimeter"))))&amp;IF(ISBLANK(H78),"",H78)))</f>
        <v>0</v>
      </c>
      <c r="J78" s="53"/>
      <c r="L78" s="4" t="str" cm="1">
        <f t="array" ref="L78">IF(COUNT(FIND({0,1,2,3,4,5,6,7,8,9},B78))&gt;0,COUNT(FIND({0,1,2,3,4,5,6,7,8,9},B78))&gt;0,"")</f>
        <v/>
      </c>
      <c r="M78" s="4" t="str" cm="1">
        <f t="array" aca="1" ref="M78" ca="1">IFERROR(_xlfn.IFS(R78="Count",RANDBETWEEN(1,COUNTIF($R$11:$R$653,"Count")),R78="Length",RANDBETWEEN(1,COUNTIF($R$11:$R$653,"Length"))),"")</f>
        <v/>
      </c>
      <c r="N78" s="4" t="str">
        <f ca="1">IFERROR(_xlfn.RANK.EQ(M78,$M$11:$M$653)+COUNTIF($M$11:M78,M78)-1,"")</f>
        <v/>
      </c>
      <c r="O78" s="86" t="str">
        <f>IF(A78='DATA SHEET'!$L$36,C78,IFERROR(IF(AND(ISTEXT(I78),ISBLANK(C78)),"No details",VLOOKUP(C78,DimFolder,2,FALSE)),""))</f>
        <v/>
      </c>
      <c r="P78" s="4" t="str">
        <f t="shared" si="51"/>
        <v/>
      </c>
      <c r="Q78" s="58" t="str">
        <f t="shared" si="45"/>
        <v/>
      </c>
      <c r="R78" s="4" t="e" cm="1">
        <f t="array" ref="R78">IF(INDEX(Table2[],_xlfn.XMATCH($A78,Table2[Steel Member],0),_xlfn.XMATCH(R$2,Table2[#Headers],0))=0,"",INDEX(Table2[],_xlfn.XMATCH($A78,Table2[Steel Member],0),_xlfn.XMATCH(R$2,Table2[#Headers],0)))</f>
        <v>#N/A</v>
      </c>
      <c r="S78" s="4" t="e" cm="1">
        <f t="array" ref="S78">IF(INDEX(Table2[],_xlfn.XMATCH($A78,Table2[Steel Member],0),_xlfn.XMATCH(S$2,Table2[#Headers],0))=0,"",INDEX(Table2[],_xlfn.XMATCH($A78,Table2[Steel Member],0),_xlfn.XMATCH(S$2,Table2[#Headers],0)))</f>
        <v>#N/A</v>
      </c>
      <c r="T78" s="4" t="str">
        <f t="shared" si="46"/>
        <v/>
      </c>
      <c r="U78" s="4" t="e">
        <f ca="1">VLOOKUP(N78,'COLOR CODE'!$B:$D,2,FALSE)</f>
        <v>#N/A</v>
      </c>
      <c r="V78" s="4" t="str">
        <f t="shared" si="47"/>
        <v/>
      </c>
      <c r="W78" s="4" t="e" cm="1">
        <f t="array" ref="W78">IF(INDEX(Table2[],_xlfn.XMATCH($A78,Table2[Steel Member],0),_xlfn.XMATCH(W$2,Table2[#Headers],0))=0,"",INDEX(Table2[],_xlfn.XMATCH($A78,Table2[Steel Member],0),_xlfn.XMATCH(W$2,Table2[#Headers],0)))</f>
        <v>#N/A</v>
      </c>
      <c r="X78" s="4" t="e">
        <f t="shared" si="48"/>
        <v>#N/A</v>
      </c>
      <c r="Y78" s="4" t="e" cm="1">
        <f t="array" ref="Y78">IF(INDEX(Table2[],_xlfn.XMATCH($A78,Table2[Steel Member],0),_xlfn.XMATCH(Y$2,Table2[#Headers],0))=0,"",INDEX(Table2[],_xlfn.XMATCH($A78,Table2[Steel Member],0),_xlfn.XMATCH(Y$2,Table2[#Headers],0)))</f>
        <v>#N/A</v>
      </c>
      <c r="Z78" s="4" t="e" cm="1">
        <f t="array" ref="Z78">IF(INDEX(Table2[],_xlfn.XMATCH($A78,Table2[Steel Member],0),_xlfn.XMATCH(Z$2,Table2[#Headers],0))=0,"",INDEX(Table2[],_xlfn.XMATCH($A78,Table2[Steel Member],0),_xlfn.XMATCH(Z$2,Table2[#Headers],0)))</f>
        <v>#N/A</v>
      </c>
      <c r="AA78" s="4" t="e" cm="1">
        <f t="array" ref="AA78">IF(INDEX(Table2[],_xlfn.XMATCH($A78,Table2[Steel Member],0),_xlfn.XMATCH(AA$2,Table2[#Headers],0))=0,"",INDEX(Table2[],_xlfn.XMATCH($A78,Table2[Steel Member],0),_xlfn.XMATCH(AA$2,Table2[#Headers],0)))</f>
        <v>#N/A</v>
      </c>
      <c r="AB78" s="4" t="e" cm="1">
        <f t="array" ref="AB78">IF(INDEX(Table2[],_xlfn.XMATCH($A78,Table2[Steel Member],0),_xlfn.XMATCH(AB$2,Table2[#Headers],0))=0,"",INDEX(Table2[],_xlfn.XMATCH($A78,Table2[Steel Member],0),_xlfn.XMATCH(AB$2,Table2[#Headers],0)))</f>
        <v>#N/A</v>
      </c>
      <c r="AC78" s="4" t="str" cm="1">
        <f t="array" ref="AC78">IFERROR(INDEX(Table8[],_xlfn.XMATCH($O78,Table8[Dimension Name Category],0),_xlfn.XMATCH(AC$2&amp;IF($L78," w/ tag"," w/o tag"),Table8[#Headers],0)),"")</f>
        <v/>
      </c>
      <c r="AD78" s="59" t="str">
        <f t="shared" si="31"/>
        <v/>
      </c>
      <c r="AE78" s="4" t="str">
        <f t="shared" si="49"/>
        <v/>
      </c>
      <c r="AF78" s="4" t="str">
        <f t="shared" si="50"/>
        <v/>
      </c>
      <c r="AG78" s="4" t="str" cm="1">
        <f t="array" ref="AG78">IFERROR(INDEX(Table8[],_xlfn.XMATCH($O78,Table8[Dimension Name Category],0),_xlfn.XMATCH(AG$2&amp;IF($L78," w/ tag"," w/o tag"),Table8[#Headers],0)),"")</f>
        <v/>
      </c>
      <c r="AH78" s="59" t="str">
        <f t="shared" si="34"/>
        <v/>
      </c>
      <c r="AI78" s="4"/>
      <c r="AJ78" s="4" t="str">
        <f t="shared" si="35"/>
        <v/>
      </c>
      <c r="AK78" s="4" t="str">
        <f t="shared" si="36"/>
        <v/>
      </c>
      <c r="AL78" s="4" t="e" cm="1">
        <f t="array" ref="AL78">IF(INDEX(Table2[],_xlfn.XMATCH($A78,Table2[Steel Member],0),_xlfn.XMATCH(AL$2,Table2[#Headers],0))=0,"",INDEX(Table2[],_xlfn.XMATCH($A78,Table2[Steel Member],0),_xlfn.XMATCH(AL$2,Table2[#Headers],0)))</f>
        <v>#N/A</v>
      </c>
      <c r="AM78" s="4"/>
      <c r="AN78" s="4" t="str">
        <f t="shared" si="37"/>
        <v/>
      </c>
      <c r="AO78" s="4"/>
      <c r="AP78" s="4" t="e" cm="1">
        <f t="array" ref="AP78">IF(INDEX(Table2[],_xlfn.XMATCH($A78,Table2[Steel Member],0),_xlfn.XMATCH(AP$2,Table2[#Headers],0))=0,"",INDEX(Table2[],_xlfn.XMATCH($A78,Table2[Steel Member],0),_xlfn.XMATCH(AP$2,Table2[#Headers],0)))</f>
        <v>#N/A</v>
      </c>
      <c r="AQ78" s="4"/>
      <c r="AR78" s="4"/>
      <c r="AS78" s="4"/>
      <c r="AT78" s="4"/>
    </row>
    <row r="79" spans="1:46" x14ac:dyDescent="0.25">
      <c r="A79" s="52"/>
      <c r="B79" s="52"/>
      <c r="C79" s="52"/>
      <c r="D79" s="52"/>
      <c r="E79" s="52"/>
      <c r="F79" s="64" cm="1">
        <f t="array" ref="F79">IF(COUNT(FIND(PurlinsxGirthsxBracings,$C79))&gt;0,0,ROUNDUP(IF(D79=0,0,VLOOKUP(D79,'DATA SHEET'!$B:$D,2,FALSE)),2))</f>
        <v>0</v>
      </c>
      <c r="G79" s="64" cm="1">
        <f t="array" ref="G79">IF(COUNT(FIND(PurlinsxGirthsxBracings,$C79))&gt;0,0,ROUNDUP(IF(D79=0,0,VLOOKUP(D79,'DATA SHEET'!$B:$D,3,FALSE)),2))</f>
        <v>0</v>
      </c>
      <c r="H79" s="53"/>
      <c r="I79" s="66" cm="1">
        <f t="array" ref="I79">IF(AND(ISBLANK(B79),ISBLANK(C79),ISBLANK(E79)),0,IF(COUNT(FIND(PurlinsxGirthsxBracings,$C79))&gt;0,IF(B79=0,CONCATENATE(E79," ",C79),CONCATENATE(B79," - ",E79," ",C79)),IF(B79=0,IF(ISBLANK(C79),E79,CONCATENATE(D79,", ",F79,"kg/m, ",G79,"mm surface perimeter")),IF(AND(ISBLANK(C79),ISTEXT(E79)),CONCATENATE(B79," - ",E79),IF(AND(ISBLANK(C79),ISBLANK(E79)),B79,CONCATENATE(B79," - ",D79,", ",F79,"kg/m, ",G79,"mm surface perimeter"))))&amp;IF(ISBLANK(H79),"",H79)))</f>
        <v>0</v>
      </c>
      <c r="J79" s="53"/>
      <c r="L79" s="4" t="str" cm="1">
        <f t="array" ref="L79">IF(COUNT(FIND({0,1,2,3,4,5,6,7,8,9},B79))&gt;0,COUNT(FIND({0,1,2,3,4,5,6,7,8,9},B79))&gt;0,"")</f>
        <v/>
      </c>
      <c r="M79" s="4" t="str" cm="1">
        <f t="array" aca="1" ref="M79" ca="1">IFERROR(_xlfn.IFS(R79="Count",RANDBETWEEN(1,COUNTIF($R$11:$R$653,"Count")),R79="Length",RANDBETWEEN(1,COUNTIF($R$11:$R$653,"Length"))),"")</f>
        <v/>
      </c>
      <c r="N79" s="4" t="str">
        <f ca="1">IFERROR(_xlfn.RANK.EQ(M79,$M$11:$M$653)+COUNTIF($M$11:M79,M79)-1,"")</f>
        <v/>
      </c>
      <c r="O79" s="86" t="str">
        <f>IF(A79='DATA SHEET'!$L$36,C79,IFERROR(IF(AND(ISTEXT(I79),ISBLANK(C79)),"No details",VLOOKUP(C79,DimFolder,2,FALSE)),""))</f>
        <v/>
      </c>
      <c r="P79" s="4" t="str">
        <f t="shared" si="51"/>
        <v/>
      </c>
      <c r="Q79" s="58" t="str">
        <f t="shared" si="45"/>
        <v/>
      </c>
      <c r="R79" s="4" t="e" cm="1">
        <f t="array" ref="R79">IF(INDEX(Table2[],_xlfn.XMATCH($A79,Table2[Steel Member],0),_xlfn.XMATCH(R$2,Table2[#Headers],0))=0,"",INDEX(Table2[],_xlfn.XMATCH($A79,Table2[Steel Member],0),_xlfn.XMATCH(R$2,Table2[#Headers],0)))</f>
        <v>#N/A</v>
      </c>
      <c r="S79" s="4" t="e" cm="1">
        <f t="array" ref="S79">IF(INDEX(Table2[],_xlfn.XMATCH($A79,Table2[Steel Member],0),_xlfn.XMATCH(S$2,Table2[#Headers],0))=0,"",INDEX(Table2[],_xlfn.XMATCH($A79,Table2[Steel Member],0),_xlfn.XMATCH(S$2,Table2[#Headers],0)))</f>
        <v>#N/A</v>
      </c>
      <c r="T79" s="4" t="str">
        <f t="shared" si="46"/>
        <v/>
      </c>
      <c r="U79" s="4" t="e">
        <f ca="1">VLOOKUP(N79,'COLOR CODE'!$B:$D,2,FALSE)</f>
        <v>#N/A</v>
      </c>
      <c r="V79" s="4" t="str">
        <f t="shared" si="47"/>
        <v/>
      </c>
      <c r="W79" s="4" t="e" cm="1">
        <f t="array" ref="W79">IF(INDEX(Table2[],_xlfn.XMATCH($A79,Table2[Steel Member],0),_xlfn.XMATCH(W$2,Table2[#Headers],0))=0,"",INDEX(Table2[],_xlfn.XMATCH($A79,Table2[Steel Member],0),_xlfn.XMATCH(W$2,Table2[#Headers],0)))</f>
        <v>#N/A</v>
      </c>
      <c r="X79" s="4" t="e">
        <f t="shared" si="48"/>
        <v>#N/A</v>
      </c>
      <c r="Y79" s="4" t="e" cm="1">
        <f t="array" ref="Y79">IF(INDEX(Table2[],_xlfn.XMATCH($A79,Table2[Steel Member],0),_xlfn.XMATCH(Y$2,Table2[#Headers],0))=0,"",INDEX(Table2[],_xlfn.XMATCH($A79,Table2[Steel Member],0),_xlfn.XMATCH(Y$2,Table2[#Headers],0)))</f>
        <v>#N/A</v>
      </c>
      <c r="Z79" s="4" t="e" cm="1">
        <f t="array" ref="Z79">IF(INDEX(Table2[],_xlfn.XMATCH($A79,Table2[Steel Member],0),_xlfn.XMATCH(Z$2,Table2[#Headers],0))=0,"",INDEX(Table2[],_xlfn.XMATCH($A79,Table2[Steel Member],0),_xlfn.XMATCH(Z$2,Table2[#Headers],0)))</f>
        <v>#N/A</v>
      </c>
      <c r="AA79" s="4" t="e" cm="1">
        <f t="array" ref="AA79">IF(INDEX(Table2[],_xlfn.XMATCH($A79,Table2[Steel Member],0),_xlfn.XMATCH(AA$2,Table2[#Headers],0))=0,"",INDEX(Table2[],_xlfn.XMATCH($A79,Table2[Steel Member],0),_xlfn.XMATCH(AA$2,Table2[#Headers],0)))</f>
        <v>#N/A</v>
      </c>
      <c r="AB79" s="4" t="e" cm="1">
        <f t="array" ref="AB79">IF(INDEX(Table2[],_xlfn.XMATCH($A79,Table2[Steel Member],0),_xlfn.XMATCH(AB$2,Table2[#Headers],0))=0,"",INDEX(Table2[],_xlfn.XMATCH($A79,Table2[Steel Member],0),_xlfn.XMATCH(AB$2,Table2[#Headers],0)))</f>
        <v>#N/A</v>
      </c>
      <c r="AC79" s="4" t="str" cm="1">
        <f t="array" ref="AC79">IFERROR(INDEX(Table8[],_xlfn.XMATCH($O79,Table8[Dimension Name Category],0),_xlfn.XMATCH(AC$2&amp;IF($L79," w/ tag"," w/o tag"),Table8[#Headers],0)),"")</f>
        <v/>
      </c>
      <c r="AD79" s="59" t="str">
        <f t="shared" si="31"/>
        <v/>
      </c>
      <c r="AE79" s="4" t="str">
        <f t="shared" si="49"/>
        <v/>
      </c>
      <c r="AF79" s="4" t="str">
        <f t="shared" si="50"/>
        <v/>
      </c>
      <c r="AG79" s="4" t="str" cm="1">
        <f t="array" ref="AG79">IFERROR(INDEX(Table8[],_xlfn.XMATCH($O79,Table8[Dimension Name Category],0),_xlfn.XMATCH(AG$2&amp;IF($L79," w/ tag"," w/o tag"),Table8[#Headers],0)),"")</f>
        <v/>
      </c>
      <c r="AH79" s="59" t="str">
        <f t="shared" si="34"/>
        <v/>
      </c>
      <c r="AI79" s="4"/>
      <c r="AJ79" s="4" t="str">
        <f t="shared" si="35"/>
        <v/>
      </c>
      <c r="AK79" s="4" t="str">
        <f t="shared" si="36"/>
        <v/>
      </c>
      <c r="AL79" s="4" t="e" cm="1">
        <f t="array" ref="AL79">IF(INDEX(Table2[],_xlfn.XMATCH($A79,Table2[Steel Member],0),_xlfn.XMATCH(AL$2,Table2[#Headers],0))=0,"",INDEX(Table2[],_xlfn.XMATCH($A79,Table2[Steel Member],0),_xlfn.XMATCH(AL$2,Table2[#Headers],0)))</f>
        <v>#N/A</v>
      </c>
      <c r="AM79" s="4"/>
      <c r="AN79" s="4" t="str">
        <f t="shared" si="37"/>
        <v/>
      </c>
      <c r="AO79" s="4"/>
      <c r="AP79" s="4" t="e" cm="1">
        <f t="array" ref="AP79">IF(INDEX(Table2[],_xlfn.XMATCH($A79,Table2[Steel Member],0),_xlfn.XMATCH(AP$2,Table2[#Headers],0))=0,"",INDEX(Table2[],_xlfn.XMATCH($A79,Table2[Steel Member],0),_xlfn.XMATCH(AP$2,Table2[#Headers],0)))</f>
        <v>#N/A</v>
      </c>
      <c r="AQ79" s="4"/>
      <c r="AR79" s="4"/>
      <c r="AS79" s="4"/>
      <c r="AT79" s="4"/>
    </row>
    <row r="80" spans="1:46" x14ac:dyDescent="0.25">
      <c r="A80" s="52"/>
      <c r="B80" s="52"/>
      <c r="C80" s="52"/>
      <c r="D80" s="52"/>
      <c r="E80" s="52"/>
      <c r="F80" s="64" cm="1">
        <f t="array" ref="F80">IF(COUNT(FIND(PurlinsxGirthsxBracings,$C80))&gt;0,0,ROUNDUP(IF(D80=0,0,VLOOKUP(D80,'DATA SHEET'!$B:$D,2,FALSE)),2))</f>
        <v>0</v>
      </c>
      <c r="G80" s="64" cm="1">
        <f t="array" ref="G80">IF(COUNT(FIND(PurlinsxGirthsxBracings,$C80))&gt;0,0,ROUNDUP(IF(D80=0,0,VLOOKUP(D80,'DATA SHEET'!$B:$D,3,FALSE)),2))</f>
        <v>0</v>
      </c>
      <c r="H80" s="53"/>
      <c r="I80" s="66" cm="1">
        <f t="array" ref="I80">IF(AND(ISBLANK(B80),ISBLANK(C80),ISBLANK(E80)),0,IF(COUNT(FIND(PurlinsxGirthsxBracings,$C80))&gt;0,IF(B80=0,CONCATENATE(E80," ",C80),CONCATENATE(B80," - ",E80," ",C80)),IF(B80=0,IF(ISBLANK(C80),E80,CONCATENATE(D80,", ",F80,"kg/m, ",G80,"mm surface perimeter")),IF(AND(ISBLANK(C80),ISTEXT(E80)),CONCATENATE(B80," - ",E80),IF(AND(ISBLANK(C80),ISBLANK(E80)),B80,CONCATENATE(B80," - ",D80,", ",F80,"kg/m, ",G80,"mm surface perimeter"))))&amp;IF(ISBLANK(H80),"",H80)))</f>
        <v>0</v>
      </c>
      <c r="J80" s="53"/>
      <c r="L80" s="4" t="str" cm="1">
        <f t="array" ref="L80">IF(COUNT(FIND({0,1,2,3,4,5,6,7,8,9},B80))&gt;0,COUNT(FIND({0,1,2,3,4,5,6,7,8,9},B80))&gt;0,"")</f>
        <v/>
      </c>
      <c r="M80" s="4" t="str" cm="1">
        <f t="array" aca="1" ref="M80" ca="1">IFERROR(_xlfn.IFS(R80="Count",RANDBETWEEN(1,COUNTIF($R$11:$R$653,"Count")),R80="Length",RANDBETWEEN(1,COUNTIF($R$11:$R$653,"Length"))),"")</f>
        <v/>
      </c>
      <c r="N80" s="4" t="str">
        <f ca="1">IFERROR(_xlfn.RANK.EQ(M80,$M$11:$M$653)+COUNTIF($M$11:M80,M80)-1,"")</f>
        <v/>
      </c>
      <c r="O80" s="86" t="str">
        <f>IF(A80='DATA SHEET'!$L$36,C80,IFERROR(IF(AND(ISTEXT(I80),ISBLANK(C80)),"No details",VLOOKUP(C80,DimFolder,2,FALSE)),""))</f>
        <v/>
      </c>
      <c r="P80" s="4" t="str">
        <f t="shared" si="51"/>
        <v/>
      </c>
      <c r="Q80" s="58" t="str">
        <f t="shared" si="45"/>
        <v/>
      </c>
      <c r="R80" s="4" t="e" cm="1">
        <f t="array" ref="R80">IF(INDEX(Table2[],_xlfn.XMATCH($A80,Table2[Steel Member],0),_xlfn.XMATCH(R$2,Table2[#Headers],0))=0,"",INDEX(Table2[],_xlfn.XMATCH($A80,Table2[Steel Member],0),_xlfn.XMATCH(R$2,Table2[#Headers],0)))</f>
        <v>#N/A</v>
      </c>
      <c r="S80" s="4" t="e" cm="1">
        <f t="array" ref="S80">IF(INDEX(Table2[],_xlfn.XMATCH($A80,Table2[Steel Member],0),_xlfn.XMATCH(S$2,Table2[#Headers],0))=0,"",INDEX(Table2[],_xlfn.XMATCH($A80,Table2[Steel Member],0),_xlfn.XMATCH(S$2,Table2[#Headers],0)))</f>
        <v>#N/A</v>
      </c>
      <c r="T80" s="4" t="str">
        <f t="shared" si="46"/>
        <v/>
      </c>
      <c r="U80" s="4" t="e">
        <f ca="1">VLOOKUP(N80,'COLOR CODE'!$B:$D,2,FALSE)</f>
        <v>#N/A</v>
      </c>
      <c r="V80" s="4" t="str">
        <f t="shared" si="47"/>
        <v/>
      </c>
      <c r="W80" s="4" t="e" cm="1">
        <f t="array" ref="W80">IF(INDEX(Table2[],_xlfn.XMATCH($A80,Table2[Steel Member],0),_xlfn.XMATCH(W$2,Table2[#Headers],0))=0,"",INDEX(Table2[],_xlfn.XMATCH($A80,Table2[Steel Member],0),_xlfn.XMATCH(W$2,Table2[#Headers],0)))</f>
        <v>#N/A</v>
      </c>
      <c r="X80" s="4" t="e">
        <f t="shared" si="48"/>
        <v>#N/A</v>
      </c>
      <c r="Y80" s="4" t="e" cm="1">
        <f t="array" ref="Y80">IF(INDEX(Table2[],_xlfn.XMATCH($A80,Table2[Steel Member],0),_xlfn.XMATCH(Y$2,Table2[#Headers],0))=0,"",INDEX(Table2[],_xlfn.XMATCH($A80,Table2[Steel Member],0),_xlfn.XMATCH(Y$2,Table2[#Headers],0)))</f>
        <v>#N/A</v>
      </c>
      <c r="Z80" s="4" t="e" cm="1">
        <f t="array" ref="Z80">IF(INDEX(Table2[],_xlfn.XMATCH($A80,Table2[Steel Member],0),_xlfn.XMATCH(Z$2,Table2[#Headers],0))=0,"",INDEX(Table2[],_xlfn.XMATCH($A80,Table2[Steel Member],0),_xlfn.XMATCH(Z$2,Table2[#Headers],0)))</f>
        <v>#N/A</v>
      </c>
      <c r="AA80" s="4" t="e" cm="1">
        <f t="array" ref="AA80">IF(INDEX(Table2[],_xlfn.XMATCH($A80,Table2[Steel Member],0),_xlfn.XMATCH(AA$2,Table2[#Headers],0))=0,"",INDEX(Table2[],_xlfn.XMATCH($A80,Table2[Steel Member],0),_xlfn.XMATCH(AA$2,Table2[#Headers],0)))</f>
        <v>#N/A</v>
      </c>
      <c r="AB80" s="4" t="e" cm="1">
        <f t="array" ref="AB80">IF(INDEX(Table2[],_xlfn.XMATCH($A80,Table2[Steel Member],0),_xlfn.XMATCH(AB$2,Table2[#Headers],0))=0,"",INDEX(Table2[],_xlfn.XMATCH($A80,Table2[Steel Member],0),_xlfn.XMATCH(AB$2,Table2[#Headers],0)))</f>
        <v>#N/A</v>
      </c>
      <c r="AC80" s="4" t="str" cm="1">
        <f t="array" ref="AC80">IFERROR(INDEX(Table8[],_xlfn.XMATCH($O80,Table8[Dimension Name Category],0),_xlfn.XMATCH(AC$2&amp;IF($L80," w/ tag"," w/o tag"),Table8[#Headers],0)),"")</f>
        <v/>
      </c>
      <c r="AD80" s="59" t="str">
        <f t="shared" si="31"/>
        <v/>
      </c>
      <c r="AE80" s="4" t="str">
        <f t="shared" si="49"/>
        <v/>
      </c>
      <c r="AF80" s="4" t="str">
        <f t="shared" si="50"/>
        <v/>
      </c>
      <c r="AG80" s="4" t="str" cm="1">
        <f t="array" ref="AG80">IFERROR(INDEX(Table8[],_xlfn.XMATCH($O80,Table8[Dimension Name Category],0),_xlfn.XMATCH(AG$2&amp;IF($L80," w/ tag"," w/o tag"),Table8[#Headers],0)),"")</f>
        <v/>
      </c>
      <c r="AH80" s="59" t="str">
        <f t="shared" si="34"/>
        <v/>
      </c>
      <c r="AI80" s="4"/>
      <c r="AJ80" s="4" t="str">
        <f t="shared" si="35"/>
        <v/>
      </c>
      <c r="AK80" s="4" t="str">
        <f t="shared" si="36"/>
        <v/>
      </c>
      <c r="AL80" s="4" t="e" cm="1">
        <f t="array" ref="AL80">IF(INDEX(Table2[],_xlfn.XMATCH($A80,Table2[Steel Member],0),_xlfn.XMATCH(AL$2,Table2[#Headers],0))=0,"",INDEX(Table2[],_xlfn.XMATCH($A80,Table2[Steel Member],0),_xlfn.XMATCH(AL$2,Table2[#Headers],0)))</f>
        <v>#N/A</v>
      </c>
      <c r="AM80" s="4"/>
      <c r="AN80" s="4" t="str">
        <f t="shared" si="37"/>
        <v/>
      </c>
      <c r="AO80" s="4"/>
      <c r="AP80" s="4" t="e" cm="1">
        <f t="array" ref="AP80">IF(INDEX(Table2[],_xlfn.XMATCH($A80,Table2[Steel Member],0),_xlfn.XMATCH(AP$2,Table2[#Headers],0))=0,"",INDEX(Table2[],_xlfn.XMATCH($A80,Table2[Steel Member],0),_xlfn.XMATCH(AP$2,Table2[#Headers],0)))</f>
        <v>#N/A</v>
      </c>
      <c r="AQ80" s="4"/>
      <c r="AR80" s="4"/>
      <c r="AS80" s="4"/>
      <c r="AT80" s="4"/>
    </row>
    <row r="81" spans="1:46" x14ac:dyDescent="0.25">
      <c r="A81" s="52"/>
      <c r="B81" s="52"/>
      <c r="C81" s="52"/>
      <c r="D81" s="52"/>
      <c r="E81" s="52"/>
      <c r="F81" s="64" cm="1">
        <f t="array" ref="F81">IF(COUNT(FIND(PurlinsxGirthsxBracings,$C81))&gt;0,0,ROUNDUP(IF(D81=0,0,VLOOKUP(D81,'DATA SHEET'!$B:$D,2,FALSE)),2))</f>
        <v>0</v>
      </c>
      <c r="G81" s="64" cm="1">
        <f t="array" ref="G81">IF(COUNT(FIND(PurlinsxGirthsxBracings,$C81))&gt;0,0,ROUNDUP(IF(D81=0,0,VLOOKUP(D81,'DATA SHEET'!$B:$D,3,FALSE)),2))</f>
        <v>0</v>
      </c>
      <c r="H81" s="53"/>
      <c r="I81" s="66" cm="1">
        <f t="array" ref="I81">IF(AND(ISBLANK(B81),ISBLANK(C81),ISBLANK(E81)),0,IF(COUNT(FIND(PurlinsxGirthsxBracings,$C81))&gt;0,IF(B81=0,CONCATENATE(E81," ",C81),CONCATENATE(B81," - ",E81," ",C81)),IF(B81=0,IF(ISBLANK(C81),E81,CONCATENATE(D81,", ",F81,"kg/m, ",G81,"mm surface perimeter")),IF(AND(ISBLANK(C81),ISTEXT(E81)),CONCATENATE(B81," - ",E81),IF(AND(ISBLANK(C81),ISBLANK(E81)),B81,CONCATENATE(B81," - ",D81,", ",F81,"kg/m, ",G81,"mm surface perimeter"))))&amp;IF(ISBLANK(H81),"",H81)))</f>
        <v>0</v>
      </c>
      <c r="J81" s="53"/>
      <c r="L81" s="4" t="str" cm="1">
        <f t="array" ref="L81">IF(COUNT(FIND({0,1,2,3,4,5,6,7,8,9},B81))&gt;0,COUNT(FIND({0,1,2,3,4,5,6,7,8,9},B81))&gt;0,"")</f>
        <v/>
      </c>
      <c r="M81" s="4" t="str" cm="1">
        <f t="array" aca="1" ref="M81" ca="1">IFERROR(_xlfn.IFS(R81="Count",RANDBETWEEN(1,COUNTIF($R$11:$R$653,"Count")),R81="Length",RANDBETWEEN(1,COUNTIF($R$11:$R$653,"Length"))),"")</f>
        <v/>
      </c>
      <c r="N81" s="4" t="str">
        <f ca="1">IFERROR(_xlfn.RANK.EQ(M81,$M$11:$M$653)+COUNTIF($M$11:M81,M81)-1,"")</f>
        <v/>
      </c>
      <c r="O81" s="86" t="str">
        <f>IF(A81='DATA SHEET'!$L$36,C81,IFERROR(IF(AND(ISTEXT(I81),ISBLANK(C81)),"No details",VLOOKUP(C81,DimFolder,2,FALSE)),""))</f>
        <v/>
      </c>
      <c r="P81" s="4" t="str">
        <f t="shared" si="51"/>
        <v/>
      </c>
      <c r="Q81" s="58" t="str">
        <f t="shared" si="45"/>
        <v/>
      </c>
      <c r="R81" s="4" t="e" cm="1">
        <f t="array" ref="R81">IF(INDEX(Table2[],_xlfn.XMATCH($A81,Table2[Steel Member],0),_xlfn.XMATCH(R$2,Table2[#Headers],0))=0,"",INDEX(Table2[],_xlfn.XMATCH($A81,Table2[Steel Member],0),_xlfn.XMATCH(R$2,Table2[#Headers],0)))</f>
        <v>#N/A</v>
      </c>
      <c r="S81" s="4" t="e" cm="1">
        <f t="array" ref="S81">IF(INDEX(Table2[],_xlfn.XMATCH($A81,Table2[Steel Member],0),_xlfn.XMATCH(S$2,Table2[#Headers],0))=0,"",INDEX(Table2[],_xlfn.XMATCH($A81,Table2[Steel Member],0),_xlfn.XMATCH(S$2,Table2[#Headers],0)))</f>
        <v>#N/A</v>
      </c>
      <c r="T81" s="4" t="str">
        <f t="shared" si="46"/>
        <v/>
      </c>
      <c r="U81" s="4" t="e">
        <f ca="1">VLOOKUP(N81,'COLOR CODE'!$B:$D,2,FALSE)</f>
        <v>#N/A</v>
      </c>
      <c r="V81" s="4" t="str">
        <f t="shared" si="47"/>
        <v/>
      </c>
      <c r="W81" s="4" t="e" cm="1">
        <f t="array" ref="W81">IF(INDEX(Table2[],_xlfn.XMATCH($A81,Table2[Steel Member],0),_xlfn.XMATCH(W$2,Table2[#Headers],0))=0,"",INDEX(Table2[],_xlfn.XMATCH($A81,Table2[Steel Member],0),_xlfn.XMATCH(W$2,Table2[#Headers],0)))</f>
        <v>#N/A</v>
      </c>
      <c r="X81" s="4" t="e">
        <f t="shared" si="48"/>
        <v>#N/A</v>
      </c>
      <c r="Y81" s="4" t="e" cm="1">
        <f t="array" ref="Y81">IF(INDEX(Table2[],_xlfn.XMATCH($A81,Table2[Steel Member],0),_xlfn.XMATCH(Y$2,Table2[#Headers],0))=0,"",INDEX(Table2[],_xlfn.XMATCH($A81,Table2[Steel Member],0),_xlfn.XMATCH(Y$2,Table2[#Headers],0)))</f>
        <v>#N/A</v>
      </c>
      <c r="Z81" s="4" t="e" cm="1">
        <f t="array" ref="Z81">IF(INDEX(Table2[],_xlfn.XMATCH($A81,Table2[Steel Member],0),_xlfn.XMATCH(Z$2,Table2[#Headers],0))=0,"",INDEX(Table2[],_xlfn.XMATCH($A81,Table2[Steel Member],0),_xlfn.XMATCH(Z$2,Table2[#Headers],0)))</f>
        <v>#N/A</v>
      </c>
      <c r="AA81" s="4" t="e" cm="1">
        <f t="array" ref="AA81">IF(INDEX(Table2[],_xlfn.XMATCH($A81,Table2[Steel Member],0),_xlfn.XMATCH(AA$2,Table2[#Headers],0))=0,"",INDEX(Table2[],_xlfn.XMATCH($A81,Table2[Steel Member],0),_xlfn.XMATCH(AA$2,Table2[#Headers],0)))</f>
        <v>#N/A</v>
      </c>
      <c r="AB81" s="4" t="e" cm="1">
        <f t="array" ref="AB81">IF(INDEX(Table2[],_xlfn.XMATCH($A81,Table2[Steel Member],0),_xlfn.XMATCH(AB$2,Table2[#Headers],0))=0,"",INDEX(Table2[],_xlfn.XMATCH($A81,Table2[Steel Member],0),_xlfn.XMATCH(AB$2,Table2[#Headers],0)))</f>
        <v>#N/A</v>
      </c>
      <c r="AC81" s="4" t="str" cm="1">
        <f t="array" ref="AC81">IFERROR(INDEX(Table8[],_xlfn.XMATCH($O81,Table8[Dimension Name Category],0),_xlfn.XMATCH(AC$2&amp;IF($L81," w/ tag"," w/o tag"),Table8[#Headers],0)),"")</f>
        <v/>
      </c>
      <c r="AD81" s="59" t="str">
        <f t="shared" si="31"/>
        <v/>
      </c>
      <c r="AE81" s="4" t="str">
        <f t="shared" si="49"/>
        <v/>
      </c>
      <c r="AF81" s="4" t="str">
        <f t="shared" si="50"/>
        <v/>
      </c>
      <c r="AG81" s="4" t="str" cm="1">
        <f t="array" ref="AG81">IFERROR(INDEX(Table8[],_xlfn.XMATCH($O81,Table8[Dimension Name Category],0),_xlfn.XMATCH(AG$2&amp;IF($L81," w/ tag"," w/o tag"),Table8[#Headers],0)),"")</f>
        <v/>
      </c>
      <c r="AH81" s="59" t="str">
        <f t="shared" si="34"/>
        <v/>
      </c>
      <c r="AI81" s="4"/>
      <c r="AJ81" s="4" t="str">
        <f t="shared" si="35"/>
        <v/>
      </c>
      <c r="AK81" s="4" t="str">
        <f t="shared" si="36"/>
        <v/>
      </c>
      <c r="AL81" s="4" t="e" cm="1">
        <f t="array" ref="AL81">IF(INDEX(Table2[],_xlfn.XMATCH($A81,Table2[Steel Member],0),_xlfn.XMATCH(AL$2,Table2[#Headers],0))=0,"",INDEX(Table2[],_xlfn.XMATCH($A81,Table2[Steel Member],0),_xlfn.XMATCH(AL$2,Table2[#Headers],0)))</f>
        <v>#N/A</v>
      </c>
      <c r="AM81" s="4"/>
      <c r="AN81" s="4" t="str">
        <f t="shared" si="37"/>
        <v/>
      </c>
      <c r="AO81" s="4"/>
      <c r="AP81" s="4" t="e" cm="1">
        <f t="array" ref="AP81">IF(INDEX(Table2[],_xlfn.XMATCH($A81,Table2[Steel Member],0),_xlfn.XMATCH(AP$2,Table2[#Headers],0))=0,"",INDEX(Table2[],_xlfn.XMATCH($A81,Table2[Steel Member],0),_xlfn.XMATCH(AP$2,Table2[#Headers],0)))</f>
        <v>#N/A</v>
      </c>
      <c r="AQ81" s="4"/>
      <c r="AR81" s="4"/>
      <c r="AS81" s="4"/>
      <c r="AT81" s="4"/>
    </row>
    <row r="82" spans="1:46" x14ac:dyDescent="0.25">
      <c r="A82" s="52"/>
      <c r="B82" s="52"/>
      <c r="C82" s="52"/>
      <c r="D82" s="52"/>
      <c r="E82" s="52"/>
      <c r="F82" s="64" cm="1">
        <f t="array" ref="F82">IF(COUNT(FIND(PurlinsxGirthsxBracings,$C82))&gt;0,0,ROUNDUP(IF(D82=0,0,VLOOKUP(D82,'DATA SHEET'!$B:$D,2,FALSE)),2))</f>
        <v>0</v>
      </c>
      <c r="G82" s="64" cm="1">
        <f t="array" ref="G82">IF(COUNT(FIND(PurlinsxGirthsxBracings,$C82))&gt;0,0,ROUNDUP(IF(D82=0,0,VLOOKUP(D82,'DATA SHEET'!$B:$D,3,FALSE)),2))</f>
        <v>0</v>
      </c>
      <c r="H82" s="53"/>
      <c r="I82" s="66" cm="1">
        <f t="array" ref="I82">IF(AND(ISBLANK(B82),ISBLANK(C82),ISBLANK(E82)),0,IF(COUNT(FIND(PurlinsxGirthsxBracings,$C82))&gt;0,IF(B82=0,CONCATENATE(E82," ",C82),CONCATENATE(B82," - ",E82," ",C82)),IF(B82=0,IF(ISBLANK(C82),E82,CONCATENATE(D82,", ",F82,"kg/m, ",G82,"mm surface perimeter")),IF(AND(ISBLANK(C82),ISTEXT(E82)),CONCATENATE(B82," - ",E82),IF(AND(ISBLANK(C82),ISBLANK(E82)),B82,CONCATENATE(B82," - ",D82,", ",F82,"kg/m, ",G82,"mm surface perimeter"))))&amp;IF(ISBLANK(H82),"",H82)))</f>
        <v>0</v>
      </c>
      <c r="J82" s="53"/>
      <c r="L82" s="4" t="str" cm="1">
        <f t="array" ref="L82">IF(COUNT(FIND({0,1,2,3,4,5,6,7,8,9},B82))&gt;0,COUNT(FIND({0,1,2,3,4,5,6,7,8,9},B82))&gt;0,"")</f>
        <v/>
      </c>
      <c r="M82" s="4" t="str" cm="1">
        <f t="array" aca="1" ref="M82" ca="1">IFERROR(_xlfn.IFS(R82="Count",RANDBETWEEN(1,COUNTIF($R$11:$R$653,"Count")),R82="Length",RANDBETWEEN(1,COUNTIF($R$11:$R$653,"Length"))),"")</f>
        <v/>
      </c>
      <c r="N82" s="4" t="str">
        <f ca="1">IFERROR(_xlfn.RANK.EQ(M82,$M$11:$M$653)+COUNTIF($M$11:M82,M82)-1,"")</f>
        <v/>
      </c>
      <c r="O82" s="86" t="str">
        <f>IF(A82='DATA SHEET'!$L$36,C82,IFERROR(IF(AND(ISTEXT(I82),ISBLANK(C82)),"No details",VLOOKUP(C82,DimFolder,2,FALSE)),""))</f>
        <v/>
      </c>
      <c r="P82" s="4" t="str">
        <f t="shared" si="51"/>
        <v/>
      </c>
      <c r="Q82" s="58" t="str">
        <f t="shared" si="45"/>
        <v/>
      </c>
      <c r="R82" s="4" t="e" cm="1">
        <f t="array" ref="R82">IF(INDEX(Table2[],_xlfn.XMATCH($A82,Table2[Steel Member],0),_xlfn.XMATCH(R$2,Table2[#Headers],0))=0,"",INDEX(Table2[],_xlfn.XMATCH($A82,Table2[Steel Member],0),_xlfn.XMATCH(R$2,Table2[#Headers],0)))</f>
        <v>#N/A</v>
      </c>
      <c r="S82" s="4" t="e" cm="1">
        <f t="array" ref="S82">IF(INDEX(Table2[],_xlfn.XMATCH($A82,Table2[Steel Member],0),_xlfn.XMATCH(S$2,Table2[#Headers],0))=0,"",INDEX(Table2[],_xlfn.XMATCH($A82,Table2[Steel Member],0),_xlfn.XMATCH(S$2,Table2[#Headers],0)))</f>
        <v>#N/A</v>
      </c>
      <c r="T82" s="4" t="str">
        <f t="shared" si="46"/>
        <v/>
      </c>
      <c r="U82" s="4" t="e">
        <f ca="1">VLOOKUP(N82,'COLOR CODE'!$B:$D,2,FALSE)</f>
        <v>#N/A</v>
      </c>
      <c r="V82" s="4" t="str">
        <f t="shared" si="47"/>
        <v/>
      </c>
      <c r="W82" s="4" t="e" cm="1">
        <f t="array" ref="W82">IF(INDEX(Table2[],_xlfn.XMATCH($A82,Table2[Steel Member],0),_xlfn.XMATCH(W$2,Table2[#Headers],0))=0,"",INDEX(Table2[],_xlfn.XMATCH($A82,Table2[Steel Member],0),_xlfn.XMATCH(W$2,Table2[#Headers],0)))</f>
        <v>#N/A</v>
      </c>
      <c r="X82" s="4" t="e">
        <f t="shared" si="48"/>
        <v>#N/A</v>
      </c>
      <c r="Y82" s="4" t="e" cm="1">
        <f t="array" ref="Y82">IF(INDEX(Table2[],_xlfn.XMATCH($A82,Table2[Steel Member],0),_xlfn.XMATCH(Y$2,Table2[#Headers],0))=0,"",INDEX(Table2[],_xlfn.XMATCH($A82,Table2[Steel Member],0),_xlfn.XMATCH(Y$2,Table2[#Headers],0)))</f>
        <v>#N/A</v>
      </c>
      <c r="Z82" s="4" t="e" cm="1">
        <f t="array" ref="Z82">IF(INDEX(Table2[],_xlfn.XMATCH($A82,Table2[Steel Member],0),_xlfn.XMATCH(Z$2,Table2[#Headers],0))=0,"",INDEX(Table2[],_xlfn.XMATCH($A82,Table2[Steel Member],0),_xlfn.XMATCH(Z$2,Table2[#Headers],0)))</f>
        <v>#N/A</v>
      </c>
      <c r="AA82" s="4" t="e" cm="1">
        <f t="array" ref="AA82">IF(INDEX(Table2[],_xlfn.XMATCH($A82,Table2[Steel Member],0),_xlfn.XMATCH(AA$2,Table2[#Headers],0))=0,"",INDEX(Table2[],_xlfn.XMATCH($A82,Table2[Steel Member],0),_xlfn.XMATCH(AA$2,Table2[#Headers],0)))</f>
        <v>#N/A</v>
      </c>
      <c r="AB82" s="4" t="e" cm="1">
        <f t="array" ref="AB82">IF(INDEX(Table2[],_xlfn.XMATCH($A82,Table2[Steel Member],0),_xlfn.XMATCH(AB$2,Table2[#Headers],0))=0,"",INDEX(Table2[],_xlfn.XMATCH($A82,Table2[Steel Member],0),_xlfn.XMATCH(AB$2,Table2[#Headers],0)))</f>
        <v>#N/A</v>
      </c>
      <c r="AC82" s="4" t="str" cm="1">
        <f t="array" ref="AC82">IFERROR(INDEX(Table8[],_xlfn.XMATCH($O82,Table8[Dimension Name Category],0),_xlfn.XMATCH(AC$2&amp;IF($L82," w/ tag"," w/o tag"),Table8[#Headers],0)),"")</f>
        <v/>
      </c>
      <c r="AD82" s="59" t="str">
        <f t="shared" si="31"/>
        <v/>
      </c>
      <c r="AE82" s="4" t="str">
        <f t="shared" si="49"/>
        <v/>
      </c>
      <c r="AF82" s="4" t="str">
        <f t="shared" si="50"/>
        <v/>
      </c>
      <c r="AG82" s="4" t="str" cm="1">
        <f t="array" ref="AG82">IFERROR(INDEX(Table8[],_xlfn.XMATCH($O82,Table8[Dimension Name Category],0),_xlfn.XMATCH(AG$2&amp;IF($L82," w/ tag"," w/o tag"),Table8[#Headers],0)),"")</f>
        <v/>
      </c>
      <c r="AH82" s="59" t="str">
        <f t="shared" si="34"/>
        <v/>
      </c>
      <c r="AI82" s="4"/>
      <c r="AJ82" s="4" t="str">
        <f t="shared" si="35"/>
        <v/>
      </c>
      <c r="AK82" s="4" t="str">
        <f t="shared" si="36"/>
        <v/>
      </c>
      <c r="AL82" s="4" t="e" cm="1">
        <f t="array" ref="AL82">IF(INDEX(Table2[],_xlfn.XMATCH($A82,Table2[Steel Member],0),_xlfn.XMATCH(AL$2,Table2[#Headers],0))=0,"",INDEX(Table2[],_xlfn.XMATCH($A82,Table2[Steel Member],0),_xlfn.XMATCH(AL$2,Table2[#Headers],0)))</f>
        <v>#N/A</v>
      </c>
      <c r="AM82" s="4"/>
      <c r="AN82" s="4" t="str">
        <f t="shared" si="37"/>
        <v/>
      </c>
      <c r="AO82" s="4"/>
      <c r="AP82" s="4" t="e" cm="1">
        <f t="array" ref="AP82">IF(INDEX(Table2[],_xlfn.XMATCH($A82,Table2[Steel Member],0),_xlfn.XMATCH(AP$2,Table2[#Headers],0))=0,"",INDEX(Table2[],_xlfn.XMATCH($A82,Table2[Steel Member],0),_xlfn.XMATCH(AP$2,Table2[#Headers],0)))</f>
        <v>#N/A</v>
      </c>
      <c r="AQ82" s="4"/>
      <c r="AR82" s="4"/>
      <c r="AS82" s="4"/>
      <c r="AT82" s="4"/>
    </row>
    <row r="83" spans="1:46" x14ac:dyDescent="0.25">
      <c r="A83" s="52"/>
      <c r="B83" s="52"/>
      <c r="C83" s="52"/>
      <c r="D83" s="52"/>
      <c r="E83" s="52"/>
      <c r="F83" s="64" cm="1">
        <f t="array" ref="F83">IF(COUNT(FIND(PurlinsxGirthsxBracings,$C83))&gt;0,0,ROUNDUP(IF(D83=0,0,VLOOKUP(D83,'DATA SHEET'!$B:$D,2,FALSE)),2))</f>
        <v>0</v>
      </c>
      <c r="G83" s="64" cm="1">
        <f t="array" ref="G83">IF(COUNT(FIND(PurlinsxGirthsxBracings,$C83))&gt;0,0,ROUNDUP(IF(D83=0,0,VLOOKUP(D83,'DATA SHEET'!$B:$D,3,FALSE)),2))</f>
        <v>0</v>
      </c>
      <c r="H83" s="53"/>
      <c r="I83" s="66" cm="1">
        <f t="array" ref="I83">IF(AND(ISBLANK(B83),ISBLANK(C83),ISBLANK(E83)),0,IF(COUNT(FIND(PurlinsxGirthsxBracings,$C83))&gt;0,IF(B83=0,CONCATENATE(E83," ",C83),CONCATENATE(B83," - ",E83," ",C83)),IF(B83=0,IF(ISBLANK(C83),E83,CONCATENATE(D83,", ",F83,"kg/m, ",G83,"mm surface perimeter")),IF(AND(ISBLANK(C83),ISTEXT(E83)),CONCATENATE(B83," - ",E83),IF(AND(ISBLANK(C83),ISBLANK(E83)),B83,CONCATENATE(B83," - ",D83,", ",F83,"kg/m, ",G83,"mm surface perimeter"))))&amp;IF(ISBLANK(H83),"",H83)))</f>
        <v>0</v>
      </c>
      <c r="J83" s="53"/>
      <c r="L83" s="4" t="str" cm="1">
        <f t="array" ref="L83">IF(COUNT(FIND({0,1,2,3,4,5,6,7,8,9},B83))&gt;0,COUNT(FIND({0,1,2,3,4,5,6,7,8,9},B83))&gt;0,"")</f>
        <v/>
      </c>
      <c r="M83" s="4" t="str" cm="1">
        <f t="array" aca="1" ref="M83" ca="1">IFERROR(_xlfn.IFS(R83="Count",RANDBETWEEN(1,COUNTIF($R$11:$R$653,"Count")),R83="Length",RANDBETWEEN(1,COUNTIF($R$11:$R$653,"Length"))),"")</f>
        <v/>
      </c>
      <c r="N83" s="4" t="str">
        <f ca="1">IFERROR(_xlfn.RANK.EQ(M83,$M$11:$M$653)+COUNTIF($M$11:M83,M83)-1,"")</f>
        <v/>
      </c>
      <c r="O83" s="86" t="str">
        <f>IF(A83='DATA SHEET'!$L$36,C83,IFERROR(IF(AND(ISTEXT(I83),ISBLANK(C83)),"No details",VLOOKUP(C83,DimFolder,2,FALSE)),""))</f>
        <v/>
      </c>
      <c r="P83" s="4" t="str">
        <f t="shared" si="51"/>
        <v/>
      </c>
      <c r="Q83" s="58" t="str">
        <f t="shared" si="45"/>
        <v/>
      </c>
      <c r="R83" s="4" t="e" cm="1">
        <f t="array" ref="R83">IF(INDEX(Table2[],_xlfn.XMATCH($A83,Table2[Steel Member],0),_xlfn.XMATCH(R$2,Table2[#Headers],0))=0,"",INDEX(Table2[],_xlfn.XMATCH($A83,Table2[Steel Member],0),_xlfn.XMATCH(R$2,Table2[#Headers],0)))</f>
        <v>#N/A</v>
      </c>
      <c r="S83" s="4" t="e" cm="1">
        <f t="array" ref="S83">IF(INDEX(Table2[],_xlfn.XMATCH($A83,Table2[Steel Member],0),_xlfn.XMATCH(S$2,Table2[#Headers],0))=0,"",INDEX(Table2[],_xlfn.XMATCH($A83,Table2[Steel Member],0),_xlfn.XMATCH(S$2,Table2[#Headers],0)))</f>
        <v>#N/A</v>
      </c>
      <c r="T83" s="4" t="str">
        <f t="shared" si="46"/>
        <v/>
      </c>
      <c r="U83" s="4" t="e">
        <f ca="1">VLOOKUP(N83,'COLOR CODE'!$B:$D,2,FALSE)</f>
        <v>#N/A</v>
      </c>
      <c r="V83" s="4" t="str">
        <f t="shared" si="47"/>
        <v/>
      </c>
      <c r="W83" s="4" t="e" cm="1">
        <f t="array" ref="W83">IF(INDEX(Table2[],_xlfn.XMATCH($A83,Table2[Steel Member],0),_xlfn.XMATCH(W$2,Table2[#Headers],0))=0,"",INDEX(Table2[],_xlfn.XMATCH($A83,Table2[Steel Member],0),_xlfn.XMATCH(W$2,Table2[#Headers],0)))</f>
        <v>#N/A</v>
      </c>
      <c r="X83" s="4" t="e">
        <f t="shared" si="48"/>
        <v>#N/A</v>
      </c>
      <c r="Y83" s="4" t="e" cm="1">
        <f t="array" ref="Y83">IF(INDEX(Table2[],_xlfn.XMATCH($A83,Table2[Steel Member],0),_xlfn.XMATCH(Y$2,Table2[#Headers],0))=0,"",INDEX(Table2[],_xlfn.XMATCH($A83,Table2[Steel Member],0),_xlfn.XMATCH(Y$2,Table2[#Headers],0)))</f>
        <v>#N/A</v>
      </c>
      <c r="Z83" s="4" t="e" cm="1">
        <f t="array" ref="Z83">IF(INDEX(Table2[],_xlfn.XMATCH($A83,Table2[Steel Member],0),_xlfn.XMATCH(Z$2,Table2[#Headers],0))=0,"",INDEX(Table2[],_xlfn.XMATCH($A83,Table2[Steel Member],0),_xlfn.XMATCH(Z$2,Table2[#Headers],0)))</f>
        <v>#N/A</v>
      </c>
      <c r="AA83" s="4" t="e" cm="1">
        <f t="array" ref="AA83">IF(INDEX(Table2[],_xlfn.XMATCH($A83,Table2[Steel Member],0),_xlfn.XMATCH(AA$2,Table2[#Headers],0))=0,"",INDEX(Table2[],_xlfn.XMATCH($A83,Table2[Steel Member],0),_xlfn.XMATCH(AA$2,Table2[#Headers],0)))</f>
        <v>#N/A</v>
      </c>
      <c r="AB83" s="4" t="e" cm="1">
        <f t="array" ref="AB83">IF(INDEX(Table2[],_xlfn.XMATCH($A83,Table2[Steel Member],0),_xlfn.XMATCH(AB$2,Table2[#Headers],0))=0,"",INDEX(Table2[],_xlfn.XMATCH($A83,Table2[Steel Member],0),_xlfn.XMATCH(AB$2,Table2[#Headers],0)))</f>
        <v>#N/A</v>
      </c>
      <c r="AC83" s="4" t="str" cm="1">
        <f t="array" ref="AC83">IFERROR(INDEX(Table8[],_xlfn.XMATCH($O83,Table8[Dimension Name Category],0),_xlfn.XMATCH(AC$2&amp;IF($L83," w/ tag"," w/o tag"),Table8[#Headers],0)),"")</f>
        <v/>
      </c>
      <c r="AD83" s="59" t="str">
        <f t="shared" si="31"/>
        <v/>
      </c>
      <c r="AE83" s="4" t="str">
        <f t="shared" si="49"/>
        <v/>
      </c>
      <c r="AF83" s="4" t="str">
        <f t="shared" si="50"/>
        <v/>
      </c>
      <c r="AG83" s="4" t="str" cm="1">
        <f t="array" ref="AG83">IFERROR(INDEX(Table8[],_xlfn.XMATCH($O83,Table8[Dimension Name Category],0),_xlfn.XMATCH(AG$2&amp;IF($L83," w/ tag"," w/o tag"),Table8[#Headers],0)),"")</f>
        <v/>
      </c>
      <c r="AH83" s="59" t="str">
        <f t="shared" si="34"/>
        <v/>
      </c>
      <c r="AI83" s="4"/>
      <c r="AJ83" s="4" t="str">
        <f t="shared" si="35"/>
        <v/>
      </c>
      <c r="AK83" s="4" t="str">
        <f t="shared" si="36"/>
        <v/>
      </c>
      <c r="AL83" s="4" t="e" cm="1">
        <f t="array" ref="AL83">IF(INDEX(Table2[],_xlfn.XMATCH($A83,Table2[Steel Member],0),_xlfn.XMATCH(AL$2,Table2[#Headers],0))=0,"",INDEX(Table2[],_xlfn.XMATCH($A83,Table2[Steel Member],0),_xlfn.XMATCH(AL$2,Table2[#Headers],0)))</f>
        <v>#N/A</v>
      </c>
      <c r="AM83" s="4"/>
      <c r="AN83" s="4" t="str">
        <f t="shared" si="37"/>
        <v/>
      </c>
      <c r="AO83" s="4"/>
      <c r="AP83" s="4" t="e" cm="1">
        <f t="array" ref="AP83">IF(INDEX(Table2[],_xlfn.XMATCH($A83,Table2[Steel Member],0),_xlfn.XMATCH(AP$2,Table2[#Headers],0))=0,"",INDEX(Table2[],_xlfn.XMATCH($A83,Table2[Steel Member],0),_xlfn.XMATCH(AP$2,Table2[#Headers],0)))</f>
        <v>#N/A</v>
      </c>
      <c r="AQ83" s="4"/>
      <c r="AR83" s="4"/>
      <c r="AS83" s="4"/>
      <c r="AT83" s="4"/>
    </row>
    <row r="84" spans="1:46" x14ac:dyDescent="0.25">
      <c r="A84" s="52"/>
      <c r="B84" s="52"/>
      <c r="C84" s="52"/>
      <c r="D84" s="52"/>
      <c r="E84" s="52"/>
      <c r="F84" s="64" cm="1">
        <f t="array" ref="F84">IF(COUNT(FIND(PurlinsxGirthsxBracings,$C84))&gt;0,0,ROUNDUP(IF(D84=0,0,VLOOKUP(D84,'DATA SHEET'!$B:$D,2,FALSE)),2))</f>
        <v>0</v>
      </c>
      <c r="G84" s="64" cm="1">
        <f t="array" ref="G84">IF(COUNT(FIND(PurlinsxGirthsxBracings,$C84))&gt;0,0,ROUNDUP(IF(D84=0,0,VLOOKUP(D84,'DATA SHEET'!$B:$D,3,FALSE)),2))</f>
        <v>0</v>
      </c>
      <c r="H84" s="53"/>
      <c r="I84" s="66" cm="1">
        <f t="array" ref="I84">IF(AND(ISBLANK(B84),ISBLANK(C84),ISBLANK(E84)),0,IF(COUNT(FIND(PurlinsxGirthsxBracings,$C84))&gt;0,IF(B84=0,CONCATENATE(E84," ",C84),CONCATENATE(B84," - ",E84," ",C84)),IF(B84=0,IF(ISBLANK(C84),E84,CONCATENATE(D84,", ",F84,"kg/m, ",G84,"mm surface perimeter")),IF(AND(ISBLANK(C84),ISTEXT(E84)),CONCATENATE(B84," - ",E84),IF(AND(ISBLANK(C84),ISBLANK(E84)),B84,CONCATENATE(B84," - ",D84,", ",F84,"kg/m, ",G84,"mm surface perimeter"))))&amp;IF(ISBLANK(H84),"",H84)))</f>
        <v>0</v>
      </c>
      <c r="J84" s="53"/>
      <c r="L84" s="4" t="str" cm="1">
        <f t="array" ref="L84">IF(COUNT(FIND({0,1,2,3,4,5,6,7,8,9},B84))&gt;0,COUNT(FIND({0,1,2,3,4,5,6,7,8,9},B84))&gt;0,"")</f>
        <v/>
      </c>
      <c r="M84" s="4" t="str" cm="1">
        <f t="array" aca="1" ref="M84" ca="1">IFERROR(_xlfn.IFS(R84="Count",RANDBETWEEN(1,COUNTIF($R$11:$R$653,"Count")),R84="Length",RANDBETWEEN(1,COUNTIF($R$11:$R$653,"Length"))),"")</f>
        <v/>
      </c>
      <c r="N84" s="4" t="str">
        <f ca="1">IFERROR(_xlfn.RANK.EQ(M84,$M$11:$M$653)+COUNTIF($M$11:M84,M84)-1,"")</f>
        <v/>
      </c>
      <c r="O84" s="86" t="str">
        <f>IF(A84='DATA SHEET'!$L$36,C84,IFERROR(IF(AND(ISTEXT(I84),ISBLANK(C84)),"No details",VLOOKUP(C84,DimFolder,2,FALSE)),""))</f>
        <v/>
      </c>
      <c r="P84" s="4" t="str">
        <f t="shared" si="51"/>
        <v/>
      </c>
      <c r="Q84" s="58" t="str">
        <f t="shared" si="45"/>
        <v/>
      </c>
      <c r="R84" s="4" t="e" cm="1">
        <f t="array" ref="R84">IF(INDEX(Table2[],_xlfn.XMATCH($A84,Table2[Steel Member],0),_xlfn.XMATCH(R$2,Table2[#Headers],0))=0,"",INDEX(Table2[],_xlfn.XMATCH($A84,Table2[Steel Member],0),_xlfn.XMATCH(R$2,Table2[#Headers],0)))</f>
        <v>#N/A</v>
      </c>
      <c r="S84" s="4" t="e" cm="1">
        <f t="array" ref="S84">IF(INDEX(Table2[],_xlfn.XMATCH($A84,Table2[Steel Member],0),_xlfn.XMATCH(S$2,Table2[#Headers],0))=0,"",INDEX(Table2[],_xlfn.XMATCH($A84,Table2[Steel Member],0),_xlfn.XMATCH(S$2,Table2[#Headers],0)))</f>
        <v>#N/A</v>
      </c>
      <c r="T84" s="4" t="str">
        <f t="shared" si="46"/>
        <v/>
      </c>
      <c r="U84" s="4" t="e">
        <f ca="1">VLOOKUP(N84,'COLOR CODE'!$B:$D,2,FALSE)</f>
        <v>#N/A</v>
      </c>
      <c r="V84" s="4" t="str">
        <f t="shared" si="47"/>
        <v/>
      </c>
      <c r="W84" s="4" t="e" cm="1">
        <f t="array" ref="W84">IF(INDEX(Table2[],_xlfn.XMATCH($A84,Table2[Steel Member],0),_xlfn.XMATCH(W$2,Table2[#Headers],0))=0,"",INDEX(Table2[],_xlfn.XMATCH($A84,Table2[Steel Member],0),_xlfn.XMATCH(W$2,Table2[#Headers],0)))</f>
        <v>#N/A</v>
      </c>
      <c r="X84" s="4" t="e">
        <f t="shared" si="48"/>
        <v>#N/A</v>
      </c>
      <c r="Y84" s="4" t="e" cm="1">
        <f t="array" ref="Y84">IF(INDEX(Table2[],_xlfn.XMATCH($A84,Table2[Steel Member],0),_xlfn.XMATCH(Y$2,Table2[#Headers],0))=0,"",INDEX(Table2[],_xlfn.XMATCH($A84,Table2[Steel Member],0),_xlfn.XMATCH(Y$2,Table2[#Headers],0)))</f>
        <v>#N/A</v>
      </c>
      <c r="Z84" s="4" t="e" cm="1">
        <f t="array" ref="Z84">IF(INDEX(Table2[],_xlfn.XMATCH($A84,Table2[Steel Member],0),_xlfn.XMATCH(Z$2,Table2[#Headers],0))=0,"",INDEX(Table2[],_xlfn.XMATCH($A84,Table2[Steel Member],0),_xlfn.XMATCH(Z$2,Table2[#Headers],0)))</f>
        <v>#N/A</v>
      </c>
      <c r="AA84" s="4" t="e" cm="1">
        <f t="array" ref="AA84">IF(INDEX(Table2[],_xlfn.XMATCH($A84,Table2[Steel Member],0),_xlfn.XMATCH(AA$2,Table2[#Headers],0))=0,"",INDEX(Table2[],_xlfn.XMATCH($A84,Table2[Steel Member],0),_xlfn.XMATCH(AA$2,Table2[#Headers],0)))</f>
        <v>#N/A</v>
      </c>
      <c r="AB84" s="4" t="e" cm="1">
        <f t="array" ref="AB84">IF(INDEX(Table2[],_xlfn.XMATCH($A84,Table2[Steel Member],0),_xlfn.XMATCH(AB$2,Table2[#Headers],0))=0,"",INDEX(Table2[],_xlfn.XMATCH($A84,Table2[Steel Member],0),_xlfn.XMATCH(AB$2,Table2[#Headers],0)))</f>
        <v>#N/A</v>
      </c>
      <c r="AC84" s="4" t="str" cm="1">
        <f t="array" ref="AC84">IFERROR(INDEX(Table8[],_xlfn.XMATCH($O84,Table8[Dimension Name Category],0),_xlfn.XMATCH(AC$2&amp;IF($L84," w/ tag"," w/o tag"),Table8[#Headers],0)),"")</f>
        <v/>
      </c>
      <c r="AD84" s="59" t="str">
        <f t="shared" si="31"/>
        <v/>
      </c>
      <c r="AE84" s="4" t="str">
        <f t="shared" si="49"/>
        <v/>
      </c>
      <c r="AF84" s="4" t="str">
        <f t="shared" si="50"/>
        <v/>
      </c>
      <c r="AG84" s="4" t="str" cm="1">
        <f t="array" ref="AG84">IFERROR(INDEX(Table8[],_xlfn.XMATCH($O84,Table8[Dimension Name Category],0),_xlfn.XMATCH(AG$2&amp;IF($L84," w/ tag"," w/o tag"),Table8[#Headers],0)),"")</f>
        <v/>
      </c>
      <c r="AH84" s="59" t="str">
        <f t="shared" si="34"/>
        <v/>
      </c>
      <c r="AI84" s="4"/>
      <c r="AJ84" s="4" t="str">
        <f t="shared" si="35"/>
        <v/>
      </c>
      <c r="AK84" s="4" t="str">
        <f t="shared" si="36"/>
        <v/>
      </c>
      <c r="AL84" s="4" t="e" cm="1">
        <f t="array" ref="AL84">IF(INDEX(Table2[],_xlfn.XMATCH($A84,Table2[Steel Member],0),_xlfn.XMATCH(AL$2,Table2[#Headers],0))=0,"",INDEX(Table2[],_xlfn.XMATCH($A84,Table2[Steel Member],0),_xlfn.XMATCH(AL$2,Table2[#Headers],0)))</f>
        <v>#N/A</v>
      </c>
      <c r="AM84" s="4"/>
      <c r="AN84" s="4" t="str">
        <f t="shared" si="37"/>
        <v/>
      </c>
      <c r="AO84" s="4"/>
      <c r="AP84" s="4" t="e" cm="1">
        <f t="array" ref="AP84">IF(INDEX(Table2[],_xlfn.XMATCH($A84,Table2[Steel Member],0),_xlfn.XMATCH(AP$2,Table2[#Headers],0))=0,"",INDEX(Table2[],_xlfn.XMATCH($A84,Table2[Steel Member],0),_xlfn.XMATCH(AP$2,Table2[#Headers],0)))</f>
        <v>#N/A</v>
      </c>
      <c r="AQ84" s="4"/>
      <c r="AR84" s="4"/>
      <c r="AS84" s="4"/>
      <c r="AT84" s="4"/>
    </row>
    <row r="85" spans="1:46" x14ac:dyDescent="0.25">
      <c r="A85" s="52"/>
      <c r="B85" s="52"/>
      <c r="C85" s="52"/>
      <c r="D85" s="52"/>
      <c r="E85" s="52"/>
      <c r="F85" s="64" cm="1">
        <f t="array" ref="F85">IF(COUNT(FIND(PurlinsxGirthsxBracings,$C85))&gt;0,0,ROUNDUP(IF(D85=0,0,VLOOKUP(D85,'DATA SHEET'!$B:$D,2,FALSE)),2))</f>
        <v>0</v>
      </c>
      <c r="G85" s="64" cm="1">
        <f t="array" ref="G85">IF(COUNT(FIND(PurlinsxGirthsxBracings,$C85))&gt;0,0,ROUNDUP(IF(D85=0,0,VLOOKUP(D85,'DATA SHEET'!$B:$D,3,FALSE)),2))</f>
        <v>0</v>
      </c>
      <c r="H85" s="53"/>
      <c r="I85" s="66" cm="1">
        <f t="array" ref="I85">IF(AND(ISBLANK(B85),ISBLANK(C85),ISBLANK(E85)),0,IF(COUNT(FIND(PurlinsxGirthsxBracings,$C85))&gt;0,IF(B85=0,CONCATENATE(E85," ",C85),CONCATENATE(B85," - ",E85," ",C85)),IF(B85=0,IF(ISBLANK(C85),E85,CONCATENATE(D85,", ",F85,"kg/m, ",G85,"mm surface perimeter")),IF(AND(ISBLANK(C85),ISTEXT(E85)),CONCATENATE(B85," - ",E85),IF(AND(ISBLANK(C85),ISBLANK(E85)),B85,CONCATENATE(B85," - ",D85,", ",F85,"kg/m, ",G85,"mm surface perimeter"))))&amp;IF(ISBLANK(H85),"",H85)))</f>
        <v>0</v>
      </c>
      <c r="J85" s="53"/>
      <c r="L85" s="4" t="str" cm="1">
        <f t="array" ref="L85">IF(COUNT(FIND({0,1,2,3,4,5,6,7,8,9},B85))&gt;0,COUNT(FIND({0,1,2,3,4,5,6,7,8,9},B85))&gt;0,"")</f>
        <v/>
      </c>
      <c r="M85" s="4" t="str" cm="1">
        <f t="array" aca="1" ref="M85" ca="1">IFERROR(_xlfn.IFS(R85="Count",RANDBETWEEN(1,COUNTIF($R$11:$R$653,"Count")),R85="Length",RANDBETWEEN(1,COUNTIF($R$11:$R$653,"Length"))),"")</f>
        <v/>
      </c>
      <c r="N85" s="4" t="str">
        <f ca="1">IFERROR(_xlfn.RANK.EQ(M85,$M$11:$M$653)+COUNTIF($M$11:M85,M85)-1,"")</f>
        <v/>
      </c>
      <c r="O85" s="86" t="str">
        <f>IF(A85='DATA SHEET'!$L$36,C85,IFERROR(IF(AND(ISTEXT(I85),ISBLANK(C85)),"No details",VLOOKUP(C85,DimFolder,2,FALSE)),""))</f>
        <v/>
      </c>
      <c r="P85" s="4" t="str">
        <f t="shared" si="51"/>
        <v/>
      </c>
      <c r="Q85" s="58" t="str">
        <f t="shared" si="45"/>
        <v/>
      </c>
      <c r="R85" s="4" t="e" cm="1">
        <f t="array" ref="R85">IF(INDEX(Table2[],_xlfn.XMATCH($A85,Table2[Steel Member],0),_xlfn.XMATCH(R$2,Table2[#Headers],0))=0,"",INDEX(Table2[],_xlfn.XMATCH($A85,Table2[Steel Member],0),_xlfn.XMATCH(R$2,Table2[#Headers],0)))</f>
        <v>#N/A</v>
      </c>
      <c r="S85" s="4" t="e" cm="1">
        <f t="array" ref="S85">IF(INDEX(Table2[],_xlfn.XMATCH($A85,Table2[Steel Member],0),_xlfn.XMATCH(S$2,Table2[#Headers],0))=0,"",INDEX(Table2[],_xlfn.XMATCH($A85,Table2[Steel Member],0),_xlfn.XMATCH(S$2,Table2[#Headers],0)))</f>
        <v>#N/A</v>
      </c>
      <c r="T85" s="4" t="str">
        <f t="shared" si="46"/>
        <v/>
      </c>
      <c r="U85" s="4" t="e">
        <f ca="1">VLOOKUP(N85,'COLOR CODE'!$B:$D,2,FALSE)</f>
        <v>#N/A</v>
      </c>
      <c r="V85" s="4" t="str">
        <f t="shared" si="47"/>
        <v/>
      </c>
      <c r="W85" s="4" t="e" cm="1">
        <f t="array" ref="W85">IF(INDEX(Table2[],_xlfn.XMATCH($A85,Table2[Steel Member],0),_xlfn.XMATCH(W$2,Table2[#Headers],0))=0,"",INDEX(Table2[],_xlfn.XMATCH($A85,Table2[Steel Member],0),_xlfn.XMATCH(W$2,Table2[#Headers],0)))</f>
        <v>#N/A</v>
      </c>
      <c r="X85" s="4" t="e">
        <f t="shared" si="48"/>
        <v>#N/A</v>
      </c>
      <c r="Y85" s="4" t="e" cm="1">
        <f t="array" ref="Y85">IF(INDEX(Table2[],_xlfn.XMATCH($A85,Table2[Steel Member],0),_xlfn.XMATCH(Y$2,Table2[#Headers],0))=0,"",INDEX(Table2[],_xlfn.XMATCH($A85,Table2[Steel Member],0),_xlfn.XMATCH(Y$2,Table2[#Headers],0)))</f>
        <v>#N/A</v>
      </c>
      <c r="Z85" s="4" t="e" cm="1">
        <f t="array" ref="Z85">IF(INDEX(Table2[],_xlfn.XMATCH($A85,Table2[Steel Member],0),_xlfn.XMATCH(Z$2,Table2[#Headers],0))=0,"",INDEX(Table2[],_xlfn.XMATCH($A85,Table2[Steel Member],0),_xlfn.XMATCH(Z$2,Table2[#Headers],0)))</f>
        <v>#N/A</v>
      </c>
      <c r="AA85" s="4" t="e" cm="1">
        <f t="array" ref="AA85">IF(INDEX(Table2[],_xlfn.XMATCH($A85,Table2[Steel Member],0),_xlfn.XMATCH(AA$2,Table2[#Headers],0))=0,"",INDEX(Table2[],_xlfn.XMATCH($A85,Table2[Steel Member],0),_xlfn.XMATCH(AA$2,Table2[#Headers],0)))</f>
        <v>#N/A</v>
      </c>
      <c r="AB85" s="4" t="e" cm="1">
        <f t="array" ref="AB85">IF(INDEX(Table2[],_xlfn.XMATCH($A85,Table2[Steel Member],0),_xlfn.XMATCH(AB$2,Table2[#Headers],0))=0,"",INDEX(Table2[],_xlfn.XMATCH($A85,Table2[Steel Member],0),_xlfn.XMATCH(AB$2,Table2[#Headers],0)))</f>
        <v>#N/A</v>
      </c>
      <c r="AC85" s="4" t="str" cm="1">
        <f t="array" ref="AC85">IFERROR(INDEX(Table8[],_xlfn.XMATCH($O85,Table8[Dimension Name Category],0),_xlfn.XMATCH(AC$2&amp;IF($L85," w/ tag"," w/o tag"),Table8[#Headers],0)),"")</f>
        <v/>
      </c>
      <c r="AD85" s="59" t="str">
        <f t="shared" si="31"/>
        <v/>
      </c>
      <c r="AE85" s="4" t="str">
        <f t="shared" si="49"/>
        <v/>
      </c>
      <c r="AF85" s="4" t="str">
        <f t="shared" si="50"/>
        <v/>
      </c>
      <c r="AG85" s="4" t="str" cm="1">
        <f t="array" ref="AG85">IFERROR(INDEX(Table8[],_xlfn.XMATCH($O85,Table8[Dimension Name Category],0),_xlfn.XMATCH(AG$2&amp;IF($L85," w/ tag"," w/o tag"),Table8[#Headers],0)),"")</f>
        <v/>
      </c>
      <c r="AH85" s="59" t="str">
        <f t="shared" si="34"/>
        <v/>
      </c>
      <c r="AI85" s="4"/>
      <c r="AJ85" s="4" t="str">
        <f t="shared" si="35"/>
        <v/>
      </c>
      <c r="AK85" s="4" t="str">
        <f t="shared" si="36"/>
        <v/>
      </c>
      <c r="AL85" s="4" t="e" cm="1">
        <f t="array" ref="AL85">IF(INDEX(Table2[],_xlfn.XMATCH($A85,Table2[Steel Member],0),_xlfn.XMATCH(AL$2,Table2[#Headers],0))=0,"",INDEX(Table2[],_xlfn.XMATCH($A85,Table2[Steel Member],0),_xlfn.XMATCH(AL$2,Table2[#Headers],0)))</f>
        <v>#N/A</v>
      </c>
      <c r="AM85" s="4"/>
      <c r="AN85" s="4" t="str">
        <f t="shared" si="37"/>
        <v/>
      </c>
      <c r="AO85" s="4"/>
      <c r="AP85" s="4" t="e" cm="1">
        <f t="array" ref="AP85">IF(INDEX(Table2[],_xlfn.XMATCH($A85,Table2[Steel Member],0),_xlfn.XMATCH(AP$2,Table2[#Headers],0))=0,"",INDEX(Table2[],_xlfn.XMATCH($A85,Table2[Steel Member],0),_xlfn.XMATCH(AP$2,Table2[#Headers],0)))</f>
        <v>#N/A</v>
      </c>
      <c r="AQ85" s="4"/>
      <c r="AR85" s="4"/>
      <c r="AS85" s="4"/>
      <c r="AT85" s="4"/>
    </row>
    <row r="86" spans="1:46" x14ac:dyDescent="0.25">
      <c r="A86" s="52"/>
      <c r="B86" s="52"/>
      <c r="C86" s="52"/>
      <c r="D86" s="52"/>
      <c r="E86" s="52"/>
      <c r="F86" s="64" cm="1">
        <f t="array" ref="F86">IF(COUNT(FIND(PurlinsxGirthsxBracings,$C86))&gt;0,0,ROUNDUP(IF(D86=0,0,VLOOKUP(D86,'DATA SHEET'!$B:$D,2,FALSE)),2))</f>
        <v>0</v>
      </c>
      <c r="G86" s="64" cm="1">
        <f t="array" ref="G86">IF(COUNT(FIND(PurlinsxGirthsxBracings,$C86))&gt;0,0,ROUNDUP(IF(D86=0,0,VLOOKUP(D86,'DATA SHEET'!$B:$D,3,FALSE)),2))</f>
        <v>0</v>
      </c>
      <c r="H86" s="53"/>
      <c r="I86" s="66" cm="1">
        <f t="array" ref="I86">IF(AND(ISBLANK(B86),ISBLANK(C86),ISBLANK(E86)),0,IF(COUNT(FIND(PurlinsxGirthsxBracings,$C86))&gt;0,IF(B86=0,CONCATENATE(E86," ",C86),CONCATENATE(B86," - ",E86," ",C86)),IF(B86=0,IF(ISBLANK(C86),E86,CONCATENATE(D86,", ",F86,"kg/m, ",G86,"mm surface perimeter")),IF(AND(ISBLANK(C86),ISTEXT(E86)),CONCATENATE(B86," - ",E86),IF(AND(ISBLANK(C86),ISBLANK(E86)),B86,CONCATENATE(B86," - ",D86,", ",F86,"kg/m, ",G86,"mm surface perimeter"))))&amp;IF(ISBLANK(H86),"",H86)))</f>
        <v>0</v>
      </c>
      <c r="J86" s="53"/>
      <c r="L86" s="4" t="str" cm="1">
        <f t="array" ref="L86">IF(COUNT(FIND({0,1,2,3,4,5,6,7,8,9},B86))&gt;0,COUNT(FIND({0,1,2,3,4,5,6,7,8,9},B86))&gt;0,"")</f>
        <v/>
      </c>
      <c r="M86" s="4" t="str" cm="1">
        <f t="array" aca="1" ref="M86" ca="1">IFERROR(_xlfn.IFS(R86="Count",RANDBETWEEN(1,COUNTIF($R$11:$R$653,"Count")),R86="Length",RANDBETWEEN(1,COUNTIF($R$11:$R$653,"Length"))),"")</f>
        <v/>
      </c>
      <c r="N86" s="4" t="str">
        <f ca="1">IFERROR(_xlfn.RANK.EQ(M86,$M$11:$M$653)+COUNTIF($M$11:M86,M86)-1,"")</f>
        <v/>
      </c>
      <c r="O86" s="86" t="str">
        <f>IF(A86='DATA SHEET'!$L$36,C86,IFERROR(IF(AND(ISTEXT(I86),ISBLANK(C86)),"No details",VLOOKUP(C86,DimFolder,2,FALSE)),""))</f>
        <v/>
      </c>
      <c r="P86" s="4" t="str">
        <f t="shared" si="51"/>
        <v/>
      </c>
      <c r="Q86" s="58" t="str">
        <f t="shared" si="45"/>
        <v/>
      </c>
      <c r="R86" s="4" t="e" cm="1">
        <f t="array" ref="R86">IF(INDEX(Table2[],_xlfn.XMATCH($A86,Table2[Steel Member],0),_xlfn.XMATCH(R$2,Table2[#Headers],0))=0,"",INDEX(Table2[],_xlfn.XMATCH($A86,Table2[Steel Member],0),_xlfn.XMATCH(R$2,Table2[#Headers],0)))</f>
        <v>#N/A</v>
      </c>
      <c r="S86" s="4" t="e" cm="1">
        <f t="array" ref="S86">IF(INDEX(Table2[],_xlfn.XMATCH($A86,Table2[Steel Member],0),_xlfn.XMATCH(S$2,Table2[#Headers],0))=0,"",INDEX(Table2[],_xlfn.XMATCH($A86,Table2[Steel Member],0),_xlfn.XMATCH(S$2,Table2[#Headers],0)))</f>
        <v>#N/A</v>
      </c>
      <c r="T86" s="4" t="str">
        <f t="shared" si="46"/>
        <v/>
      </c>
      <c r="U86" s="4" t="e">
        <f ca="1">VLOOKUP(N86,'COLOR CODE'!$B:$D,2,FALSE)</f>
        <v>#N/A</v>
      </c>
      <c r="V86" s="4" t="str">
        <f t="shared" si="47"/>
        <v/>
      </c>
      <c r="W86" s="4" t="e" cm="1">
        <f t="array" ref="W86">IF(INDEX(Table2[],_xlfn.XMATCH($A86,Table2[Steel Member],0),_xlfn.XMATCH(W$2,Table2[#Headers],0))=0,"",INDEX(Table2[],_xlfn.XMATCH($A86,Table2[Steel Member],0),_xlfn.XMATCH(W$2,Table2[#Headers],0)))</f>
        <v>#N/A</v>
      </c>
      <c r="X86" s="4" t="e">
        <f t="shared" si="48"/>
        <v>#N/A</v>
      </c>
      <c r="Y86" s="4" t="e" cm="1">
        <f t="array" ref="Y86">IF(INDEX(Table2[],_xlfn.XMATCH($A86,Table2[Steel Member],0),_xlfn.XMATCH(Y$2,Table2[#Headers],0))=0,"",INDEX(Table2[],_xlfn.XMATCH($A86,Table2[Steel Member],0),_xlfn.XMATCH(Y$2,Table2[#Headers],0)))</f>
        <v>#N/A</v>
      </c>
      <c r="Z86" s="4" t="e" cm="1">
        <f t="array" ref="Z86">IF(INDEX(Table2[],_xlfn.XMATCH($A86,Table2[Steel Member],0),_xlfn.XMATCH(Z$2,Table2[#Headers],0))=0,"",INDEX(Table2[],_xlfn.XMATCH($A86,Table2[Steel Member],0),_xlfn.XMATCH(Z$2,Table2[#Headers],0)))</f>
        <v>#N/A</v>
      </c>
      <c r="AA86" s="4" t="e" cm="1">
        <f t="array" ref="AA86">IF(INDEX(Table2[],_xlfn.XMATCH($A86,Table2[Steel Member],0),_xlfn.XMATCH(AA$2,Table2[#Headers],0))=0,"",INDEX(Table2[],_xlfn.XMATCH($A86,Table2[Steel Member],0),_xlfn.XMATCH(AA$2,Table2[#Headers],0)))</f>
        <v>#N/A</v>
      </c>
      <c r="AB86" s="4" t="e" cm="1">
        <f t="array" ref="AB86">IF(INDEX(Table2[],_xlfn.XMATCH($A86,Table2[Steel Member],0),_xlfn.XMATCH(AB$2,Table2[#Headers],0))=0,"",INDEX(Table2[],_xlfn.XMATCH($A86,Table2[Steel Member],0),_xlfn.XMATCH(AB$2,Table2[#Headers],0)))</f>
        <v>#N/A</v>
      </c>
      <c r="AC86" s="4" t="str" cm="1">
        <f t="array" ref="AC86">IFERROR(INDEX(Table8[],_xlfn.XMATCH($O86,Table8[Dimension Name Category],0),_xlfn.XMATCH(AC$2&amp;IF($L86," w/ tag"," w/o tag"),Table8[#Headers],0)),"")</f>
        <v/>
      </c>
      <c r="AD86" s="59" t="str">
        <f t="shared" si="31"/>
        <v/>
      </c>
      <c r="AE86" s="4" t="str">
        <f t="shared" si="49"/>
        <v/>
      </c>
      <c r="AF86" s="4" t="str">
        <f t="shared" si="50"/>
        <v/>
      </c>
      <c r="AG86" s="4" t="str" cm="1">
        <f t="array" ref="AG86">IFERROR(INDEX(Table8[],_xlfn.XMATCH($O86,Table8[Dimension Name Category],0),_xlfn.XMATCH(AG$2&amp;IF($L86," w/ tag"," w/o tag"),Table8[#Headers],0)),"")</f>
        <v/>
      </c>
      <c r="AH86" s="59" t="str">
        <f t="shared" si="34"/>
        <v/>
      </c>
      <c r="AI86" s="4"/>
      <c r="AJ86" s="4" t="str">
        <f t="shared" si="35"/>
        <v/>
      </c>
      <c r="AK86" s="4" t="str">
        <f t="shared" si="36"/>
        <v/>
      </c>
      <c r="AL86" s="4" t="e" cm="1">
        <f t="array" ref="AL86">IF(INDEX(Table2[],_xlfn.XMATCH($A86,Table2[Steel Member],0),_xlfn.XMATCH(AL$2,Table2[#Headers],0))=0,"",INDEX(Table2[],_xlfn.XMATCH($A86,Table2[Steel Member],0),_xlfn.XMATCH(AL$2,Table2[#Headers],0)))</f>
        <v>#N/A</v>
      </c>
      <c r="AM86" s="4"/>
      <c r="AN86" s="4" t="str">
        <f t="shared" si="37"/>
        <v/>
      </c>
      <c r="AO86" s="4"/>
      <c r="AP86" s="4" t="e" cm="1">
        <f t="array" ref="AP86">IF(INDEX(Table2[],_xlfn.XMATCH($A86,Table2[Steel Member],0),_xlfn.XMATCH(AP$2,Table2[#Headers],0))=0,"",INDEX(Table2[],_xlfn.XMATCH($A86,Table2[Steel Member],0),_xlfn.XMATCH(AP$2,Table2[#Headers],0)))</f>
        <v>#N/A</v>
      </c>
      <c r="AQ86" s="4"/>
      <c r="AR86" s="4"/>
      <c r="AS86" s="4"/>
      <c r="AT86" s="4"/>
    </row>
    <row r="87" spans="1:46" x14ac:dyDescent="0.25">
      <c r="A87" s="52"/>
      <c r="B87" s="52"/>
      <c r="C87" s="52"/>
      <c r="D87" s="52"/>
      <c r="E87" s="52"/>
      <c r="F87" s="64" cm="1">
        <f t="array" ref="F87">IF(COUNT(FIND(PurlinsxGirthsxBracings,$C87))&gt;0,0,ROUNDUP(IF(D87=0,0,VLOOKUP(D87,'DATA SHEET'!$B:$D,2,FALSE)),2))</f>
        <v>0</v>
      </c>
      <c r="G87" s="64" cm="1">
        <f t="array" ref="G87">IF(COUNT(FIND(PurlinsxGirthsxBracings,$C87))&gt;0,0,ROUNDUP(IF(D87=0,0,VLOOKUP(D87,'DATA SHEET'!$B:$D,3,FALSE)),2))</f>
        <v>0</v>
      </c>
      <c r="H87" s="53"/>
      <c r="I87" s="66" cm="1">
        <f t="array" ref="I87">IF(AND(ISBLANK(B87),ISBLANK(C87),ISBLANK(E87)),0,IF(COUNT(FIND(PurlinsxGirthsxBracings,$C87))&gt;0,IF(B87=0,CONCATENATE(E87," ",C87),CONCATENATE(B87," - ",E87," ",C87)),IF(B87=0,IF(ISBLANK(C87),E87,CONCATENATE(D87,", ",F87,"kg/m, ",G87,"mm surface perimeter")),IF(AND(ISBLANK(C87),ISTEXT(E87)),CONCATENATE(B87," - ",E87),IF(AND(ISBLANK(C87),ISBLANK(E87)),B87,CONCATENATE(B87," - ",D87,", ",F87,"kg/m, ",G87,"mm surface perimeter"))))&amp;IF(ISBLANK(H87),"",H87)))</f>
        <v>0</v>
      </c>
      <c r="J87" s="53" t="s">
        <v>1164</v>
      </c>
      <c r="L87" s="4" t="str" cm="1">
        <f t="array" ref="L87">IF(COUNT(FIND({0,1,2,3,4,5,6,7,8,9},B87))&gt;0,COUNT(FIND({0,1,2,3,4,5,6,7,8,9},B87))&gt;0,"")</f>
        <v/>
      </c>
      <c r="M87" s="4" t="str" cm="1">
        <f t="array" aca="1" ref="M87" ca="1">IFERROR(_xlfn.IFS(R87="Count",RANDBETWEEN(1,COUNTIF($R$11:$R$653,"Count")),R87="Length",RANDBETWEEN(1,COUNTIF($R$11:$R$653,"Length"))),"")</f>
        <v/>
      </c>
      <c r="N87" s="4" t="str">
        <f ca="1">IFERROR(_xlfn.RANK.EQ(M87,$M$11:$M$653)+COUNTIF($M$11:M87,M87)-1,"")</f>
        <v/>
      </c>
      <c r="O87" s="86" t="str">
        <f>IF(A87='DATA SHEET'!$L$36,C87,IFERROR(IF(AND(ISTEXT(I87),ISBLANK(C87)),"No details",VLOOKUP(C87,DimFolder,2,FALSE)),""))</f>
        <v/>
      </c>
      <c r="P87" s="4" t="str">
        <f t="shared" si="51"/>
        <v/>
      </c>
      <c r="Q87" s="58" t="str">
        <f t="shared" si="38"/>
        <v/>
      </c>
      <c r="R87" s="4" t="e" cm="1">
        <f t="array" ref="R87">IF(INDEX(Table2[],_xlfn.XMATCH($A87,Table2[Steel Member],0),_xlfn.XMATCH(R$2,Table2[#Headers],0))=0,"",INDEX(Table2[],_xlfn.XMATCH($A87,Table2[Steel Member],0),_xlfn.XMATCH(R$2,Table2[#Headers],0)))</f>
        <v>#N/A</v>
      </c>
      <c r="S87" s="4" t="e" cm="1">
        <f t="array" ref="S87">IF(INDEX(Table2[],_xlfn.XMATCH($A87,Table2[Steel Member],0),_xlfn.XMATCH(S$2,Table2[#Headers],0))=0,"",INDEX(Table2[],_xlfn.XMATCH($A87,Table2[Steel Member],0),_xlfn.XMATCH(S$2,Table2[#Headers],0)))</f>
        <v>#N/A</v>
      </c>
      <c r="T87" s="4" t="str">
        <f t="shared" si="29"/>
        <v/>
      </c>
      <c r="U87" s="4" t="e">
        <f ca="1">VLOOKUP(N87,'COLOR CODE'!$B:$D,2,FALSE)</f>
        <v>#N/A</v>
      </c>
      <c r="V87" s="4" t="str">
        <f t="shared" si="30"/>
        <v/>
      </c>
      <c r="W87" s="4" t="e" cm="1">
        <f t="array" ref="W87">IF(INDEX(Table2[],_xlfn.XMATCH($A87,Table2[Steel Member],0),_xlfn.XMATCH(W$2,Table2[#Headers],0))=0,"",INDEX(Table2[],_xlfn.XMATCH($A87,Table2[Steel Member],0),_xlfn.XMATCH(W$2,Table2[#Headers],0)))</f>
        <v>#N/A</v>
      </c>
      <c r="X87" s="4" t="e">
        <f t="shared" ref="X87:X113" si="52">W87</f>
        <v>#N/A</v>
      </c>
      <c r="Y87" s="4" t="e" cm="1">
        <f t="array" ref="Y87">IF(INDEX(Table2[],_xlfn.XMATCH($A87,Table2[Steel Member],0),_xlfn.XMATCH(Y$2,Table2[#Headers],0))=0,"",INDEX(Table2[],_xlfn.XMATCH($A87,Table2[Steel Member],0),_xlfn.XMATCH(Y$2,Table2[#Headers],0)))</f>
        <v>#N/A</v>
      </c>
      <c r="Z87" s="4" t="e" cm="1">
        <f t="array" ref="Z87">IF(INDEX(Table2[],_xlfn.XMATCH($A87,Table2[Steel Member],0),_xlfn.XMATCH(Z$2,Table2[#Headers],0))=0,"",INDEX(Table2[],_xlfn.XMATCH($A87,Table2[Steel Member],0),_xlfn.XMATCH(Z$2,Table2[#Headers],0)))</f>
        <v>#N/A</v>
      </c>
      <c r="AA87" s="4" t="e" cm="1">
        <f t="array" ref="AA87">IF(INDEX(Table2[],_xlfn.XMATCH($A87,Table2[Steel Member],0),_xlfn.XMATCH(AA$2,Table2[#Headers],0))=0,"",INDEX(Table2[],_xlfn.XMATCH($A87,Table2[Steel Member],0),_xlfn.XMATCH(AA$2,Table2[#Headers],0)))</f>
        <v>#N/A</v>
      </c>
      <c r="AB87" s="4" t="e" cm="1">
        <f t="array" ref="AB87">IF(INDEX(Table2[],_xlfn.XMATCH($A87,Table2[Steel Member],0),_xlfn.XMATCH(AB$2,Table2[#Headers],0))=0,"",INDEX(Table2[],_xlfn.XMATCH($A87,Table2[Steel Member],0),_xlfn.XMATCH(AB$2,Table2[#Headers],0)))</f>
        <v>#N/A</v>
      </c>
      <c r="AC87" s="4" t="str" cm="1">
        <f t="array" ref="AC87">IFERROR(INDEX(Table8[],_xlfn.XMATCH($O87,Table8[Dimension Name Category],0),_xlfn.XMATCH(AC$2&amp;IF($L87," w/ tag"," w/o tag"),Table8[#Headers],0)),"")</f>
        <v/>
      </c>
      <c r="AD87" s="59" t="str">
        <f t="shared" si="31"/>
        <v/>
      </c>
      <c r="AE87" s="4" t="str">
        <f t="shared" si="32"/>
        <v/>
      </c>
      <c r="AF87" s="4" t="str">
        <f t="shared" si="33"/>
        <v/>
      </c>
      <c r="AG87" s="4" t="str" cm="1">
        <f t="array" ref="AG87">IFERROR(INDEX(Table8[],_xlfn.XMATCH($O87,Table8[Dimension Name Category],0),_xlfn.XMATCH(AG$2&amp;IF($L87," w/ tag"," w/o tag"),Table8[#Headers],0)),"")</f>
        <v/>
      </c>
      <c r="AH87" s="59" t="str">
        <f t="shared" si="34"/>
        <v/>
      </c>
      <c r="AI87" s="4"/>
      <c r="AJ87" s="4" t="str">
        <f t="shared" si="35"/>
        <v/>
      </c>
      <c r="AK87" s="4" t="str">
        <f t="shared" si="36"/>
        <v/>
      </c>
      <c r="AL87" s="4" t="e" cm="1">
        <f t="array" ref="AL87">IF(INDEX(Table2[],_xlfn.XMATCH($A87,Table2[Steel Member],0),_xlfn.XMATCH(AL$2,Table2[#Headers],0))=0,"",INDEX(Table2[],_xlfn.XMATCH($A87,Table2[Steel Member],0),_xlfn.XMATCH(AL$2,Table2[#Headers],0)))</f>
        <v>#N/A</v>
      </c>
      <c r="AM87" s="4"/>
      <c r="AN87" s="4" t="str">
        <f t="shared" si="37"/>
        <v/>
      </c>
      <c r="AO87" s="4"/>
      <c r="AP87" s="4" t="e" cm="1">
        <f t="array" ref="AP87">IF(INDEX(Table2[],_xlfn.XMATCH($A87,Table2[Steel Member],0),_xlfn.XMATCH(AP$2,Table2[#Headers],0))=0,"",INDEX(Table2[],_xlfn.XMATCH($A87,Table2[Steel Member],0),_xlfn.XMATCH(AP$2,Table2[#Headers],0)))</f>
        <v>#N/A</v>
      </c>
      <c r="AQ87" s="4"/>
      <c r="AR87" s="4"/>
      <c r="AS87" s="4"/>
      <c r="AT87" s="4"/>
    </row>
    <row r="88" spans="1:46" x14ac:dyDescent="0.25">
      <c r="A88" s="52"/>
      <c r="B88" s="52"/>
      <c r="C88" s="52"/>
      <c r="D88" s="52"/>
      <c r="E88" s="52"/>
      <c r="F88" s="64" cm="1">
        <f t="array" ref="F88">IF(COUNT(FIND(PurlinsxGirthsxBracings,$C88))&gt;0,0,ROUNDUP(IF(D88=0,0,VLOOKUP(D88,'DATA SHEET'!$B:$D,2,FALSE)),2))</f>
        <v>0</v>
      </c>
      <c r="G88" s="64" cm="1">
        <f t="array" ref="G88">IF(COUNT(FIND(PurlinsxGirthsxBracings,$C88))&gt;0,0,ROUNDUP(IF(D88=0,0,VLOOKUP(D88,'DATA SHEET'!$B:$D,3,FALSE)),2))</f>
        <v>0</v>
      </c>
      <c r="H88" s="53"/>
      <c r="I88" s="66" cm="1">
        <f t="array" ref="I88">IF(AND(ISBLANK(B88),ISBLANK(C88),ISBLANK(E88)),0,IF(COUNT(FIND(PurlinsxGirthsxBracings,$C88))&gt;0,IF(B88=0,CONCATENATE(E88," ",C88),CONCATENATE(B88," - ",E88," ",C88)),IF(B88=0,IF(ISBLANK(C88),E88,CONCATENATE(D88,", ",F88,"kg/m, ",G88,"mm surface perimeter")),IF(AND(ISBLANK(C88),ISTEXT(E88)),CONCATENATE(B88," - ",E88),IF(AND(ISBLANK(C88),ISBLANK(E88)),B88,CONCATENATE(B88," - ",D88,", ",F88,"kg/m, ",G88,"mm surface perimeter"))))&amp;IF(ISBLANK(H88),"",H88)))</f>
        <v>0</v>
      </c>
      <c r="J88" s="53"/>
      <c r="L88" s="4" t="str" cm="1">
        <f t="array" ref="L88">IF(COUNT(FIND({0,1,2,3,4,5,6,7,8,9},B88))&gt;0,COUNT(FIND({0,1,2,3,4,5,6,7,8,9},B88))&gt;0,"")</f>
        <v/>
      </c>
      <c r="M88" s="4" t="str" cm="1">
        <f t="array" aca="1" ref="M88" ca="1">IFERROR(_xlfn.IFS(R88="Count",RANDBETWEEN(1,COUNTIF($R$11:$R$653,"Count")),R88="Length",RANDBETWEEN(1,COUNTIF($R$11:$R$653,"Length"))),"")</f>
        <v/>
      </c>
      <c r="N88" s="4" t="str">
        <f ca="1">IFERROR(_xlfn.RANK.EQ(M88,$M$11:$M$653)+COUNTIF($M$11:M88,M88)-1,"")</f>
        <v/>
      </c>
      <c r="O88" s="86" t="str">
        <f>IF(A88='DATA SHEET'!$L$36,C88,IFERROR(IF(AND(ISTEXT(I88),ISBLANK(C88)),"No details",VLOOKUP(C88,DimFolder,2,FALSE)),""))</f>
        <v/>
      </c>
      <c r="P88" s="4" t="str">
        <f t="shared" si="51"/>
        <v/>
      </c>
      <c r="Q88" s="58" t="str">
        <f t="shared" si="38"/>
        <v/>
      </c>
      <c r="R88" s="4" t="e" cm="1">
        <f t="array" ref="R88">IF(INDEX(Table2[],_xlfn.XMATCH($A88,Table2[Steel Member],0),_xlfn.XMATCH(R$2,Table2[#Headers],0))=0,"",INDEX(Table2[],_xlfn.XMATCH($A88,Table2[Steel Member],0),_xlfn.XMATCH(R$2,Table2[#Headers],0)))</f>
        <v>#N/A</v>
      </c>
      <c r="S88" s="4" t="e" cm="1">
        <f t="array" ref="S88">IF(INDEX(Table2[],_xlfn.XMATCH($A88,Table2[Steel Member],0),_xlfn.XMATCH(S$2,Table2[#Headers],0))=0,"",INDEX(Table2[],_xlfn.XMATCH($A88,Table2[Steel Member],0),_xlfn.XMATCH(S$2,Table2[#Headers],0)))</f>
        <v>#N/A</v>
      </c>
      <c r="T88" s="4" t="str">
        <f t="shared" si="29"/>
        <v/>
      </c>
      <c r="U88" s="4" t="e">
        <f ca="1">VLOOKUP(N88,'COLOR CODE'!$B:$D,2,FALSE)</f>
        <v>#N/A</v>
      </c>
      <c r="V88" s="4" t="str">
        <f t="shared" si="30"/>
        <v/>
      </c>
      <c r="W88" s="4" t="e" cm="1">
        <f t="array" ref="W88">IF(INDEX(Table2[],_xlfn.XMATCH($A88,Table2[Steel Member],0),_xlfn.XMATCH(W$2,Table2[#Headers],0))=0,"",INDEX(Table2[],_xlfn.XMATCH($A88,Table2[Steel Member],0),_xlfn.XMATCH(W$2,Table2[#Headers],0)))</f>
        <v>#N/A</v>
      </c>
      <c r="X88" s="4" t="e">
        <f t="shared" si="52"/>
        <v>#N/A</v>
      </c>
      <c r="Y88" s="4" t="e" cm="1">
        <f t="array" ref="Y88">IF(INDEX(Table2[],_xlfn.XMATCH($A88,Table2[Steel Member],0),_xlfn.XMATCH(Y$2,Table2[#Headers],0))=0,"",INDEX(Table2[],_xlfn.XMATCH($A88,Table2[Steel Member],0),_xlfn.XMATCH(Y$2,Table2[#Headers],0)))</f>
        <v>#N/A</v>
      </c>
      <c r="Z88" s="4" t="e" cm="1">
        <f t="array" ref="Z88">IF(INDEX(Table2[],_xlfn.XMATCH($A88,Table2[Steel Member],0),_xlfn.XMATCH(Z$2,Table2[#Headers],0))=0,"",INDEX(Table2[],_xlfn.XMATCH($A88,Table2[Steel Member],0),_xlfn.XMATCH(Z$2,Table2[#Headers],0)))</f>
        <v>#N/A</v>
      </c>
      <c r="AA88" s="4" t="e" cm="1">
        <f t="array" ref="AA88">IF(INDEX(Table2[],_xlfn.XMATCH($A88,Table2[Steel Member],0),_xlfn.XMATCH(AA$2,Table2[#Headers],0))=0,"",INDEX(Table2[],_xlfn.XMATCH($A88,Table2[Steel Member],0),_xlfn.XMATCH(AA$2,Table2[#Headers],0)))</f>
        <v>#N/A</v>
      </c>
      <c r="AB88" s="4" t="e" cm="1">
        <f t="array" ref="AB88">IF(INDEX(Table2[],_xlfn.XMATCH($A88,Table2[Steel Member],0),_xlfn.XMATCH(AB$2,Table2[#Headers],0))=0,"",INDEX(Table2[],_xlfn.XMATCH($A88,Table2[Steel Member],0),_xlfn.XMATCH(AB$2,Table2[#Headers],0)))</f>
        <v>#N/A</v>
      </c>
      <c r="AC88" s="4" t="str" cm="1">
        <f t="array" ref="AC88">IFERROR(INDEX(Table8[],_xlfn.XMATCH($O88,Table8[Dimension Name Category],0),_xlfn.XMATCH(AC$2&amp;IF($L88," w/ tag"," w/o tag"),Table8[#Headers],0)),"")</f>
        <v/>
      </c>
      <c r="AD88" s="59" t="str">
        <f t="shared" si="31"/>
        <v/>
      </c>
      <c r="AE88" s="4" t="str">
        <f t="shared" si="32"/>
        <v/>
      </c>
      <c r="AF88" s="4" t="str">
        <f t="shared" si="33"/>
        <v/>
      </c>
      <c r="AG88" s="4" t="str" cm="1">
        <f t="array" ref="AG88">IFERROR(INDEX(Table8[],_xlfn.XMATCH($O88,Table8[Dimension Name Category],0),_xlfn.XMATCH(AG$2&amp;IF($L88," w/ tag"," w/o tag"),Table8[#Headers],0)),"")</f>
        <v/>
      </c>
      <c r="AH88" s="59" t="str">
        <f t="shared" si="34"/>
        <v/>
      </c>
      <c r="AI88" s="4"/>
      <c r="AJ88" s="4" t="str">
        <f t="shared" si="35"/>
        <v/>
      </c>
      <c r="AK88" s="4" t="str">
        <f t="shared" si="36"/>
        <v/>
      </c>
      <c r="AL88" s="4" t="e" cm="1">
        <f t="array" ref="AL88">IF(INDEX(Table2[],_xlfn.XMATCH($A88,Table2[Steel Member],0),_xlfn.XMATCH(AL$2,Table2[#Headers],0))=0,"",INDEX(Table2[],_xlfn.XMATCH($A88,Table2[Steel Member],0),_xlfn.XMATCH(AL$2,Table2[#Headers],0)))</f>
        <v>#N/A</v>
      </c>
      <c r="AM88" s="4"/>
      <c r="AN88" s="4" t="str">
        <f t="shared" si="37"/>
        <v/>
      </c>
      <c r="AO88" s="4"/>
      <c r="AP88" s="4" t="e" cm="1">
        <f t="array" ref="AP88">IF(INDEX(Table2[],_xlfn.XMATCH($A88,Table2[Steel Member],0),_xlfn.XMATCH(AP$2,Table2[#Headers],0))=0,"",INDEX(Table2[],_xlfn.XMATCH($A88,Table2[Steel Member],0),_xlfn.XMATCH(AP$2,Table2[#Headers],0)))</f>
        <v>#N/A</v>
      </c>
      <c r="AQ88" s="4"/>
      <c r="AR88" s="4"/>
      <c r="AS88" s="4"/>
      <c r="AT88" s="4"/>
    </row>
    <row r="89" spans="1:46" x14ac:dyDescent="0.25">
      <c r="A89" s="52"/>
      <c r="B89" s="52"/>
      <c r="C89" s="52"/>
      <c r="D89" s="52"/>
      <c r="E89" s="52"/>
      <c r="F89" s="64" cm="1">
        <f t="array" ref="F89">IF(COUNT(FIND(PurlinsxGirthsxBracings,$C89))&gt;0,0,ROUNDUP(IF(D89=0,0,VLOOKUP(D89,'DATA SHEET'!$B:$D,2,FALSE)),2))</f>
        <v>0</v>
      </c>
      <c r="G89" s="64" cm="1">
        <f t="array" ref="G89">IF(COUNT(FIND(PurlinsxGirthsxBracings,$C89))&gt;0,0,ROUNDUP(IF(D89=0,0,VLOOKUP(D89,'DATA SHEET'!$B:$D,3,FALSE)),2))</f>
        <v>0</v>
      </c>
      <c r="H89" s="53"/>
      <c r="I89" s="66" cm="1">
        <f t="array" ref="I89">IF(AND(ISBLANK(B89),ISBLANK(C89),ISBLANK(E89)),0,IF(COUNT(FIND(PurlinsxGirthsxBracings,$C89))&gt;0,IF(B89=0,CONCATENATE(E89," ",C89),CONCATENATE(B89," - ",E89," ",C89)),IF(B89=0,IF(ISBLANK(C89),E89,CONCATENATE(D89,", ",F89,"kg/m, ",G89,"mm surface perimeter")),IF(AND(ISBLANK(C89),ISTEXT(E89)),CONCATENATE(B89," - ",E89),IF(AND(ISBLANK(C89),ISBLANK(E89)),B89,CONCATENATE(B89," - ",D89,", ",F89,"kg/m, ",G89,"mm surface perimeter"))))&amp;IF(ISBLANK(H89),"",H89)))</f>
        <v>0</v>
      </c>
      <c r="J89" s="53"/>
      <c r="L89" s="4" t="str" cm="1">
        <f t="array" ref="L89">IF(COUNT(FIND({0,1,2,3,4,5,6,7,8,9},B89))&gt;0,COUNT(FIND({0,1,2,3,4,5,6,7,8,9},B89))&gt;0,"")</f>
        <v/>
      </c>
      <c r="M89" s="4" t="str" cm="1">
        <f t="array" aca="1" ref="M89" ca="1">IFERROR(_xlfn.IFS(R89="Count",RANDBETWEEN(1,COUNTIF($R$11:$R$653,"Count")),R89="Length",RANDBETWEEN(1,COUNTIF($R$11:$R$653,"Length"))),"")</f>
        <v/>
      </c>
      <c r="N89" s="4" t="str">
        <f ca="1">IFERROR(_xlfn.RANK.EQ(M89,$M$11:$M$653)+COUNTIF($M$11:M89,M89)-1,"")</f>
        <v/>
      </c>
      <c r="O89" s="86" t="str">
        <f>IF(A89='DATA SHEET'!$L$36,C89,IFERROR(IF(AND(ISTEXT(I89),ISBLANK(C89)),"No details",VLOOKUP(C89,DimFolder,2,FALSE)),""))</f>
        <v/>
      </c>
      <c r="P89" s="4" t="str">
        <f t="shared" si="51"/>
        <v/>
      </c>
      <c r="Q89" s="58" t="str">
        <f t="shared" si="38"/>
        <v/>
      </c>
      <c r="R89" s="4" t="e" cm="1">
        <f t="array" ref="R89">IF(INDEX(Table2[],_xlfn.XMATCH($A89,Table2[Steel Member],0),_xlfn.XMATCH(R$2,Table2[#Headers],0))=0,"",INDEX(Table2[],_xlfn.XMATCH($A89,Table2[Steel Member],0),_xlfn.XMATCH(R$2,Table2[#Headers],0)))</f>
        <v>#N/A</v>
      </c>
      <c r="S89" s="4" t="e" cm="1">
        <f t="array" ref="S89">IF(INDEX(Table2[],_xlfn.XMATCH($A89,Table2[Steel Member],0),_xlfn.XMATCH(S$2,Table2[#Headers],0))=0,"",INDEX(Table2[],_xlfn.XMATCH($A89,Table2[Steel Member],0),_xlfn.XMATCH(S$2,Table2[#Headers],0)))</f>
        <v>#N/A</v>
      </c>
      <c r="T89" s="4" t="str">
        <f t="shared" si="29"/>
        <v/>
      </c>
      <c r="U89" s="4" t="e">
        <f ca="1">VLOOKUP(N89,'COLOR CODE'!$B:$D,2,FALSE)</f>
        <v>#N/A</v>
      </c>
      <c r="V89" s="4" t="str">
        <f t="shared" si="30"/>
        <v/>
      </c>
      <c r="W89" s="4" t="e" cm="1">
        <f t="array" ref="W89">IF(INDEX(Table2[],_xlfn.XMATCH($A89,Table2[Steel Member],0),_xlfn.XMATCH(W$2,Table2[#Headers],0))=0,"",INDEX(Table2[],_xlfn.XMATCH($A89,Table2[Steel Member],0),_xlfn.XMATCH(W$2,Table2[#Headers],0)))</f>
        <v>#N/A</v>
      </c>
      <c r="X89" s="4" t="e">
        <f t="shared" si="52"/>
        <v>#N/A</v>
      </c>
      <c r="Y89" s="4" t="e" cm="1">
        <f t="array" ref="Y89">IF(INDEX(Table2[],_xlfn.XMATCH($A89,Table2[Steel Member],0),_xlfn.XMATCH(Y$2,Table2[#Headers],0))=0,"",INDEX(Table2[],_xlfn.XMATCH($A89,Table2[Steel Member],0),_xlfn.XMATCH(Y$2,Table2[#Headers],0)))</f>
        <v>#N/A</v>
      </c>
      <c r="Z89" s="4" t="e" cm="1">
        <f t="array" ref="Z89">IF(INDEX(Table2[],_xlfn.XMATCH($A89,Table2[Steel Member],0),_xlfn.XMATCH(Z$2,Table2[#Headers],0))=0,"",INDEX(Table2[],_xlfn.XMATCH($A89,Table2[Steel Member],0),_xlfn.XMATCH(Z$2,Table2[#Headers],0)))</f>
        <v>#N/A</v>
      </c>
      <c r="AA89" s="4" t="e" cm="1">
        <f t="array" ref="AA89">IF(INDEX(Table2[],_xlfn.XMATCH($A89,Table2[Steel Member],0),_xlfn.XMATCH(AA$2,Table2[#Headers],0))=0,"",INDEX(Table2[],_xlfn.XMATCH($A89,Table2[Steel Member],0),_xlfn.XMATCH(AA$2,Table2[#Headers],0)))</f>
        <v>#N/A</v>
      </c>
      <c r="AB89" s="4" t="e" cm="1">
        <f t="array" ref="AB89">IF(INDEX(Table2[],_xlfn.XMATCH($A89,Table2[Steel Member],0),_xlfn.XMATCH(AB$2,Table2[#Headers],0))=0,"",INDEX(Table2[],_xlfn.XMATCH($A89,Table2[Steel Member],0),_xlfn.XMATCH(AB$2,Table2[#Headers],0)))</f>
        <v>#N/A</v>
      </c>
      <c r="AC89" s="4" t="str" cm="1">
        <f t="array" ref="AC89">IFERROR(INDEX(Table8[],_xlfn.XMATCH($O89,Table8[Dimension Name Category],0),_xlfn.XMATCH(AC$2&amp;IF($L89," w/ tag"," w/o tag"),Table8[#Headers],0)),"")</f>
        <v/>
      </c>
      <c r="AD89" s="59" t="str">
        <f t="shared" si="31"/>
        <v/>
      </c>
      <c r="AE89" s="4" t="str">
        <f t="shared" si="32"/>
        <v/>
      </c>
      <c r="AF89" s="4" t="str">
        <f t="shared" si="33"/>
        <v/>
      </c>
      <c r="AG89" s="4" t="str" cm="1">
        <f t="array" ref="AG89">IFERROR(INDEX(Table8[],_xlfn.XMATCH($O89,Table8[Dimension Name Category],0),_xlfn.XMATCH(AG$2&amp;IF($L89," w/ tag"," w/o tag"),Table8[#Headers],0)),"")</f>
        <v/>
      </c>
      <c r="AH89" s="59" t="str">
        <f t="shared" si="34"/>
        <v/>
      </c>
      <c r="AI89" s="4"/>
      <c r="AJ89" s="4" t="str">
        <f t="shared" si="35"/>
        <v/>
      </c>
      <c r="AK89" s="4" t="str">
        <f t="shared" si="36"/>
        <v/>
      </c>
      <c r="AL89" s="4" t="e" cm="1">
        <f t="array" ref="AL89">IF(INDEX(Table2[],_xlfn.XMATCH($A89,Table2[Steel Member],0),_xlfn.XMATCH(AL$2,Table2[#Headers],0))=0,"",INDEX(Table2[],_xlfn.XMATCH($A89,Table2[Steel Member],0),_xlfn.XMATCH(AL$2,Table2[#Headers],0)))</f>
        <v>#N/A</v>
      </c>
      <c r="AM89" s="4"/>
      <c r="AN89" s="4" t="str">
        <f t="shared" si="37"/>
        <v/>
      </c>
      <c r="AO89" s="4"/>
      <c r="AP89" s="4" t="e" cm="1">
        <f t="array" ref="AP89">IF(INDEX(Table2[],_xlfn.XMATCH($A89,Table2[Steel Member],0),_xlfn.XMATCH(AP$2,Table2[#Headers],0))=0,"",INDEX(Table2[],_xlfn.XMATCH($A89,Table2[Steel Member],0),_xlfn.XMATCH(AP$2,Table2[#Headers],0)))</f>
        <v>#N/A</v>
      </c>
      <c r="AQ89" s="4"/>
      <c r="AR89" s="4"/>
      <c r="AS89" s="4"/>
      <c r="AT89" s="4"/>
    </row>
    <row r="90" spans="1:46" x14ac:dyDescent="0.25">
      <c r="A90" s="52"/>
      <c r="B90" s="52"/>
      <c r="C90" s="52"/>
      <c r="D90" s="52"/>
      <c r="E90" s="52"/>
      <c r="F90" s="64" cm="1">
        <f t="array" ref="F90">IF(COUNT(FIND(PurlinsxGirthsxBracings,$C90))&gt;0,0,ROUNDUP(IF(D90=0,0,VLOOKUP(D90,'DATA SHEET'!$B:$D,2,FALSE)),2))</f>
        <v>0</v>
      </c>
      <c r="G90" s="64" cm="1">
        <f t="array" ref="G90">IF(COUNT(FIND(PurlinsxGirthsxBracings,$C90))&gt;0,0,ROUNDUP(IF(D90=0,0,VLOOKUP(D90,'DATA SHEET'!$B:$D,3,FALSE)),2))</f>
        <v>0</v>
      </c>
      <c r="H90" s="53"/>
      <c r="I90" s="66" cm="1">
        <f t="array" ref="I90">IF(AND(ISBLANK(B90),ISBLANK(C90),ISBLANK(E90)),0,IF(COUNT(FIND(PurlinsxGirthsxBracings,$C90))&gt;0,IF(B90=0,CONCATENATE(E90," ",C90),CONCATENATE(B90," - ",E90," ",C90)),IF(B90=0,IF(ISBLANK(C90),E90,CONCATENATE(D90,", ",F90,"kg/m, ",G90,"mm surface perimeter")),IF(AND(ISBLANK(C90),ISTEXT(E90)),CONCATENATE(B90," - ",E90),IF(AND(ISBLANK(C90),ISBLANK(E90)),B90,CONCATENATE(B90," - ",D90,", ",F90,"kg/m, ",G90,"mm surface perimeter"))))&amp;IF(ISBLANK(H90),"",H90)))</f>
        <v>0</v>
      </c>
      <c r="J90" s="53"/>
      <c r="L90" s="4" t="str" cm="1">
        <f t="array" ref="L90">IF(COUNT(FIND({0,1,2,3,4,5,6,7,8,9},B90))&gt;0,COUNT(FIND({0,1,2,3,4,5,6,7,8,9},B90))&gt;0,"")</f>
        <v/>
      </c>
      <c r="M90" s="4" t="str" cm="1">
        <f t="array" aca="1" ref="M90" ca="1">IFERROR(_xlfn.IFS(R90="Count",RANDBETWEEN(1,COUNTIF($R$11:$R$653,"Count")),R90="Length",RANDBETWEEN(1,COUNTIF($R$11:$R$653,"Length"))),"")</f>
        <v/>
      </c>
      <c r="N90" s="4" t="str">
        <f ca="1">IFERROR(_xlfn.RANK.EQ(M90,$M$11:$M$653)+COUNTIF($M$11:M90,M90)-1,"")</f>
        <v/>
      </c>
      <c r="O90" s="86" t="str">
        <f>IF(A90='DATA SHEET'!$L$36,C90,IFERROR(IF(AND(ISTEXT(I90),ISBLANK(C90)),"No details",VLOOKUP(C90,DimFolder,2,FALSE)),""))</f>
        <v/>
      </c>
      <c r="P90" s="4" t="str">
        <f t="shared" si="51"/>
        <v/>
      </c>
      <c r="Q90" s="58" t="str">
        <f t="shared" si="38"/>
        <v/>
      </c>
      <c r="R90" s="4" t="e" cm="1">
        <f t="array" ref="R90">IF(INDEX(Table2[],_xlfn.XMATCH($A90,Table2[Steel Member],0),_xlfn.XMATCH(R$2,Table2[#Headers],0))=0,"",INDEX(Table2[],_xlfn.XMATCH($A90,Table2[Steel Member],0),_xlfn.XMATCH(R$2,Table2[#Headers],0)))</f>
        <v>#N/A</v>
      </c>
      <c r="S90" s="4" t="e" cm="1">
        <f t="array" ref="S90">IF(INDEX(Table2[],_xlfn.XMATCH($A90,Table2[Steel Member],0),_xlfn.XMATCH(S$2,Table2[#Headers],0))=0,"",INDEX(Table2[],_xlfn.XMATCH($A90,Table2[Steel Member],0),_xlfn.XMATCH(S$2,Table2[#Headers],0)))</f>
        <v>#N/A</v>
      </c>
      <c r="T90" s="4" t="str">
        <f t="shared" si="29"/>
        <v/>
      </c>
      <c r="U90" s="4" t="e">
        <f ca="1">VLOOKUP(N90,'COLOR CODE'!$B:$D,2,FALSE)</f>
        <v>#N/A</v>
      </c>
      <c r="V90" s="4" t="str">
        <f t="shared" si="30"/>
        <v/>
      </c>
      <c r="W90" s="4" t="e" cm="1">
        <f t="array" ref="W90">IF(INDEX(Table2[],_xlfn.XMATCH($A90,Table2[Steel Member],0),_xlfn.XMATCH(W$2,Table2[#Headers],0))=0,"",INDEX(Table2[],_xlfn.XMATCH($A90,Table2[Steel Member],0),_xlfn.XMATCH(W$2,Table2[#Headers],0)))</f>
        <v>#N/A</v>
      </c>
      <c r="X90" s="4" t="e">
        <f t="shared" si="52"/>
        <v>#N/A</v>
      </c>
      <c r="Y90" s="4" t="e" cm="1">
        <f t="array" ref="Y90">IF(INDEX(Table2[],_xlfn.XMATCH($A90,Table2[Steel Member],0),_xlfn.XMATCH(Y$2,Table2[#Headers],0))=0,"",INDEX(Table2[],_xlfn.XMATCH($A90,Table2[Steel Member],0),_xlfn.XMATCH(Y$2,Table2[#Headers],0)))</f>
        <v>#N/A</v>
      </c>
      <c r="Z90" s="4" t="e" cm="1">
        <f t="array" ref="Z90">IF(INDEX(Table2[],_xlfn.XMATCH($A90,Table2[Steel Member],0),_xlfn.XMATCH(Z$2,Table2[#Headers],0))=0,"",INDEX(Table2[],_xlfn.XMATCH($A90,Table2[Steel Member],0),_xlfn.XMATCH(Z$2,Table2[#Headers],0)))</f>
        <v>#N/A</v>
      </c>
      <c r="AA90" s="4" t="e" cm="1">
        <f t="array" ref="AA90">IF(INDEX(Table2[],_xlfn.XMATCH($A90,Table2[Steel Member],0),_xlfn.XMATCH(AA$2,Table2[#Headers],0))=0,"",INDEX(Table2[],_xlfn.XMATCH($A90,Table2[Steel Member],0),_xlfn.XMATCH(AA$2,Table2[#Headers],0)))</f>
        <v>#N/A</v>
      </c>
      <c r="AB90" s="4" t="e" cm="1">
        <f t="array" ref="AB90">IF(INDEX(Table2[],_xlfn.XMATCH($A90,Table2[Steel Member],0),_xlfn.XMATCH(AB$2,Table2[#Headers],0))=0,"",INDEX(Table2[],_xlfn.XMATCH($A90,Table2[Steel Member],0),_xlfn.XMATCH(AB$2,Table2[#Headers],0)))</f>
        <v>#N/A</v>
      </c>
      <c r="AC90" s="4" t="str" cm="1">
        <f t="array" ref="AC90">IFERROR(INDEX(Table8[],_xlfn.XMATCH($O90,Table8[Dimension Name Category],0),_xlfn.XMATCH(AC$2&amp;IF($L90," w/ tag"," w/o tag"),Table8[#Headers],0)),"")</f>
        <v/>
      </c>
      <c r="AD90" s="59" t="str">
        <f t="shared" si="31"/>
        <v/>
      </c>
      <c r="AE90" s="4" t="str">
        <f t="shared" si="32"/>
        <v/>
      </c>
      <c r="AF90" s="4" t="str">
        <f t="shared" si="33"/>
        <v/>
      </c>
      <c r="AG90" s="4" t="str" cm="1">
        <f t="array" ref="AG90">IFERROR(INDEX(Table8[],_xlfn.XMATCH($O90,Table8[Dimension Name Category],0),_xlfn.XMATCH(AG$2&amp;IF($L90," w/ tag"," w/o tag"),Table8[#Headers],0)),"")</f>
        <v/>
      </c>
      <c r="AH90" s="59" t="str">
        <f t="shared" si="34"/>
        <v/>
      </c>
      <c r="AI90" s="4"/>
      <c r="AJ90" s="4" t="str">
        <f t="shared" si="35"/>
        <v/>
      </c>
      <c r="AK90" s="4" t="str">
        <f t="shared" si="36"/>
        <v/>
      </c>
      <c r="AL90" s="4" t="e" cm="1">
        <f t="array" ref="AL90">IF(INDEX(Table2[],_xlfn.XMATCH($A90,Table2[Steel Member],0),_xlfn.XMATCH(AL$2,Table2[#Headers],0))=0,"",INDEX(Table2[],_xlfn.XMATCH($A90,Table2[Steel Member],0),_xlfn.XMATCH(AL$2,Table2[#Headers],0)))</f>
        <v>#N/A</v>
      </c>
      <c r="AM90" s="4"/>
      <c r="AN90" s="4" t="str">
        <f t="shared" si="37"/>
        <v/>
      </c>
      <c r="AO90" s="4"/>
      <c r="AP90" s="4" t="e" cm="1">
        <f t="array" ref="AP90">IF(INDEX(Table2[],_xlfn.XMATCH($A90,Table2[Steel Member],0),_xlfn.XMATCH(AP$2,Table2[#Headers],0))=0,"",INDEX(Table2[],_xlfn.XMATCH($A90,Table2[Steel Member],0),_xlfn.XMATCH(AP$2,Table2[#Headers],0)))</f>
        <v>#N/A</v>
      </c>
      <c r="AQ90" s="4"/>
      <c r="AR90" s="4"/>
      <c r="AS90" s="4"/>
      <c r="AT90" s="4"/>
    </row>
    <row r="91" spans="1:46" x14ac:dyDescent="0.25">
      <c r="A91" s="52"/>
      <c r="B91" s="52"/>
      <c r="C91" s="52"/>
      <c r="D91" s="52"/>
      <c r="E91" s="52"/>
      <c r="F91" s="64" cm="1">
        <f t="array" ref="F91">IF(COUNT(FIND(PurlinsxGirthsxBracings,$C91))&gt;0,0,ROUNDUP(IF(D91=0,0,VLOOKUP(D91,'DATA SHEET'!$B:$D,2,FALSE)),2))</f>
        <v>0</v>
      </c>
      <c r="G91" s="64" cm="1">
        <f t="array" ref="G91">IF(COUNT(FIND(PurlinsxGirthsxBracings,$C91))&gt;0,0,ROUNDUP(IF(D91=0,0,VLOOKUP(D91,'DATA SHEET'!$B:$D,3,FALSE)),2))</f>
        <v>0</v>
      </c>
      <c r="H91" s="53"/>
      <c r="I91" s="66" cm="1">
        <f t="array" ref="I91">IF(AND(ISBLANK(B91),ISBLANK(C91),ISBLANK(E91)),0,IF(COUNT(FIND(PurlinsxGirthsxBracings,$C91))&gt;0,IF(B91=0,CONCATENATE(E91," ",C91),CONCATENATE(B91," - ",E91," ",C91)),IF(B91=0,IF(ISBLANK(C91),E91,CONCATENATE(D91,", ",F91,"kg/m, ",G91,"mm surface perimeter")),IF(AND(ISBLANK(C91),ISTEXT(E91)),CONCATENATE(B91," - ",E91),IF(AND(ISBLANK(C91),ISBLANK(E91)),B91,CONCATENATE(B91," - ",D91,", ",F91,"kg/m, ",G91,"mm surface perimeter"))))&amp;IF(ISBLANK(H91),"",H91)))</f>
        <v>0</v>
      </c>
      <c r="J91" s="53"/>
      <c r="L91" s="4" t="str" cm="1">
        <f t="array" ref="L91">IF(COUNT(FIND({0,1,2,3,4,5,6,7,8,9},B91))&gt;0,COUNT(FIND({0,1,2,3,4,5,6,7,8,9},B91))&gt;0,"")</f>
        <v/>
      </c>
      <c r="M91" s="4" t="str" cm="1">
        <f t="array" aca="1" ref="M91" ca="1">IFERROR(_xlfn.IFS(R91="Count",RANDBETWEEN(1,COUNTIF($R$11:$R$653,"Count")),R91="Length",RANDBETWEEN(1,COUNTIF($R$11:$R$653,"Length"))),"")</f>
        <v/>
      </c>
      <c r="N91" s="4" t="str">
        <f ca="1">IFERROR(_xlfn.RANK.EQ(M91,$M$11:$M$653)+COUNTIF($M$11:M91,M91)-1,"")</f>
        <v/>
      </c>
      <c r="O91" s="86" t="str">
        <f>IF(A91='DATA SHEET'!$L$36,C91,IFERROR(IF(AND(ISTEXT(I91),ISBLANK(C91)),"No details",VLOOKUP(C91,DimFolder,2,FALSE)),""))</f>
        <v/>
      </c>
      <c r="P91" s="4" t="str">
        <f t="shared" si="51"/>
        <v/>
      </c>
      <c r="Q91" s="58" t="str">
        <f t="shared" si="38"/>
        <v/>
      </c>
      <c r="R91" s="4" t="e" cm="1">
        <f t="array" ref="R91">IF(INDEX(Table2[],_xlfn.XMATCH($A91,Table2[Steel Member],0),_xlfn.XMATCH(R$2,Table2[#Headers],0))=0,"",INDEX(Table2[],_xlfn.XMATCH($A91,Table2[Steel Member],0),_xlfn.XMATCH(R$2,Table2[#Headers],0)))</f>
        <v>#N/A</v>
      </c>
      <c r="S91" s="4" t="e" cm="1">
        <f t="array" ref="S91">IF(INDEX(Table2[],_xlfn.XMATCH($A91,Table2[Steel Member],0),_xlfn.XMATCH(S$2,Table2[#Headers],0))=0,"",INDEX(Table2[],_xlfn.XMATCH($A91,Table2[Steel Member],0),_xlfn.XMATCH(S$2,Table2[#Headers],0)))</f>
        <v>#N/A</v>
      </c>
      <c r="T91" s="4" t="str">
        <f t="shared" si="29"/>
        <v/>
      </c>
      <c r="U91" s="4" t="e">
        <f ca="1">VLOOKUP(N91,'COLOR CODE'!$B:$D,2,FALSE)</f>
        <v>#N/A</v>
      </c>
      <c r="V91" s="4" t="str">
        <f t="shared" si="30"/>
        <v/>
      </c>
      <c r="W91" s="4" t="e" cm="1">
        <f t="array" ref="W91">IF(INDEX(Table2[],_xlfn.XMATCH($A91,Table2[Steel Member],0),_xlfn.XMATCH(W$2,Table2[#Headers],0))=0,"",INDEX(Table2[],_xlfn.XMATCH($A91,Table2[Steel Member],0),_xlfn.XMATCH(W$2,Table2[#Headers],0)))</f>
        <v>#N/A</v>
      </c>
      <c r="X91" s="4" t="e">
        <f t="shared" si="52"/>
        <v>#N/A</v>
      </c>
      <c r="Y91" s="4" t="e" cm="1">
        <f t="array" ref="Y91">IF(INDEX(Table2[],_xlfn.XMATCH($A91,Table2[Steel Member],0),_xlfn.XMATCH(Y$2,Table2[#Headers],0))=0,"",INDEX(Table2[],_xlfn.XMATCH($A91,Table2[Steel Member],0),_xlfn.XMATCH(Y$2,Table2[#Headers],0)))</f>
        <v>#N/A</v>
      </c>
      <c r="Z91" s="4" t="e" cm="1">
        <f t="array" ref="Z91">IF(INDEX(Table2[],_xlfn.XMATCH($A91,Table2[Steel Member],0),_xlfn.XMATCH(Z$2,Table2[#Headers],0))=0,"",INDEX(Table2[],_xlfn.XMATCH($A91,Table2[Steel Member],0),_xlfn.XMATCH(Z$2,Table2[#Headers],0)))</f>
        <v>#N/A</v>
      </c>
      <c r="AA91" s="4" t="e" cm="1">
        <f t="array" ref="AA91">IF(INDEX(Table2[],_xlfn.XMATCH($A91,Table2[Steel Member],0),_xlfn.XMATCH(AA$2,Table2[#Headers],0))=0,"",INDEX(Table2[],_xlfn.XMATCH($A91,Table2[Steel Member],0),_xlfn.XMATCH(AA$2,Table2[#Headers],0)))</f>
        <v>#N/A</v>
      </c>
      <c r="AB91" s="4" t="e" cm="1">
        <f t="array" ref="AB91">IF(INDEX(Table2[],_xlfn.XMATCH($A91,Table2[Steel Member],0),_xlfn.XMATCH(AB$2,Table2[#Headers],0))=0,"",INDEX(Table2[],_xlfn.XMATCH($A91,Table2[Steel Member],0),_xlfn.XMATCH(AB$2,Table2[#Headers],0)))</f>
        <v>#N/A</v>
      </c>
      <c r="AC91" s="4" t="str" cm="1">
        <f t="array" ref="AC91">IFERROR(INDEX(Table8[],_xlfn.XMATCH($O91,Table8[Dimension Name Category],0),_xlfn.XMATCH(AC$2&amp;IF($L91," w/ tag"," w/o tag"),Table8[#Headers],0)),"")</f>
        <v/>
      </c>
      <c r="AD91" s="59" t="str">
        <f t="shared" si="31"/>
        <v/>
      </c>
      <c r="AE91" s="4" t="str">
        <f t="shared" si="32"/>
        <v/>
      </c>
      <c r="AF91" s="4" t="str">
        <f t="shared" si="33"/>
        <v/>
      </c>
      <c r="AG91" s="4" t="str" cm="1">
        <f t="array" ref="AG91">IFERROR(INDEX(Table8[],_xlfn.XMATCH($O91,Table8[Dimension Name Category],0),_xlfn.XMATCH(AG$2&amp;IF($L91," w/ tag"," w/o tag"),Table8[#Headers],0)),"")</f>
        <v/>
      </c>
      <c r="AH91" s="59" t="str">
        <f t="shared" si="34"/>
        <v/>
      </c>
      <c r="AI91" s="4"/>
      <c r="AJ91" s="4" t="str">
        <f t="shared" si="35"/>
        <v/>
      </c>
      <c r="AK91" s="4" t="str">
        <f t="shared" si="36"/>
        <v/>
      </c>
      <c r="AL91" s="4" t="e" cm="1">
        <f t="array" ref="AL91">IF(INDEX(Table2[],_xlfn.XMATCH($A91,Table2[Steel Member],0),_xlfn.XMATCH(AL$2,Table2[#Headers],0))=0,"",INDEX(Table2[],_xlfn.XMATCH($A91,Table2[Steel Member],0),_xlfn.XMATCH(AL$2,Table2[#Headers],0)))</f>
        <v>#N/A</v>
      </c>
      <c r="AM91" s="4"/>
      <c r="AN91" s="4" t="str">
        <f t="shared" si="37"/>
        <v/>
      </c>
      <c r="AO91" s="4"/>
      <c r="AP91" s="4" t="e" cm="1">
        <f t="array" ref="AP91">IF(INDEX(Table2[],_xlfn.XMATCH($A91,Table2[Steel Member],0),_xlfn.XMATCH(AP$2,Table2[#Headers],0))=0,"",INDEX(Table2[],_xlfn.XMATCH($A91,Table2[Steel Member],0),_xlfn.XMATCH(AP$2,Table2[#Headers],0)))</f>
        <v>#N/A</v>
      </c>
      <c r="AQ91" s="4"/>
      <c r="AR91" s="4"/>
      <c r="AS91" s="4"/>
      <c r="AT91" s="4"/>
    </row>
    <row r="92" spans="1:46" x14ac:dyDescent="0.25">
      <c r="A92" s="52"/>
      <c r="B92" s="52"/>
      <c r="C92" s="52"/>
      <c r="D92" s="52"/>
      <c r="E92" s="52"/>
      <c r="F92" s="64" cm="1">
        <f t="array" ref="F92">IF(COUNT(FIND(PurlinsxGirthsxBracings,$C92))&gt;0,0,ROUNDUP(IF(D92=0,0,VLOOKUP(D92,'DATA SHEET'!$B:$D,2,FALSE)),2))</f>
        <v>0</v>
      </c>
      <c r="G92" s="64" cm="1">
        <f t="array" ref="G92">IF(COUNT(FIND(PurlinsxGirthsxBracings,$C92))&gt;0,0,ROUNDUP(IF(D92=0,0,VLOOKUP(D92,'DATA SHEET'!$B:$D,3,FALSE)),2))</f>
        <v>0</v>
      </c>
      <c r="H92" s="53"/>
      <c r="I92" s="66" cm="1">
        <f t="array" ref="I92">IF(AND(ISBLANK(B92),ISBLANK(C92),ISBLANK(E92)),0,IF(COUNT(FIND(PurlinsxGirthsxBracings,$C92))&gt;0,IF(B92=0,CONCATENATE(E92," ",C92),CONCATENATE(B92," - ",E92," ",C92)),IF(B92=0,IF(ISBLANK(C92),E92,CONCATENATE(D92,", ",F92,"kg/m, ",G92,"mm surface perimeter")),IF(AND(ISBLANK(C92),ISTEXT(E92)),CONCATENATE(B92," - ",E92),IF(AND(ISBLANK(C92),ISBLANK(E92)),B92,CONCATENATE(B92," - ",D92,", ",F92,"kg/m, ",G92,"mm surface perimeter"))))&amp;IF(ISBLANK(H92),"",H92)))</f>
        <v>0</v>
      </c>
      <c r="J92" s="53"/>
      <c r="L92" s="4" t="str" cm="1">
        <f t="array" ref="L92">IF(COUNT(FIND({0,1,2,3,4,5,6,7,8,9},B92))&gt;0,COUNT(FIND({0,1,2,3,4,5,6,7,8,9},B92))&gt;0,"")</f>
        <v/>
      </c>
      <c r="M92" s="4" t="str" cm="1">
        <f t="array" aca="1" ref="M92" ca="1">IFERROR(_xlfn.IFS(R92="Count",RANDBETWEEN(1,COUNTIF($R$11:$R$653,"Count")),R92="Length",RANDBETWEEN(1,COUNTIF($R$11:$R$653,"Length"))),"")</f>
        <v/>
      </c>
      <c r="N92" s="4" t="str">
        <f ca="1">IFERROR(_xlfn.RANK.EQ(M92,$M$11:$M$653)+COUNTIF($M$11:M92,M92)-1,"")</f>
        <v/>
      </c>
      <c r="O92" s="86" t="str">
        <f>IF(A92='DATA SHEET'!$L$36,C92,IFERROR(IF(AND(ISTEXT(I92),ISBLANK(C92)),"No details",VLOOKUP(C92,DimFolder,2,FALSE)),""))</f>
        <v/>
      </c>
      <c r="P92" s="4" t="str">
        <f t="shared" si="51"/>
        <v/>
      </c>
      <c r="Q92" s="58" t="str">
        <f t="shared" si="38"/>
        <v/>
      </c>
      <c r="R92" s="4" t="e" cm="1">
        <f t="array" ref="R92">IF(INDEX(Table2[],_xlfn.XMATCH($A92,Table2[Steel Member],0),_xlfn.XMATCH(R$2,Table2[#Headers],0))=0,"",INDEX(Table2[],_xlfn.XMATCH($A92,Table2[Steel Member],0),_xlfn.XMATCH(R$2,Table2[#Headers],0)))</f>
        <v>#N/A</v>
      </c>
      <c r="S92" s="4" t="e" cm="1">
        <f t="array" ref="S92">IF(INDEX(Table2[],_xlfn.XMATCH($A92,Table2[Steel Member],0),_xlfn.XMATCH(S$2,Table2[#Headers],0))=0,"",INDEX(Table2[],_xlfn.XMATCH($A92,Table2[Steel Member],0),_xlfn.XMATCH(S$2,Table2[#Headers],0)))</f>
        <v>#N/A</v>
      </c>
      <c r="T92" s="4" t="str">
        <f t="shared" si="29"/>
        <v/>
      </c>
      <c r="U92" s="4" t="e">
        <f ca="1">VLOOKUP(N92,'COLOR CODE'!$B:$D,2,FALSE)</f>
        <v>#N/A</v>
      </c>
      <c r="V92" s="4" t="str">
        <f t="shared" si="30"/>
        <v/>
      </c>
      <c r="W92" s="4" t="e" cm="1">
        <f t="array" ref="W92">IF(INDEX(Table2[],_xlfn.XMATCH($A92,Table2[Steel Member],0),_xlfn.XMATCH(W$2,Table2[#Headers],0))=0,"",INDEX(Table2[],_xlfn.XMATCH($A92,Table2[Steel Member],0),_xlfn.XMATCH(W$2,Table2[#Headers],0)))</f>
        <v>#N/A</v>
      </c>
      <c r="X92" s="4" t="e">
        <f t="shared" si="52"/>
        <v>#N/A</v>
      </c>
      <c r="Y92" s="4" t="e" cm="1">
        <f t="array" ref="Y92">IF(INDEX(Table2[],_xlfn.XMATCH($A92,Table2[Steel Member],0),_xlfn.XMATCH(Y$2,Table2[#Headers],0))=0,"",INDEX(Table2[],_xlfn.XMATCH($A92,Table2[Steel Member],0),_xlfn.XMATCH(Y$2,Table2[#Headers],0)))</f>
        <v>#N/A</v>
      </c>
      <c r="Z92" s="4" t="e" cm="1">
        <f t="array" ref="Z92">IF(INDEX(Table2[],_xlfn.XMATCH($A92,Table2[Steel Member],0),_xlfn.XMATCH(Z$2,Table2[#Headers],0))=0,"",INDEX(Table2[],_xlfn.XMATCH($A92,Table2[Steel Member],0),_xlfn.XMATCH(Z$2,Table2[#Headers],0)))</f>
        <v>#N/A</v>
      </c>
      <c r="AA92" s="4" t="e" cm="1">
        <f t="array" ref="AA92">IF(INDEX(Table2[],_xlfn.XMATCH($A92,Table2[Steel Member],0),_xlfn.XMATCH(AA$2,Table2[#Headers],0))=0,"",INDEX(Table2[],_xlfn.XMATCH($A92,Table2[Steel Member],0),_xlfn.XMATCH(AA$2,Table2[#Headers],0)))</f>
        <v>#N/A</v>
      </c>
      <c r="AB92" s="4" t="e" cm="1">
        <f t="array" ref="AB92">IF(INDEX(Table2[],_xlfn.XMATCH($A92,Table2[Steel Member],0),_xlfn.XMATCH(AB$2,Table2[#Headers],0))=0,"",INDEX(Table2[],_xlfn.XMATCH($A92,Table2[Steel Member],0),_xlfn.XMATCH(AB$2,Table2[#Headers],0)))</f>
        <v>#N/A</v>
      </c>
      <c r="AC92" s="4" t="str" cm="1">
        <f t="array" ref="AC92">IFERROR(INDEX(Table8[],_xlfn.XMATCH($O92,Table8[Dimension Name Category],0),_xlfn.XMATCH(AC$2&amp;IF($L92," w/ tag"," w/o tag"),Table8[#Headers],0)),"")</f>
        <v/>
      </c>
      <c r="AD92" s="59" t="str">
        <f t="shared" si="31"/>
        <v/>
      </c>
      <c r="AE92" s="4" t="str">
        <f t="shared" si="32"/>
        <v/>
      </c>
      <c r="AF92" s="4" t="str">
        <f t="shared" si="33"/>
        <v/>
      </c>
      <c r="AG92" s="4" t="str" cm="1">
        <f t="array" ref="AG92">IFERROR(INDEX(Table8[],_xlfn.XMATCH($O92,Table8[Dimension Name Category],0),_xlfn.XMATCH(AG$2&amp;IF($L92," w/ tag"," w/o tag"),Table8[#Headers],0)),"")</f>
        <v/>
      </c>
      <c r="AH92" s="59" t="str">
        <f t="shared" si="34"/>
        <v/>
      </c>
      <c r="AI92" s="4"/>
      <c r="AJ92" s="4" t="str">
        <f t="shared" si="35"/>
        <v/>
      </c>
      <c r="AK92" s="4" t="str">
        <f t="shared" si="36"/>
        <v/>
      </c>
      <c r="AL92" s="4" t="e" cm="1">
        <f t="array" ref="AL92">IF(INDEX(Table2[],_xlfn.XMATCH($A92,Table2[Steel Member],0),_xlfn.XMATCH(AL$2,Table2[#Headers],0))=0,"",INDEX(Table2[],_xlfn.XMATCH($A92,Table2[Steel Member],0),_xlfn.XMATCH(AL$2,Table2[#Headers],0)))</f>
        <v>#N/A</v>
      </c>
      <c r="AM92" s="4"/>
      <c r="AN92" s="4" t="str">
        <f t="shared" si="37"/>
        <v/>
      </c>
      <c r="AO92" s="4"/>
      <c r="AP92" s="4" t="e" cm="1">
        <f t="array" ref="AP92">IF(INDEX(Table2[],_xlfn.XMATCH($A92,Table2[Steel Member],0),_xlfn.XMATCH(AP$2,Table2[#Headers],0))=0,"",INDEX(Table2[],_xlfn.XMATCH($A92,Table2[Steel Member],0),_xlfn.XMATCH(AP$2,Table2[#Headers],0)))</f>
        <v>#N/A</v>
      </c>
      <c r="AQ92" s="4"/>
      <c r="AR92" s="4"/>
      <c r="AS92" s="4"/>
      <c r="AT92" s="4"/>
    </row>
    <row r="93" spans="1:46" x14ac:dyDescent="0.25">
      <c r="A93" s="52"/>
      <c r="B93" s="52"/>
      <c r="C93" s="52"/>
      <c r="D93" s="52"/>
      <c r="E93" s="52"/>
      <c r="F93" s="64" cm="1">
        <f t="array" ref="F93">IF(COUNT(FIND(PurlinsxGirthsxBracings,$C93))&gt;0,0,ROUNDUP(IF(D93=0,0,VLOOKUP(D93,'DATA SHEET'!$B:$D,2,FALSE)),2))</f>
        <v>0</v>
      </c>
      <c r="G93" s="64" cm="1">
        <f t="array" ref="G93">IF(COUNT(FIND(PurlinsxGirthsxBracings,$C93))&gt;0,0,ROUNDUP(IF(D93=0,0,VLOOKUP(D93,'DATA SHEET'!$B:$D,3,FALSE)),2))</f>
        <v>0</v>
      </c>
      <c r="H93" s="53"/>
      <c r="I93" s="66" cm="1">
        <f t="array" ref="I93">IF(AND(ISBLANK(B93),ISBLANK(C93),ISBLANK(E93)),0,IF(COUNT(FIND(PurlinsxGirthsxBracings,$C93))&gt;0,IF(B93=0,CONCATENATE(E93," ",C93),CONCATENATE(B93," - ",E93," ",C93)),IF(B93=0,IF(ISBLANK(C93),E93,CONCATENATE(D93,", ",F93,"kg/m, ",G93,"mm surface perimeter")),IF(AND(ISBLANK(C93),ISTEXT(E93)),CONCATENATE(B93," - ",E93),IF(AND(ISBLANK(C93),ISBLANK(E93)),B93,CONCATENATE(B93," - ",D93,", ",F93,"kg/m, ",G93,"mm surface perimeter"))))&amp;IF(ISBLANK(H93),"",H93)))</f>
        <v>0</v>
      </c>
      <c r="J93" s="53"/>
      <c r="L93" s="4" t="str" cm="1">
        <f t="array" ref="L93">IF(COUNT(FIND({0,1,2,3,4,5,6,7,8,9},B93))&gt;0,COUNT(FIND({0,1,2,3,4,5,6,7,8,9},B93))&gt;0,"")</f>
        <v/>
      </c>
      <c r="M93" s="4" t="str" cm="1">
        <f t="array" aca="1" ref="M93" ca="1">IFERROR(_xlfn.IFS(R93="Count",RANDBETWEEN(1,COUNTIF($R$11:$R$653,"Count")),R93="Length",RANDBETWEEN(1,COUNTIF($R$11:$R$653,"Length"))),"")</f>
        <v/>
      </c>
      <c r="N93" s="4" t="str">
        <f ca="1">IFERROR(_xlfn.RANK.EQ(M93,$M$11:$M$653)+COUNTIF($M$11:M93,M93)-1,"")</f>
        <v/>
      </c>
      <c r="O93" s="86" t="str">
        <f>IF(A93='DATA SHEET'!$L$36,C93,IFERROR(IF(AND(ISTEXT(I93),ISBLANK(C93)),"No details",VLOOKUP(C93,DimFolder,2,FALSE)),""))</f>
        <v/>
      </c>
      <c r="P93" s="4" t="str">
        <f t="shared" si="51"/>
        <v/>
      </c>
      <c r="Q93" s="58" t="str">
        <f t="shared" si="38"/>
        <v/>
      </c>
      <c r="R93" s="4" t="e" cm="1">
        <f t="array" ref="R93">IF(INDEX(Table2[],_xlfn.XMATCH($A93,Table2[Steel Member],0),_xlfn.XMATCH(R$2,Table2[#Headers],0))=0,"",INDEX(Table2[],_xlfn.XMATCH($A93,Table2[Steel Member],0),_xlfn.XMATCH(R$2,Table2[#Headers],0)))</f>
        <v>#N/A</v>
      </c>
      <c r="S93" s="4" t="e" cm="1">
        <f t="array" ref="S93">IF(INDEX(Table2[],_xlfn.XMATCH($A93,Table2[Steel Member],0),_xlfn.XMATCH(S$2,Table2[#Headers],0))=0,"",INDEX(Table2[],_xlfn.XMATCH($A93,Table2[Steel Member],0),_xlfn.XMATCH(S$2,Table2[#Headers],0)))</f>
        <v>#N/A</v>
      </c>
      <c r="T93" s="4" t="str">
        <f t="shared" si="29"/>
        <v/>
      </c>
      <c r="U93" s="4" t="e">
        <f ca="1">VLOOKUP(N93,'COLOR CODE'!$B:$D,2,FALSE)</f>
        <v>#N/A</v>
      </c>
      <c r="V93" s="4" t="str">
        <f t="shared" si="30"/>
        <v/>
      </c>
      <c r="W93" s="4" t="e" cm="1">
        <f t="array" ref="W93">IF(INDEX(Table2[],_xlfn.XMATCH($A93,Table2[Steel Member],0),_xlfn.XMATCH(W$2,Table2[#Headers],0))=0,"",INDEX(Table2[],_xlfn.XMATCH($A93,Table2[Steel Member],0),_xlfn.XMATCH(W$2,Table2[#Headers],0)))</f>
        <v>#N/A</v>
      </c>
      <c r="X93" s="4" t="e">
        <f t="shared" si="52"/>
        <v>#N/A</v>
      </c>
      <c r="Y93" s="4" t="e" cm="1">
        <f t="array" ref="Y93">IF(INDEX(Table2[],_xlfn.XMATCH($A93,Table2[Steel Member],0),_xlfn.XMATCH(Y$2,Table2[#Headers],0))=0,"",INDEX(Table2[],_xlfn.XMATCH($A93,Table2[Steel Member],0),_xlfn.XMATCH(Y$2,Table2[#Headers],0)))</f>
        <v>#N/A</v>
      </c>
      <c r="Z93" s="4" t="e" cm="1">
        <f t="array" ref="Z93">IF(INDEX(Table2[],_xlfn.XMATCH($A93,Table2[Steel Member],0),_xlfn.XMATCH(Z$2,Table2[#Headers],0))=0,"",INDEX(Table2[],_xlfn.XMATCH($A93,Table2[Steel Member],0),_xlfn.XMATCH(Z$2,Table2[#Headers],0)))</f>
        <v>#N/A</v>
      </c>
      <c r="AA93" s="4" t="e" cm="1">
        <f t="array" ref="AA93">IF(INDEX(Table2[],_xlfn.XMATCH($A93,Table2[Steel Member],0),_xlfn.XMATCH(AA$2,Table2[#Headers],0))=0,"",INDEX(Table2[],_xlfn.XMATCH($A93,Table2[Steel Member],0),_xlfn.XMATCH(AA$2,Table2[#Headers],0)))</f>
        <v>#N/A</v>
      </c>
      <c r="AB93" s="4" t="e" cm="1">
        <f t="array" ref="AB93">IF(INDEX(Table2[],_xlfn.XMATCH($A93,Table2[Steel Member],0),_xlfn.XMATCH(AB$2,Table2[#Headers],0))=0,"",INDEX(Table2[],_xlfn.XMATCH($A93,Table2[Steel Member],0),_xlfn.XMATCH(AB$2,Table2[#Headers],0)))</f>
        <v>#N/A</v>
      </c>
      <c r="AC93" s="4" t="str" cm="1">
        <f t="array" ref="AC93">IFERROR(INDEX(Table8[],_xlfn.XMATCH($O93,Table8[Dimension Name Category],0),_xlfn.XMATCH(AC$2&amp;IF($L93," w/ tag"," w/o tag"),Table8[#Headers],0)),"")</f>
        <v/>
      </c>
      <c r="AD93" s="59" t="str">
        <f t="shared" si="31"/>
        <v/>
      </c>
      <c r="AE93" s="4" t="str">
        <f t="shared" si="32"/>
        <v/>
      </c>
      <c r="AF93" s="4" t="str">
        <f t="shared" si="33"/>
        <v/>
      </c>
      <c r="AG93" s="4" t="str" cm="1">
        <f t="array" ref="AG93">IFERROR(INDEX(Table8[],_xlfn.XMATCH($O93,Table8[Dimension Name Category],0),_xlfn.XMATCH(AG$2&amp;IF($L93," w/ tag"," w/o tag"),Table8[#Headers],0)),"")</f>
        <v/>
      </c>
      <c r="AH93" s="59" t="str">
        <f t="shared" si="34"/>
        <v/>
      </c>
      <c r="AI93" s="4"/>
      <c r="AJ93" s="4" t="str">
        <f t="shared" si="35"/>
        <v/>
      </c>
      <c r="AK93" s="4" t="str">
        <f t="shared" si="36"/>
        <v/>
      </c>
      <c r="AL93" s="4" t="e" cm="1">
        <f t="array" ref="AL93">IF(INDEX(Table2[],_xlfn.XMATCH($A93,Table2[Steel Member],0),_xlfn.XMATCH(AL$2,Table2[#Headers],0))=0,"",INDEX(Table2[],_xlfn.XMATCH($A93,Table2[Steel Member],0),_xlfn.XMATCH(AL$2,Table2[#Headers],0)))</f>
        <v>#N/A</v>
      </c>
      <c r="AM93" s="4"/>
      <c r="AN93" s="4" t="str">
        <f t="shared" si="37"/>
        <v/>
      </c>
      <c r="AO93" s="4"/>
      <c r="AP93" s="4" t="e" cm="1">
        <f t="array" ref="AP93">IF(INDEX(Table2[],_xlfn.XMATCH($A93,Table2[Steel Member],0),_xlfn.XMATCH(AP$2,Table2[#Headers],0))=0,"",INDEX(Table2[],_xlfn.XMATCH($A93,Table2[Steel Member],0),_xlfn.XMATCH(AP$2,Table2[#Headers],0)))</f>
        <v>#N/A</v>
      </c>
      <c r="AQ93" s="4"/>
      <c r="AR93" s="4"/>
      <c r="AS93" s="4"/>
      <c r="AT93" s="4"/>
    </row>
    <row r="94" spans="1:46" x14ac:dyDescent="0.25">
      <c r="A94" s="52"/>
      <c r="B94" s="52"/>
      <c r="C94" s="52"/>
      <c r="D94" s="52"/>
      <c r="E94" s="52"/>
      <c r="F94" s="64" cm="1">
        <f t="array" ref="F94">IF(COUNT(FIND(PurlinsxGirthsxBracings,$C94))&gt;0,0,ROUNDUP(IF(D94=0,0,VLOOKUP(D94,'DATA SHEET'!$B:$D,2,FALSE)),2))</f>
        <v>0</v>
      </c>
      <c r="G94" s="64" cm="1">
        <f t="array" ref="G94">IF(COUNT(FIND(PurlinsxGirthsxBracings,$C94))&gt;0,0,ROUNDUP(IF(D94=0,0,VLOOKUP(D94,'DATA SHEET'!$B:$D,3,FALSE)),2))</f>
        <v>0</v>
      </c>
      <c r="H94" s="53"/>
      <c r="I94" s="66" cm="1">
        <f t="array" ref="I94">IF(AND(ISBLANK(B94),ISBLANK(C94),ISBLANK(E94)),0,IF(COUNT(FIND(PurlinsxGirthsxBracings,$C94))&gt;0,IF(B94=0,CONCATENATE(E94," ",C94),CONCATENATE(B94," - ",E94," ",C94)),IF(B94=0,IF(ISBLANK(C94),E94,CONCATENATE(D94,", ",F94,"kg/m, ",G94,"mm surface perimeter")),IF(AND(ISBLANK(C94),ISTEXT(E94)),CONCATENATE(B94," - ",E94),IF(AND(ISBLANK(C94),ISBLANK(E94)),B94,CONCATENATE(B94," - ",D94,", ",F94,"kg/m, ",G94,"mm surface perimeter"))))&amp;IF(ISBLANK(H94),"",H94)))</f>
        <v>0</v>
      </c>
      <c r="J94" s="53"/>
      <c r="L94" s="4" t="str" cm="1">
        <f t="array" ref="L94">IF(COUNT(FIND({0,1,2,3,4,5,6,7,8,9},B94))&gt;0,COUNT(FIND({0,1,2,3,4,5,6,7,8,9},B94))&gt;0,"")</f>
        <v/>
      </c>
      <c r="M94" s="4" t="str" cm="1">
        <f t="array" aca="1" ref="M94" ca="1">IFERROR(_xlfn.IFS(R94="Count",RANDBETWEEN(1,COUNTIF($R$11:$R$653,"Count")),R94="Length",RANDBETWEEN(1,COUNTIF($R$11:$R$653,"Length"))),"")</f>
        <v/>
      </c>
      <c r="N94" s="4" t="str">
        <f ca="1">IFERROR(_xlfn.RANK.EQ(M94,$M$11:$M$653)+COUNTIF($M$11:M94,M94)-1,"")</f>
        <v/>
      </c>
      <c r="O94" s="86" t="str">
        <f>IF(A94='DATA SHEET'!$L$36,C94,IFERROR(IF(AND(ISTEXT(I94),ISBLANK(C94)),"No details",VLOOKUP(C94,DimFolder,2,FALSE)),""))</f>
        <v/>
      </c>
      <c r="P94" s="4" t="str">
        <f t="shared" si="51"/>
        <v/>
      </c>
      <c r="Q94" s="58" t="str">
        <f t="shared" si="38"/>
        <v/>
      </c>
      <c r="R94" s="4" t="e" cm="1">
        <f t="array" ref="R94">IF(INDEX(Table2[],_xlfn.XMATCH($A94,Table2[Steel Member],0),_xlfn.XMATCH(R$2,Table2[#Headers],0))=0,"",INDEX(Table2[],_xlfn.XMATCH($A94,Table2[Steel Member],0),_xlfn.XMATCH(R$2,Table2[#Headers],0)))</f>
        <v>#N/A</v>
      </c>
      <c r="S94" s="4" t="e" cm="1">
        <f t="array" ref="S94">IF(INDEX(Table2[],_xlfn.XMATCH($A94,Table2[Steel Member],0),_xlfn.XMATCH(S$2,Table2[#Headers],0))=0,"",INDEX(Table2[],_xlfn.XMATCH($A94,Table2[Steel Member],0),_xlfn.XMATCH(S$2,Table2[#Headers],0)))</f>
        <v>#N/A</v>
      </c>
      <c r="T94" s="4" t="str">
        <f t="shared" si="29"/>
        <v/>
      </c>
      <c r="U94" s="4" t="e">
        <f ca="1">VLOOKUP(N94,'COLOR CODE'!$B:$D,2,FALSE)</f>
        <v>#N/A</v>
      </c>
      <c r="V94" s="4" t="str">
        <f t="shared" si="30"/>
        <v/>
      </c>
      <c r="W94" s="4" t="e" cm="1">
        <f t="array" ref="W94">IF(INDEX(Table2[],_xlfn.XMATCH($A94,Table2[Steel Member],0),_xlfn.XMATCH(W$2,Table2[#Headers],0))=0,"",INDEX(Table2[],_xlfn.XMATCH($A94,Table2[Steel Member],0),_xlfn.XMATCH(W$2,Table2[#Headers],0)))</f>
        <v>#N/A</v>
      </c>
      <c r="X94" s="4" t="e">
        <f t="shared" si="52"/>
        <v>#N/A</v>
      </c>
      <c r="Y94" s="4" t="e" cm="1">
        <f t="array" ref="Y94">IF(INDEX(Table2[],_xlfn.XMATCH($A94,Table2[Steel Member],0),_xlfn.XMATCH(Y$2,Table2[#Headers],0))=0,"",INDEX(Table2[],_xlfn.XMATCH($A94,Table2[Steel Member],0),_xlfn.XMATCH(Y$2,Table2[#Headers],0)))</f>
        <v>#N/A</v>
      </c>
      <c r="Z94" s="4" t="e" cm="1">
        <f t="array" ref="Z94">IF(INDEX(Table2[],_xlfn.XMATCH($A94,Table2[Steel Member],0),_xlfn.XMATCH(Z$2,Table2[#Headers],0))=0,"",INDEX(Table2[],_xlfn.XMATCH($A94,Table2[Steel Member],0),_xlfn.XMATCH(Z$2,Table2[#Headers],0)))</f>
        <v>#N/A</v>
      </c>
      <c r="AA94" s="4" t="e" cm="1">
        <f t="array" ref="AA94">IF(INDEX(Table2[],_xlfn.XMATCH($A94,Table2[Steel Member],0),_xlfn.XMATCH(AA$2,Table2[#Headers],0))=0,"",INDEX(Table2[],_xlfn.XMATCH($A94,Table2[Steel Member],0),_xlfn.XMATCH(AA$2,Table2[#Headers],0)))</f>
        <v>#N/A</v>
      </c>
      <c r="AB94" s="4" t="e" cm="1">
        <f t="array" ref="AB94">IF(INDEX(Table2[],_xlfn.XMATCH($A94,Table2[Steel Member],0),_xlfn.XMATCH(AB$2,Table2[#Headers],0))=0,"",INDEX(Table2[],_xlfn.XMATCH($A94,Table2[Steel Member],0),_xlfn.XMATCH(AB$2,Table2[#Headers],0)))</f>
        <v>#N/A</v>
      </c>
      <c r="AC94" s="4" t="str" cm="1">
        <f t="array" ref="AC94">IFERROR(INDEX(Table8[],_xlfn.XMATCH($O94,Table8[Dimension Name Category],0),_xlfn.XMATCH(AC$2&amp;IF($L94," w/ tag"," w/o tag"),Table8[#Headers],0)),"")</f>
        <v/>
      </c>
      <c r="AD94" s="59" t="str">
        <f t="shared" si="31"/>
        <v/>
      </c>
      <c r="AE94" s="4" t="str">
        <f t="shared" si="32"/>
        <v/>
      </c>
      <c r="AF94" s="4" t="str">
        <f t="shared" si="33"/>
        <v/>
      </c>
      <c r="AG94" s="4" t="str" cm="1">
        <f t="array" ref="AG94">IFERROR(INDEX(Table8[],_xlfn.XMATCH($O94,Table8[Dimension Name Category],0),_xlfn.XMATCH(AG$2&amp;IF($L94," w/ tag"," w/o tag"),Table8[#Headers],0)),"")</f>
        <v/>
      </c>
      <c r="AH94" s="59" t="str">
        <f t="shared" si="34"/>
        <v/>
      </c>
      <c r="AI94" s="4"/>
      <c r="AJ94" s="4" t="str">
        <f t="shared" si="35"/>
        <v/>
      </c>
      <c r="AK94" s="4" t="str">
        <f t="shared" si="36"/>
        <v/>
      </c>
      <c r="AL94" s="4" t="e" cm="1">
        <f t="array" ref="AL94">IF(INDEX(Table2[],_xlfn.XMATCH($A94,Table2[Steel Member],0),_xlfn.XMATCH(AL$2,Table2[#Headers],0))=0,"",INDEX(Table2[],_xlfn.XMATCH($A94,Table2[Steel Member],0),_xlfn.XMATCH(AL$2,Table2[#Headers],0)))</f>
        <v>#N/A</v>
      </c>
      <c r="AM94" s="4"/>
      <c r="AN94" s="4" t="str">
        <f t="shared" si="37"/>
        <v/>
      </c>
      <c r="AO94" s="4"/>
      <c r="AP94" s="4" t="e" cm="1">
        <f t="array" ref="AP94">IF(INDEX(Table2[],_xlfn.XMATCH($A94,Table2[Steel Member],0),_xlfn.XMATCH(AP$2,Table2[#Headers],0))=0,"",INDEX(Table2[],_xlfn.XMATCH($A94,Table2[Steel Member],0),_xlfn.XMATCH(AP$2,Table2[#Headers],0)))</f>
        <v>#N/A</v>
      </c>
      <c r="AQ94" s="4"/>
      <c r="AR94" s="4"/>
      <c r="AS94" s="4"/>
      <c r="AT94" s="4"/>
    </row>
    <row r="95" spans="1:46" x14ac:dyDescent="0.25">
      <c r="A95" s="52"/>
      <c r="B95" s="52"/>
      <c r="C95" s="52"/>
      <c r="D95" s="52"/>
      <c r="E95" s="52"/>
      <c r="F95" s="64" cm="1">
        <f t="array" ref="F95">IF(COUNT(FIND(PurlinsxGirthsxBracings,$C95))&gt;0,0,ROUNDUP(IF(D95=0,0,VLOOKUP(D95,'DATA SHEET'!$B:$D,2,FALSE)),2))</f>
        <v>0</v>
      </c>
      <c r="G95" s="64" cm="1">
        <f t="array" ref="G95">IF(COUNT(FIND(PurlinsxGirthsxBracings,$C95))&gt;0,0,ROUNDUP(IF(D95=0,0,VLOOKUP(D95,'DATA SHEET'!$B:$D,3,FALSE)),2))</f>
        <v>0</v>
      </c>
      <c r="H95" s="53"/>
      <c r="I95" s="66" cm="1">
        <f t="array" ref="I95">IF(AND(ISBLANK(B95),ISBLANK(C95),ISBLANK(E95)),0,IF(COUNT(FIND(PurlinsxGirthsxBracings,$C95))&gt;0,IF(B95=0,CONCATENATE(E95," ",C95),CONCATENATE(B95," - ",E95," ",C95)),IF(B95=0,IF(ISBLANK(C95),E95,CONCATENATE(D95,", ",F95,"kg/m, ",G95,"mm surface perimeter")),IF(AND(ISBLANK(C95),ISTEXT(E95)),CONCATENATE(B95," - ",E95),IF(AND(ISBLANK(C95),ISBLANK(E95)),B95,CONCATENATE(B95," - ",D95,", ",F95,"kg/m, ",G95,"mm surface perimeter"))))&amp;IF(ISBLANK(H95),"",H95)))</f>
        <v>0</v>
      </c>
      <c r="J95" s="53"/>
      <c r="L95" s="4" t="str" cm="1">
        <f t="array" ref="L95">IF(COUNT(FIND({0,1,2,3,4,5,6,7,8,9},B95))&gt;0,COUNT(FIND({0,1,2,3,4,5,6,7,8,9},B95))&gt;0,"")</f>
        <v/>
      </c>
      <c r="M95" s="4" t="str" cm="1">
        <f t="array" aca="1" ref="M95" ca="1">IFERROR(_xlfn.IFS(R95="Count",RANDBETWEEN(1,COUNTIF($R$11:$R$653,"Count")),R95="Length",RANDBETWEEN(1,COUNTIF($R$11:$R$653,"Length"))),"")</f>
        <v/>
      </c>
      <c r="N95" s="4" t="str">
        <f ca="1">IFERROR(_xlfn.RANK.EQ(M95,$M$11:$M$653)+COUNTIF($M$11:M95,M95)-1,"")</f>
        <v/>
      </c>
      <c r="O95" s="86" t="str">
        <f>IF(A95='DATA SHEET'!$L$36,C95,IFERROR(IF(AND(ISTEXT(I95),ISBLANK(C95)),"No details",VLOOKUP(C95,DimFolder,2,FALSE)),""))</f>
        <v/>
      </c>
      <c r="P95" s="4" t="str">
        <f t="shared" si="51"/>
        <v/>
      </c>
      <c r="Q95" s="58" t="str">
        <f t="shared" si="38"/>
        <v/>
      </c>
      <c r="R95" s="4" t="e" cm="1">
        <f t="array" ref="R95">IF(INDEX(Table2[],_xlfn.XMATCH($A95,Table2[Steel Member],0),_xlfn.XMATCH(R$2,Table2[#Headers],0))=0,"",INDEX(Table2[],_xlfn.XMATCH($A95,Table2[Steel Member],0),_xlfn.XMATCH(R$2,Table2[#Headers],0)))</f>
        <v>#N/A</v>
      </c>
      <c r="S95" s="4" t="e" cm="1">
        <f t="array" ref="S95">IF(INDEX(Table2[],_xlfn.XMATCH($A95,Table2[Steel Member],0),_xlfn.XMATCH(S$2,Table2[#Headers],0))=0,"",INDEX(Table2[],_xlfn.XMATCH($A95,Table2[Steel Member],0),_xlfn.XMATCH(S$2,Table2[#Headers],0)))</f>
        <v>#N/A</v>
      </c>
      <c r="T95" s="4" t="str">
        <f t="shared" si="29"/>
        <v/>
      </c>
      <c r="U95" s="4" t="e">
        <f ca="1">VLOOKUP(N95,'COLOR CODE'!$B:$D,2,FALSE)</f>
        <v>#N/A</v>
      </c>
      <c r="V95" s="4" t="str">
        <f t="shared" si="30"/>
        <v/>
      </c>
      <c r="W95" s="4" t="e" cm="1">
        <f t="array" ref="W95">IF(INDEX(Table2[],_xlfn.XMATCH($A95,Table2[Steel Member],0),_xlfn.XMATCH(W$2,Table2[#Headers],0))=0,"",INDEX(Table2[],_xlfn.XMATCH($A95,Table2[Steel Member],0),_xlfn.XMATCH(W$2,Table2[#Headers],0)))</f>
        <v>#N/A</v>
      </c>
      <c r="X95" s="4" t="e">
        <f t="shared" si="52"/>
        <v>#N/A</v>
      </c>
      <c r="Y95" s="4" t="e" cm="1">
        <f t="array" ref="Y95">IF(INDEX(Table2[],_xlfn.XMATCH($A95,Table2[Steel Member],0),_xlfn.XMATCH(Y$2,Table2[#Headers],0))=0,"",INDEX(Table2[],_xlfn.XMATCH($A95,Table2[Steel Member],0),_xlfn.XMATCH(Y$2,Table2[#Headers],0)))</f>
        <v>#N/A</v>
      </c>
      <c r="Z95" s="4" t="e" cm="1">
        <f t="array" ref="Z95">IF(INDEX(Table2[],_xlfn.XMATCH($A95,Table2[Steel Member],0),_xlfn.XMATCH(Z$2,Table2[#Headers],0))=0,"",INDEX(Table2[],_xlfn.XMATCH($A95,Table2[Steel Member],0),_xlfn.XMATCH(Z$2,Table2[#Headers],0)))</f>
        <v>#N/A</v>
      </c>
      <c r="AA95" s="4" t="e" cm="1">
        <f t="array" ref="AA95">IF(INDEX(Table2[],_xlfn.XMATCH($A95,Table2[Steel Member],0),_xlfn.XMATCH(AA$2,Table2[#Headers],0))=0,"",INDEX(Table2[],_xlfn.XMATCH($A95,Table2[Steel Member],0),_xlfn.XMATCH(AA$2,Table2[#Headers],0)))</f>
        <v>#N/A</v>
      </c>
      <c r="AB95" s="4" t="e" cm="1">
        <f t="array" ref="AB95">IF(INDEX(Table2[],_xlfn.XMATCH($A95,Table2[Steel Member],0),_xlfn.XMATCH(AB$2,Table2[#Headers],0))=0,"",INDEX(Table2[],_xlfn.XMATCH($A95,Table2[Steel Member],0),_xlfn.XMATCH(AB$2,Table2[#Headers],0)))</f>
        <v>#N/A</v>
      </c>
      <c r="AC95" s="4" t="str" cm="1">
        <f t="array" ref="AC95">IFERROR(INDEX(Table8[],_xlfn.XMATCH($O95,Table8[Dimension Name Category],0),_xlfn.XMATCH(AC$2&amp;IF($L95," w/ tag"," w/o tag"),Table8[#Headers],0)),"")</f>
        <v/>
      </c>
      <c r="AD95" s="59" t="str">
        <f t="shared" si="31"/>
        <v/>
      </c>
      <c r="AE95" s="4" t="str">
        <f t="shared" si="32"/>
        <v/>
      </c>
      <c r="AF95" s="4" t="str">
        <f t="shared" si="33"/>
        <v/>
      </c>
      <c r="AG95" s="4" t="str" cm="1">
        <f t="array" ref="AG95">IFERROR(INDEX(Table8[],_xlfn.XMATCH($O95,Table8[Dimension Name Category],0),_xlfn.XMATCH(AG$2&amp;IF($L95," w/ tag"," w/o tag"),Table8[#Headers],0)),"")</f>
        <v/>
      </c>
      <c r="AH95" s="59" t="str">
        <f t="shared" si="34"/>
        <v/>
      </c>
      <c r="AI95" s="4"/>
      <c r="AJ95" s="4" t="str">
        <f t="shared" si="35"/>
        <v/>
      </c>
      <c r="AK95" s="4" t="str">
        <f t="shared" si="36"/>
        <v/>
      </c>
      <c r="AL95" s="4" t="e" cm="1">
        <f t="array" ref="AL95">IF(INDEX(Table2[],_xlfn.XMATCH($A95,Table2[Steel Member],0),_xlfn.XMATCH(AL$2,Table2[#Headers],0))=0,"",INDEX(Table2[],_xlfn.XMATCH($A95,Table2[Steel Member],0),_xlfn.XMATCH(AL$2,Table2[#Headers],0)))</f>
        <v>#N/A</v>
      </c>
      <c r="AM95" s="4"/>
      <c r="AN95" s="4" t="str">
        <f t="shared" si="37"/>
        <v/>
      </c>
      <c r="AO95" s="4"/>
      <c r="AP95" s="4" t="e" cm="1">
        <f t="array" ref="AP95">IF(INDEX(Table2[],_xlfn.XMATCH($A95,Table2[Steel Member],0),_xlfn.XMATCH(AP$2,Table2[#Headers],0))=0,"",INDEX(Table2[],_xlfn.XMATCH($A95,Table2[Steel Member],0),_xlfn.XMATCH(AP$2,Table2[#Headers],0)))</f>
        <v>#N/A</v>
      </c>
      <c r="AQ95" s="4"/>
      <c r="AR95" s="4"/>
      <c r="AS95" s="4"/>
      <c r="AT95" s="4"/>
    </row>
    <row r="96" spans="1:46" x14ac:dyDescent="0.25">
      <c r="A96" s="52"/>
      <c r="B96" s="52"/>
      <c r="C96" s="52"/>
      <c r="D96" s="52"/>
      <c r="E96" s="52"/>
      <c r="F96" s="64" cm="1">
        <f t="array" ref="F96">IF(COUNT(FIND(PurlinsxGirthsxBracings,$C96))&gt;0,0,ROUNDUP(IF(D96=0,0,VLOOKUP(D96,'DATA SHEET'!$B:$D,2,FALSE)),2))</f>
        <v>0</v>
      </c>
      <c r="G96" s="64" cm="1">
        <f t="array" ref="G96">IF(COUNT(FIND(PurlinsxGirthsxBracings,$C96))&gt;0,0,ROUNDUP(IF(D96=0,0,VLOOKUP(D96,'DATA SHEET'!$B:$D,3,FALSE)),2))</f>
        <v>0</v>
      </c>
      <c r="H96" s="53"/>
      <c r="I96" s="66" cm="1">
        <f t="array" ref="I96">IF(AND(ISBLANK(B96),ISBLANK(C96),ISBLANK(E96)),0,IF(COUNT(FIND(PurlinsxGirthsxBracings,$C96))&gt;0,IF(B96=0,CONCATENATE(E96," ",C96),CONCATENATE(B96," - ",E96," ",C96)),IF(B96=0,IF(ISBLANK(C96),E96,CONCATENATE(D96,", ",F96,"kg/m, ",G96,"mm surface perimeter")),IF(AND(ISBLANK(C96),ISTEXT(E96)),CONCATENATE(B96," - ",E96),IF(AND(ISBLANK(C96),ISBLANK(E96)),B96,CONCATENATE(B96," - ",D96,", ",F96,"kg/m, ",G96,"mm surface perimeter"))))&amp;IF(ISBLANK(H96),"",H96)))</f>
        <v>0</v>
      </c>
      <c r="J96" s="53"/>
      <c r="L96" s="4" t="str" cm="1">
        <f t="array" ref="L96">IF(COUNT(FIND({0,1,2,3,4,5,6,7,8,9},B96))&gt;0,COUNT(FIND({0,1,2,3,4,5,6,7,8,9},B96))&gt;0,"")</f>
        <v/>
      </c>
      <c r="M96" s="4" t="str" cm="1">
        <f t="array" aca="1" ref="M96" ca="1">IFERROR(_xlfn.IFS(R96="Count",RANDBETWEEN(1,COUNTIF($R$11:$R$653,"Count")),R96="Length",RANDBETWEEN(1,COUNTIF($R$11:$R$653,"Length"))),"")</f>
        <v/>
      </c>
      <c r="N96" s="4" t="str">
        <f ca="1">IFERROR(_xlfn.RANK.EQ(M96,$M$11:$M$653)+COUNTIF($M$11:M96,M96)-1,"")</f>
        <v/>
      </c>
      <c r="O96" s="86" t="str">
        <f>IF(A96='DATA SHEET'!$L$36,C96,IFERROR(IF(AND(ISTEXT(I96),ISBLANK(C96)),"No details",VLOOKUP(C96,DimFolder,2,FALSE)),""))</f>
        <v/>
      </c>
      <c r="P96" s="4" t="str">
        <f t="shared" si="51"/>
        <v/>
      </c>
      <c r="Q96" s="58" t="str">
        <f t="shared" si="38"/>
        <v/>
      </c>
      <c r="R96" s="4" t="e" cm="1">
        <f t="array" ref="R96">IF(INDEX(Table2[],_xlfn.XMATCH($A96,Table2[Steel Member],0),_xlfn.XMATCH(R$2,Table2[#Headers],0))=0,"",INDEX(Table2[],_xlfn.XMATCH($A96,Table2[Steel Member],0),_xlfn.XMATCH(R$2,Table2[#Headers],0)))</f>
        <v>#N/A</v>
      </c>
      <c r="S96" s="4" t="e" cm="1">
        <f t="array" ref="S96">IF(INDEX(Table2[],_xlfn.XMATCH($A96,Table2[Steel Member],0),_xlfn.XMATCH(S$2,Table2[#Headers],0))=0,"",INDEX(Table2[],_xlfn.XMATCH($A96,Table2[Steel Member],0),_xlfn.XMATCH(S$2,Table2[#Headers],0)))</f>
        <v>#N/A</v>
      </c>
      <c r="T96" s="4" t="str">
        <f t="shared" si="29"/>
        <v/>
      </c>
      <c r="U96" s="4" t="e">
        <f ca="1">VLOOKUP(N96,'COLOR CODE'!$B:$D,2,FALSE)</f>
        <v>#N/A</v>
      </c>
      <c r="V96" s="4" t="str">
        <f t="shared" si="30"/>
        <v/>
      </c>
      <c r="W96" s="4" t="e" cm="1">
        <f t="array" ref="W96">IF(INDEX(Table2[],_xlfn.XMATCH($A96,Table2[Steel Member],0),_xlfn.XMATCH(W$2,Table2[#Headers],0))=0,"",INDEX(Table2[],_xlfn.XMATCH($A96,Table2[Steel Member],0),_xlfn.XMATCH(W$2,Table2[#Headers],0)))</f>
        <v>#N/A</v>
      </c>
      <c r="X96" s="4" t="e">
        <f t="shared" si="52"/>
        <v>#N/A</v>
      </c>
      <c r="Y96" s="4" t="e" cm="1">
        <f t="array" ref="Y96">IF(INDEX(Table2[],_xlfn.XMATCH($A96,Table2[Steel Member],0),_xlfn.XMATCH(Y$2,Table2[#Headers],0))=0,"",INDEX(Table2[],_xlfn.XMATCH($A96,Table2[Steel Member],0),_xlfn.XMATCH(Y$2,Table2[#Headers],0)))</f>
        <v>#N/A</v>
      </c>
      <c r="Z96" s="4" t="e" cm="1">
        <f t="array" ref="Z96">IF(INDEX(Table2[],_xlfn.XMATCH($A96,Table2[Steel Member],0),_xlfn.XMATCH(Z$2,Table2[#Headers],0))=0,"",INDEX(Table2[],_xlfn.XMATCH($A96,Table2[Steel Member],0),_xlfn.XMATCH(Z$2,Table2[#Headers],0)))</f>
        <v>#N/A</v>
      </c>
      <c r="AA96" s="4" t="e" cm="1">
        <f t="array" ref="AA96">IF(INDEX(Table2[],_xlfn.XMATCH($A96,Table2[Steel Member],0),_xlfn.XMATCH(AA$2,Table2[#Headers],0))=0,"",INDEX(Table2[],_xlfn.XMATCH($A96,Table2[Steel Member],0),_xlfn.XMATCH(AA$2,Table2[#Headers],0)))</f>
        <v>#N/A</v>
      </c>
      <c r="AB96" s="4" t="e" cm="1">
        <f t="array" ref="AB96">IF(INDEX(Table2[],_xlfn.XMATCH($A96,Table2[Steel Member],0),_xlfn.XMATCH(AB$2,Table2[#Headers],0))=0,"",INDEX(Table2[],_xlfn.XMATCH($A96,Table2[Steel Member],0),_xlfn.XMATCH(AB$2,Table2[#Headers],0)))</f>
        <v>#N/A</v>
      </c>
      <c r="AC96" s="4" t="str" cm="1">
        <f t="array" ref="AC96">IFERROR(INDEX(Table8[],_xlfn.XMATCH($O96,Table8[Dimension Name Category],0),_xlfn.XMATCH(AC$2&amp;IF($L96," w/ tag"," w/o tag"),Table8[#Headers],0)),"")</f>
        <v/>
      </c>
      <c r="AD96" s="59" t="str">
        <f t="shared" si="31"/>
        <v/>
      </c>
      <c r="AE96" s="4" t="str">
        <f t="shared" si="32"/>
        <v/>
      </c>
      <c r="AF96" s="4" t="str">
        <f t="shared" si="33"/>
        <v/>
      </c>
      <c r="AG96" s="4" t="str" cm="1">
        <f t="array" ref="AG96">IFERROR(INDEX(Table8[],_xlfn.XMATCH($O96,Table8[Dimension Name Category],0),_xlfn.XMATCH(AG$2&amp;IF($L96," w/ tag"," w/o tag"),Table8[#Headers],0)),"")</f>
        <v/>
      </c>
      <c r="AH96" s="59" t="str">
        <f t="shared" si="34"/>
        <v/>
      </c>
      <c r="AI96" s="4"/>
      <c r="AJ96" s="4" t="str">
        <f t="shared" si="35"/>
        <v/>
      </c>
      <c r="AK96" s="4" t="str">
        <f t="shared" si="36"/>
        <v/>
      </c>
      <c r="AL96" s="4" t="e" cm="1">
        <f t="array" ref="AL96">IF(INDEX(Table2[],_xlfn.XMATCH($A96,Table2[Steel Member],0),_xlfn.XMATCH(AL$2,Table2[#Headers],0))=0,"",INDEX(Table2[],_xlfn.XMATCH($A96,Table2[Steel Member],0),_xlfn.XMATCH(AL$2,Table2[#Headers],0)))</f>
        <v>#N/A</v>
      </c>
      <c r="AM96" s="4"/>
      <c r="AN96" s="4" t="str">
        <f t="shared" si="37"/>
        <v/>
      </c>
      <c r="AO96" s="4"/>
      <c r="AP96" s="4" t="e" cm="1">
        <f t="array" ref="AP96">IF(INDEX(Table2[],_xlfn.XMATCH($A96,Table2[Steel Member],0),_xlfn.XMATCH(AP$2,Table2[#Headers],0))=0,"",INDEX(Table2[],_xlfn.XMATCH($A96,Table2[Steel Member],0),_xlfn.XMATCH(AP$2,Table2[#Headers],0)))</f>
        <v>#N/A</v>
      </c>
      <c r="AQ96" s="4"/>
      <c r="AR96" s="4"/>
      <c r="AS96" s="4"/>
      <c r="AT96" s="4"/>
    </row>
    <row r="97" spans="1:46" x14ac:dyDescent="0.25">
      <c r="A97" s="52"/>
      <c r="B97" s="52"/>
      <c r="C97" s="52"/>
      <c r="D97" s="52"/>
      <c r="E97" s="52"/>
      <c r="F97" s="64" cm="1">
        <f t="array" ref="F97">IF(COUNT(FIND(PurlinsxGirthsxBracings,$C97))&gt;0,0,ROUNDUP(IF(D97=0,0,VLOOKUP(D97,'DATA SHEET'!$B:$D,2,FALSE)),2))</f>
        <v>0</v>
      </c>
      <c r="G97" s="64" cm="1">
        <f t="array" ref="G97">IF(COUNT(FIND(PurlinsxGirthsxBracings,$C97))&gt;0,0,ROUNDUP(IF(D97=0,0,VLOOKUP(D97,'DATA SHEET'!$B:$D,3,FALSE)),2))</f>
        <v>0</v>
      </c>
      <c r="H97" s="53"/>
      <c r="I97" s="66" cm="1">
        <f t="array" ref="I97">IF(AND(ISBLANK(B97),ISBLANK(C97),ISBLANK(E97)),0,IF(COUNT(FIND(PurlinsxGirthsxBracings,$C97))&gt;0,IF(B97=0,CONCATENATE(E97," ",C97),CONCATENATE(B97," - ",E97," ",C97)),IF(B97=0,IF(ISBLANK(C97),E97,CONCATENATE(D97,", ",F97,"kg/m, ",G97,"mm surface perimeter")),IF(AND(ISBLANK(C97),ISTEXT(E97)),CONCATENATE(B97," - ",E97),IF(AND(ISBLANK(C97),ISBLANK(E97)),B97,CONCATENATE(B97," - ",D97,", ",F97,"kg/m, ",G97,"mm surface perimeter"))))&amp;IF(ISBLANK(H97),"",H97)))</f>
        <v>0</v>
      </c>
      <c r="J97" s="53"/>
      <c r="L97" s="4" t="str" cm="1">
        <f t="array" ref="L97">IF(COUNT(FIND({0,1,2,3,4,5,6,7,8,9},B97))&gt;0,COUNT(FIND({0,1,2,3,4,5,6,7,8,9},B97))&gt;0,"")</f>
        <v/>
      </c>
      <c r="M97" s="4" t="str" cm="1">
        <f t="array" aca="1" ref="M97" ca="1">IFERROR(_xlfn.IFS(R97="Count",RANDBETWEEN(1,COUNTIF($R$11:$R$653,"Count")),R97="Length",RANDBETWEEN(1,COUNTIF($R$11:$R$653,"Length"))),"")</f>
        <v/>
      </c>
      <c r="N97" s="4" t="str">
        <f ca="1">IFERROR(_xlfn.RANK.EQ(M97,$M$11:$M$653)+COUNTIF($M$11:M97,M97)-1,"")</f>
        <v/>
      </c>
      <c r="O97" s="86" t="str">
        <f>IF(A97='DATA SHEET'!$L$36,C97,IFERROR(IF(AND(ISTEXT(I97),ISBLANK(C97)),"No details",VLOOKUP(C97,DimFolder,2,FALSE)),""))</f>
        <v/>
      </c>
      <c r="P97" s="4" t="str">
        <f t="shared" si="51"/>
        <v/>
      </c>
      <c r="Q97" s="58" t="str">
        <f t="shared" si="38"/>
        <v/>
      </c>
      <c r="R97" s="4" t="e" cm="1">
        <f t="array" ref="R97">IF(INDEX(Table2[],_xlfn.XMATCH($A97,Table2[Steel Member],0),_xlfn.XMATCH(R$2,Table2[#Headers],0))=0,"",INDEX(Table2[],_xlfn.XMATCH($A97,Table2[Steel Member],0),_xlfn.XMATCH(R$2,Table2[#Headers],0)))</f>
        <v>#N/A</v>
      </c>
      <c r="S97" s="4" t="e" cm="1">
        <f t="array" ref="S97">IF(INDEX(Table2[],_xlfn.XMATCH($A97,Table2[Steel Member],0),_xlfn.XMATCH(S$2,Table2[#Headers],0))=0,"",INDEX(Table2[],_xlfn.XMATCH($A97,Table2[Steel Member],0),_xlfn.XMATCH(S$2,Table2[#Headers],0)))</f>
        <v>#N/A</v>
      </c>
      <c r="T97" s="4" t="str">
        <f t="shared" si="29"/>
        <v/>
      </c>
      <c r="U97" s="4" t="e">
        <f ca="1">VLOOKUP(N97,'COLOR CODE'!$B:$D,2,FALSE)</f>
        <v>#N/A</v>
      </c>
      <c r="V97" s="4" t="str">
        <f t="shared" si="30"/>
        <v/>
      </c>
      <c r="W97" s="4" t="e" cm="1">
        <f t="array" ref="W97">IF(INDEX(Table2[],_xlfn.XMATCH($A97,Table2[Steel Member],0),_xlfn.XMATCH(W$2,Table2[#Headers],0))=0,"",INDEX(Table2[],_xlfn.XMATCH($A97,Table2[Steel Member],0),_xlfn.XMATCH(W$2,Table2[#Headers],0)))</f>
        <v>#N/A</v>
      </c>
      <c r="X97" s="4" t="e">
        <f t="shared" si="52"/>
        <v>#N/A</v>
      </c>
      <c r="Y97" s="4" t="e" cm="1">
        <f t="array" ref="Y97">IF(INDEX(Table2[],_xlfn.XMATCH($A97,Table2[Steel Member],0),_xlfn.XMATCH(Y$2,Table2[#Headers],0))=0,"",INDEX(Table2[],_xlfn.XMATCH($A97,Table2[Steel Member],0),_xlfn.XMATCH(Y$2,Table2[#Headers],0)))</f>
        <v>#N/A</v>
      </c>
      <c r="Z97" s="4" t="e" cm="1">
        <f t="array" ref="Z97">IF(INDEX(Table2[],_xlfn.XMATCH($A97,Table2[Steel Member],0),_xlfn.XMATCH(Z$2,Table2[#Headers],0))=0,"",INDEX(Table2[],_xlfn.XMATCH($A97,Table2[Steel Member],0),_xlfn.XMATCH(Z$2,Table2[#Headers],0)))</f>
        <v>#N/A</v>
      </c>
      <c r="AA97" s="4" t="e" cm="1">
        <f t="array" ref="AA97">IF(INDEX(Table2[],_xlfn.XMATCH($A97,Table2[Steel Member],0),_xlfn.XMATCH(AA$2,Table2[#Headers],0))=0,"",INDEX(Table2[],_xlfn.XMATCH($A97,Table2[Steel Member],0),_xlfn.XMATCH(AA$2,Table2[#Headers],0)))</f>
        <v>#N/A</v>
      </c>
      <c r="AB97" s="4" t="e" cm="1">
        <f t="array" ref="AB97">IF(INDEX(Table2[],_xlfn.XMATCH($A97,Table2[Steel Member],0),_xlfn.XMATCH(AB$2,Table2[#Headers],0))=0,"",INDEX(Table2[],_xlfn.XMATCH($A97,Table2[Steel Member],0),_xlfn.XMATCH(AB$2,Table2[#Headers],0)))</f>
        <v>#N/A</v>
      </c>
      <c r="AC97" s="4" t="str" cm="1">
        <f t="array" ref="AC97">IFERROR(INDEX(Table8[],_xlfn.XMATCH($O97,Table8[Dimension Name Category],0),_xlfn.XMATCH(AC$2&amp;IF($L97," w/ tag"," w/o tag"),Table8[#Headers],0)),"")</f>
        <v/>
      </c>
      <c r="AD97" s="59" t="str">
        <f t="shared" si="31"/>
        <v/>
      </c>
      <c r="AE97" s="4" t="str">
        <f t="shared" si="32"/>
        <v/>
      </c>
      <c r="AF97" s="4" t="str">
        <f t="shared" si="33"/>
        <v/>
      </c>
      <c r="AG97" s="4" t="str" cm="1">
        <f t="array" ref="AG97">IFERROR(INDEX(Table8[],_xlfn.XMATCH($O97,Table8[Dimension Name Category],0),_xlfn.XMATCH(AG$2&amp;IF($L97," w/ tag"," w/o tag"),Table8[#Headers],0)),"")</f>
        <v/>
      </c>
      <c r="AH97" s="59" t="str">
        <f t="shared" si="34"/>
        <v/>
      </c>
      <c r="AI97" s="4"/>
      <c r="AJ97" s="4" t="str">
        <f t="shared" si="35"/>
        <v/>
      </c>
      <c r="AK97" s="4" t="str">
        <f t="shared" si="36"/>
        <v/>
      </c>
      <c r="AL97" s="4" t="e" cm="1">
        <f t="array" ref="AL97">IF(INDEX(Table2[],_xlfn.XMATCH($A97,Table2[Steel Member],0),_xlfn.XMATCH(AL$2,Table2[#Headers],0))=0,"",INDEX(Table2[],_xlfn.XMATCH($A97,Table2[Steel Member],0),_xlfn.XMATCH(AL$2,Table2[#Headers],0)))</f>
        <v>#N/A</v>
      </c>
      <c r="AM97" s="4"/>
      <c r="AN97" s="4" t="str">
        <f t="shared" si="37"/>
        <v/>
      </c>
      <c r="AO97" s="4"/>
      <c r="AP97" s="4" t="e" cm="1">
        <f t="array" ref="AP97">IF(INDEX(Table2[],_xlfn.XMATCH($A97,Table2[Steel Member],0),_xlfn.XMATCH(AP$2,Table2[#Headers],0))=0,"",INDEX(Table2[],_xlfn.XMATCH($A97,Table2[Steel Member],0),_xlfn.XMATCH(AP$2,Table2[#Headers],0)))</f>
        <v>#N/A</v>
      </c>
      <c r="AQ97" s="4"/>
      <c r="AR97" s="4"/>
      <c r="AS97" s="4"/>
      <c r="AT97" s="4"/>
    </row>
    <row r="98" spans="1:46" x14ac:dyDescent="0.25">
      <c r="A98" s="52"/>
      <c r="B98" s="52"/>
      <c r="C98" s="52"/>
      <c r="D98" s="52"/>
      <c r="E98" s="52"/>
      <c r="F98" s="64" cm="1">
        <f t="array" ref="F98">IF(COUNT(FIND(PurlinsxGirthsxBracings,$C98))&gt;0,0,ROUNDUP(IF(D98=0,0,VLOOKUP(D98,'DATA SHEET'!$B:$D,2,FALSE)),2))</f>
        <v>0</v>
      </c>
      <c r="G98" s="64" cm="1">
        <f t="array" ref="G98">IF(COUNT(FIND(PurlinsxGirthsxBracings,$C98))&gt;0,0,ROUNDUP(IF(D98=0,0,VLOOKUP(D98,'DATA SHEET'!$B:$D,3,FALSE)),2))</f>
        <v>0</v>
      </c>
      <c r="H98" s="53"/>
      <c r="I98" s="66" cm="1">
        <f t="array" ref="I98">IF(AND(ISBLANK(B98),ISBLANK(C98),ISBLANK(E98)),0,IF(COUNT(FIND(PurlinsxGirthsxBracings,$C98))&gt;0,IF(B98=0,CONCATENATE(E98," ",C98),CONCATENATE(B98," - ",E98," ",C98)),IF(B98=0,IF(ISBLANK(C98),E98,CONCATENATE(D98,", ",F98,"kg/m, ",G98,"mm surface perimeter")),IF(AND(ISBLANK(C98),ISTEXT(E98)),CONCATENATE(B98," - ",E98),IF(AND(ISBLANK(C98),ISBLANK(E98)),B98,CONCATENATE(B98," - ",D98,", ",F98,"kg/m, ",G98,"mm surface perimeter"))))&amp;IF(ISBLANK(H98),"",H98)))</f>
        <v>0</v>
      </c>
      <c r="J98" s="53"/>
      <c r="L98" s="4" t="str" cm="1">
        <f t="array" ref="L98">IF(COUNT(FIND({0,1,2,3,4,5,6,7,8,9},B98))&gt;0,COUNT(FIND({0,1,2,3,4,5,6,7,8,9},B98))&gt;0,"")</f>
        <v/>
      </c>
      <c r="M98" s="4" t="str" cm="1">
        <f t="array" aca="1" ref="M98" ca="1">IFERROR(_xlfn.IFS(R98="Count",RANDBETWEEN(1,COUNTIF($R$11:$R$653,"Count")),R98="Length",RANDBETWEEN(1,COUNTIF($R$11:$R$653,"Length"))),"")</f>
        <v/>
      </c>
      <c r="N98" s="4" t="str">
        <f ca="1">IFERROR(_xlfn.RANK.EQ(M98,$M$11:$M$653)+COUNTIF($M$11:M98,M98)-1,"")</f>
        <v/>
      </c>
      <c r="O98" s="86" t="str">
        <f>IF(A98='DATA SHEET'!$L$36,C98,IFERROR(IF(AND(ISTEXT(I98),ISBLANK(C98)),"No details",VLOOKUP(C98,DimFolder,2,FALSE)),""))</f>
        <v/>
      </c>
      <c r="P98" s="4" t="str">
        <f t="shared" si="51"/>
        <v/>
      </c>
      <c r="Q98" s="58" t="str">
        <f t="shared" si="38"/>
        <v/>
      </c>
      <c r="R98" s="4" t="e" cm="1">
        <f t="array" ref="R98">IF(INDEX(Table2[],_xlfn.XMATCH($A98,Table2[Steel Member],0),_xlfn.XMATCH(R$2,Table2[#Headers],0))=0,"",INDEX(Table2[],_xlfn.XMATCH($A98,Table2[Steel Member],0),_xlfn.XMATCH(R$2,Table2[#Headers],0)))</f>
        <v>#N/A</v>
      </c>
      <c r="S98" s="4" t="e" cm="1">
        <f t="array" ref="S98">IF(INDEX(Table2[],_xlfn.XMATCH($A98,Table2[Steel Member],0),_xlfn.XMATCH(S$2,Table2[#Headers],0))=0,"",INDEX(Table2[],_xlfn.XMATCH($A98,Table2[Steel Member],0),_xlfn.XMATCH(S$2,Table2[#Headers],0)))</f>
        <v>#N/A</v>
      </c>
      <c r="T98" s="4" t="str">
        <f t="shared" si="29"/>
        <v/>
      </c>
      <c r="U98" s="4" t="e">
        <f ca="1">VLOOKUP(N98,'COLOR CODE'!$B:$D,2,FALSE)</f>
        <v>#N/A</v>
      </c>
      <c r="V98" s="4" t="str">
        <f t="shared" si="30"/>
        <v/>
      </c>
      <c r="W98" s="4" t="e" cm="1">
        <f t="array" ref="W98">IF(INDEX(Table2[],_xlfn.XMATCH($A98,Table2[Steel Member],0),_xlfn.XMATCH(W$2,Table2[#Headers],0))=0,"",INDEX(Table2[],_xlfn.XMATCH($A98,Table2[Steel Member],0),_xlfn.XMATCH(W$2,Table2[#Headers],0)))</f>
        <v>#N/A</v>
      </c>
      <c r="X98" s="4" t="e">
        <f t="shared" si="52"/>
        <v>#N/A</v>
      </c>
      <c r="Y98" s="4" t="e" cm="1">
        <f t="array" ref="Y98">IF(INDEX(Table2[],_xlfn.XMATCH($A98,Table2[Steel Member],0),_xlfn.XMATCH(Y$2,Table2[#Headers],0))=0,"",INDEX(Table2[],_xlfn.XMATCH($A98,Table2[Steel Member],0),_xlfn.XMATCH(Y$2,Table2[#Headers],0)))</f>
        <v>#N/A</v>
      </c>
      <c r="Z98" s="4" t="e" cm="1">
        <f t="array" ref="Z98">IF(INDEX(Table2[],_xlfn.XMATCH($A98,Table2[Steel Member],0),_xlfn.XMATCH(Z$2,Table2[#Headers],0))=0,"",INDEX(Table2[],_xlfn.XMATCH($A98,Table2[Steel Member],0),_xlfn.XMATCH(Z$2,Table2[#Headers],0)))</f>
        <v>#N/A</v>
      </c>
      <c r="AA98" s="4" t="e" cm="1">
        <f t="array" ref="AA98">IF(INDEX(Table2[],_xlfn.XMATCH($A98,Table2[Steel Member],0),_xlfn.XMATCH(AA$2,Table2[#Headers],0))=0,"",INDEX(Table2[],_xlfn.XMATCH($A98,Table2[Steel Member],0),_xlfn.XMATCH(AA$2,Table2[#Headers],0)))</f>
        <v>#N/A</v>
      </c>
      <c r="AB98" s="4" t="e" cm="1">
        <f t="array" ref="AB98">IF(INDEX(Table2[],_xlfn.XMATCH($A98,Table2[Steel Member],0),_xlfn.XMATCH(AB$2,Table2[#Headers],0))=0,"",INDEX(Table2[],_xlfn.XMATCH($A98,Table2[Steel Member],0),_xlfn.XMATCH(AB$2,Table2[#Headers],0)))</f>
        <v>#N/A</v>
      </c>
      <c r="AC98" s="4" t="str" cm="1">
        <f t="array" ref="AC98">IFERROR(INDEX(Table8[],_xlfn.XMATCH($O98,Table8[Dimension Name Category],0),_xlfn.XMATCH(AC$2&amp;IF($L98," w/ tag"," w/o tag"),Table8[#Headers],0)),"")</f>
        <v/>
      </c>
      <c r="AD98" s="59" t="str">
        <f t="shared" si="31"/>
        <v/>
      </c>
      <c r="AE98" s="4" t="str">
        <f t="shared" si="32"/>
        <v/>
      </c>
      <c r="AF98" s="4" t="str">
        <f t="shared" si="33"/>
        <v/>
      </c>
      <c r="AG98" s="4" t="str" cm="1">
        <f t="array" ref="AG98">IFERROR(INDEX(Table8[],_xlfn.XMATCH($O98,Table8[Dimension Name Category],0),_xlfn.XMATCH(AG$2&amp;IF($L98," w/ tag"," w/o tag"),Table8[#Headers],0)),"")</f>
        <v/>
      </c>
      <c r="AH98" s="59" t="str">
        <f t="shared" si="34"/>
        <v/>
      </c>
      <c r="AI98" s="4"/>
      <c r="AJ98" s="4" t="str">
        <f t="shared" si="35"/>
        <v/>
      </c>
      <c r="AK98" s="4" t="str">
        <f t="shared" si="36"/>
        <v/>
      </c>
      <c r="AL98" s="4" t="e" cm="1">
        <f t="array" ref="AL98">IF(INDEX(Table2[],_xlfn.XMATCH($A98,Table2[Steel Member],0),_xlfn.XMATCH(AL$2,Table2[#Headers],0))=0,"",INDEX(Table2[],_xlfn.XMATCH($A98,Table2[Steel Member],0),_xlfn.XMATCH(AL$2,Table2[#Headers],0)))</f>
        <v>#N/A</v>
      </c>
      <c r="AM98" s="4"/>
      <c r="AN98" s="4" t="str">
        <f t="shared" si="37"/>
        <v/>
      </c>
      <c r="AO98" s="4"/>
      <c r="AP98" s="4" t="e" cm="1">
        <f t="array" ref="AP98">IF(INDEX(Table2[],_xlfn.XMATCH($A98,Table2[Steel Member],0),_xlfn.XMATCH(AP$2,Table2[#Headers],0))=0,"",INDEX(Table2[],_xlfn.XMATCH($A98,Table2[Steel Member],0),_xlfn.XMATCH(AP$2,Table2[#Headers],0)))</f>
        <v>#N/A</v>
      </c>
      <c r="AQ98" s="4"/>
      <c r="AR98" s="4"/>
      <c r="AS98" s="4"/>
      <c r="AT98" s="4"/>
    </row>
    <row r="99" spans="1:46" x14ac:dyDescent="0.25">
      <c r="A99" s="52"/>
      <c r="B99" s="52"/>
      <c r="C99" s="52"/>
      <c r="D99" s="52"/>
      <c r="E99" s="52"/>
      <c r="F99" s="64" cm="1">
        <f t="array" ref="F99">IF(COUNT(FIND(PurlinsxGirthsxBracings,$C99))&gt;0,0,ROUNDUP(IF(D99=0,0,VLOOKUP(D99,'DATA SHEET'!$B:$D,2,FALSE)),2))</f>
        <v>0</v>
      </c>
      <c r="G99" s="64" cm="1">
        <f t="array" ref="G99">IF(COUNT(FIND(PurlinsxGirthsxBracings,$C99))&gt;0,0,ROUNDUP(IF(D99=0,0,VLOOKUP(D99,'DATA SHEET'!$B:$D,3,FALSE)),2))</f>
        <v>0</v>
      </c>
      <c r="H99" s="53"/>
      <c r="I99" s="66" cm="1">
        <f t="array" ref="I99">IF(AND(ISBLANK(B99),ISBLANK(C99),ISBLANK(E99)),0,IF(COUNT(FIND(PurlinsxGirthsxBracings,$C99))&gt;0,IF(B99=0,CONCATENATE(E99," ",C99),CONCATENATE(B99," - ",E99," ",C99)),IF(B99=0,IF(ISBLANK(C99),E99,CONCATENATE(D99,", ",F99,"kg/m, ",G99,"mm surface perimeter")),IF(AND(ISBLANK(C99),ISTEXT(E99)),CONCATENATE(B99," - ",E99),IF(AND(ISBLANK(C99),ISBLANK(E99)),B99,CONCATENATE(B99," - ",D99,", ",F99,"kg/m, ",G99,"mm surface perimeter"))))&amp;IF(ISBLANK(H99),"",H99)))</f>
        <v>0</v>
      </c>
      <c r="J99" s="53"/>
      <c r="L99" s="4" t="str" cm="1">
        <f t="array" ref="L99">IF(COUNT(FIND({0,1,2,3,4,5,6,7,8,9},B99))&gt;0,COUNT(FIND({0,1,2,3,4,5,6,7,8,9},B99))&gt;0,"")</f>
        <v/>
      </c>
      <c r="M99" s="4" t="str" cm="1">
        <f t="array" aca="1" ref="M99" ca="1">IFERROR(_xlfn.IFS(R99="Count",RANDBETWEEN(1,COUNTIF($R$11:$R$653,"Count")),R99="Length",RANDBETWEEN(1,COUNTIF($R$11:$R$653,"Length"))),"")</f>
        <v/>
      </c>
      <c r="N99" s="4" t="str">
        <f ca="1">IFERROR(_xlfn.RANK.EQ(M99,$M$11:$M$653)+COUNTIF($M$11:M99,M99)-1,"")</f>
        <v/>
      </c>
      <c r="O99" s="86" t="str">
        <f>IF(A99='DATA SHEET'!$L$36,C99,IFERROR(IF(AND(ISTEXT(I99),ISBLANK(C99)),"No details",VLOOKUP(C99,DimFolder,2,FALSE)),""))</f>
        <v/>
      </c>
      <c r="P99" s="4" t="str">
        <f t="shared" si="51"/>
        <v/>
      </c>
      <c r="Q99" s="58" t="str">
        <f t="shared" si="38"/>
        <v/>
      </c>
      <c r="R99" s="4" t="e" cm="1">
        <f t="array" ref="R99">IF(INDEX(Table2[],_xlfn.XMATCH($A99,Table2[Steel Member],0),_xlfn.XMATCH(R$2,Table2[#Headers],0))=0,"",INDEX(Table2[],_xlfn.XMATCH($A99,Table2[Steel Member],0),_xlfn.XMATCH(R$2,Table2[#Headers],0)))</f>
        <v>#N/A</v>
      </c>
      <c r="S99" s="4" t="e" cm="1">
        <f t="array" ref="S99">IF(INDEX(Table2[],_xlfn.XMATCH($A99,Table2[Steel Member],0),_xlfn.XMATCH(S$2,Table2[#Headers],0))=0,"",INDEX(Table2[],_xlfn.XMATCH($A99,Table2[Steel Member],0),_xlfn.XMATCH(S$2,Table2[#Headers],0)))</f>
        <v>#N/A</v>
      </c>
      <c r="T99" s="4" t="str">
        <f t="shared" si="29"/>
        <v/>
      </c>
      <c r="U99" s="4" t="e">
        <f ca="1">VLOOKUP(N99,'COLOR CODE'!$B:$D,2,FALSE)</f>
        <v>#N/A</v>
      </c>
      <c r="V99" s="4" t="str">
        <f t="shared" si="30"/>
        <v/>
      </c>
      <c r="W99" s="4" t="e" cm="1">
        <f t="array" ref="W99">IF(INDEX(Table2[],_xlfn.XMATCH($A99,Table2[Steel Member],0),_xlfn.XMATCH(W$2,Table2[#Headers],0))=0,"",INDEX(Table2[],_xlfn.XMATCH($A99,Table2[Steel Member],0),_xlfn.XMATCH(W$2,Table2[#Headers],0)))</f>
        <v>#N/A</v>
      </c>
      <c r="X99" s="4" t="e">
        <f t="shared" si="52"/>
        <v>#N/A</v>
      </c>
      <c r="Y99" s="4" t="e" cm="1">
        <f t="array" ref="Y99">IF(INDEX(Table2[],_xlfn.XMATCH($A99,Table2[Steel Member],0),_xlfn.XMATCH(Y$2,Table2[#Headers],0))=0,"",INDEX(Table2[],_xlfn.XMATCH($A99,Table2[Steel Member],0),_xlfn.XMATCH(Y$2,Table2[#Headers],0)))</f>
        <v>#N/A</v>
      </c>
      <c r="Z99" s="4" t="e" cm="1">
        <f t="array" ref="Z99">IF(INDEX(Table2[],_xlfn.XMATCH($A99,Table2[Steel Member],0),_xlfn.XMATCH(Z$2,Table2[#Headers],0))=0,"",INDEX(Table2[],_xlfn.XMATCH($A99,Table2[Steel Member],0),_xlfn.XMATCH(Z$2,Table2[#Headers],0)))</f>
        <v>#N/A</v>
      </c>
      <c r="AA99" s="4" t="e" cm="1">
        <f t="array" ref="AA99">IF(INDEX(Table2[],_xlfn.XMATCH($A99,Table2[Steel Member],0),_xlfn.XMATCH(AA$2,Table2[#Headers],0))=0,"",INDEX(Table2[],_xlfn.XMATCH($A99,Table2[Steel Member],0),_xlfn.XMATCH(AA$2,Table2[#Headers],0)))</f>
        <v>#N/A</v>
      </c>
      <c r="AB99" s="4" t="e" cm="1">
        <f t="array" ref="AB99">IF(INDEX(Table2[],_xlfn.XMATCH($A99,Table2[Steel Member],0),_xlfn.XMATCH(AB$2,Table2[#Headers],0))=0,"",INDEX(Table2[],_xlfn.XMATCH($A99,Table2[Steel Member],0),_xlfn.XMATCH(AB$2,Table2[#Headers],0)))</f>
        <v>#N/A</v>
      </c>
      <c r="AC99" s="4" t="str" cm="1">
        <f t="array" ref="AC99">IFERROR(INDEX(Table8[],_xlfn.XMATCH($O99,Table8[Dimension Name Category],0),_xlfn.XMATCH(AC$2&amp;IF($L99," w/ tag"," w/o tag"),Table8[#Headers],0)),"")</f>
        <v/>
      </c>
      <c r="AD99" s="59" t="str">
        <f t="shared" si="31"/>
        <v/>
      </c>
      <c r="AE99" s="4" t="str">
        <f t="shared" si="32"/>
        <v/>
      </c>
      <c r="AF99" s="4" t="str">
        <f t="shared" si="33"/>
        <v/>
      </c>
      <c r="AG99" s="4" t="str" cm="1">
        <f t="array" ref="AG99">IFERROR(INDEX(Table8[],_xlfn.XMATCH($O99,Table8[Dimension Name Category],0),_xlfn.XMATCH(AG$2&amp;IF($L99," w/ tag"," w/o tag"),Table8[#Headers],0)),"")</f>
        <v/>
      </c>
      <c r="AH99" s="59" t="str">
        <f t="shared" si="34"/>
        <v/>
      </c>
      <c r="AI99" s="4"/>
      <c r="AJ99" s="4" t="str">
        <f t="shared" si="35"/>
        <v/>
      </c>
      <c r="AK99" s="4" t="str">
        <f t="shared" si="36"/>
        <v/>
      </c>
      <c r="AL99" s="4" t="e" cm="1">
        <f t="array" ref="AL99">IF(INDEX(Table2[],_xlfn.XMATCH($A99,Table2[Steel Member],0),_xlfn.XMATCH(AL$2,Table2[#Headers],0))=0,"",INDEX(Table2[],_xlfn.XMATCH($A99,Table2[Steel Member],0),_xlfn.XMATCH(AL$2,Table2[#Headers],0)))</f>
        <v>#N/A</v>
      </c>
      <c r="AM99" s="4"/>
      <c r="AN99" s="4" t="str">
        <f t="shared" si="37"/>
        <v/>
      </c>
      <c r="AO99" s="4"/>
      <c r="AP99" s="4" t="e" cm="1">
        <f t="array" ref="AP99">IF(INDEX(Table2[],_xlfn.XMATCH($A99,Table2[Steel Member],0),_xlfn.XMATCH(AP$2,Table2[#Headers],0))=0,"",INDEX(Table2[],_xlfn.XMATCH($A99,Table2[Steel Member],0),_xlfn.XMATCH(AP$2,Table2[#Headers],0)))</f>
        <v>#N/A</v>
      </c>
      <c r="AQ99" s="4"/>
      <c r="AR99" s="4"/>
      <c r="AS99" s="4"/>
      <c r="AT99" s="4"/>
    </row>
    <row r="100" spans="1:46" x14ac:dyDescent="0.25">
      <c r="A100" s="52"/>
      <c r="B100" s="52"/>
      <c r="C100" s="52"/>
      <c r="D100" s="52"/>
      <c r="E100" s="52"/>
      <c r="F100" s="64" cm="1">
        <f t="array" ref="F100">IF(COUNT(FIND(PurlinsxGirthsxBracings,$C100))&gt;0,0,ROUNDUP(IF(D100=0,0,VLOOKUP(D100,'DATA SHEET'!$B:$D,2,FALSE)),2))</f>
        <v>0</v>
      </c>
      <c r="G100" s="64" cm="1">
        <f t="array" ref="G100">IF(COUNT(FIND(PurlinsxGirthsxBracings,$C100))&gt;0,0,ROUNDUP(IF(D100=0,0,VLOOKUP(D100,'DATA SHEET'!$B:$D,3,FALSE)),2))</f>
        <v>0</v>
      </c>
      <c r="H100" s="53"/>
      <c r="I100" s="66" cm="1">
        <f t="array" ref="I100">IF(AND(ISBLANK(B100),ISBLANK(C100),ISBLANK(E100)),0,IF(COUNT(FIND(PurlinsxGirthsxBracings,$C100))&gt;0,IF(B100=0,CONCATENATE(E100," ",C100),CONCATENATE(B100," - ",E100," ",C100)),IF(B100=0,IF(ISBLANK(C100),E100,CONCATENATE(D100,", ",F100,"kg/m, ",G100,"mm surface perimeter")),IF(AND(ISBLANK(C100),ISTEXT(E100)),CONCATENATE(B100," - ",E100),IF(AND(ISBLANK(C100),ISBLANK(E100)),B100,CONCATENATE(B100," - ",D100,", ",F100,"kg/m, ",G100,"mm surface perimeter"))))&amp;IF(ISBLANK(H100),"",H100)))</f>
        <v>0</v>
      </c>
      <c r="J100" s="53"/>
      <c r="L100" s="4" t="str" cm="1">
        <f t="array" ref="L100">IF(COUNT(FIND({0,1,2,3,4,5,6,7,8,9},B100))&gt;0,COUNT(FIND({0,1,2,3,4,5,6,7,8,9},B100))&gt;0,"")</f>
        <v/>
      </c>
      <c r="M100" s="4" t="str" cm="1">
        <f t="array" aca="1" ref="M100" ca="1">IFERROR(_xlfn.IFS(R100="Count",RANDBETWEEN(1,COUNTIF($R$11:$R$653,"Count")),R100="Length",RANDBETWEEN(1,COUNTIF($R$11:$R$653,"Length"))),"")</f>
        <v/>
      </c>
      <c r="N100" s="4" t="str">
        <f ca="1">IFERROR(_xlfn.RANK.EQ(M100,$M$11:$M$653)+COUNTIF($M$11:M100,M100)-1,"")</f>
        <v/>
      </c>
      <c r="O100" s="86" t="str">
        <f>IF(A100='DATA SHEET'!$L$36,C100,IFERROR(IF(AND(ISTEXT(I100),ISBLANK(C100)),"No details",VLOOKUP(C100,DimFolder,2,FALSE)),""))</f>
        <v/>
      </c>
      <c r="P100" s="4" t="str">
        <f t="shared" si="51"/>
        <v/>
      </c>
      <c r="Q100" s="58" t="str">
        <f t="shared" si="38"/>
        <v/>
      </c>
      <c r="R100" s="4" t="e" cm="1">
        <f t="array" ref="R100">IF(INDEX(Table2[],_xlfn.XMATCH($A100,Table2[Steel Member],0),_xlfn.XMATCH(R$2,Table2[#Headers],0))=0,"",INDEX(Table2[],_xlfn.XMATCH($A100,Table2[Steel Member],0),_xlfn.XMATCH(R$2,Table2[#Headers],0)))</f>
        <v>#N/A</v>
      </c>
      <c r="S100" s="4" t="e" cm="1">
        <f t="array" ref="S100">IF(INDEX(Table2[],_xlfn.XMATCH($A100,Table2[Steel Member],0),_xlfn.XMATCH(S$2,Table2[#Headers],0))=0,"",INDEX(Table2[],_xlfn.XMATCH($A100,Table2[Steel Member],0),_xlfn.XMATCH(S$2,Table2[#Headers],0)))</f>
        <v>#N/A</v>
      </c>
      <c r="T100" s="4" t="str">
        <f t="shared" si="29"/>
        <v/>
      </c>
      <c r="U100" s="4" t="e">
        <f ca="1">VLOOKUP(N100,'COLOR CODE'!$B:$D,2,FALSE)</f>
        <v>#N/A</v>
      </c>
      <c r="V100" s="4" t="str">
        <f t="shared" si="30"/>
        <v/>
      </c>
      <c r="W100" s="4" t="e" cm="1">
        <f t="array" ref="W100">IF(INDEX(Table2[],_xlfn.XMATCH($A100,Table2[Steel Member],0),_xlfn.XMATCH(W$2,Table2[#Headers],0))=0,"",INDEX(Table2[],_xlfn.XMATCH($A100,Table2[Steel Member],0),_xlfn.XMATCH(W$2,Table2[#Headers],0)))</f>
        <v>#N/A</v>
      </c>
      <c r="X100" s="4" t="e">
        <f t="shared" si="52"/>
        <v>#N/A</v>
      </c>
      <c r="Y100" s="4" t="e" cm="1">
        <f t="array" ref="Y100">IF(INDEX(Table2[],_xlfn.XMATCH($A100,Table2[Steel Member],0),_xlfn.XMATCH(Y$2,Table2[#Headers],0))=0,"",INDEX(Table2[],_xlfn.XMATCH($A100,Table2[Steel Member],0),_xlfn.XMATCH(Y$2,Table2[#Headers],0)))</f>
        <v>#N/A</v>
      </c>
      <c r="Z100" s="4" t="e" cm="1">
        <f t="array" ref="Z100">IF(INDEX(Table2[],_xlfn.XMATCH($A100,Table2[Steel Member],0),_xlfn.XMATCH(Z$2,Table2[#Headers],0))=0,"",INDEX(Table2[],_xlfn.XMATCH($A100,Table2[Steel Member],0),_xlfn.XMATCH(Z$2,Table2[#Headers],0)))</f>
        <v>#N/A</v>
      </c>
      <c r="AA100" s="4" t="e" cm="1">
        <f t="array" ref="AA100">IF(INDEX(Table2[],_xlfn.XMATCH($A100,Table2[Steel Member],0),_xlfn.XMATCH(AA$2,Table2[#Headers],0))=0,"",INDEX(Table2[],_xlfn.XMATCH($A100,Table2[Steel Member],0),_xlfn.XMATCH(AA$2,Table2[#Headers],0)))</f>
        <v>#N/A</v>
      </c>
      <c r="AB100" s="4" t="e" cm="1">
        <f t="array" ref="AB100">IF(INDEX(Table2[],_xlfn.XMATCH($A100,Table2[Steel Member],0),_xlfn.XMATCH(AB$2,Table2[#Headers],0))=0,"",INDEX(Table2[],_xlfn.XMATCH($A100,Table2[Steel Member],0),_xlfn.XMATCH(AB$2,Table2[#Headers],0)))</f>
        <v>#N/A</v>
      </c>
      <c r="AC100" s="4" t="str" cm="1">
        <f t="array" ref="AC100">IFERROR(INDEX(Table8[],_xlfn.XMATCH($O100,Table8[Dimension Name Category],0),_xlfn.XMATCH(AC$2&amp;IF($L100," w/ tag"," w/o tag"),Table8[#Headers],0)),"")</f>
        <v/>
      </c>
      <c r="AD100" s="59" t="str">
        <f t="shared" si="31"/>
        <v/>
      </c>
      <c r="AE100" s="4" t="str">
        <f t="shared" si="32"/>
        <v/>
      </c>
      <c r="AF100" s="4" t="str">
        <f t="shared" si="33"/>
        <v/>
      </c>
      <c r="AG100" s="4" t="str" cm="1">
        <f t="array" ref="AG100">IFERROR(INDEX(Table8[],_xlfn.XMATCH($O100,Table8[Dimension Name Category],0),_xlfn.XMATCH(AG$2&amp;IF($L100," w/ tag"," w/o tag"),Table8[#Headers],0)),"")</f>
        <v/>
      </c>
      <c r="AH100" s="59" t="str">
        <f t="shared" si="34"/>
        <v/>
      </c>
      <c r="AI100" s="4"/>
      <c r="AJ100" s="4" t="str">
        <f t="shared" si="35"/>
        <v/>
      </c>
      <c r="AK100" s="4" t="str">
        <f t="shared" si="36"/>
        <v/>
      </c>
      <c r="AL100" s="4" t="e" cm="1">
        <f t="array" ref="AL100">IF(INDEX(Table2[],_xlfn.XMATCH($A100,Table2[Steel Member],0),_xlfn.XMATCH(AL$2,Table2[#Headers],0))=0,"",INDEX(Table2[],_xlfn.XMATCH($A100,Table2[Steel Member],0),_xlfn.XMATCH(AL$2,Table2[#Headers],0)))</f>
        <v>#N/A</v>
      </c>
      <c r="AM100" s="4"/>
      <c r="AN100" s="4" t="str">
        <f t="shared" si="37"/>
        <v/>
      </c>
      <c r="AO100" s="4"/>
      <c r="AP100" s="4" t="e" cm="1">
        <f t="array" ref="AP100">IF(INDEX(Table2[],_xlfn.XMATCH($A100,Table2[Steel Member],0),_xlfn.XMATCH(AP$2,Table2[#Headers],0))=0,"",INDEX(Table2[],_xlfn.XMATCH($A100,Table2[Steel Member],0),_xlfn.XMATCH(AP$2,Table2[#Headers],0)))</f>
        <v>#N/A</v>
      </c>
      <c r="AQ100" s="4"/>
      <c r="AR100" s="4"/>
      <c r="AS100" s="4"/>
      <c r="AT100" s="4"/>
    </row>
    <row r="101" spans="1:46" x14ac:dyDescent="0.25">
      <c r="A101" s="52"/>
      <c r="B101" s="52"/>
      <c r="C101" s="52"/>
      <c r="D101" s="52"/>
      <c r="E101" s="52"/>
      <c r="F101" s="64" cm="1">
        <f t="array" ref="F101">IF(COUNT(FIND(PurlinsxGirthsxBracings,$C101))&gt;0,0,ROUNDUP(IF(D101=0,0,VLOOKUP(D101,'DATA SHEET'!$B:$D,2,FALSE)),2))</f>
        <v>0</v>
      </c>
      <c r="G101" s="64" cm="1">
        <f t="array" ref="G101">IF(COUNT(FIND(PurlinsxGirthsxBracings,$C101))&gt;0,0,ROUNDUP(IF(D101=0,0,VLOOKUP(D101,'DATA SHEET'!$B:$D,3,FALSE)),2))</f>
        <v>0</v>
      </c>
      <c r="H101" s="53"/>
      <c r="I101" s="66" cm="1">
        <f t="array" ref="I101">IF(AND(ISBLANK(B101),ISBLANK(C101),ISBLANK(E101)),0,IF(COUNT(FIND(PurlinsxGirthsxBracings,$C101))&gt;0,IF(B101=0,CONCATENATE(E101," ",C101),CONCATENATE(B101," - ",E101," ",C101)),IF(B101=0,IF(ISBLANK(C101),E101,CONCATENATE(D101,", ",F101,"kg/m, ",G101,"mm surface perimeter")),IF(AND(ISBLANK(C101),ISTEXT(E101)),CONCATENATE(B101," - ",E101),IF(AND(ISBLANK(C101),ISBLANK(E101)),B101,CONCATENATE(B101," - ",D101,", ",F101,"kg/m, ",G101,"mm surface perimeter"))))&amp;IF(ISBLANK(H101),"",H101)))</f>
        <v>0</v>
      </c>
      <c r="J101" s="53"/>
      <c r="L101" s="4" t="str" cm="1">
        <f t="array" ref="L101">IF(COUNT(FIND({0,1,2,3,4,5,6,7,8,9},B101))&gt;0,COUNT(FIND({0,1,2,3,4,5,6,7,8,9},B101))&gt;0,"")</f>
        <v/>
      </c>
      <c r="M101" s="4" t="str" cm="1">
        <f t="array" aca="1" ref="M101" ca="1">IFERROR(_xlfn.IFS(R101="Count",RANDBETWEEN(1,COUNTIF($R$11:$R$653,"Count")),R101="Length",RANDBETWEEN(1,COUNTIF($R$11:$R$653,"Length"))),"")</f>
        <v/>
      </c>
      <c r="N101" s="4" t="str">
        <f ca="1">IFERROR(_xlfn.RANK.EQ(M101,$M$11:$M$653)+COUNTIF($M$11:M101,M101)-1,"")</f>
        <v/>
      </c>
      <c r="O101" s="86" t="str">
        <f>IF(A101='DATA SHEET'!$L$36,C101,IFERROR(IF(AND(ISTEXT(I101),ISBLANK(C101)),"No details",VLOOKUP(C101,DimFolder,2,FALSE)),""))</f>
        <v/>
      </c>
      <c r="P101" s="4" t="str">
        <f t="shared" si="51"/>
        <v/>
      </c>
      <c r="Q101" s="58" t="str">
        <f t="shared" si="38"/>
        <v/>
      </c>
      <c r="R101" s="4" t="e" cm="1">
        <f t="array" ref="R101">IF(INDEX(Table2[],_xlfn.XMATCH($A101,Table2[Steel Member],0),_xlfn.XMATCH(R$2,Table2[#Headers],0))=0,"",INDEX(Table2[],_xlfn.XMATCH($A101,Table2[Steel Member],0),_xlfn.XMATCH(R$2,Table2[#Headers],0)))</f>
        <v>#N/A</v>
      </c>
      <c r="S101" s="4" t="e" cm="1">
        <f t="array" ref="S101">IF(INDEX(Table2[],_xlfn.XMATCH($A101,Table2[Steel Member],0),_xlfn.XMATCH(S$2,Table2[#Headers],0))=0,"",INDEX(Table2[],_xlfn.XMATCH($A101,Table2[Steel Member],0),_xlfn.XMATCH(S$2,Table2[#Headers],0)))</f>
        <v>#N/A</v>
      </c>
      <c r="T101" s="4" t="str">
        <f t="shared" si="29"/>
        <v/>
      </c>
      <c r="U101" s="4" t="e">
        <f ca="1">VLOOKUP(N101,'COLOR CODE'!$B:$D,2,FALSE)</f>
        <v>#N/A</v>
      </c>
      <c r="V101" s="4" t="str">
        <f t="shared" si="30"/>
        <v/>
      </c>
      <c r="W101" s="4" t="e" cm="1">
        <f t="array" ref="W101">IF(INDEX(Table2[],_xlfn.XMATCH($A101,Table2[Steel Member],0),_xlfn.XMATCH(W$2,Table2[#Headers],0))=0,"",INDEX(Table2[],_xlfn.XMATCH($A101,Table2[Steel Member],0),_xlfn.XMATCH(W$2,Table2[#Headers],0)))</f>
        <v>#N/A</v>
      </c>
      <c r="X101" s="4" t="e">
        <f t="shared" si="52"/>
        <v>#N/A</v>
      </c>
      <c r="Y101" s="4" t="e" cm="1">
        <f t="array" ref="Y101">IF(INDEX(Table2[],_xlfn.XMATCH($A101,Table2[Steel Member],0),_xlfn.XMATCH(Y$2,Table2[#Headers],0))=0,"",INDEX(Table2[],_xlfn.XMATCH($A101,Table2[Steel Member],0),_xlfn.XMATCH(Y$2,Table2[#Headers],0)))</f>
        <v>#N/A</v>
      </c>
      <c r="Z101" s="4" t="e" cm="1">
        <f t="array" ref="Z101">IF(INDEX(Table2[],_xlfn.XMATCH($A101,Table2[Steel Member],0),_xlfn.XMATCH(Z$2,Table2[#Headers],0))=0,"",INDEX(Table2[],_xlfn.XMATCH($A101,Table2[Steel Member],0),_xlfn.XMATCH(Z$2,Table2[#Headers],0)))</f>
        <v>#N/A</v>
      </c>
      <c r="AA101" s="4" t="e" cm="1">
        <f t="array" ref="AA101">IF(INDEX(Table2[],_xlfn.XMATCH($A101,Table2[Steel Member],0),_xlfn.XMATCH(AA$2,Table2[#Headers],0))=0,"",INDEX(Table2[],_xlfn.XMATCH($A101,Table2[Steel Member],0),_xlfn.XMATCH(AA$2,Table2[#Headers],0)))</f>
        <v>#N/A</v>
      </c>
      <c r="AB101" s="4" t="e" cm="1">
        <f t="array" ref="AB101">IF(INDEX(Table2[],_xlfn.XMATCH($A101,Table2[Steel Member],0),_xlfn.XMATCH(AB$2,Table2[#Headers],0))=0,"",INDEX(Table2[],_xlfn.XMATCH($A101,Table2[Steel Member],0),_xlfn.XMATCH(AB$2,Table2[#Headers],0)))</f>
        <v>#N/A</v>
      </c>
      <c r="AC101" s="4" t="str" cm="1">
        <f t="array" ref="AC101">IFERROR(INDEX(Table8[],_xlfn.XMATCH($O101,Table8[Dimension Name Category],0),_xlfn.XMATCH(AC$2&amp;IF($L101," w/ tag"," w/o tag"),Table8[#Headers],0)),"")</f>
        <v/>
      </c>
      <c r="AD101" s="59" t="str">
        <f t="shared" si="31"/>
        <v/>
      </c>
      <c r="AE101" s="4" t="str">
        <f t="shared" si="32"/>
        <v/>
      </c>
      <c r="AF101" s="4" t="str">
        <f t="shared" si="33"/>
        <v/>
      </c>
      <c r="AG101" s="4" t="str" cm="1">
        <f t="array" ref="AG101">IFERROR(INDEX(Table8[],_xlfn.XMATCH($O101,Table8[Dimension Name Category],0),_xlfn.XMATCH(AG$2&amp;IF($L101," w/ tag"," w/o tag"),Table8[#Headers],0)),"")</f>
        <v/>
      </c>
      <c r="AH101" s="59" t="str">
        <f t="shared" si="34"/>
        <v/>
      </c>
      <c r="AI101" s="4"/>
      <c r="AJ101" s="4" t="str">
        <f t="shared" si="35"/>
        <v/>
      </c>
      <c r="AK101" s="4" t="str">
        <f t="shared" si="36"/>
        <v/>
      </c>
      <c r="AL101" s="4" t="e" cm="1">
        <f t="array" ref="AL101">IF(INDEX(Table2[],_xlfn.XMATCH($A101,Table2[Steel Member],0),_xlfn.XMATCH(AL$2,Table2[#Headers],0))=0,"",INDEX(Table2[],_xlfn.XMATCH($A101,Table2[Steel Member],0),_xlfn.XMATCH(AL$2,Table2[#Headers],0)))</f>
        <v>#N/A</v>
      </c>
      <c r="AM101" s="4"/>
      <c r="AN101" s="4" t="str">
        <f t="shared" si="37"/>
        <v/>
      </c>
      <c r="AO101" s="4"/>
      <c r="AP101" s="4" t="e" cm="1">
        <f t="array" ref="AP101">IF(INDEX(Table2[],_xlfn.XMATCH($A101,Table2[Steel Member],0),_xlfn.XMATCH(AP$2,Table2[#Headers],0))=0,"",INDEX(Table2[],_xlfn.XMATCH($A101,Table2[Steel Member],0),_xlfn.XMATCH(AP$2,Table2[#Headers],0)))</f>
        <v>#N/A</v>
      </c>
      <c r="AQ101" s="4"/>
      <c r="AR101" s="4"/>
      <c r="AS101" s="4"/>
      <c r="AT101" s="4"/>
    </row>
    <row r="102" spans="1:46" x14ac:dyDescent="0.25">
      <c r="A102" s="52"/>
      <c r="B102" s="52"/>
      <c r="C102" s="52"/>
      <c r="D102" s="52"/>
      <c r="E102" s="52"/>
      <c r="F102" s="64" cm="1">
        <f t="array" ref="F102">IF(COUNT(FIND(PurlinsxGirthsxBracings,$C102))&gt;0,0,ROUNDUP(IF(D102=0,0,VLOOKUP(D102,'DATA SHEET'!$B:$D,2,FALSE)),2))</f>
        <v>0</v>
      </c>
      <c r="G102" s="64" cm="1">
        <f t="array" ref="G102">IF(COUNT(FIND(PurlinsxGirthsxBracings,$C102))&gt;0,0,ROUNDUP(IF(D102=0,0,VLOOKUP(D102,'DATA SHEET'!$B:$D,3,FALSE)),2))</f>
        <v>0</v>
      </c>
      <c r="H102" s="53"/>
      <c r="I102" s="66" cm="1">
        <f t="array" ref="I102">IF(AND(ISBLANK(B102),ISBLANK(C102),ISBLANK(E102)),0,IF(COUNT(FIND(PurlinsxGirthsxBracings,$C102))&gt;0,IF(B102=0,CONCATENATE(E102," ",C102),CONCATENATE(B102," - ",E102," ",C102)),IF(B102=0,IF(ISBLANK(C102),E102,CONCATENATE(D102,", ",F102,"kg/m, ",G102,"mm surface perimeter")),IF(AND(ISBLANK(C102),ISTEXT(E102)),CONCATENATE(B102," - ",E102),IF(AND(ISBLANK(C102),ISBLANK(E102)),B102,CONCATENATE(B102," - ",D102,", ",F102,"kg/m, ",G102,"mm surface perimeter"))))&amp;IF(ISBLANK(H102),"",H102)))</f>
        <v>0</v>
      </c>
      <c r="J102" s="53"/>
      <c r="L102" s="4" t="str" cm="1">
        <f t="array" ref="L102">IF(COUNT(FIND({0,1,2,3,4,5,6,7,8,9},B102))&gt;0,COUNT(FIND({0,1,2,3,4,5,6,7,8,9},B102))&gt;0,"")</f>
        <v/>
      </c>
      <c r="M102" s="4" t="str" cm="1">
        <f t="array" aca="1" ref="M102" ca="1">IFERROR(_xlfn.IFS(R102="Count",RANDBETWEEN(1,COUNTIF($R$11:$R$653,"Count")),R102="Length",RANDBETWEEN(1,COUNTIF($R$11:$R$653,"Length"))),"")</f>
        <v/>
      </c>
      <c r="N102" s="4" t="str">
        <f ca="1">IFERROR(_xlfn.RANK.EQ(M102,$M$11:$M$653)+COUNTIF($M$11:M102,M102)-1,"")</f>
        <v/>
      </c>
      <c r="O102" s="86" t="str">
        <f>IF(A102='DATA SHEET'!$L$36,C102,IFERROR(IF(AND(ISTEXT(I102),ISBLANK(C102)),"No details",VLOOKUP(C102,DimFolder,2,FALSE)),""))</f>
        <v/>
      </c>
      <c r="P102" s="4" t="str">
        <f t="shared" si="51"/>
        <v/>
      </c>
      <c r="Q102" s="58" t="str">
        <f t="shared" si="38"/>
        <v/>
      </c>
      <c r="R102" s="4" t="e" cm="1">
        <f t="array" ref="R102">IF(INDEX(Table2[],_xlfn.XMATCH($A102,Table2[Steel Member],0),_xlfn.XMATCH(R$2,Table2[#Headers],0))=0,"",INDEX(Table2[],_xlfn.XMATCH($A102,Table2[Steel Member],0),_xlfn.XMATCH(R$2,Table2[#Headers],0)))</f>
        <v>#N/A</v>
      </c>
      <c r="S102" s="4" t="e" cm="1">
        <f t="array" ref="S102">IF(INDEX(Table2[],_xlfn.XMATCH($A102,Table2[Steel Member],0),_xlfn.XMATCH(S$2,Table2[#Headers],0))=0,"",INDEX(Table2[],_xlfn.XMATCH($A102,Table2[Steel Member],0),_xlfn.XMATCH(S$2,Table2[#Headers],0)))</f>
        <v>#N/A</v>
      </c>
      <c r="T102" s="4" t="str">
        <f t="shared" si="29"/>
        <v/>
      </c>
      <c r="U102" s="4" t="e">
        <f ca="1">VLOOKUP(N102,'COLOR CODE'!$B:$D,2,FALSE)</f>
        <v>#N/A</v>
      </c>
      <c r="V102" s="4" t="str">
        <f t="shared" si="30"/>
        <v/>
      </c>
      <c r="W102" s="4" t="e" cm="1">
        <f t="array" ref="W102">IF(INDEX(Table2[],_xlfn.XMATCH($A102,Table2[Steel Member],0),_xlfn.XMATCH(W$2,Table2[#Headers],0))=0,"",INDEX(Table2[],_xlfn.XMATCH($A102,Table2[Steel Member],0),_xlfn.XMATCH(W$2,Table2[#Headers],0)))</f>
        <v>#N/A</v>
      </c>
      <c r="X102" s="4" t="e">
        <f t="shared" si="52"/>
        <v>#N/A</v>
      </c>
      <c r="Y102" s="4" t="e" cm="1">
        <f t="array" ref="Y102">IF(INDEX(Table2[],_xlfn.XMATCH($A102,Table2[Steel Member],0),_xlfn.XMATCH(Y$2,Table2[#Headers],0))=0,"",INDEX(Table2[],_xlfn.XMATCH($A102,Table2[Steel Member],0),_xlfn.XMATCH(Y$2,Table2[#Headers],0)))</f>
        <v>#N/A</v>
      </c>
      <c r="Z102" s="4" t="e" cm="1">
        <f t="array" ref="Z102">IF(INDEX(Table2[],_xlfn.XMATCH($A102,Table2[Steel Member],0),_xlfn.XMATCH(Z$2,Table2[#Headers],0))=0,"",INDEX(Table2[],_xlfn.XMATCH($A102,Table2[Steel Member],0),_xlfn.XMATCH(Z$2,Table2[#Headers],0)))</f>
        <v>#N/A</v>
      </c>
      <c r="AA102" s="4" t="e" cm="1">
        <f t="array" ref="AA102">IF(INDEX(Table2[],_xlfn.XMATCH($A102,Table2[Steel Member],0),_xlfn.XMATCH(AA$2,Table2[#Headers],0))=0,"",INDEX(Table2[],_xlfn.XMATCH($A102,Table2[Steel Member],0),_xlfn.XMATCH(AA$2,Table2[#Headers],0)))</f>
        <v>#N/A</v>
      </c>
      <c r="AB102" s="4" t="e" cm="1">
        <f t="array" ref="AB102">IF(INDEX(Table2[],_xlfn.XMATCH($A102,Table2[Steel Member],0),_xlfn.XMATCH(AB$2,Table2[#Headers],0))=0,"",INDEX(Table2[],_xlfn.XMATCH($A102,Table2[Steel Member],0),_xlfn.XMATCH(AB$2,Table2[#Headers],0)))</f>
        <v>#N/A</v>
      </c>
      <c r="AC102" s="4" t="str" cm="1">
        <f t="array" ref="AC102">IFERROR(INDEX(Table8[],_xlfn.XMATCH($O102,Table8[Dimension Name Category],0),_xlfn.XMATCH(AC$2&amp;IF($L102," w/ tag"," w/o tag"),Table8[#Headers],0)),"")</f>
        <v/>
      </c>
      <c r="AD102" s="59" t="str">
        <f t="shared" si="31"/>
        <v/>
      </c>
      <c r="AE102" s="4" t="str">
        <f t="shared" si="32"/>
        <v/>
      </c>
      <c r="AF102" s="4" t="str">
        <f t="shared" si="33"/>
        <v/>
      </c>
      <c r="AG102" s="4" t="str" cm="1">
        <f t="array" ref="AG102">IFERROR(INDEX(Table8[],_xlfn.XMATCH($O102,Table8[Dimension Name Category],0),_xlfn.XMATCH(AG$2&amp;IF($L102," w/ tag"," w/o tag"),Table8[#Headers],0)),"")</f>
        <v/>
      </c>
      <c r="AH102" s="59" t="str">
        <f t="shared" si="34"/>
        <v/>
      </c>
      <c r="AI102" s="4"/>
      <c r="AJ102" s="4" t="str">
        <f t="shared" si="35"/>
        <v/>
      </c>
      <c r="AK102" s="4" t="str">
        <f t="shared" si="36"/>
        <v/>
      </c>
      <c r="AL102" s="4" t="e" cm="1">
        <f t="array" ref="AL102">IF(INDEX(Table2[],_xlfn.XMATCH($A102,Table2[Steel Member],0),_xlfn.XMATCH(AL$2,Table2[#Headers],0))=0,"",INDEX(Table2[],_xlfn.XMATCH($A102,Table2[Steel Member],0),_xlfn.XMATCH(AL$2,Table2[#Headers],0)))</f>
        <v>#N/A</v>
      </c>
      <c r="AM102" s="4"/>
      <c r="AN102" s="4" t="str">
        <f t="shared" si="37"/>
        <v/>
      </c>
      <c r="AO102" s="4"/>
      <c r="AP102" s="4" t="e" cm="1">
        <f t="array" ref="AP102">IF(INDEX(Table2[],_xlfn.XMATCH($A102,Table2[Steel Member],0),_xlfn.XMATCH(AP$2,Table2[#Headers],0))=0,"",INDEX(Table2[],_xlfn.XMATCH($A102,Table2[Steel Member],0),_xlfn.XMATCH(AP$2,Table2[#Headers],0)))</f>
        <v>#N/A</v>
      </c>
      <c r="AQ102" s="4"/>
      <c r="AR102" s="4"/>
      <c r="AS102" s="4"/>
      <c r="AT102" s="4"/>
    </row>
    <row r="103" spans="1:46" x14ac:dyDescent="0.25">
      <c r="A103" s="52"/>
      <c r="B103" s="52"/>
      <c r="C103" s="52"/>
      <c r="D103" s="52"/>
      <c r="E103" s="52"/>
      <c r="F103" s="64" cm="1">
        <f t="array" ref="F103">IF(COUNT(FIND(PurlinsxGirthsxBracings,$C103))&gt;0,0,ROUNDUP(IF(D103=0,0,VLOOKUP(D103,'DATA SHEET'!$B:$D,2,FALSE)),2))</f>
        <v>0</v>
      </c>
      <c r="G103" s="64" cm="1">
        <f t="array" ref="G103">IF(COUNT(FIND(PurlinsxGirthsxBracings,$C103))&gt;0,0,ROUNDUP(IF(D103=0,0,VLOOKUP(D103,'DATA SHEET'!$B:$D,3,FALSE)),2))</f>
        <v>0</v>
      </c>
      <c r="H103" s="53"/>
      <c r="I103" s="66" cm="1">
        <f t="array" ref="I103">IF(AND(ISBLANK(B103),ISBLANK(C103),ISBLANK(E103)),0,IF(COUNT(FIND(PurlinsxGirthsxBracings,$C103))&gt;0,IF(B103=0,CONCATENATE(E103," ",C103),CONCATENATE(B103," - ",E103," ",C103)),IF(B103=0,IF(ISBLANK(C103),E103,CONCATENATE(D103,", ",F103,"kg/m, ",G103,"mm surface perimeter")),IF(AND(ISBLANK(C103),ISTEXT(E103)),CONCATENATE(B103," - ",E103),IF(AND(ISBLANK(C103),ISBLANK(E103)),B103,CONCATENATE(B103," - ",D103,", ",F103,"kg/m, ",G103,"mm surface perimeter"))))&amp;IF(ISBLANK(H103),"",H103)))</f>
        <v>0</v>
      </c>
      <c r="J103" s="53"/>
      <c r="L103" s="4" t="str" cm="1">
        <f t="array" ref="L103">IF(COUNT(FIND({0,1,2,3,4,5,6,7,8,9},B103))&gt;0,COUNT(FIND({0,1,2,3,4,5,6,7,8,9},B103))&gt;0,"")</f>
        <v/>
      </c>
      <c r="M103" s="4" t="str" cm="1">
        <f t="array" aca="1" ref="M103" ca="1">IFERROR(_xlfn.IFS(R103="Count",RANDBETWEEN(1,COUNTIF($R$11:$R$653,"Count")),R103="Length",RANDBETWEEN(1,COUNTIF($R$11:$R$653,"Length"))),"")</f>
        <v/>
      </c>
      <c r="N103" s="4" t="str">
        <f ca="1">IFERROR(_xlfn.RANK.EQ(M103,$M$11:$M$653)+COUNTIF($M$11:M103,M103)-1,"")</f>
        <v/>
      </c>
      <c r="O103" s="86" t="str">
        <f>IF(A103='DATA SHEET'!$L$36,C103,IFERROR(IF(AND(ISTEXT(I103),ISBLANK(C103)),"No details",VLOOKUP(C103,DimFolder,2,FALSE)),""))</f>
        <v/>
      </c>
      <c r="P103" s="4" t="str">
        <f t="shared" si="51"/>
        <v/>
      </c>
      <c r="Q103" s="58" t="str">
        <f t="shared" si="38"/>
        <v/>
      </c>
      <c r="R103" s="4" t="e" cm="1">
        <f t="array" ref="R103">IF(INDEX(Table2[],_xlfn.XMATCH($A103,Table2[Steel Member],0),_xlfn.XMATCH(R$2,Table2[#Headers],0))=0,"",INDEX(Table2[],_xlfn.XMATCH($A103,Table2[Steel Member],0),_xlfn.XMATCH(R$2,Table2[#Headers],0)))</f>
        <v>#N/A</v>
      </c>
      <c r="S103" s="4" t="e" cm="1">
        <f t="array" ref="S103">IF(INDEX(Table2[],_xlfn.XMATCH($A103,Table2[Steel Member],0),_xlfn.XMATCH(S$2,Table2[#Headers],0))=0,"",INDEX(Table2[],_xlfn.XMATCH($A103,Table2[Steel Member],0),_xlfn.XMATCH(S$2,Table2[#Headers],0)))</f>
        <v>#N/A</v>
      </c>
      <c r="T103" s="4" t="str">
        <f t="shared" si="29"/>
        <v/>
      </c>
      <c r="U103" s="4" t="e">
        <f ca="1">VLOOKUP(N103,'COLOR CODE'!$B:$D,2,FALSE)</f>
        <v>#N/A</v>
      </c>
      <c r="V103" s="4" t="str">
        <f t="shared" si="30"/>
        <v/>
      </c>
      <c r="W103" s="4" t="e" cm="1">
        <f t="array" ref="W103">IF(INDEX(Table2[],_xlfn.XMATCH($A103,Table2[Steel Member],0),_xlfn.XMATCH(W$2,Table2[#Headers],0))=0,"",INDEX(Table2[],_xlfn.XMATCH($A103,Table2[Steel Member],0),_xlfn.XMATCH(W$2,Table2[#Headers],0)))</f>
        <v>#N/A</v>
      </c>
      <c r="X103" s="4" t="e">
        <f t="shared" si="52"/>
        <v>#N/A</v>
      </c>
      <c r="Y103" s="4" t="e" cm="1">
        <f t="array" ref="Y103">IF(INDEX(Table2[],_xlfn.XMATCH($A103,Table2[Steel Member],0),_xlfn.XMATCH(Y$2,Table2[#Headers],0))=0,"",INDEX(Table2[],_xlfn.XMATCH($A103,Table2[Steel Member],0),_xlfn.XMATCH(Y$2,Table2[#Headers],0)))</f>
        <v>#N/A</v>
      </c>
      <c r="Z103" s="4" t="e" cm="1">
        <f t="array" ref="Z103">IF(INDEX(Table2[],_xlfn.XMATCH($A103,Table2[Steel Member],0),_xlfn.XMATCH(Z$2,Table2[#Headers],0))=0,"",INDEX(Table2[],_xlfn.XMATCH($A103,Table2[Steel Member],0),_xlfn.XMATCH(Z$2,Table2[#Headers],0)))</f>
        <v>#N/A</v>
      </c>
      <c r="AA103" s="4" t="e" cm="1">
        <f t="array" ref="AA103">IF(INDEX(Table2[],_xlfn.XMATCH($A103,Table2[Steel Member],0),_xlfn.XMATCH(AA$2,Table2[#Headers],0))=0,"",INDEX(Table2[],_xlfn.XMATCH($A103,Table2[Steel Member],0),_xlfn.XMATCH(AA$2,Table2[#Headers],0)))</f>
        <v>#N/A</v>
      </c>
      <c r="AB103" s="4" t="e" cm="1">
        <f t="array" ref="AB103">IF(INDEX(Table2[],_xlfn.XMATCH($A103,Table2[Steel Member],0),_xlfn.XMATCH(AB$2,Table2[#Headers],0))=0,"",INDEX(Table2[],_xlfn.XMATCH($A103,Table2[Steel Member],0),_xlfn.XMATCH(AB$2,Table2[#Headers],0)))</f>
        <v>#N/A</v>
      </c>
      <c r="AC103" s="4" t="str" cm="1">
        <f t="array" ref="AC103">IFERROR(INDEX(Table8[],_xlfn.XMATCH($O103,Table8[Dimension Name Category],0),_xlfn.XMATCH(AC$2&amp;IF($L103," w/ tag"," w/o tag"),Table8[#Headers],0)),"")</f>
        <v/>
      </c>
      <c r="AD103" s="59" t="str">
        <f t="shared" si="31"/>
        <v/>
      </c>
      <c r="AE103" s="4" t="str">
        <f t="shared" si="32"/>
        <v/>
      </c>
      <c r="AF103" s="4" t="str">
        <f t="shared" si="33"/>
        <v/>
      </c>
      <c r="AG103" s="4" t="str" cm="1">
        <f t="array" ref="AG103">IFERROR(INDEX(Table8[],_xlfn.XMATCH($O103,Table8[Dimension Name Category],0),_xlfn.XMATCH(AG$2&amp;IF($L103," w/ tag"," w/o tag"),Table8[#Headers],0)),"")</f>
        <v/>
      </c>
      <c r="AH103" s="59" t="str">
        <f t="shared" si="34"/>
        <v/>
      </c>
      <c r="AI103" s="4"/>
      <c r="AJ103" s="4" t="str">
        <f t="shared" si="35"/>
        <v/>
      </c>
      <c r="AK103" s="4" t="str">
        <f t="shared" si="36"/>
        <v/>
      </c>
      <c r="AL103" s="4" t="e" cm="1">
        <f t="array" ref="AL103">IF(INDEX(Table2[],_xlfn.XMATCH($A103,Table2[Steel Member],0),_xlfn.XMATCH(AL$2,Table2[#Headers],0))=0,"",INDEX(Table2[],_xlfn.XMATCH($A103,Table2[Steel Member],0),_xlfn.XMATCH(AL$2,Table2[#Headers],0)))</f>
        <v>#N/A</v>
      </c>
      <c r="AM103" s="4"/>
      <c r="AN103" s="4" t="str">
        <f t="shared" si="37"/>
        <v/>
      </c>
      <c r="AO103" s="4"/>
      <c r="AP103" s="4" t="e" cm="1">
        <f t="array" ref="AP103">IF(INDEX(Table2[],_xlfn.XMATCH($A103,Table2[Steel Member],0),_xlfn.XMATCH(AP$2,Table2[#Headers],0))=0,"",INDEX(Table2[],_xlfn.XMATCH($A103,Table2[Steel Member],0),_xlfn.XMATCH(AP$2,Table2[#Headers],0)))</f>
        <v>#N/A</v>
      </c>
      <c r="AQ103" s="4"/>
      <c r="AR103" s="4"/>
      <c r="AS103" s="4"/>
      <c r="AT103" s="4"/>
    </row>
    <row r="104" spans="1:46" x14ac:dyDescent="0.25">
      <c r="A104" s="52"/>
      <c r="B104" s="52"/>
      <c r="C104" s="52"/>
      <c r="D104" s="52"/>
      <c r="E104" s="52"/>
      <c r="F104" s="64" cm="1">
        <f t="array" ref="F104">IF(COUNT(FIND(PurlinsxGirthsxBracings,$C104))&gt;0,0,ROUNDUP(IF(D104=0,0,VLOOKUP(D104,'DATA SHEET'!$B:$D,2,FALSE)),2))</f>
        <v>0</v>
      </c>
      <c r="G104" s="64" cm="1">
        <f t="array" ref="G104">IF(COUNT(FIND(PurlinsxGirthsxBracings,$C104))&gt;0,0,ROUNDUP(IF(D104=0,0,VLOOKUP(D104,'DATA SHEET'!$B:$D,3,FALSE)),2))</f>
        <v>0</v>
      </c>
      <c r="H104" s="53"/>
      <c r="I104" s="66" cm="1">
        <f t="array" ref="I104">IF(AND(ISBLANK(B104),ISBLANK(C104),ISBLANK(E104)),0,IF(COUNT(FIND(PurlinsxGirthsxBracings,$C104))&gt;0,IF(B104=0,CONCATENATE(E104," ",C104),CONCATENATE(B104," - ",E104," ",C104)),IF(B104=0,IF(ISBLANK(C104),E104,CONCATENATE(D104,", ",F104,"kg/m, ",G104,"mm surface perimeter")),IF(AND(ISBLANK(C104),ISTEXT(E104)),CONCATENATE(B104," - ",E104),IF(AND(ISBLANK(C104),ISBLANK(E104)),B104,CONCATENATE(B104," - ",D104,", ",F104,"kg/m, ",G104,"mm surface perimeter"))))&amp;IF(ISBLANK(H104),"",H104)))</f>
        <v>0</v>
      </c>
      <c r="J104" s="53"/>
      <c r="L104" s="4" t="str" cm="1">
        <f t="array" ref="L104">IF(COUNT(FIND({0,1,2,3,4,5,6,7,8,9},B104))&gt;0,COUNT(FIND({0,1,2,3,4,5,6,7,8,9},B104))&gt;0,"")</f>
        <v/>
      </c>
      <c r="M104" s="4" t="str" cm="1">
        <f t="array" aca="1" ref="M104" ca="1">IFERROR(_xlfn.IFS(R104="Count",RANDBETWEEN(1,COUNTIF($R$11:$R$653,"Count")),R104="Length",RANDBETWEEN(1,COUNTIF($R$11:$R$653,"Length"))),"")</f>
        <v/>
      </c>
      <c r="N104" s="4" t="str">
        <f ca="1">IFERROR(_xlfn.RANK.EQ(M104,$M$11:$M$653)+COUNTIF($M$11:M104,M104)-1,"")</f>
        <v/>
      </c>
      <c r="O104" s="86" t="str">
        <f>IF(A104='DATA SHEET'!$L$36,C104,IFERROR(IF(AND(ISTEXT(I104),ISBLANK(C104)),"No details",VLOOKUP(C104,DimFolder,2,FALSE)),""))</f>
        <v/>
      </c>
      <c r="P104" s="4" t="str">
        <f t="shared" si="51"/>
        <v/>
      </c>
      <c r="Q104" s="58" t="str">
        <f t="shared" si="38"/>
        <v/>
      </c>
      <c r="R104" s="4" t="e" cm="1">
        <f t="array" ref="R104">IF(INDEX(Table2[],_xlfn.XMATCH($A104,Table2[Steel Member],0),_xlfn.XMATCH(R$2,Table2[#Headers],0))=0,"",INDEX(Table2[],_xlfn.XMATCH($A104,Table2[Steel Member],0),_xlfn.XMATCH(R$2,Table2[#Headers],0)))</f>
        <v>#N/A</v>
      </c>
      <c r="S104" s="4" t="e" cm="1">
        <f t="array" ref="S104">IF(INDEX(Table2[],_xlfn.XMATCH($A104,Table2[Steel Member],0),_xlfn.XMATCH(S$2,Table2[#Headers],0))=0,"",INDEX(Table2[],_xlfn.XMATCH($A104,Table2[Steel Member],0),_xlfn.XMATCH(S$2,Table2[#Headers],0)))</f>
        <v>#N/A</v>
      </c>
      <c r="T104" s="4" t="str">
        <f t="shared" si="29"/>
        <v/>
      </c>
      <c r="U104" s="4" t="e">
        <f ca="1">VLOOKUP(N104,'COLOR CODE'!$B:$D,2,FALSE)</f>
        <v>#N/A</v>
      </c>
      <c r="V104" s="4" t="str">
        <f t="shared" si="30"/>
        <v/>
      </c>
      <c r="W104" s="4" t="e" cm="1">
        <f t="array" ref="W104">IF(INDEX(Table2[],_xlfn.XMATCH($A104,Table2[Steel Member],0),_xlfn.XMATCH(W$2,Table2[#Headers],0))=0,"",INDEX(Table2[],_xlfn.XMATCH($A104,Table2[Steel Member],0),_xlfn.XMATCH(W$2,Table2[#Headers],0)))</f>
        <v>#N/A</v>
      </c>
      <c r="X104" s="4" t="e">
        <f t="shared" si="52"/>
        <v>#N/A</v>
      </c>
      <c r="Y104" s="4" t="e" cm="1">
        <f t="array" ref="Y104">IF(INDEX(Table2[],_xlfn.XMATCH($A104,Table2[Steel Member],0),_xlfn.XMATCH(Y$2,Table2[#Headers],0))=0,"",INDEX(Table2[],_xlfn.XMATCH($A104,Table2[Steel Member],0),_xlfn.XMATCH(Y$2,Table2[#Headers],0)))</f>
        <v>#N/A</v>
      </c>
      <c r="Z104" s="4" t="e" cm="1">
        <f t="array" ref="Z104">IF(INDEX(Table2[],_xlfn.XMATCH($A104,Table2[Steel Member],0),_xlfn.XMATCH(Z$2,Table2[#Headers],0))=0,"",INDEX(Table2[],_xlfn.XMATCH($A104,Table2[Steel Member],0),_xlfn.XMATCH(Z$2,Table2[#Headers],0)))</f>
        <v>#N/A</v>
      </c>
      <c r="AA104" s="4" t="e" cm="1">
        <f t="array" ref="AA104">IF(INDEX(Table2[],_xlfn.XMATCH($A104,Table2[Steel Member],0),_xlfn.XMATCH(AA$2,Table2[#Headers],0))=0,"",INDEX(Table2[],_xlfn.XMATCH($A104,Table2[Steel Member],0),_xlfn.XMATCH(AA$2,Table2[#Headers],0)))</f>
        <v>#N/A</v>
      </c>
      <c r="AB104" s="4" t="e" cm="1">
        <f t="array" ref="AB104">IF(INDEX(Table2[],_xlfn.XMATCH($A104,Table2[Steel Member],0),_xlfn.XMATCH(AB$2,Table2[#Headers],0))=0,"",INDEX(Table2[],_xlfn.XMATCH($A104,Table2[Steel Member],0),_xlfn.XMATCH(AB$2,Table2[#Headers],0)))</f>
        <v>#N/A</v>
      </c>
      <c r="AC104" s="4" t="str" cm="1">
        <f t="array" ref="AC104">IFERROR(INDEX(Table8[],_xlfn.XMATCH($O104,Table8[Dimension Name Category],0),_xlfn.XMATCH(AC$2&amp;IF($L104," w/ tag"," w/o tag"),Table8[#Headers],0)),"")</f>
        <v/>
      </c>
      <c r="AD104" s="59" t="str">
        <f t="shared" si="31"/>
        <v/>
      </c>
      <c r="AE104" s="4" t="str">
        <f t="shared" si="32"/>
        <v/>
      </c>
      <c r="AF104" s="4" t="str">
        <f t="shared" si="33"/>
        <v/>
      </c>
      <c r="AG104" s="4" t="str" cm="1">
        <f t="array" ref="AG104">IFERROR(INDEX(Table8[],_xlfn.XMATCH($O104,Table8[Dimension Name Category],0),_xlfn.XMATCH(AG$2&amp;IF($L104," w/ tag"," w/o tag"),Table8[#Headers],0)),"")</f>
        <v/>
      </c>
      <c r="AH104" s="59" t="str">
        <f t="shared" si="34"/>
        <v/>
      </c>
      <c r="AI104" s="4"/>
      <c r="AJ104" s="4" t="str">
        <f t="shared" si="35"/>
        <v/>
      </c>
      <c r="AK104" s="4" t="str">
        <f t="shared" si="36"/>
        <v/>
      </c>
      <c r="AL104" s="4" t="e" cm="1">
        <f t="array" ref="AL104">IF(INDEX(Table2[],_xlfn.XMATCH($A104,Table2[Steel Member],0),_xlfn.XMATCH(AL$2,Table2[#Headers],0))=0,"",INDEX(Table2[],_xlfn.XMATCH($A104,Table2[Steel Member],0),_xlfn.XMATCH(AL$2,Table2[#Headers],0)))</f>
        <v>#N/A</v>
      </c>
      <c r="AM104" s="4"/>
      <c r="AN104" s="4" t="str">
        <f t="shared" si="37"/>
        <v/>
      </c>
      <c r="AO104" s="4"/>
      <c r="AP104" s="4" t="e" cm="1">
        <f t="array" ref="AP104">IF(INDEX(Table2[],_xlfn.XMATCH($A104,Table2[Steel Member],0),_xlfn.XMATCH(AP$2,Table2[#Headers],0))=0,"",INDEX(Table2[],_xlfn.XMATCH($A104,Table2[Steel Member],0),_xlfn.XMATCH(AP$2,Table2[#Headers],0)))</f>
        <v>#N/A</v>
      </c>
      <c r="AQ104" s="4"/>
      <c r="AR104" s="4"/>
      <c r="AS104" s="4"/>
      <c r="AT104" s="4"/>
    </row>
    <row r="105" spans="1:46" x14ac:dyDescent="0.25">
      <c r="A105" s="52"/>
      <c r="B105" s="52"/>
      <c r="C105" s="52"/>
      <c r="D105" s="52"/>
      <c r="E105" s="52"/>
      <c r="F105" s="64" cm="1">
        <f t="array" ref="F105">IF(COUNT(FIND(PurlinsxGirthsxBracings,$C105))&gt;0,0,ROUNDUP(IF(D105=0,0,VLOOKUP(D105,'DATA SHEET'!$B:$D,2,FALSE)),2))</f>
        <v>0</v>
      </c>
      <c r="G105" s="64" cm="1">
        <f t="array" ref="G105">IF(COUNT(FIND(PurlinsxGirthsxBracings,$C105))&gt;0,0,ROUNDUP(IF(D105=0,0,VLOOKUP(D105,'DATA SHEET'!$B:$D,3,FALSE)),2))</f>
        <v>0</v>
      </c>
      <c r="H105" s="53"/>
      <c r="I105" s="66" cm="1">
        <f t="array" ref="I105">IF(AND(ISBLANK(B105),ISBLANK(C105),ISBLANK(E105)),0,IF(COUNT(FIND(PurlinsxGirthsxBracings,$C105))&gt;0,IF(B105=0,CONCATENATE(E105," ",C105),CONCATENATE(B105," - ",E105," ",C105)),IF(B105=0,IF(ISBLANK(C105),E105,CONCATENATE(D105,", ",F105,"kg/m, ",G105,"mm surface perimeter")),IF(AND(ISBLANK(C105),ISTEXT(E105)),CONCATENATE(B105," - ",E105),IF(AND(ISBLANK(C105),ISBLANK(E105)),B105,CONCATENATE(B105," - ",D105,", ",F105,"kg/m, ",G105,"mm surface perimeter"))))&amp;IF(ISBLANK(H105),"",H105)))</f>
        <v>0</v>
      </c>
      <c r="J105" s="53"/>
      <c r="L105" s="4" t="str" cm="1">
        <f t="array" ref="L105">IF(COUNT(FIND({0,1,2,3,4,5,6,7,8,9},B105))&gt;0,COUNT(FIND({0,1,2,3,4,5,6,7,8,9},B105))&gt;0,"")</f>
        <v/>
      </c>
      <c r="M105" s="4" t="str" cm="1">
        <f t="array" aca="1" ref="M105" ca="1">IFERROR(_xlfn.IFS(R105="Count",RANDBETWEEN(1,COUNTIF($R$11:$R$653,"Count")),R105="Length",RANDBETWEEN(1,COUNTIF($R$11:$R$653,"Length"))),"")</f>
        <v/>
      </c>
      <c r="N105" s="4" t="str">
        <f ca="1">IFERROR(_xlfn.RANK.EQ(M105,$M$11:$M$653)+COUNTIF($M$11:M105,M105)-1,"")</f>
        <v/>
      </c>
      <c r="O105" s="86" t="str">
        <f>IF(A105='DATA SHEET'!$L$36,C105,IFERROR(IF(AND(ISTEXT(I105),ISBLANK(C105)),"No details",VLOOKUP(C105,DimFolder,2,FALSE)),""))</f>
        <v/>
      </c>
      <c r="P105" s="4" t="str">
        <f t="shared" si="51"/>
        <v/>
      </c>
      <c r="Q105" s="58" t="str">
        <f t="shared" si="38"/>
        <v/>
      </c>
      <c r="R105" s="4" t="e" cm="1">
        <f t="array" ref="R105">IF(INDEX(Table2[],_xlfn.XMATCH($A105,Table2[Steel Member],0),_xlfn.XMATCH(R$2,Table2[#Headers],0))=0,"",INDEX(Table2[],_xlfn.XMATCH($A105,Table2[Steel Member],0),_xlfn.XMATCH(R$2,Table2[#Headers],0)))</f>
        <v>#N/A</v>
      </c>
      <c r="S105" s="4" t="e" cm="1">
        <f t="array" ref="S105">IF(INDEX(Table2[],_xlfn.XMATCH($A105,Table2[Steel Member],0),_xlfn.XMATCH(S$2,Table2[#Headers],0))=0,"",INDEX(Table2[],_xlfn.XMATCH($A105,Table2[Steel Member],0),_xlfn.XMATCH(S$2,Table2[#Headers],0)))</f>
        <v>#N/A</v>
      </c>
      <c r="T105" s="4" t="str">
        <f t="shared" si="29"/>
        <v/>
      </c>
      <c r="U105" s="4" t="e">
        <f ca="1">VLOOKUP(N105,'COLOR CODE'!$B:$D,2,FALSE)</f>
        <v>#N/A</v>
      </c>
      <c r="V105" s="4" t="str">
        <f t="shared" si="30"/>
        <v/>
      </c>
      <c r="W105" s="4" t="e" cm="1">
        <f t="array" ref="W105">IF(INDEX(Table2[],_xlfn.XMATCH($A105,Table2[Steel Member],0),_xlfn.XMATCH(W$2,Table2[#Headers],0))=0,"",INDEX(Table2[],_xlfn.XMATCH($A105,Table2[Steel Member],0),_xlfn.XMATCH(W$2,Table2[#Headers],0)))</f>
        <v>#N/A</v>
      </c>
      <c r="X105" s="4" t="e">
        <f t="shared" si="52"/>
        <v>#N/A</v>
      </c>
      <c r="Y105" s="4" t="e" cm="1">
        <f t="array" ref="Y105">IF(INDEX(Table2[],_xlfn.XMATCH($A105,Table2[Steel Member],0),_xlfn.XMATCH(Y$2,Table2[#Headers],0))=0,"",INDEX(Table2[],_xlfn.XMATCH($A105,Table2[Steel Member],0),_xlfn.XMATCH(Y$2,Table2[#Headers],0)))</f>
        <v>#N/A</v>
      </c>
      <c r="Z105" s="4" t="e" cm="1">
        <f t="array" ref="Z105">IF(INDEX(Table2[],_xlfn.XMATCH($A105,Table2[Steel Member],0),_xlfn.XMATCH(Z$2,Table2[#Headers],0))=0,"",INDEX(Table2[],_xlfn.XMATCH($A105,Table2[Steel Member],0),_xlfn.XMATCH(Z$2,Table2[#Headers],0)))</f>
        <v>#N/A</v>
      </c>
      <c r="AA105" s="4" t="e" cm="1">
        <f t="array" ref="AA105">IF(INDEX(Table2[],_xlfn.XMATCH($A105,Table2[Steel Member],0),_xlfn.XMATCH(AA$2,Table2[#Headers],0))=0,"",INDEX(Table2[],_xlfn.XMATCH($A105,Table2[Steel Member],0),_xlfn.XMATCH(AA$2,Table2[#Headers],0)))</f>
        <v>#N/A</v>
      </c>
      <c r="AB105" s="4" t="e" cm="1">
        <f t="array" ref="AB105">IF(INDEX(Table2[],_xlfn.XMATCH($A105,Table2[Steel Member],0),_xlfn.XMATCH(AB$2,Table2[#Headers],0))=0,"",INDEX(Table2[],_xlfn.XMATCH($A105,Table2[Steel Member],0),_xlfn.XMATCH(AB$2,Table2[#Headers],0)))</f>
        <v>#N/A</v>
      </c>
      <c r="AC105" s="4" t="str" cm="1">
        <f t="array" ref="AC105">IFERROR(INDEX(Table8[],_xlfn.XMATCH($O105,Table8[Dimension Name Category],0),_xlfn.XMATCH(AC$2&amp;IF($L105," w/ tag"," w/o tag"),Table8[#Headers],0)),"")</f>
        <v/>
      </c>
      <c r="AD105" s="59" t="str">
        <f t="shared" si="31"/>
        <v/>
      </c>
      <c r="AE105" s="4" t="str">
        <f t="shared" si="32"/>
        <v/>
      </c>
      <c r="AF105" s="4" t="str">
        <f t="shared" si="33"/>
        <v/>
      </c>
      <c r="AG105" s="4" t="str" cm="1">
        <f t="array" ref="AG105">IFERROR(INDEX(Table8[],_xlfn.XMATCH($O105,Table8[Dimension Name Category],0),_xlfn.XMATCH(AG$2&amp;IF($L105," w/ tag"," w/o tag"),Table8[#Headers],0)),"")</f>
        <v/>
      </c>
      <c r="AH105" s="59" t="str">
        <f t="shared" si="34"/>
        <v/>
      </c>
      <c r="AI105" s="4"/>
      <c r="AJ105" s="4" t="str">
        <f t="shared" si="35"/>
        <v/>
      </c>
      <c r="AK105" s="4" t="str">
        <f t="shared" si="36"/>
        <v/>
      </c>
      <c r="AL105" s="4" t="e" cm="1">
        <f t="array" ref="AL105">IF(INDEX(Table2[],_xlfn.XMATCH($A105,Table2[Steel Member],0),_xlfn.XMATCH(AL$2,Table2[#Headers],0))=0,"",INDEX(Table2[],_xlfn.XMATCH($A105,Table2[Steel Member],0),_xlfn.XMATCH(AL$2,Table2[#Headers],0)))</f>
        <v>#N/A</v>
      </c>
      <c r="AM105" s="4"/>
      <c r="AN105" s="4" t="str">
        <f t="shared" si="37"/>
        <v/>
      </c>
      <c r="AO105" s="4"/>
      <c r="AP105" s="4" t="e" cm="1">
        <f t="array" ref="AP105">IF(INDEX(Table2[],_xlfn.XMATCH($A105,Table2[Steel Member],0),_xlfn.XMATCH(AP$2,Table2[#Headers],0))=0,"",INDEX(Table2[],_xlfn.XMATCH($A105,Table2[Steel Member],0),_xlfn.XMATCH(AP$2,Table2[#Headers],0)))</f>
        <v>#N/A</v>
      </c>
      <c r="AQ105" s="4"/>
      <c r="AR105" s="4"/>
      <c r="AS105" s="4"/>
      <c r="AT105" s="4"/>
    </row>
    <row r="106" spans="1:46" x14ac:dyDescent="0.25">
      <c r="A106" s="52"/>
      <c r="B106" s="52"/>
      <c r="C106" s="52"/>
      <c r="D106" s="52"/>
      <c r="E106" s="52"/>
      <c r="F106" s="64" cm="1">
        <f t="array" ref="F106">IF(COUNT(FIND(PurlinsxGirthsxBracings,$C106))&gt;0,0,ROUNDUP(IF(D106=0,0,VLOOKUP(D106,'DATA SHEET'!$B:$D,2,FALSE)),2))</f>
        <v>0</v>
      </c>
      <c r="G106" s="64" cm="1">
        <f t="array" ref="G106">IF(COUNT(FIND(PurlinsxGirthsxBracings,$C106))&gt;0,0,ROUNDUP(IF(D106=0,0,VLOOKUP(D106,'DATA SHEET'!$B:$D,3,FALSE)),2))</f>
        <v>0</v>
      </c>
      <c r="H106" s="53"/>
      <c r="I106" s="66" cm="1">
        <f t="array" ref="I106">IF(AND(ISBLANK(B106),ISBLANK(C106),ISBLANK(E106)),0,IF(COUNT(FIND(PurlinsxGirthsxBracings,$C106))&gt;0,IF(B106=0,CONCATENATE(E106," ",C106),CONCATENATE(B106," - ",E106," ",C106)),IF(B106=0,IF(ISBLANK(C106),E106,CONCATENATE(D106,", ",F106,"kg/m, ",G106,"mm surface perimeter")),IF(AND(ISBLANK(C106),ISTEXT(E106)),CONCATENATE(B106," - ",E106),IF(AND(ISBLANK(C106),ISBLANK(E106)),B106,CONCATENATE(B106," - ",D106,", ",F106,"kg/m, ",G106,"mm surface perimeter"))))&amp;IF(ISBLANK(H106),"",H106)))</f>
        <v>0</v>
      </c>
      <c r="J106" s="53"/>
      <c r="L106" s="4" t="str" cm="1">
        <f t="array" ref="L106">IF(COUNT(FIND({0,1,2,3,4,5,6,7,8,9},B106))&gt;0,COUNT(FIND({0,1,2,3,4,5,6,7,8,9},B106))&gt;0,"")</f>
        <v/>
      </c>
      <c r="M106" s="4" t="str" cm="1">
        <f t="array" aca="1" ref="M106" ca="1">IFERROR(_xlfn.IFS(R106="Count",RANDBETWEEN(1,COUNTIF($R$11:$R$653,"Count")),R106="Length",RANDBETWEEN(1,COUNTIF($R$11:$R$653,"Length"))),"")</f>
        <v/>
      </c>
      <c r="N106" s="4" t="str">
        <f ca="1">IFERROR(_xlfn.RANK.EQ(M106,$M$11:$M$653)+COUNTIF($M$11:M106,M106)-1,"")</f>
        <v/>
      </c>
      <c r="O106" s="86" t="str">
        <f>IF(A106='DATA SHEET'!$L$36,C106,IFERROR(IF(AND(ISTEXT(I106),ISBLANK(C106)),"No details",VLOOKUP(C106,DimFolder,2,FALSE)),""))</f>
        <v/>
      </c>
      <c r="P106" s="4" t="str">
        <f t="shared" si="51"/>
        <v/>
      </c>
      <c r="Q106" s="58" t="str">
        <f t="shared" si="38"/>
        <v/>
      </c>
      <c r="R106" s="4" t="e" cm="1">
        <f t="array" ref="R106">IF(INDEX(Table2[],_xlfn.XMATCH($A106,Table2[Steel Member],0),_xlfn.XMATCH(R$2,Table2[#Headers],0))=0,"",INDEX(Table2[],_xlfn.XMATCH($A106,Table2[Steel Member],0),_xlfn.XMATCH(R$2,Table2[#Headers],0)))</f>
        <v>#N/A</v>
      </c>
      <c r="S106" s="4" t="e" cm="1">
        <f t="array" ref="S106">IF(INDEX(Table2[],_xlfn.XMATCH($A106,Table2[Steel Member],0),_xlfn.XMATCH(S$2,Table2[#Headers],0))=0,"",INDEX(Table2[],_xlfn.XMATCH($A106,Table2[Steel Member],0),_xlfn.XMATCH(S$2,Table2[#Headers],0)))</f>
        <v>#N/A</v>
      </c>
      <c r="T106" s="4" t="str">
        <f t="shared" si="29"/>
        <v/>
      </c>
      <c r="U106" s="4" t="e">
        <f ca="1">VLOOKUP(N106,'COLOR CODE'!$B:$D,2,FALSE)</f>
        <v>#N/A</v>
      </c>
      <c r="V106" s="4" t="str">
        <f t="shared" si="30"/>
        <v/>
      </c>
      <c r="W106" s="4" t="e" cm="1">
        <f t="array" ref="W106">IF(INDEX(Table2[],_xlfn.XMATCH($A106,Table2[Steel Member],0),_xlfn.XMATCH(W$2,Table2[#Headers],0))=0,"",INDEX(Table2[],_xlfn.XMATCH($A106,Table2[Steel Member],0),_xlfn.XMATCH(W$2,Table2[#Headers],0)))</f>
        <v>#N/A</v>
      </c>
      <c r="X106" s="4" t="e">
        <f t="shared" si="52"/>
        <v>#N/A</v>
      </c>
      <c r="Y106" s="4" t="e" cm="1">
        <f t="array" ref="Y106">IF(INDEX(Table2[],_xlfn.XMATCH($A106,Table2[Steel Member],0),_xlfn.XMATCH(Y$2,Table2[#Headers],0))=0,"",INDEX(Table2[],_xlfn.XMATCH($A106,Table2[Steel Member],0),_xlfn.XMATCH(Y$2,Table2[#Headers],0)))</f>
        <v>#N/A</v>
      </c>
      <c r="Z106" s="4" t="e" cm="1">
        <f t="array" ref="Z106">IF(INDEX(Table2[],_xlfn.XMATCH($A106,Table2[Steel Member],0),_xlfn.XMATCH(Z$2,Table2[#Headers],0))=0,"",INDEX(Table2[],_xlfn.XMATCH($A106,Table2[Steel Member],0),_xlfn.XMATCH(Z$2,Table2[#Headers],0)))</f>
        <v>#N/A</v>
      </c>
      <c r="AA106" s="4" t="e" cm="1">
        <f t="array" ref="AA106">IF(INDEX(Table2[],_xlfn.XMATCH($A106,Table2[Steel Member],0),_xlfn.XMATCH(AA$2,Table2[#Headers],0))=0,"",INDEX(Table2[],_xlfn.XMATCH($A106,Table2[Steel Member],0),_xlfn.XMATCH(AA$2,Table2[#Headers],0)))</f>
        <v>#N/A</v>
      </c>
      <c r="AB106" s="4" t="e" cm="1">
        <f t="array" ref="AB106">IF(INDEX(Table2[],_xlfn.XMATCH($A106,Table2[Steel Member],0),_xlfn.XMATCH(AB$2,Table2[#Headers],0))=0,"",INDEX(Table2[],_xlfn.XMATCH($A106,Table2[Steel Member],0),_xlfn.XMATCH(AB$2,Table2[#Headers],0)))</f>
        <v>#N/A</v>
      </c>
      <c r="AC106" s="4" t="str" cm="1">
        <f t="array" ref="AC106">IFERROR(INDEX(Table8[],_xlfn.XMATCH($O106,Table8[Dimension Name Category],0),_xlfn.XMATCH(AC$2&amp;IF($L106," w/ tag"," w/o tag"),Table8[#Headers],0)),"")</f>
        <v/>
      </c>
      <c r="AD106" s="59" t="str">
        <f t="shared" si="31"/>
        <v/>
      </c>
      <c r="AE106" s="4" t="str">
        <f t="shared" si="32"/>
        <v/>
      </c>
      <c r="AF106" s="4" t="str">
        <f t="shared" si="33"/>
        <v/>
      </c>
      <c r="AG106" s="4" t="str" cm="1">
        <f t="array" ref="AG106">IFERROR(INDEX(Table8[],_xlfn.XMATCH($O106,Table8[Dimension Name Category],0),_xlfn.XMATCH(AG$2&amp;IF($L106," w/ tag"," w/o tag"),Table8[#Headers],0)),"")</f>
        <v/>
      </c>
      <c r="AH106" s="59" t="str">
        <f t="shared" si="34"/>
        <v/>
      </c>
      <c r="AI106" s="4"/>
      <c r="AJ106" s="4" t="str">
        <f t="shared" si="35"/>
        <v/>
      </c>
      <c r="AK106" s="4" t="str">
        <f t="shared" si="36"/>
        <v/>
      </c>
      <c r="AL106" s="4" t="e" cm="1">
        <f t="array" ref="AL106">IF(INDEX(Table2[],_xlfn.XMATCH($A106,Table2[Steel Member],0),_xlfn.XMATCH(AL$2,Table2[#Headers],0))=0,"",INDEX(Table2[],_xlfn.XMATCH($A106,Table2[Steel Member],0),_xlfn.XMATCH(AL$2,Table2[#Headers],0)))</f>
        <v>#N/A</v>
      </c>
      <c r="AM106" s="4"/>
      <c r="AN106" s="4" t="str">
        <f t="shared" si="37"/>
        <v/>
      </c>
      <c r="AO106" s="4"/>
      <c r="AP106" s="4" t="e" cm="1">
        <f t="array" ref="AP106">IF(INDEX(Table2[],_xlfn.XMATCH($A106,Table2[Steel Member],0),_xlfn.XMATCH(AP$2,Table2[#Headers],0))=0,"",INDEX(Table2[],_xlfn.XMATCH($A106,Table2[Steel Member],0),_xlfn.XMATCH(AP$2,Table2[#Headers],0)))</f>
        <v>#N/A</v>
      </c>
      <c r="AQ106" s="4"/>
      <c r="AR106" s="4"/>
      <c r="AS106" s="4"/>
      <c r="AT106" s="4"/>
    </row>
    <row r="107" spans="1:46" x14ac:dyDescent="0.25">
      <c r="A107" s="52"/>
      <c r="B107" s="52"/>
      <c r="C107" s="52"/>
      <c r="D107" s="52"/>
      <c r="E107" s="52"/>
      <c r="F107" s="64" cm="1">
        <f t="array" ref="F107">IF(COUNT(FIND(PurlinsxGirthsxBracings,$C107))&gt;0,0,ROUNDUP(IF(D107=0,0,VLOOKUP(D107,'DATA SHEET'!$B:$D,2,FALSE)),2))</f>
        <v>0</v>
      </c>
      <c r="G107" s="64" cm="1">
        <f t="array" ref="G107">IF(COUNT(FIND(PurlinsxGirthsxBracings,$C107))&gt;0,0,ROUNDUP(IF(D107=0,0,VLOOKUP(D107,'DATA SHEET'!$B:$D,3,FALSE)),2))</f>
        <v>0</v>
      </c>
      <c r="H107" s="53"/>
      <c r="I107" s="66" cm="1">
        <f t="array" ref="I107">IF(AND(ISBLANK(B107),ISBLANK(C107),ISBLANK(E107)),0,IF(COUNT(FIND(PurlinsxGirthsxBracings,$C107))&gt;0,IF(B107=0,CONCATENATE(E107," ",C107),CONCATENATE(B107," - ",E107," ",C107)),IF(B107=0,IF(ISBLANK(C107),E107,CONCATENATE(D107,", ",F107,"kg/m, ",G107,"mm surface perimeter")),IF(AND(ISBLANK(C107),ISTEXT(E107)),CONCATENATE(B107," - ",E107),IF(AND(ISBLANK(C107),ISBLANK(E107)),B107,CONCATENATE(B107," - ",D107,", ",F107,"kg/m, ",G107,"mm surface perimeter"))))&amp;IF(ISBLANK(H107),"",H107)))</f>
        <v>0</v>
      </c>
      <c r="J107" s="53"/>
      <c r="L107" s="4" t="str" cm="1">
        <f t="array" ref="L107">IF(COUNT(FIND({0,1,2,3,4,5,6,7,8,9},B107))&gt;0,COUNT(FIND({0,1,2,3,4,5,6,7,8,9},B107))&gt;0,"")</f>
        <v/>
      </c>
      <c r="M107" s="4" t="str" cm="1">
        <f t="array" aca="1" ref="M107" ca="1">IFERROR(_xlfn.IFS(R107="Count",RANDBETWEEN(1,COUNTIF($R$11:$R$653,"Count")),R107="Length",RANDBETWEEN(1,COUNTIF($R$11:$R$653,"Length"))),"")</f>
        <v/>
      </c>
      <c r="N107" s="4" t="str">
        <f ca="1">IFERROR(_xlfn.RANK.EQ(M107,$M$11:$M$653)+COUNTIF($M$11:M107,M107)-1,"")</f>
        <v/>
      </c>
      <c r="O107" s="86" t="str">
        <f>IF(A107='DATA SHEET'!$L$36,C107,IFERROR(IF(AND(ISTEXT(I107),ISBLANK(C107)),"No details",VLOOKUP(C107,DimFolder,2,FALSE)),""))</f>
        <v/>
      </c>
      <c r="P107" s="4" t="str">
        <f t="shared" si="51"/>
        <v/>
      </c>
      <c r="Q107" s="58" t="str">
        <f t="shared" si="38"/>
        <v/>
      </c>
      <c r="R107" s="4" t="e" cm="1">
        <f t="array" ref="R107">IF(INDEX(Table2[],_xlfn.XMATCH($A107,Table2[Steel Member],0),_xlfn.XMATCH(R$2,Table2[#Headers],0))=0,"",INDEX(Table2[],_xlfn.XMATCH($A107,Table2[Steel Member],0),_xlfn.XMATCH(R$2,Table2[#Headers],0)))</f>
        <v>#N/A</v>
      </c>
      <c r="S107" s="4" t="e" cm="1">
        <f t="array" ref="S107">IF(INDEX(Table2[],_xlfn.XMATCH($A107,Table2[Steel Member],0),_xlfn.XMATCH(S$2,Table2[#Headers],0))=0,"",INDEX(Table2[],_xlfn.XMATCH($A107,Table2[Steel Member],0),_xlfn.XMATCH(S$2,Table2[#Headers],0)))</f>
        <v>#N/A</v>
      </c>
      <c r="T107" s="4" t="str">
        <f t="shared" si="29"/>
        <v/>
      </c>
      <c r="U107" s="4" t="e">
        <f ca="1">VLOOKUP(N107,'COLOR CODE'!$B:$D,2,FALSE)</f>
        <v>#N/A</v>
      </c>
      <c r="V107" s="4" t="str">
        <f t="shared" si="30"/>
        <v/>
      </c>
      <c r="W107" s="4" t="e" cm="1">
        <f t="array" ref="W107">IF(INDEX(Table2[],_xlfn.XMATCH($A107,Table2[Steel Member],0),_xlfn.XMATCH(W$2,Table2[#Headers],0))=0,"",INDEX(Table2[],_xlfn.XMATCH($A107,Table2[Steel Member],0),_xlfn.XMATCH(W$2,Table2[#Headers],0)))</f>
        <v>#N/A</v>
      </c>
      <c r="X107" s="4" t="e">
        <f t="shared" si="52"/>
        <v>#N/A</v>
      </c>
      <c r="Y107" s="4" t="e" cm="1">
        <f t="array" ref="Y107">IF(INDEX(Table2[],_xlfn.XMATCH($A107,Table2[Steel Member],0),_xlfn.XMATCH(Y$2,Table2[#Headers],0))=0,"",INDEX(Table2[],_xlfn.XMATCH($A107,Table2[Steel Member],0),_xlfn.XMATCH(Y$2,Table2[#Headers],0)))</f>
        <v>#N/A</v>
      </c>
      <c r="Z107" s="4" t="e" cm="1">
        <f t="array" ref="Z107">IF(INDEX(Table2[],_xlfn.XMATCH($A107,Table2[Steel Member],0),_xlfn.XMATCH(Z$2,Table2[#Headers],0))=0,"",INDEX(Table2[],_xlfn.XMATCH($A107,Table2[Steel Member],0),_xlfn.XMATCH(Z$2,Table2[#Headers],0)))</f>
        <v>#N/A</v>
      </c>
      <c r="AA107" s="4" t="e" cm="1">
        <f t="array" ref="AA107">IF(INDEX(Table2[],_xlfn.XMATCH($A107,Table2[Steel Member],0),_xlfn.XMATCH(AA$2,Table2[#Headers],0))=0,"",INDEX(Table2[],_xlfn.XMATCH($A107,Table2[Steel Member],0),_xlfn.XMATCH(AA$2,Table2[#Headers],0)))</f>
        <v>#N/A</v>
      </c>
      <c r="AB107" s="4" t="e" cm="1">
        <f t="array" ref="AB107">IF(INDEX(Table2[],_xlfn.XMATCH($A107,Table2[Steel Member],0),_xlfn.XMATCH(AB$2,Table2[#Headers],0))=0,"",INDEX(Table2[],_xlfn.XMATCH($A107,Table2[Steel Member],0),_xlfn.XMATCH(AB$2,Table2[#Headers],0)))</f>
        <v>#N/A</v>
      </c>
      <c r="AC107" s="4" t="str" cm="1">
        <f t="array" ref="AC107">IFERROR(INDEX(Table8[],_xlfn.XMATCH($O107,Table8[Dimension Name Category],0),_xlfn.XMATCH(AC$2&amp;IF($L107," w/ tag"," w/o tag"),Table8[#Headers],0)),"")</f>
        <v/>
      </c>
      <c r="AD107" s="59" t="str">
        <f t="shared" si="31"/>
        <v/>
      </c>
      <c r="AE107" s="4" t="str">
        <f t="shared" si="32"/>
        <v/>
      </c>
      <c r="AF107" s="4" t="str">
        <f t="shared" si="33"/>
        <v/>
      </c>
      <c r="AG107" s="4" t="str" cm="1">
        <f t="array" ref="AG107">IFERROR(INDEX(Table8[],_xlfn.XMATCH($O107,Table8[Dimension Name Category],0),_xlfn.XMATCH(AG$2&amp;IF($L107," w/ tag"," w/o tag"),Table8[#Headers],0)),"")</f>
        <v/>
      </c>
      <c r="AH107" s="59" t="str">
        <f t="shared" si="34"/>
        <v/>
      </c>
      <c r="AI107" s="4"/>
      <c r="AJ107" s="4" t="str">
        <f t="shared" si="35"/>
        <v/>
      </c>
      <c r="AK107" s="4" t="str">
        <f t="shared" si="36"/>
        <v/>
      </c>
      <c r="AL107" s="4" t="e" cm="1">
        <f t="array" ref="AL107">IF(INDEX(Table2[],_xlfn.XMATCH($A107,Table2[Steel Member],0),_xlfn.XMATCH(AL$2,Table2[#Headers],0))=0,"",INDEX(Table2[],_xlfn.XMATCH($A107,Table2[Steel Member],0),_xlfn.XMATCH(AL$2,Table2[#Headers],0)))</f>
        <v>#N/A</v>
      </c>
      <c r="AM107" s="4"/>
      <c r="AN107" s="4" t="str">
        <f t="shared" si="37"/>
        <v/>
      </c>
      <c r="AO107" s="4"/>
      <c r="AP107" s="4" t="e" cm="1">
        <f t="array" ref="AP107">IF(INDEX(Table2[],_xlfn.XMATCH($A107,Table2[Steel Member],0),_xlfn.XMATCH(AP$2,Table2[#Headers],0))=0,"",INDEX(Table2[],_xlfn.XMATCH($A107,Table2[Steel Member],0),_xlfn.XMATCH(AP$2,Table2[#Headers],0)))</f>
        <v>#N/A</v>
      </c>
      <c r="AQ107" s="4"/>
      <c r="AR107" s="4"/>
      <c r="AS107" s="4"/>
      <c r="AT107" s="4"/>
    </row>
    <row r="108" spans="1:46" x14ac:dyDescent="0.25">
      <c r="A108" s="52"/>
      <c r="B108" s="52"/>
      <c r="C108" s="52"/>
      <c r="D108" s="52"/>
      <c r="E108" s="52"/>
      <c r="F108" s="64" cm="1">
        <f t="array" ref="F108">IF(COUNT(FIND(PurlinsxGirthsxBracings,$C108))&gt;0,0,ROUNDUP(IF(D108=0,0,VLOOKUP(D108,'DATA SHEET'!$B:$D,2,FALSE)),2))</f>
        <v>0</v>
      </c>
      <c r="G108" s="64" cm="1">
        <f t="array" ref="G108">IF(COUNT(FIND(PurlinsxGirthsxBracings,$C108))&gt;0,0,ROUNDUP(IF(D108=0,0,VLOOKUP(D108,'DATA SHEET'!$B:$D,3,FALSE)),2))</f>
        <v>0</v>
      </c>
      <c r="H108" s="53"/>
      <c r="I108" s="66" cm="1">
        <f t="array" ref="I108">IF(AND(ISBLANK(B108),ISBLANK(C108),ISBLANK(E108)),0,IF(COUNT(FIND(PurlinsxGirthsxBracings,$C108))&gt;0,IF(B108=0,CONCATENATE(E108," ",C108),CONCATENATE(B108," - ",E108," ",C108)),IF(B108=0,IF(ISBLANK(C108),E108,CONCATENATE(D108,", ",F108,"kg/m, ",G108,"mm surface perimeter")),IF(AND(ISBLANK(C108),ISTEXT(E108)),CONCATENATE(B108," - ",E108),IF(AND(ISBLANK(C108),ISBLANK(E108)),B108,CONCATENATE(B108," - ",D108,", ",F108,"kg/m, ",G108,"mm surface perimeter"))))&amp;IF(ISBLANK(H108),"",H108)))</f>
        <v>0</v>
      </c>
      <c r="J108" s="53"/>
      <c r="L108" s="4" t="str" cm="1">
        <f t="array" ref="L108">IF(COUNT(FIND({0,1,2,3,4,5,6,7,8,9},B108))&gt;0,COUNT(FIND({0,1,2,3,4,5,6,7,8,9},B108))&gt;0,"")</f>
        <v/>
      </c>
      <c r="M108" s="4" t="str" cm="1">
        <f t="array" aca="1" ref="M108" ca="1">IFERROR(_xlfn.IFS(R108="Count",RANDBETWEEN(1,COUNTIF($R$11:$R$653,"Count")),R108="Length",RANDBETWEEN(1,COUNTIF($R$11:$R$653,"Length"))),"")</f>
        <v/>
      </c>
      <c r="N108" s="4" t="str">
        <f ca="1">IFERROR(_xlfn.RANK.EQ(M108,$M$11:$M$653)+COUNTIF($M$11:M108,M108)-1,"")</f>
        <v/>
      </c>
      <c r="O108" s="86" t="str">
        <f>IF(A108='DATA SHEET'!$L$36,C108,IFERROR(IF(AND(ISTEXT(I108),ISBLANK(C108)),"No details",VLOOKUP(C108,DimFolder,2,FALSE)),""))</f>
        <v/>
      </c>
      <c r="P108" s="4" t="str">
        <f t="shared" si="51"/>
        <v/>
      </c>
      <c r="Q108" s="58" t="str">
        <f t="shared" si="38"/>
        <v/>
      </c>
      <c r="R108" s="4" t="e" cm="1">
        <f t="array" ref="R108">IF(INDEX(Table2[],_xlfn.XMATCH($A108,Table2[Steel Member],0),_xlfn.XMATCH(R$2,Table2[#Headers],0))=0,"",INDEX(Table2[],_xlfn.XMATCH($A108,Table2[Steel Member],0),_xlfn.XMATCH(R$2,Table2[#Headers],0)))</f>
        <v>#N/A</v>
      </c>
      <c r="S108" s="4" t="e" cm="1">
        <f t="array" ref="S108">IF(INDEX(Table2[],_xlfn.XMATCH($A108,Table2[Steel Member],0),_xlfn.XMATCH(S$2,Table2[#Headers],0))=0,"",INDEX(Table2[],_xlfn.XMATCH($A108,Table2[Steel Member],0),_xlfn.XMATCH(S$2,Table2[#Headers],0)))</f>
        <v>#N/A</v>
      </c>
      <c r="T108" s="4" t="str">
        <f t="shared" si="29"/>
        <v/>
      </c>
      <c r="U108" s="4" t="e">
        <f ca="1">VLOOKUP(N108,'COLOR CODE'!$B:$D,2,FALSE)</f>
        <v>#N/A</v>
      </c>
      <c r="V108" s="4" t="str">
        <f t="shared" si="30"/>
        <v/>
      </c>
      <c r="W108" s="4" t="e" cm="1">
        <f t="array" ref="W108">IF(INDEX(Table2[],_xlfn.XMATCH($A108,Table2[Steel Member],0),_xlfn.XMATCH(W$2,Table2[#Headers],0))=0,"",INDEX(Table2[],_xlfn.XMATCH($A108,Table2[Steel Member],0),_xlfn.XMATCH(W$2,Table2[#Headers],0)))</f>
        <v>#N/A</v>
      </c>
      <c r="X108" s="4" t="e">
        <f t="shared" si="52"/>
        <v>#N/A</v>
      </c>
      <c r="Y108" s="4" t="e" cm="1">
        <f t="array" ref="Y108">IF(INDEX(Table2[],_xlfn.XMATCH($A108,Table2[Steel Member],0),_xlfn.XMATCH(Y$2,Table2[#Headers],0))=0,"",INDEX(Table2[],_xlfn.XMATCH($A108,Table2[Steel Member],0),_xlfn.XMATCH(Y$2,Table2[#Headers],0)))</f>
        <v>#N/A</v>
      </c>
      <c r="Z108" s="4" t="e" cm="1">
        <f t="array" ref="Z108">IF(INDEX(Table2[],_xlfn.XMATCH($A108,Table2[Steel Member],0),_xlfn.XMATCH(Z$2,Table2[#Headers],0))=0,"",INDEX(Table2[],_xlfn.XMATCH($A108,Table2[Steel Member],0),_xlfn.XMATCH(Z$2,Table2[#Headers],0)))</f>
        <v>#N/A</v>
      </c>
      <c r="AA108" s="4" t="e" cm="1">
        <f t="array" ref="AA108">IF(INDEX(Table2[],_xlfn.XMATCH($A108,Table2[Steel Member],0),_xlfn.XMATCH(AA$2,Table2[#Headers],0))=0,"",INDEX(Table2[],_xlfn.XMATCH($A108,Table2[Steel Member],0),_xlfn.XMATCH(AA$2,Table2[#Headers],0)))</f>
        <v>#N/A</v>
      </c>
      <c r="AB108" s="4" t="e" cm="1">
        <f t="array" ref="AB108">IF(INDEX(Table2[],_xlfn.XMATCH($A108,Table2[Steel Member],0),_xlfn.XMATCH(AB$2,Table2[#Headers],0))=0,"",INDEX(Table2[],_xlfn.XMATCH($A108,Table2[Steel Member],0),_xlfn.XMATCH(AB$2,Table2[#Headers],0)))</f>
        <v>#N/A</v>
      </c>
      <c r="AC108" s="4" t="str" cm="1">
        <f t="array" ref="AC108">IFERROR(INDEX(Table8[],_xlfn.XMATCH($O108,Table8[Dimension Name Category],0),_xlfn.XMATCH(AC$2&amp;IF($L108," w/ tag"," w/o tag"),Table8[#Headers],0)),"")</f>
        <v/>
      </c>
      <c r="AD108" s="59" t="str">
        <f t="shared" si="31"/>
        <v/>
      </c>
      <c r="AE108" s="4" t="str">
        <f t="shared" si="32"/>
        <v/>
      </c>
      <c r="AF108" s="4" t="str">
        <f t="shared" si="33"/>
        <v/>
      </c>
      <c r="AG108" s="4" t="str" cm="1">
        <f t="array" ref="AG108">IFERROR(INDEX(Table8[],_xlfn.XMATCH($O108,Table8[Dimension Name Category],0),_xlfn.XMATCH(AG$2&amp;IF($L108," w/ tag"," w/o tag"),Table8[#Headers],0)),"")</f>
        <v/>
      </c>
      <c r="AH108" s="59" t="str">
        <f t="shared" si="34"/>
        <v/>
      </c>
      <c r="AI108" s="4"/>
      <c r="AJ108" s="4" t="str">
        <f t="shared" si="35"/>
        <v/>
      </c>
      <c r="AK108" s="4" t="str">
        <f t="shared" si="36"/>
        <v/>
      </c>
      <c r="AL108" s="4" t="e" cm="1">
        <f t="array" ref="AL108">IF(INDEX(Table2[],_xlfn.XMATCH($A108,Table2[Steel Member],0),_xlfn.XMATCH(AL$2,Table2[#Headers],0))=0,"",INDEX(Table2[],_xlfn.XMATCH($A108,Table2[Steel Member],0),_xlfn.XMATCH(AL$2,Table2[#Headers],0)))</f>
        <v>#N/A</v>
      </c>
      <c r="AM108" s="4"/>
      <c r="AN108" s="4" t="str">
        <f t="shared" si="37"/>
        <v/>
      </c>
      <c r="AO108" s="4"/>
      <c r="AP108" s="4" t="e" cm="1">
        <f t="array" ref="AP108">IF(INDEX(Table2[],_xlfn.XMATCH($A108,Table2[Steel Member],0),_xlfn.XMATCH(AP$2,Table2[#Headers],0))=0,"",INDEX(Table2[],_xlfn.XMATCH($A108,Table2[Steel Member],0),_xlfn.XMATCH(AP$2,Table2[#Headers],0)))</f>
        <v>#N/A</v>
      </c>
      <c r="AQ108" s="4"/>
      <c r="AR108" s="4"/>
      <c r="AS108" s="4"/>
      <c r="AT108" s="4"/>
    </row>
    <row r="109" spans="1:46" x14ac:dyDescent="0.25">
      <c r="A109" s="52"/>
      <c r="B109" s="52"/>
      <c r="C109" s="52"/>
      <c r="D109" s="52"/>
      <c r="E109" s="52"/>
      <c r="F109" s="64" cm="1">
        <f t="array" ref="F109">IF(COUNT(FIND(PurlinsxGirthsxBracings,$C109))&gt;0,0,ROUNDUP(IF(D109=0,0,VLOOKUP(D109,'DATA SHEET'!$B:$D,2,FALSE)),2))</f>
        <v>0</v>
      </c>
      <c r="G109" s="64" cm="1">
        <f t="array" ref="G109">IF(COUNT(FIND(PurlinsxGirthsxBracings,$C109))&gt;0,0,ROUNDUP(IF(D109=0,0,VLOOKUP(D109,'DATA SHEET'!$B:$D,3,FALSE)),2))</f>
        <v>0</v>
      </c>
      <c r="H109" s="53"/>
      <c r="I109" s="66" cm="1">
        <f t="array" ref="I109">IF(AND(ISBLANK(B109),ISBLANK(C109),ISBLANK(E109)),0,IF(COUNT(FIND(PurlinsxGirthsxBracings,$C109))&gt;0,IF(B109=0,CONCATENATE(E109," ",C109),CONCATENATE(B109," - ",E109," ",C109)),IF(B109=0,IF(ISBLANK(C109),E109,CONCATENATE(D109,", ",F109,"kg/m, ",G109,"mm surface perimeter")),IF(AND(ISBLANK(C109),ISTEXT(E109)),CONCATENATE(B109," - ",E109),IF(AND(ISBLANK(C109),ISBLANK(E109)),B109,CONCATENATE(B109," - ",D109,", ",F109,"kg/m, ",G109,"mm surface perimeter"))))&amp;IF(ISBLANK(H109),"",H109)))</f>
        <v>0</v>
      </c>
      <c r="J109" s="53"/>
      <c r="L109" s="4" t="str" cm="1">
        <f t="array" ref="L109">IF(COUNT(FIND({0,1,2,3,4,5,6,7,8,9},B109))&gt;0,COUNT(FIND({0,1,2,3,4,5,6,7,8,9},B109))&gt;0,"")</f>
        <v/>
      </c>
      <c r="M109" s="4" t="str" cm="1">
        <f t="array" aca="1" ref="M109" ca="1">IFERROR(_xlfn.IFS(R109="Count",RANDBETWEEN(1,COUNTIF($R$11:$R$653,"Count")),R109="Length",RANDBETWEEN(1,COUNTIF($R$11:$R$653,"Length"))),"")</f>
        <v/>
      </c>
      <c r="N109" s="4" t="str">
        <f ca="1">IFERROR(_xlfn.RANK.EQ(M109,$M$11:$M$653)+COUNTIF($M$11:M109,M109)-1,"")</f>
        <v/>
      </c>
      <c r="O109" s="86" t="str">
        <f>IF(A109='DATA SHEET'!$L$36,C109,IFERROR(IF(AND(ISTEXT(I109),ISBLANK(C109)),"No details",VLOOKUP(C109,DimFolder,2,FALSE)),""))</f>
        <v/>
      </c>
      <c r="P109" s="4" t="str">
        <f t="shared" si="51"/>
        <v/>
      </c>
      <c r="Q109" s="58" t="str">
        <f t="shared" si="38"/>
        <v/>
      </c>
      <c r="R109" s="4" t="e" cm="1">
        <f t="array" ref="R109">IF(INDEX(Table2[],_xlfn.XMATCH($A109,Table2[Steel Member],0),_xlfn.XMATCH(R$2,Table2[#Headers],0))=0,"",INDEX(Table2[],_xlfn.XMATCH($A109,Table2[Steel Member],0),_xlfn.XMATCH(R$2,Table2[#Headers],0)))</f>
        <v>#N/A</v>
      </c>
      <c r="S109" s="4" t="e" cm="1">
        <f t="array" ref="S109">IF(INDEX(Table2[],_xlfn.XMATCH($A109,Table2[Steel Member],0),_xlfn.XMATCH(S$2,Table2[#Headers],0))=0,"",INDEX(Table2[],_xlfn.XMATCH($A109,Table2[Steel Member],0),_xlfn.XMATCH(S$2,Table2[#Headers],0)))</f>
        <v>#N/A</v>
      </c>
      <c r="T109" s="4" t="str">
        <f t="shared" si="29"/>
        <v/>
      </c>
      <c r="U109" s="4" t="e">
        <f ca="1">VLOOKUP(N109,'COLOR CODE'!$B:$D,2,FALSE)</f>
        <v>#N/A</v>
      </c>
      <c r="V109" s="4" t="str">
        <f t="shared" si="30"/>
        <v/>
      </c>
      <c r="W109" s="4" t="e" cm="1">
        <f t="array" ref="W109">IF(INDEX(Table2[],_xlfn.XMATCH($A109,Table2[Steel Member],0),_xlfn.XMATCH(W$2,Table2[#Headers],0))=0,"",INDEX(Table2[],_xlfn.XMATCH($A109,Table2[Steel Member],0),_xlfn.XMATCH(W$2,Table2[#Headers],0)))</f>
        <v>#N/A</v>
      </c>
      <c r="X109" s="4" t="e">
        <f t="shared" si="52"/>
        <v>#N/A</v>
      </c>
      <c r="Y109" s="4" t="e" cm="1">
        <f t="array" ref="Y109">IF(INDEX(Table2[],_xlfn.XMATCH($A109,Table2[Steel Member],0),_xlfn.XMATCH(Y$2,Table2[#Headers],0))=0,"",INDEX(Table2[],_xlfn.XMATCH($A109,Table2[Steel Member],0),_xlfn.XMATCH(Y$2,Table2[#Headers],0)))</f>
        <v>#N/A</v>
      </c>
      <c r="Z109" s="4" t="e" cm="1">
        <f t="array" ref="Z109">IF(INDEX(Table2[],_xlfn.XMATCH($A109,Table2[Steel Member],0),_xlfn.XMATCH(Z$2,Table2[#Headers],0))=0,"",INDEX(Table2[],_xlfn.XMATCH($A109,Table2[Steel Member],0),_xlfn.XMATCH(Z$2,Table2[#Headers],0)))</f>
        <v>#N/A</v>
      </c>
      <c r="AA109" s="4" t="e" cm="1">
        <f t="array" ref="AA109">IF(INDEX(Table2[],_xlfn.XMATCH($A109,Table2[Steel Member],0),_xlfn.XMATCH(AA$2,Table2[#Headers],0))=0,"",INDEX(Table2[],_xlfn.XMATCH($A109,Table2[Steel Member],0),_xlfn.XMATCH(AA$2,Table2[#Headers],0)))</f>
        <v>#N/A</v>
      </c>
      <c r="AB109" s="4" t="e" cm="1">
        <f t="array" ref="AB109">IF(INDEX(Table2[],_xlfn.XMATCH($A109,Table2[Steel Member],0),_xlfn.XMATCH(AB$2,Table2[#Headers],0))=0,"",INDEX(Table2[],_xlfn.XMATCH($A109,Table2[Steel Member],0),_xlfn.XMATCH(AB$2,Table2[#Headers],0)))</f>
        <v>#N/A</v>
      </c>
      <c r="AC109" s="4" t="str" cm="1">
        <f t="array" ref="AC109">IFERROR(INDEX(Table8[],_xlfn.XMATCH($O109,Table8[Dimension Name Category],0),_xlfn.XMATCH(AC$2&amp;IF($L109," w/ tag"," w/o tag"),Table8[#Headers],0)),"")</f>
        <v/>
      </c>
      <c r="AD109" s="59" t="str">
        <f t="shared" si="31"/>
        <v/>
      </c>
      <c r="AE109" s="4" t="str">
        <f t="shared" si="32"/>
        <v/>
      </c>
      <c r="AF109" s="4" t="str">
        <f t="shared" si="33"/>
        <v/>
      </c>
      <c r="AG109" s="4" t="str" cm="1">
        <f t="array" ref="AG109">IFERROR(INDEX(Table8[],_xlfn.XMATCH($O109,Table8[Dimension Name Category],0),_xlfn.XMATCH(AG$2&amp;IF($L109," w/ tag"," w/o tag"),Table8[#Headers],0)),"")</f>
        <v/>
      </c>
      <c r="AH109" s="59" t="str">
        <f t="shared" si="34"/>
        <v/>
      </c>
      <c r="AI109" s="4"/>
      <c r="AJ109" s="4" t="str">
        <f t="shared" si="35"/>
        <v/>
      </c>
      <c r="AK109" s="4" t="str">
        <f t="shared" si="36"/>
        <v/>
      </c>
      <c r="AL109" s="4" t="e" cm="1">
        <f t="array" ref="AL109">IF(INDEX(Table2[],_xlfn.XMATCH($A109,Table2[Steel Member],0),_xlfn.XMATCH(AL$2,Table2[#Headers],0))=0,"",INDEX(Table2[],_xlfn.XMATCH($A109,Table2[Steel Member],0),_xlfn.XMATCH(AL$2,Table2[#Headers],0)))</f>
        <v>#N/A</v>
      </c>
      <c r="AM109" s="4"/>
      <c r="AN109" s="4" t="str">
        <f t="shared" si="37"/>
        <v/>
      </c>
      <c r="AO109" s="4"/>
      <c r="AP109" s="4" t="e" cm="1">
        <f t="array" ref="AP109">IF(INDEX(Table2[],_xlfn.XMATCH($A109,Table2[Steel Member],0),_xlfn.XMATCH(AP$2,Table2[#Headers],0))=0,"",INDEX(Table2[],_xlfn.XMATCH($A109,Table2[Steel Member],0),_xlfn.XMATCH(AP$2,Table2[#Headers],0)))</f>
        <v>#N/A</v>
      </c>
      <c r="AQ109" s="4"/>
      <c r="AR109" s="4"/>
      <c r="AS109" s="4"/>
      <c r="AT109" s="4"/>
    </row>
    <row r="110" spans="1:46" x14ac:dyDescent="0.25">
      <c r="A110" s="52"/>
      <c r="B110" s="52"/>
      <c r="C110" s="52"/>
      <c r="D110" s="52"/>
      <c r="E110" s="52"/>
      <c r="F110" s="64" cm="1">
        <f t="array" ref="F110">IF(COUNT(FIND(PurlinsxGirthsxBracings,$C110))&gt;0,0,ROUNDUP(IF(D110=0,0,VLOOKUP(D110,'DATA SHEET'!$B:$D,2,FALSE)),2))</f>
        <v>0</v>
      </c>
      <c r="G110" s="64" cm="1">
        <f t="array" ref="G110">IF(COUNT(FIND(PurlinsxGirthsxBracings,$C110))&gt;0,0,ROUNDUP(IF(D110=0,0,VLOOKUP(D110,'DATA SHEET'!$B:$D,3,FALSE)),2))</f>
        <v>0</v>
      </c>
      <c r="H110" s="53"/>
      <c r="I110" s="66" cm="1">
        <f t="array" ref="I110">IF(AND(ISBLANK(B110),ISBLANK(C110),ISBLANK(E110)),0,IF(COUNT(FIND(PurlinsxGirthsxBracings,$C110))&gt;0,IF(B110=0,CONCATENATE(E110," ",C110),CONCATENATE(B110," - ",E110," ",C110)),IF(B110=0,IF(ISBLANK(C110),E110,CONCATENATE(D110,", ",F110,"kg/m, ",G110,"mm surface perimeter")),IF(AND(ISBLANK(C110),ISTEXT(E110)),CONCATENATE(B110," - ",E110),IF(AND(ISBLANK(C110),ISBLANK(E110)),B110,CONCATENATE(B110," - ",D110,", ",F110,"kg/m, ",G110,"mm surface perimeter"))))&amp;IF(ISBLANK(H110),"",H110)))</f>
        <v>0</v>
      </c>
      <c r="J110" s="53"/>
      <c r="L110" s="4" t="str" cm="1">
        <f t="array" ref="L110">IF(COUNT(FIND({0,1,2,3,4,5,6,7,8,9},B110))&gt;0,COUNT(FIND({0,1,2,3,4,5,6,7,8,9},B110))&gt;0,"")</f>
        <v/>
      </c>
      <c r="M110" s="4" t="str" cm="1">
        <f t="array" aca="1" ref="M110" ca="1">IFERROR(_xlfn.IFS(R110="Count",RANDBETWEEN(1,COUNTIF($R$11:$R$653,"Count")),R110="Length",RANDBETWEEN(1,COUNTIF($R$11:$R$653,"Length"))),"")</f>
        <v/>
      </c>
      <c r="N110" s="4" t="str">
        <f ca="1">IFERROR(_xlfn.RANK.EQ(M110,$M$11:$M$653)+COUNTIF($M$11:M110,M110)-1,"")</f>
        <v/>
      </c>
      <c r="O110" s="86" t="str">
        <f>IF(A110='DATA SHEET'!$L$36,C110,IFERROR(IF(AND(ISTEXT(I110),ISBLANK(C110)),"No details",VLOOKUP(C110,DimFolder,2,FALSE)),""))</f>
        <v/>
      </c>
      <c r="P110" s="4" t="str">
        <f t="shared" si="51"/>
        <v/>
      </c>
      <c r="Q110" s="58" t="str">
        <f t="shared" si="38"/>
        <v/>
      </c>
      <c r="R110" s="4" t="e" cm="1">
        <f t="array" ref="R110">IF(INDEX(Table2[],_xlfn.XMATCH($A110,Table2[Steel Member],0),_xlfn.XMATCH(R$2,Table2[#Headers],0))=0,"",INDEX(Table2[],_xlfn.XMATCH($A110,Table2[Steel Member],0),_xlfn.XMATCH(R$2,Table2[#Headers],0)))</f>
        <v>#N/A</v>
      </c>
      <c r="S110" s="4" t="e" cm="1">
        <f t="array" ref="S110">IF(INDEX(Table2[],_xlfn.XMATCH($A110,Table2[Steel Member],0),_xlfn.XMATCH(S$2,Table2[#Headers],0))=0,"",INDEX(Table2[],_xlfn.XMATCH($A110,Table2[Steel Member],0),_xlfn.XMATCH(S$2,Table2[#Headers],0)))</f>
        <v>#N/A</v>
      </c>
      <c r="T110" s="4" t="str">
        <f t="shared" si="29"/>
        <v/>
      </c>
      <c r="U110" s="4" t="e">
        <f ca="1">VLOOKUP(N110,'COLOR CODE'!$B:$D,2,FALSE)</f>
        <v>#N/A</v>
      </c>
      <c r="V110" s="4" t="str">
        <f t="shared" si="30"/>
        <v/>
      </c>
      <c r="W110" s="4" t="e" cm="1">
        <f t="array" ref="W110">IF(INDEX(Table2[],_xlfn.XMATCH($A110,Table2[Steel Member],0),_xlfn.XMATCH(W$2,Table2[#Headers],0))=0,"",INDEX(Table2[],_xlfn.XMATCH($A110,Table2[Steel Member],0),_xlfn.XMATCH(W$2,Table2[#Headers],0)))</f>
        <v>#N/A</v>
      </c>
      <c r="X110" s="4" t="e">
        <f t="shared" si="52"/>
        <v>#N/A</v>
      </c>
      <c r="Y110" s="4" t="e" cm="1">
        <f t="array" ref="Y110">IF(INDEX(Table2[],_xlfn.XMATCH($A110,Table2[Steel Member],0),_xlfn.XMATCH(Y$2,Table2[#Headers],0))=0,"",INDEX(Table2[],_xlfn.XMATCH($A110,Table2[Steel Member],0),_xlfn.XMATCH(Y$2,Table2[#Headers],0)))</f>
        <v>#N/A</v>
      </c>
      <c r="Z110" s="4" t="e" cm="1">
        <f t="array" ref="Z110">IF(INDEX(Table2[],_xlfn.XMATCH($A110,Table2[Steel Member],0),_xlfn.XMATCH(Z$2,Table2[#Headers],0))=0,"",INDEX(Table2[],_xlfn.XMATCH($A110,Table2[Steel Member],0),_xlfn.XMATCH(Z$2,Table2[#Headers],0)))</f>
        <v>#N/A</v>
      </c>
      <c r="AA110" s="4" t="e" cm="1">
        <f t="array" ref="AA110">IF(INDEX(Table2[],_xlfn.XMATCH($A110,Table2[Steel Member],0),_xlfn.XMATCH(AA$2,Table2[#Headers],0))=0,"",INDEX(Table2[],_xlfn.XMATCH($A110,Table2[Steel Member],0),_xlfn.XMATCH(AA$2,Table2[#Headers],0)))</f>
        <v>#N/A</v>
      </c>
      <c r="AB110" s="4" t="e" cm="1">
        <f t="array" ref="AB110">IF(INDEX(Table2[],_xlfn.XMATCH($A110,Table2[Steel Member],0),_xlfn.XMATCH(AB$2,Table2[#Headers],0))=0,"",INDEX(Table2[],_xlfn.XMATCH($A110,Table2[Steel Member],0),_xlfn.XMATCH(AB$2,Table2[#Headers],0)))</f>
        <v>#N/A</v>
      </c>
      <c r="AC110" s="4" t="str" cm="1">
        <f t="array" ref="AC110">IFERROR(INDEX(Table8[],_xlfn.XMATCH($O110,Table8[Dimension Name Category],0),_xlfn.XMATCH(AC$2&amp;IF($L110," w/ tag"," w/o tag"),Table8[#Headers],0)),"")</f>
        <v/>
      </c>
      <c r="AD110" s="59" t="str">
        <f t="shared" si="31"/>
        <v/>
      </c>
      <c r="AE110" s="4" t="str">
        <f t="shared" si="32"/>
        <v/>
      </c>
      <c r="AF110" s="4" t="str">
        <f t="shared" si="33"/>
        <v/>
      </c>
      <c r="AG110" s="4" t="str" cm="1">
        <f t="array" ref="AG110">IFERROR(INDEX(Table8[],_xlfn.XMATCH($O110,Table8[Dimension Name Category],0),_xlfn.XMATCH(AG$2&amp;IF($L110," w/ tag"," w/o tag"),Table8[#Headers],0)),"")</f>
        <v/>
      </c>
      <c r="AH110" s="59" t="str">
        <f t="shared" si="34"/>
        <v/>
      </c>
      <c r="AI110" s="4"/>
      <c r="AJ110" s="4" t="str">
        <f t="shared" si="35"/>
        <v/>
      </c>
      <c r="AK110" s="4" t="str">
        <f t="shared" si="36"/>
        <v/>
      </c>
      <c r="AL110" s="4" t="e" cm="1">
        <f t="array" ref="AL110">IF(INDEX(Table2[],_xlfn.XMATCH($A110,Table2[Steel Member],0),_xlfn.XMATCH(AL$2,Table2[#Headers],0))=0,"",INDEX(Table2[],_xlfn.XMATCH($A110,Table2[Steel Member],0),_xlfn.XMATCH(AL$2,Table2[#Headers],0)))</f>
        <v>#N/A</v>
      </c>
      <c r="AM110" s="4"/>
      <c r="AN110" s="4" t="str">
        <f t="shared" si="37"/>
        <v/>
      </c>
      <c r="AO110" s="4"/>
      <c r="AP110" s="4" t="e" cm="1">
        <f t="array" ref="AP110">IF(INDEX(Table2[],_xlfn.XMATCH($A110,Table2[Steel Member],0),_xlfn.XMATCH(AP$2,Table2[#Headers],0))=0,"",INDEX(Table2[],_xlfn.XMATCH($A110,Table2[Steel Member],0),_xlfn.XMATCH(AP$2,Table2[#Headers],0)))</f>
        <v>#N/A</v>
      </c>
      <c r="AQ110" s="4"/>
      <c r="AR110" s="4"/>
      <c r="AS110" s="4"/>
      <c r="AT110" s="4"/>
    </row>
    <row r="111" spans="1:46" x14ac:dyDescent="0.25">
      <c r="A111" s="52"/>
      <c r="B111" s="52"/>
      <c r="C111" s="52"/>
      <c r="D111" s="52"/>
      <c r="E111" s="52"/>
      <c r="F111" s="64" cm="1">
        <f t="array" ref="F111">IF(COUNT(FIND(PurlinsxGirthsxBracings,$C111))&gt;0,0,ROUNDUP(IF(D111=0,0,VLOOKUP(D111,'DATA SHEET'!$B:$D,2,FALSE)),2))</f>
        <v>0</v>
      </c>
      <c r="G111" s="64" cm="1">
        <f t="array" ref="G111">IF(COUNT(FIND(PurlinsxGirthsxBracings,$C111))&gt;0,0,ROUNDUP(IF(D111=0,0,VLOOKUP(D111,'DATA SHEET'!$B:$D,3,FALSE)),2))</f>
        <v>0</v>
      </c>
      <c r="H111" s="53"/>
      <c r="I111" s="66" cm="1">
        <f t="array" ref="I111">IF(AND(ISBLANK(B111),ISBLANK(C111),ISBLANK(E111)),0,IF(COUNT(FIND(PurlinsxGirthsxBracings,$C111))&gt;0,IF(B111=0,CONCATENATE(E111," ",C111),CONCATENATE(B111," - ",E111," ",C111)),IF(B111=0,IF(ISBLANK(C111),E111,CONCATENATE(D111,", ",F111,"kg/m, ",G111,"mm surface perimeter")),IF(AND(ISBLANK(C111),ISTEXT(E111)),CONCATENATE(B111," - ",E111),IF(AND(ISBLANK(C111),ISBLANK(E111)),B111,CONCATENATE(B111," - ",D111,", ",F111,"kg/m, ",G111,"mm surface perimeter"))))&amp;IF(ISBLANK(H111),"",H111)))</f>
        <v>0</v>
      </c>
      <c r="J111" s="53"/>
      <c r="L111" s="4" t="str" cm="1">
        <f t="array" ref="L111">IF(COUNT(FIND({0,1,2,3,4,5,6,7,8,9},B111))&gt;0,COUNT(FIND({0,1,2,3,4,5,6,7,8,9},B111))&gt;0,"")</f>
        <v/>
      </c>
      <c r="M111" s="4" t="str" cm="1">
        <f t="array" aca="1" ref="M111" ca="1">IFERROR(_xlfn.IFS(R111="Count",RANDBETWEEN(1,COUNTIF($R$11:$R$653,"Count")),R111="Length",RANDBETWEEN(1,COUNTIF($R$11:$R$653,"Length"))),"")</f>
        <v/>
      </c>
      <c r="N111" s="4" t="str">
        <f ca="1">IFERROR(_xlfn.RANK.EQ(M111,$M$11:$M$653)+COUNTIF($M$11:M111,M111)-1,"")</f>
        <v/>
      </c>
      <c r="O111" s="86" t="str">
        <f>IF(A111='DATA SHEET'!$L$36,C111,IFERROR(IF(AND(ISTEXT(I111),ISBLANK(C111)),"No details",VLOOKUP(C111,DimFolder,2,FALSE)),""))</f>
        <v/>
      </c>
      <c r="P111" s="4" t="str">
        <f t="shared" si="51"/>
        <v/>
      </c>
      <c r="Q111" s="58" t="str">
        <f t="shared" si="38"/>
        <v/>
      </c>
      <c r="R111" s="4" t="e" cm="1">
        <f t="array" ref="R111">IF(INDEX(Table2[],_xlfn.XMATCH($A111,Table2[Steel Member],0),_xlfn.XMATCH(R$2,Table2[#Headers],0))=0,"",INDEX(Table2[],_xlfn.XMATCH($A111,Table2[Steel Member],0),_xlfn.XMATCH(R$2,Table2[#Headers],0)))</f>
        <v>#N/A</v>
      </c>
      <c r="S111" s="4" t="e" cm="1">
        <f t="array" ref="S111">IF(INDEX(Table2[],_xlfn.XMATCH($A111,Table2[Steel Member],0),_xlfn.XMATCH(S$2,Table2[#Headers],0))=0,"",INDEX(Table2[],_xlfn.XMATCH($A111,Table2[Steel Member],0),_xlfn.XMATCH(S$2,Table2[#Headers],0)))</f>
        <v>#N/A</v>
      </c>
      <c r="T111" s="4" t="str">
        <f t="shared" si="29"/>
        <v/>
      </c>
      <c r="U111" s="4" t="e">
        <f ca="1">VLOOKUP(N111,'COLOR CODE'!$B:$D,2,FALSE)</f>
        <v>#N/A</v>
      </c>
      <c r="V111" s="4" t="str">
        <f t="shared" si="30"/>
        <v/>
      </c>
      <c r="W111" s="4" t="e" cm="1">
        <f t="array" ref="W111">IF(INDEX(Table2[],_xlfn.XMATCH($A111,Table2[Steel Member],0),_xlfn.XMATCH(W$2,Table2[#Headers],0))=0,"",INDEX(Table2[],_xlfn.XMATCH($A111,Table2[Steel Member],0),_xlfn.XMATCH(W$2,Table2[#Headers],0)))</f>
        <v>#N/A</v>
      </c>
      <c r="X111" s="4" t="e">
        <f t="shared" si="52"/>
        <v>#N/A</v>
      </c>
      <c r="Y111" s="4" t="e" cm="1">
        <f t="array" ref="Y111">IF(INDEX(Table2[],_xlfn.XMATCH($A111,Table2[Steel Member],0),_xlfn.XMATCH(Y$2,Table2[#Headers],0))=0,"",INDEX(Table2[],_xlfn.XMATCH($A111,Table2[Steel Member],0),_xlfn.XMATCH(Y$2,Table2[#Headers],0)))</f>
        <v>#N/A</v>
      </c>
      <c r="Z111" s="4" t="e" cm="1">
        <f t="array" ref="Z111">IF(INDEX(Table2[],_xlfn.XMATCH($A111,Table2[Steel Member],0),_xlfn.XMATCH(Z$2,Table2[#Headers],0))=0,"",INDEX(Table2[],_xlfn.XMATCH($A111,Table2[Steel Member],0),_xlfn.XMATCH(Z$2,Table2[#Headers],0)))</f>
        <v>#N/A</v>
      </c>
      <c r="AA111" s="4" t="e" cm="1">
        <f t="array" ref="AA111">IF(INDEX(Table2[],_xlfn.XMATCH($A111,Table2[Steel Member],0),_xlfn.XMATCH(AA$2,Table2[#Headers],0))=0,"",INDEX(Table2[],_xlfn.XMATCH($A111,Table2[Steel Member],0),_xlfn.XMATCH(AA$2,Table2[#Headers],0)))</f>
        <v>#N/A</v>
      </c>
      <c r="AB111" s="4" t="e" cm="1">
        <f t="array" ref="AB111">IF(INDEX(Table2[],_xlfn.XMATCH($A111,Table2[Steel Member],0),_xlfn.XMATCH(AB$2,Table2[#Headers],0))=0,"",INDEX(Table2[],_xlfn.XMATCH($A111,Table2[Steel Member],0),_xlfn.XMATCH(AB$2,Table2[#Headers],0)))</f>
        <v>#N/A</v>
      </c>
      <c r="AC111" s="4" t="str" cm="1">
        <f t="array" ref="AC111">IFERROR(INDEX(Table8[],_xlfn.XMATCH($O111,Table8[Dimension Name Category],0),_xlfn.XMATCH(AC$2&amp;IF($L111," w/ tag"," w/o tag"),Table8[#Headers],0)),"")</f>
        <v/>
      </c>
      <c r="AD111" s="59" t="str">
        <f t="shared" si="31"/>
        <v/>
      </c>
      <c r="AE111" s="4" t="str">
        <f t="shared" si="32"/>
        <v/>
      </c>
      <c r="AF111" s="4" t="str">
        <f t="shared" si="33"/>
        <v/>
      </c>
      <c r="AG111" s="4" t="str" cm="1">
        <f t="array" ref="AG111">IFERROR(INDEX(Table8[],_xlfn.XMATCH($O111,Table8[Dimension Name Category],0),_xlfn.XMATCH(AG$2&amp;IF($L111," w/ tag"," w/o tag"),Table8[#Headers],0)),"")</f>
        <v/>
      </c>
      <c r="AH111" s="59" t="str">
        <f t="shared" si="34"/>
        <v/>
      </c>
      <c r="AI111" s="4"/>
      <c r="AJ111" s="4" t="str">
        <f t="shared" si="35"/>
        <v/>
      </c>
      <c r="AK111" s="4" t="str">
        <f t="shared" si="36"/>
        <v/>
      </c>
      <c r="AL111" s="4" t="e" cm="1">
        <f t="array" ref="AL111">IF(INDEX(Table2[],_xlfn.XMATCH($A111,Table2[Steel Member],0),_xlfn.XMATCH(AL$2,Table2[#Headers],0))=0,"",INDEX(Table2[],_xlfn.XMATCH($A111,Table2[Steel Member],0),_xlfn.XMATCH(AL$2,Table2[#Headers],0)))</f>
        <v>#N/A</v>
      </c>
      <c r="AM111" s="4"/>
      <c r="AN111" s="4" t="str">
        <f t="shared" si="37"/>
        <v/>
      </c>
      <c r="AO111" s="4"/>
      <c r="AP111" s="4" t="e" cm="1">
        <f t="array" ref="AP111">IF(INDEX(Table2[],_xlfn.XMATCH($A111,Table2[Steel Member],0),_xlfn.XMATCH(AP$2,Table2[#Headers],0))=0,"",INDEX(Table2[],_xlfn.XMATCH($A111,Table2[Steel Member],0),_xlfn.XMATCH(AP$2,Table2[#Headers],0)))</f>
        <v>#N/A</v>
      </c>
      <c r="AQ111" s="4"/>
      <c r="AR111" s="4"/>
      <c r="AS111" s="4"/>
      <c r="AT111" s="4"/>
    </row>
    <row r="112" spans="1:46" x14ac:dyDescent="0.25">
      <c r="A112" s="52"/>
      <c r="B112" s="52"/>
      <c r="C112" s="52"/>
      <c r="D112" s="52"/>
      <c r="E112" s="52"/>
      <c r="F112" s="64" cm="1">
        <f t="array" ref="F112">IF(COUNT(FIND(PurlinsxGirthsxBracings,$C112))&gt;0,0,ROUNDUP(IF(D112=0,0,VLOOKUP(D112,'DATA SHEET'!$B:$D,2,FALSE)),2))</f>
        <v>0</v>
      </c>
      <c r="G112" s="64" cm="1">
        <f t="array" ref="G112">IF(COUNT(FIND(PurlinsxGirthsxBracings,$C112))&gt;0,0,ROUNDUP(IF(D112=0,0,VLOOKUP(D112,'DATA SHEET'!$B:$D,3,FALSE)),2))</f>
        <v>0</v>
      </c>
      <c r="H112" s="53"/>
      <c r="I112" s="66" cm="1">
        <f t="array" ref="I112">IF(AND(ISBLANK(B112),ISBLANK(C112),ISBLANK(E112)),0,IF(COUNT(FIND(PurlinsxGirthsxBracings,$C112))&gt;0,IF(B112=0,CONCATENATE(E112," ",C112),CONCATENATE(B112," - ",E112," ",C112)),IF(B112=0,IF(ISBLANK(C112),E112,CONCATENATE(D112,", ",F112,"kg/m, ",G112,"mm surface perimeter")),IF(AND(ISBLANK(C112),ISTEXT(E112)),CONCATENATE(B112," - ",E112),IF(AND(ISBLANK(C112),ISBLANK(E112)),B112,CONCATENATE(B112," - ",D112,", ",F112,"kg/m, ",G112,"mm surface perimeter"))))&amp;IF(ISBLANK(H112),"",H112)))</f>
        <v>0</v>
      </c>
      <c r="J112" s="53"/>
      <c r="L112" s="4" t="str" cm="1">
        <f t="array" ref="L112">IF(COUNT(FIND({0,1,2,3,4,5,6,7,8,9},B112))&gt;0,COUNT(FIND({0,1,2,3,4,5,6,7,8,9},B112))&gt;0,"")</f>
        <v/>
      </c>
      <c r="M112" s="4" t="str" cm="1">
        <f t="array" aca="1" ref="M112" ca="1">IFERROR(_xlfn.IFS(R112="Count",RANDBETWEEN(1,COUNTIF($R$11:$R$653,"Count")),R112="Length",RANDBETWEEN(1,COUNTIF($R$11:$R$653,"Length"))),"")</f>
        <v/>
      </c>
      <c r="N112" s="4" t="str">
        <f ca="1">IFERROR(_xlfn.RANK.EQ(M112,$M$11:$M$653)+COUNTIF($M$11:M112,M112)-1,"")</f>
        <v/>
      </c>
      <c r="O112" s="86" t="str">
        <f>IF(A112='DATA SHEET'!$L$36,C112,IFERROR(IF(AND(ISTEXT(I112),ISBLANK(C112)),"No details",VLOOKUP(C112,DimFolder,2,FALSE)),""))</f>
        <v/>
      </c>
      <c r="P112" s="4" t="str">
        <f t="shared" si="51"/>
        <v/>
      </c>
      <c r="Q112" s="58" t="str">
        <f t="shared" si="38"/>
        <v/>
      </c>
      <c r="R112" s="4" t="e" cm="1">
        <f t="array" ref="R112">IF(INDEX(Table2[],_xlfn.XMATCH($A112,Table2[Steel Member],0),_xlfn.XMATCH(R$2,Table2[#Headers],0))=0,"",INDEX(Table2[],_xlfn.XMATCH($A112,Table2[Steel Member],0),_xlfn.XMATCH(R$2,Table2[#Headers],0)))</f>
        <v>#N/A</v>
      </c>
      <c r="S112" s="4" t="e" cm="1">
        <f t="array" ref="S112">IF(INDEX(Table2[],_xlfn.XMATCH($A112,Table2[Steel Member],0),_xlfn.XMATCH(S$2,Table2[#Headers],0))=0,"",INDEX(Table2[],_xlfn.XMATCH($A112,Table2[Steel Member],0),_xlfn.XMATCH(S$2,Table2[#Headers],0)))</f>
        <v>#N/A</v>
      </c>
      <c r="T112" s="4" t="str">
        <f t="shared" si="29"/>
        <v/>
      </c>
      <c r="U112" s="4" t="e">
        <f ca="1">VLOOKUP(N112,'COLOR CODE'!$B:$D,2,FALSE)</f>
        <v>#N/A</v>
      </c>
      <c r="V112" s="4" t="str">
        <f t="shared" si="30"/>
        <v/>
      </c>
      <c r="W112" s="4" t="e" cm="1">
        <f t="array" ref="W112">IF(INDEX(Table2[],_xlfn.XMATCH($A112,Table2[Steel Member],0),_xlfn.XMATCH(W$2,Table2[#Headers],0))=0,"",INDEX(Table2[],_xlfn.XMATCH($A112,Table2[Steel Member],0),_xlfn.XMATCH(W$2,Table2[#Headers],0)))</f>
        <v>#N/A</v>
      </c>
      <c r="X112" s="4" t="e">
        <f t="shared" si="52"/>
        <v>#N/A</v>
      </c>
      <c r="Y112" s="4" t="e" cm="1">
        <f t="array" ref="Y112">IF(INDEX(Table2[],_xlfn.XMATCH($A112,Table2[Steel Member],0),_xlfn.XMATCH(Y$2,Table2[#Headers],0))=0,"",INDEX(Table2[],_xlfn.XMATCH($A112,Table2[Steel Member],0),_xlfn.XMATCH(Y$2,Table2[#Headers],0)))</f>
        <v>#N/A</v>
      </c>
      <c r="Z112" s="4" t="e" cm="1">
        <f t="array" ref="Z112">IF(INDEX(Table2[],_xlfn.XMATCH($A112,Table2[Steel Member],0),_xlfn.XMATCH(Z$2,Table2[#Headers],0))=0,"",INDEX(Table2[],_xlfn.XMATCH($A112,Table2[Steel Member],0),_xlfn.XMATCH(Z$2,Table2[#Headers],0)))</f>
        <v>#N/A</v>
      </c>
      <c r="AA112" s="4" t="e" cm="1">
        <f t="array" ref="AA112">IF(INDEX(Table2[],_xlfn.XMATCH($A112,Table2[Steel Member],0),_xlfn.XMATCH(AA$2,Table2[#Headers],0))=0,"",INDEX(Table2[],_xlfn.XMATCH($A112,Table2[Steel Member],0),_xlfn.XMATCH(AA$2,Table2[#Headers],0)))</f>
        <v>#N/A</v>
      </c>
      <c r="AB112" s="4" t="e" cm="1">
        <f t="array" ref="AB112">IF(INDEX(Table2[],_xlfn.XMATCH($A112,Table2[Steel Member],0),_xlfn.XMATCH(AB$2,Table2[#Headers],0))=0,"",INDEX(Table2[],_xlfn.XMATCH($A112,Table2[Steel Member],0),_xlfn.XMATCH(AB$2,Table2[#Headers],0)))</f>
        <v>#N/A</v>
      </c>
      <c r="AC112" s="4" t="str" cm="1">
        <f t="array" ref="AC112">IFERROR(INDEX(Table8[],_xlfn.XMATCH($O112,Table8[Dimension Name Category],0),_xlfn.XMATCH(AC$2&amp;IF($L112," w/ tag"," w/o tag"),Table8[#Headers],0)),"")</f>
        <v/>
      </c>
      <c r="AD112" s="59" t="str">
        <f t="shared" si="31"/>
        <v/>
      </c>
      <c r="AE112" s="4" t="str">
        <f t="shared" si="32"/>
        <v/>
      </c>
      <c r="AF112" s="4" t="str">
        <f t="shared" si="33"/>
        <v/>
      </c>
      <c r="AG112" s="4" t="str" cm="1">
        <f t="array" ref="AG112">IFERROR(INDEX(Table8[],_xlfn.XMATCH($O112,Table8[Dimension Name Category],0),_xlfn.XMATCH(AG$2&amp;IF($L112," w/ tag"," w/o tag"),Table8[#Headers],0)),"")</f>
        <v/>
      </c>
      <c r="AH112" s="59" t="str">
        <f t="shared" si="34"/>
        <v/>
      </c>
      <c r="AI112" s="4"/>
      <c r="AJ112" s="4" t="str">
        <f t="shared" si="35"/>
        <v/>
      </c>
      <c r="AK112" s="4" t="str">
        <f t="shared" si="36"/>
        <v/>
      </c>
      <c r="AL112" s="4" t="e" cm="1">
        <f t="array" ref="AL112">IF(INDEX(Table2[],_xlfn.XMATCH($A112,Table2[Steel Member],0),_xlfn.XMATCH(AL$2,Table2[#Headers],0))=0,"",INDEX(Table2[],_xlfn.XMATCH($A112,Table2[Steel Member],0),_xlfn.XMATCH(AL$2,Table2[#Headers],0)))</f>
        <v>#N/A</v>
      </c>
      <c r="AM112" s="4"/>
      <c r="AN112" s="4" t="str">
        <f t="shared" si="37"/>
        <v/>
      </c>
      <c r="AO112" s="4"/>
      <c r="AP112" s="4" t="e" cm="1">
        <f t="array" ref="AP112">IF(INDEX(Table2[],_xlfn.XMATCH($A112,Table2[Steel Member],0),_xlfn.XMATCH(AP$2,Table2[#Headers],0))=0,"",INDEX(Table2[],_xlfn.XMATCH($A112,Table2[Steel Member],0),_xlfn.XMATCH(AP$2,Table2[#Headers],0)))</f>
        <v>#N/A</v>
      </c>
      <c r="AQ112" s="4"/>
      <c r="AR112" s="4"/>
      <c r="AS112" s="4"/>
      <c r="AT112" s="4"/>
    </row>
    <row r="113" spans="1:46" x14ac:dyDescent="0.25">
      <c r="A113" s="52"/>
      <c r="B113" s="52"/>
      <c r="C113" s="52"/>
      <c r="D113" s="52"/>
      <c r="E113" s="52"/>
      <c r="F113" s="64" cm="1">
        <f t="array" ref="F113">IF(COUNT(FIND(PurlinsxGirthsxBracings,$C113))&gt;0,0,ROUNDUP(IF(D113=0,0,VLOOKUP(D113,'DATA SHEET'!$B:$D,2,FALSE)),2))</f>
        <v>0</v>
      </c>
      <c r="G113" s="64" cm="1">
        <f t="array" ref="G113">IF(COUNT(FIND(PurlinsxGirthsxBracings,$C113))&gt;0,0,ROUNDUP(IF(D113=0,0,VLOOKUP(D113,'DATA SHEET'!$B:$D,3,FALSE)),2))</f>
        <v>0</v>
      </c>
      <c r="H113" s="53"/>
      <c r="I113" s="66" cm="1">
        <f t="array" ref="I113">IF(AND(ISBLANK(B113),ISBLANK(C113),ISBLANK(E113)),0,IF(COUNT(FIND(PurlinsxGirthsxBracings,$C113))&gt;0,IF(B113=0,CONCATENATE(E113," ",C113),CONCATENATE(B113," - ",E113," ",C113)),IF(B113=0,IF(ISBLANK(C113),E113,CONCATENATE(D113,", ",F113,"kg/m, ",G113,"mm surface perimeter")),IF(AND(ISBLANK(C113),ISTEXT(E113)),CONCATENATE(B113," - ",E113),IF(AND(ISBLANK(C113),ISBLANK(E113)),B113,CONCATENATE(B113," - ",D113,", ",F113,"kg/m, ",G113,"mm surface perimeter"))))&amp;IF(ISBLANK(H113),"",H113)))</f>
        <v>0</v>
      </c>
      <c r="J113" s="53"/>
      <c r="L113" s="4" t="str" cm="1">
        <f t="array" ref="L113">IF(COUNT(FIND({0,1,2,3,4,5,6,7,8,9},B113))&gt;0,COUNT(FIND({0,1,2,3,4,5,6,7,8,9},B113))&gt;0,"")</f>
        <v/>
      </c>
      <c r="M113" s="4" t="str" cm="1">
        <f t="array" aca="1" ref="M113" ca="1">IFERROR(_xlfn.IFS(R113="Count",RANDBETWEEN(1,COUNTIF($R$11:$R$653,"Count")),R113="Length",RANDBETWEEN(1,COUNTIF($R$11:$R$653,"Length"))),"")</f>
        <v/>
      </c>
      <c r="N113" s="4" t="str">
        <f ca="1">IFERROR(_xlfn.RANK.EQ(M113,$M$11:$M$653)+COUNTIF($M$11:M113,M113)-1,"")</f>
        <v/>
      </c>
      <c r="O113" s="86" t="str">
        <f>IF(A113='DATA SHEET'!$L$36,C113,IFERROR(IF(AND(ISTEXT(I113),ISBLANK(C113)),"No details",VLOOKUP(C113,DimFolder,2,FALSE)),""))</f>
        <v/>
      </c>
      <c r="P113" s="4" t="str">
        <f t="shared" si="51"/>
        <v/>
      </c>
      <c r="Q113" s="58" t="str">
        <f t="shared" si="38"/>
        <v/>
      </c>
      <c r="R113" s="4" t="e" cm="1">
        <f t="array" ref="R113">IF(INDEX(Table2[],_xlfn.XMATCH($A113,Table2[Steel Member],0),_xlfn.XMATCH(R$2,Table2[#Headers],0))=0,"",INDEX(Table2[],_xlfn.XMATCH($A113,Table2[Steel Member],0),_xlfn.XMATCH(R$2,Table2[#Headers],0)))</f>
        <v>#N/A</v>
      </c>
      <c r="S113" s="4" t="e" cm="1">
        <f t="array" ref="S113">IF(INDEX(Table2[],_xlfn.XMATCH($A113,Table2[Steel Member],0),_xlfn.XMATCH(S$2,Table2[#Headers],0))=0,"",INDEX(Table2[],_xlfn.XMATCH($A113,Table2[Steel Member],0),_xlfn.XMATCH(S$2,Table2[#Headers],0)))</f>
        <v>#N/A</v>
      </c>
      <c r="T113" s="4" t="str">
        <f t="shared" si="29"/>
        <v/>
      </c>
      <c r="U113" s="4" t="e">
        <f ca="1">VLOOKUP(N113,'COLOR CODE'!$B:$D,2,FALSE)</f>
        <v>#N/A</v>
      </c>
      <c r="V113" s="4" t="str">
        <f t="shared" si="30"/>
        <v/>
      </c>
      <c r="W113" s="4" t="e" cm="1">
        <f t="array" ref="W113">IF(INDEX(Table2[],_xlfn.XMATCH($A113,Table2[Steel Member],0),_xlfn.XMATCH(W$2,Table2[#Headers],0))=0,"",INDEX(Table2[],_xlfn.XMATCH($A113,Table2[Steel Member],0),_xlfn.XMATCH(W$2,Table2[#Headers],0)))</f>
        <v>#N/A</v>
      </c>
      <c r="X113" s="4" t="e">
        <f t="shared" si="52"/>
        <v>#N/A</v>
      </c>
      <c r="Y113" s="4" t="e" cm="1">
        <f t="array" ref="Y113">IF(INDEX(Table2[],_xlfn.XMATCH($A113,Table2[Steel Member],0),_xlfn.XMATCH(Y$2,Table2[#Headers],0))=0,"",INDEX(Table2[],_xlfn.XMATCH($A113,Table2[Steel Member],0),_xlfn.XMATCH(Y$2,Table2[#Headers],0)))</f>
        <v>#N/A</v>
      </c>
      <c r="Z113" s="4" t="e" cm="1">
        <f t="array" ref="Z113">IF(INDEX(Table2[],_xlfn.XMATCH($A113,Table2[Steel Member],0),_xlfn.XMATCH(Z$2,Table2[#Headers],0))=0,"",INDEX(Table2[],_xlfn.XMATCH($A113,Table2[Steel Member],0),_xlfn.XMATCH(Z$2,Table2[#Headers],0)))</f>
        <v>#N/A</v>
      </c>
      <c r="AA113" s="4" t="e" cm="1">
        <f t="array" ref="AA113">IF(INDEX(Table2[],_xlfn.XMATCH($A113,Table2[Steel Member],0),_xlfn.XMATCH(AA$2,Table2[#Headers],0))=0,"",INDEX(Table2[],_xlfn.XMATCH($A113,Table2[Steel Member],0),_xlfn.XMATCH(AA$2,Table2[#Headers],0)))</f>
        <v>#N/A</v>
      </c>
      <c r="AB113" s="4" t="e" cm="1">
        <f t="array" ref="AB113">IF(INDEX(Table2[],_xlfn.XMATCH($A113,Table2[Steel Member],0),_xlfn.XMATCH(AB$2,Table2[#Headers],0))=0,"",INDEX(Table2[],_xlfn.XMATCH($A113,Table2[Steel Member],0),_xlfn.XMATCH(AB$2,Table2[#Headers],0)))</f>
        <v>#N/A</v>
      </c>
      <c r="AC113" s="4" t="str" cm="1">
        <f t="array" ref="AC113">IFERROR(INDEX(Table8[],_xlfn.XMATCH($O113,Table8[Dimension Name Category],0),_xlfn.XMATCH(AC$2&amp;IF($L113," w/ tag"," w/o tag"),Table8[#Headers],0)),"")</f>
        <v/>
      </c>
      <c r="AD113" s="59" t="str">
        <f t="shared" si="31"/>
        <v/>
      </c>
      <c r="AE113" s="4" t="str">
        <f t="shared" si="32"/>
        <v/>
      </c>
      <c r="AF113" s="4" t="str">
        <f t="shared" si="33"/>
        <v/>
      </c>
      <c r="AG113" s="4" t="str" cm="1">
        <f t="array" ref="AG113">IFERROR(INDEX(Table8[],_xlfn.XMATCH($O113,Table8[Dimension Name Category],0),_xlfn.XMATCH(AG$2&amp;IF($L113," w/ tag"," w/o tag"),Table8[#Headers],0)),"")</f>
        <v/>
      </c>
      <c r="AH113" s="59" t="str">
        <f t="shared" si="34"/>
        <v/>
      </c>
      <c r="AI113" s="4"/>
      <c r="AJ113" s="4" t="str">
        <f t="shared" si="35"/>
        <v/>
      </c>
      <c r="AK113" s="4" t="str">
        <f t="shared" si="36"/>
        <v/>
      </c>
      <c r="AL113" s="4" t="e" cm="1">
        <f t="array" ref="AL113">IF(INDEX(Table2[],_xlfn.XMATCH($A113,Table2[Steel Member],0),_xlfn.XMATCH(AL$2,Table2[#Headers],0))=0,"",INDEX(Table2[],_xlfn.XMATCH($A113,Table2[Steel Member],0),_xlfn.XMATCH(AL$2,Table2[#Headers],0)))</f>
        <v>#N/A</v>
      </c>
      <c r="AM113" s="4"/>
      <c r="AN113" s="4" t="str">
        <f t="shared" si="37"/>
        <v/>
      </c>
      <c r="AO113" s="4"/>
      <c r="AP113" s="4" t="e" cm="1">
        <f t="array" ref="AP113">IF(INDEX(Table2[],_xlfn.XMATCH($A113,Table2[Steel Member],0),_xlfn.XMATCH(AP$2,Table2[#Headers],0))=0,"",INDEX(Table2[],_xlfn.XMATCH($A113,Table2[Steel Member],0),_xlfn.XMATCH(AP$2,Table2[#Headers],0)))</f>
        <v>#N/A</v>
      </c>
      <c r="AQ113" s="4"/>
      <c r="AR113" s="4"/>
      <c r="AS113" s="4"/>
      <c r="AT113" s="4"/>
    </row>
    <row r="114" spans="1:46" x14ac:dyDescent="0.25">
      <c r="A114" s="52"/>
      <c r="B114" s="52"/>
      <c r="C114" s="52"/>
      <c r="D114" s="52"/>
      <c r="E114" s="52"/>
      <c r="F114" s="64" cm="1">
        <f t="array" ref="F114">IF(COUNT(FIND(PurlinsxGirthsxBracings,$C114))&gt;0,0,ROUNDUP(IF(D114=0,0,VLOOKUP(D114,'DATA SHEET'!$B:$D,2,FALSE)),2))</f>
        <v>0</v>
      </c>
      <c r="G114" s="64" cm="1">
        <f t="array" ref="G114">IF(COUNT(FIND(PurlinsxGirthsxBracings,$C114))&gt;0,0,ROUNDUP(IF(D114=0,0,VLOOKUP(D114,'DATA SHEET'!$B:$D,3,FALSE)),2))</f>
        <v>0</v>
      </c>
      <c r="H114" s="53"/>
      <c r="I114" s="66" cm="1">
        <f t="array" ref="I114">IF(AND(ISBLANK(B114),ISBLANK(C114),ISBLANK(E114)),0,IF(COUNT(FIND(PurlinsxGirthsxBracings,$C114))&gt;0,IF(B114=0,CONCATENATE(E114," ",C114),CONCATENATE(B114," - ",E114," ",C114)),IF(B114=0,IF(ISBLANK(C114),E114,CONCATENATE(D114,", ",F114,"kg/m, ",G114,"mm surface perimeter")),IF(AND(ISBLANK(C114),ISTEXT(E114)),CONCATENATE(B114," - ",E114),IF(AND(ISBLANK(C114),ISBLANK(E114)),B114,CONCATENATE(B114," - ",D114,", ",F114,"kg/m, ",G114,"mm surface perimeter"))))&amp;IF(ISBLANK(H114),"",H114)))</f>
        <v>0</v>
      </c>
      <c r="J114" s="53"/>
      <c r="L114" s="4" t="str" cm="1">
        <f t="array" ref="L114">IF(COUNT(FIND({0,1,2,3,4,5,6,7,8,9},B114))&gt;0,COUNT(FIND({0,1,2,3,4,5,6,7,8,9},B114))&gt;0,"")</f>
        <v/>
      </c>
      <c r="M114" s="4" t="str" cm="1">
        <f t="array" aca="1" ref="M114" ca="1">IFERROR(_xlfn.IFS(R114="Count",RANDBETWEEN(1,COUNTIF($R$11:$R$653,"Count")),R114="Length",RANDBETWEEN(1,COUNTIF($R$11:$R$653,"Length"))),"")</f>
        <v/>
      </c>
      <c r="N114" s="4" t="str">
        <f ca="1">IFERROR(_xlfn.RANK.EQ(M114,$M$11:$M$653)+COUNTIF($M$11:M114,M114)-1,"")</f>
        <v/>
      </c>
      <c r="O114" s="86" t="str">
        <f>IF(A114='DATA SHEET'!$L$36,C114,IFERROR(IF(AND(ISTEXT(I114),ISBLANK(C114)),"No details",VLOOKUP(C114,DimFolder,2,FALSE)),""))</f>
        <v/>
      </c>
      <c r="P114" s="4" t="str">
        <f t="shared" si="51"/>
        <v/>
      </c>
      <c r="Q114" s="58" t="str">
        <f t="shared" si="38"/>
        <v/>
      </c>
      <c r="R114" s="4" t="e" cm="1">
        <f t="array" ref="R114">IF(INDEX(Table2[],_xlfn.XMATCH($A114,Table2[Steel Member],0),_xlfn.XMATCH(R$2,Table2[#Headers],0))=0,"",INDEX(Table2[],_xlfn.XMATCH($A114,Table2[Steel Member],0),_xlfn.XMATCH(R$2,Table2[#Headers],0)))</f>
        <v>#N/A</v>
      </c>
      <c r="S114" s="4" t="e" cm="1">
        <f t="array" ref="S114">IF(INDEX(Table2[],_xlfn.XMATCH($A114,Table2[Steel Member],0),_xlfn.XMATCH(S$2,Table2[#Headers],0))=0,"",INDEX(Table2[],_xlfn.XMATCH($A114,Table2[Steel Member],0),_xlfn.XMATCH(S$2,Table2[#Headers],0)))</f>
        <v>#N/A</v>
      </c>
      <c r="T114" s="4" t="str">
        <f t="shared" si="29"/>
        <v/>
      </c>
      <c r="U114" s="4" t="e">
        <f ca="1">VLOOKUP(N114,'COLOR CODE'!$B:$D,2,FALSE)</f>
        <v>#N/A</v>
      </c>
      <c r="V114" s="4" t="str">
        <f t="shared" si="30"/>
        <v/>
      </c>
      <c r="W114" s="4" t="e" cm="1">
        <f t="array" ref="W114">IF(INDEX(Table2[],_xlfn.XMATCH($A114,Table2[Steel Member],0),_xlfn.XMATCH(W$2,Table2[#Headers],0))=0,"",INDEX(Table2[],_xlfn.XMATCH($A114,Table2[Steel Member],0),_xlfn.XMATCH(W$2,Table2[#Headers],0)))</f>
        <v>#N/A</v>
      </c>
      <c r="X114" s="4" t="e">
        <f t="shared" ref="X114:X142" si="53">W114</f>
        <v>#N/A</v>
      </c>
      <c r="Y114" s="4" t="e" cm="1">
        <f t="array" ref="Y114">IF(INDEX(Table2[],_xlfn.XMATCH($A114,Table2[Steel Member],0),_xlfn.XMATCH(Y$2,Table2[#Headers],0))=0,"",INDEX(Table2[],_xlfn.XMATCH($A114,Table2[Steel Member],0),_xlfn.XMATCH(Y$2,Table2[#Headers],0)))</f>
        <v>#N/A</v>
      </c>
      <c r="Z114" s="4" t="e" cm="1">
        <f t="array" ref="Z114">IF(INDEX(Table2[],_xlfn.XMATCH($A114,Table2[Steel Member],0),_xlfn.XMATCH(Z$2,Table2[#Headers],0))=0,"",INDEX(Table2[],_xlfn.XMATCH($A114,Table2[Steel Member],0),_xlfn.XMATCH(Z$2,Table2[#Headers],0)))</f>
        <v>#N/A</v>
      </c>
      <c r="AA114" s="4" t="e" cm="1">
        <f t="array" ref="AA114">IF(INDEX(Table2[],_xlfn.XMATCH($A114,Table2[Steel Member],0),_xlfn.XMATCH(AA$2,Table2[#Headers],0))=0,"",INDEX(Table2[],_xlfn.XMATCH($A114,Table2[Steel Member],0),_xlfn.XMATCH(AA$2,Table2[#Headers],0)))</f>
        <v>#N/A</v>
      </c>
      <c r="AB114" s="4" t="e" cm="1">
        <f t="array" ref="AB114">IF(INDEX(Table2[],_xlfn.XMATCH($A114,Table2[Steel Member],0),_xlfn.XMATCH(AB$2,Table2[#Headers],0))=0,"",INDEX(Table2[],_xlfn.XMATCH($A114,Table2[Steel Member],0),_xlfn.XMATCH(AB$2,Table2[#Headers],0)))</f>
        <v>#N/A</v>
      </c>
      <c r="AC114" s="4" t="str" cm="1">
        <f t="array" ref="AC114">IFERROR(INDEX(Table8[],_xlfn.XMATCH($O114,Table8[Dimension Name Category],0),_xlfn.XMATCH(AC$2&amp;IF($L114," w/ tag"," w/o tag"),Table8[#Headers],0)),"")</f>
        <v/>
      </c>
      <c r="AD114" s="59" t="str">
        <f t="shared" si="31"/>
        <v/>
      </c>
      <c r="AE114" s="4" t="str">
        <f t="shared" si="32"/>
        <v/>
      </c>
      <c r="AF114" s="4" t="str">
        <f t="shared" si="33"/>
        <v/>
      </c>
      <c r="AG114" s="4" t="str" cm="1">
        <f t="array" ref="AG114">IFERROR(INDEX(Table8[],_xlfn.XMATCH($O114,Table8[Dimension Name Category],0),_xlfn.XMATCH(AG$2&amp;IF($L114," w/ tag"," w/o tag"),Table8[#Headers],0)),"")</f>
        <v/>
      </c>
      <c r="AH114" s="59" t="str">
        <f t="shared" si="34"/>
        <v/>
      </c>
      <c r="AI114" s="4"/>
      <c r="AJ114" s="4" t="str">
        <f t="shared" si="35"/>
        <v/>
      </c>
      <c r="AK114" s="4" t="str">
        <f t="shared" si="36"/>
        <v/>
      </c>
      <c r="AL114" s="4" t="e" cm="1">
        <f t="array" ref="AL114">IF(INDEX(Table2[],_xlfn.XMATCH($A114,Table2[Steel Member],0),_xlfn.XMATCH(AL$2,Table2[#Headers],0))=0,"",INDEX(Table2[],_xlfn.XMATCH($A114,Table2[Steel Member],0),_xlfn.XMATCH(AL$2,Table2[#Headers],0)))</f>
        <v>#N/A</v>
      </c>
      <c r="AM114" s="4"/>
      <c r="AN114" s="4" t="str">
        <f t="shared" si="37"/>
        <v/>
      </c>
      <c r="AO114" s="4"/>
      <c r="AP114" s="4" t="e" cm="1">
        <f t="array" ref="AP114">IF(INDEX(Table2[],_xlfn.XMATCH($A114,Table2[Steel Member],0),_xlfn.XMATCH(AP$2,Table2[#Headers],0))=0,"",INDEX(Table2[],_xlfn.XMATCH($A114,Table2[Steel Member],0),_xlfn.XMATCH(AP$2,Table2[#Headers],0)))</f>
        <v>#N/A</v>
      </c>
      <c r="AQ114" s="4"/>
      <c r="AR114" s="4"/>
      <c r="AS114" s="4"/>
      <c r="AT114" s="4"/>
    </row>
    <row r="115" spans="1:46" x14ac:dyDescent="0.25">
      <c r="A115" s="52"/>
      <c r="B115" s="52"/>
      <c r="C115" s="52"/>
      <c r="D115" s="52"/>
      <c r="E115" s="52"/>
      <c r="F115" s="64" cm="1">
        <f t="array" ref="F115">IF(COUNT(FIND(PurlinsxGirthsxBracings,$C115))&gt;0,0,ROUNDUP(IF(D115=0,0,VLOOKUP(D115,'DATA SHEET'!$B:$D,2,FALSE)),2))</f>
        <v>0</v>
      </c>
      <c r="G115" s="64" cm="1">
        <f t="array" ref="G115">IF(COUNT(FIND(PurlinsxGirthsxBracings,$C115))&gt;0,0,ROUNDUP(IF(D115=0,0,VLOOKUP(D115,'DATA SHEET'!$B:$D,3,FALSE)),2))</f>
        <v>0</v>
      </c>
      <c r="H115" s="53"/>
      <c r="I115" s="66" cm="1">
        <f t="array" ref="I115">IF(AND(ISBLANK(B115),ISBLANK(C115),ISBLANK(E115)),0,IF(COUNT(FIND(PurlinsxGirthsxBracings,$C115))&gt;0,IF(B115=0,CONCATENATE(E115," ",C115),CONCATENATE(B115," - ",E115," ",C115)),IF(B115=0,IF(ISBLANK(C115),E115,CONCATENATE(D115,", ",F115,"kg/m, ",G115,"mm surface perimeter")),IF(AND(ISBLANK(C115),ISTEXT(E115)),CONCATENATE(B115," - ",E115),IF(AND(ISBLANK(C115),ISBLANK(E115)),B115,CONCATENATE(B115," - ",D115,", ",F115,"kg/m, ",G115,"mm surface perimeter"))))&amp;IF(ISBLANK(H115),"",H115)))</f>
        <v>0</v>
      </c>
      <c r="J115" s="53"/>
      <c r="L115" s="4" t="str" cm="1">
        <f t="array" ref="L115">IF(COUNT(FIND({0,1,2,3,4,5,6,7,8,9},B115))&gt;0,COUNT(FIND({0,1,2,3,4,5,6,7,8,9},B115))&gt;0,"")</f>
        <v/>
      </c>
      <c r="M115" s="4" t="str" cm="1">
        <f t="array" aca="1" ref="M115" ca="1">IFERROR(_xlfn.IFS(R115="Count",RANDBETWEEN(1,COUNTIF($R$11:$R$653,"Count")),R115="Length",RANDBETWEEN(1,COUNTIF($R$11:$R$653,"Length"))),"")</f>
        <v/>
      </c>
      <c r="N115" s="4" t="str">
        <f ca="1">IFERROR(_xlfn.RANK.EQ(M115,$M$11:$M$653)+COUNTIF($M$11:M115,M115)-1,"")</f>
        <v/>
      </c>
      <c r="O115" s="86" t="str">
        <f>IF(A115='DATA SHEET'!$L$36,C115,IFERROR(IF(AND(ISTEXT(I115),ISBLANK(C115)),"No details",VLOOKUP(C115,DimFolder,2,FALSE)),""))</f>
        <v/>
      </c>
      <c r="P115" s="4" t="str">
        <f t="shared" si="51"/>
        <v/>
      </c>
      <c r="Q115" s="58" t="str">
        <f t="shared" si="38"/>
        <v/>
      </c>
      <c r="R115" s="4" t="e" cm="1">
        <f t="array" ref="R115">IF(INDEX(Table2[],_xlfn.XMATCH($A115,Table2[Steel Member],0),_xlfn.XMATCH(R$2,Table2[#Headers],0))=0,"",INDEX(Table2[],_xlfn.XMATCH($A115,Table2[Steel Member],0),_xlfn.XMATCH(R$2,Table2[#Headers],0)))</f>
        <v>#N/A</v>
      </c>
      <c r="S115" s="4" t="e" cm="1">
        <f t="array" ref="S115">IF(INDEX(Table2[],_xlfn.XMATCH($A115,Table2[Steel Member],0),_xlfn.XMATCH(S$2,Table2[#Headers],0))=0,"",INDEX(Table2[],_xlfn.XMATCH($A115,Table2[Steel Member],0),_xlfn.XMATCH(S$2,Table2[#Headers],0)))</f>
        <v>#N/A</v>
      </c>
      <c r="T115" s="4" t="str">
        <f t="shared" si="29"/>
        <v/>
      </c>
      <c r="U115" s="4" t="e">
        <f ca="1">VLOOKUP(N115,'COLOR CODE'!$B:$D,2,FALSE)</f>
        <v>#N/A</v>
      </c>
      <c r="V115" s="4" t="str">
        <f t="shared" si="30"/>
        <v/>
      </c>
      <c r="W115" s="4" t="e" cm="1">
        <f t="array" ref="W115">IF(INDEX(Table2[],_xlfn.XMATCH($A115,Table2[Steel Member],0),_xlfn.XMATCH(W$2,Table2[#Headers],0))=0,"",INDEX(Table2[],_xlfn.XMATCH($A115,Table2[Steel Member],0),_xlfn.XMATCH(W$2,Table2[#Headers],0)))</f>
        <v>#N/A</v>
      </c>
      <c r="X115" s="4" t="e">
        <f t="shared" si="53"/>
        <v>#N/A</v>
      </c>
      <c r="Y115" s="4" t="e" cm="1">
        <f t="array" ref="Y115">IF(INDEX(Table2[],_xlfn.XMATCH($A115,Table2[Steel Member],0),_xlfn.XMATCH(Y$2,Table2[#Headers],0))=0,"",INDEX(Table2[],_xlfn.XMATCH($A115,Table2[Steel Member],0),_xlfn.XMATCH(Y$2,Table2[#Headers],0)))</f>
        <v>#N/A</v>
      </c>
      <c r="Z115" s="4" t="e" cm="1">
        <f t="array" ref="Z115">IF(INDEX(Table2[],_xlfn.XMATCH($A115,Table2[Steel Member],0),_xlfn.XMATCH(Z$2,Table2[#Headers],0))=0,"",INDEX(Table2[],_xlfn.XMATCH($A115,Table2[Steel Member],0),_xlfn.XMATCH(Z$2,Table2[#Headers],0)))</f>
        <v>#N/A</v>
      </c>
      <c r="AA115" s="4" t="e" cm="1">
        <f t="array" ref="AA115">IF(INDEX(Table2[],_xlfn.XMATCH($A115,Table2[Steel Member],0),_xlfn.XMATCH(AA$2,Table2[#Headers],0))=0,"",INDEX(Table2[],_xlfn.XMATCH($A115,Table2[Steel Member],0),_xlfn.XMATCH(AA$2,Table2[#Headers],0)))</f>
        <v>#N/A</v>
      </c>
      <c r="AB115" s="4" t="e" cm="1">
        <f t="array" ref="AB115">IF(INDEX(Table2[],_xlfn.XMATCH($A115,Table2[Steel Member],0),_xlfn.XMATCH(AB$2,Table2[#Headers],0))=0,"",INDEX(Table2[],_xlfn.XMATCH($A115,Table2[Steel Member],0),_xlfn.XMATCH(AB$2,Table2[#Headers],0)))</f>
        <v>#N/A</v>
      </c>
      <c r="AC115" s="4" t="str" cm="1">
        <f t="array" ref="AC115">IFERROR(INDEX(Table8[],_xlfn.XMATCH($O115,Table8[Dimension Name Category],0),_xlfn.XMATCH(AC$2&amp;IF($L115," w/ tag"," w/o tag"),Table8[#Headers],0)),"")</f>
        <v/>
      </c>
      <c r="AD115" s="59" t="str">
        <f t="shared" si="31"/>
        <v/>
      </c>
      <c r="AE115" s="4" t="str">
        <f t="shared" si="32"/>
        <v/>
      </c>
      <c r="AF115" s="4" t="str">
        <f t="shared" si="33"/>
        <v/>
      </c>
      <c r="AG115" s="4" t="str" cm="1">
        <f t="array" ref="AG115">IFERROR(INDEX(Table8[],_xlfn.XMATCH($O115,Table8[Dimension Name Category],0),_xlfn.XMATCH(AG$2&amp;IF($L115," w/ tag"," w/o tag"),Table8[#Headers],0)),"")</f>
        <v/>
      </c>
      <c r="AH115" s="59" t="str">
        <f t="shared" si="34"/>
        <v/>
      </c>
      <c r="AI115" s="4"/>
      <c r="AJ115" s="4" t="str">
        <f t="shared" si="35"/>
        <v/>
      </c>
      <c r="AK115" s="4" t="str">
        <f t="shared" si="36"/>
        <v/>
      </c>
      <c r="AL115" s="4" t="e" cm="1">
        <f t="array" ref="AL115">IF(INDEX(Table2[],_xlfn.XMATCH($A115,Table2[Steel Member],0),_xlfn.XMATCH(AL$2,Table2[#Headers],0))=0,"",INDEX(Table2[],_xlfn.XMATCH($A115,Table2[Steel Member],0),_xlfn.XMATCH(AL$2,Table2[#Headers],0)))</f>
        <v>#N/A</v>
      </c>
      <c r="AM115" s="4"/>
      <c r="AN115" s="4" t="str">
        <f t="shared" si="37"/>
        <v/>
      </c>
      <c r="AO115" s="4"/>
      <c r="AP115" s="4" t="e" cm="1">
        <f t="array" ref="AP115">IF(INDEX(Table2[],_xlfn.XMATCH($A115,Table2[Steel Member],0),_xlfn.XMATCH(AP$2,Table2[#Headers],0))=0,"",INDEX(Table2[],_xlfn.XMATCH($A115,Table2[Steel Member],0),_xlfn.XMATCH(AP$2,Table2[#Headers],0)))</f>
        <v>#N/A</v>
      </c>
      <c r="AQ115" s="4"/>
      <c r="AR115" s="4"/>
      <c r="AS115" s="4"/>
      <c r="AT115" s="4"/>
    </row>
    <row r="116" spans="1:46" x14ac:dyDescent="0.25">
      <c r="A116" s="52"/>
      <c r="B116" s="52"/>
      <c r="C116" s="52"/>
      <c r="D116" s="52"/>
      <c r="E116" s="52"/>
      <c r="F116" s="64" cm="1">
        <f t="array" ref="F116">IF(COUNT(FIND(PurlinsxGirthsxBracings,$C116))&gt;0,0,ROUNDUP(IF(D116=0,0,VLOOKUP(D116,'DATA SHEET'!$B:$D,2,FALSE)),2))</f>
        <v>0</v>
      </c>
      <c r="G116" s="64" cm="1">
        <f t="array" ref="G116">IF(COUNT(FIND(PurlinsxGirthsxBracings,$C116))&gt;0,0,ROUNDUP(IF(D116=0,0,VLOOKUP(D116,'DATA SHEET'!$B:$D,3,FALSE)),2))</f>
        <v>0</v>
      </c>
      <c r="H116" s="53"/>
      <c r="I116" s="66" cm="1">
        <f t="array" ref="I116">IF(AND(ISBLANK(B116),ISBLANK(C116),ISBLANK(E116)),0,IF(COUNT(FIND(PurlinsxGirthsxBracings,$C116))&gt;0,IF(B116=0,CONCATENATE(E116," ",C116),CONCATENATE(B116," - ",E116," ",C116)),IF(B116=0,IF(ISBLANK(C116),E116,CONCATENATE(D116,", ",F116,"kg/m, ",G116,"mm surface perimeter")),IF(AND(ISBLANK(C116),ISTEXT(E116)),CONCATENATE(B116," - ",E116),IF(AND(ISBLANK(C116),ISBLANK(E116)),B116,CONCATENATE(B116," - ",D116,", ",F116,"kg/m, ",G116,"mm surface perimeter"))))&amp;IF(ISBLANK(H116),"",H116)))</f>
        <v>0</v>
      </c>
      <c r="J116" s="53"/>
      <c r="L116" s="4" t="str" cm="1">
        <f t="array" ref="L116">IF(COUNT(FIND({0,1,2,3,4,5,6,7,8,9},B116))&gt;0,COUNT(FIND({0,1,2,3,4,5,6,7,8,9},B116))&gt;0,"")</f>
        <v/>
      </c>
      <c r="M116" s="4" t="str" cm="1">
        <f t="array" aca="1" ref="M116" ca="1">IFERROR(_xlfn.IFS(R116="Count",RANDBETWEEN(1,COUNTIF($R$11:$R$653,"Count")),R116="Length",RANDBETWEEN(1,COUNTIF($R$11:$R$653,"Length"))),"")</f>
        <v/>
      </c>
      <c r="N116" s="4" t="str">
        <f ca="1">IFERROR(_xlfn.RANK.EQ(M116,$M$11:$M$653)+COUNTIF($M$11:M116,M116)-1,"")</f>
        <v/>
      </c>
      <c r="O116" s="86" t="str">
        <f>IF(A116='DATA SHEET'!$L$36,C116,IFERROR(IF(AND(ISTEXT(I116),ISBLANK(C116)),"No details",VLOOKUP(C116,DimFolder,2,FALSE)),""))</f>
        <v/>
      </c>
      <c r="P116" s="4" t="str">
        <f t="shared" si="51"/>
        <v/>
      </c>
      <c r="Q116" s="58" t="str">
        <f t="shared" si="38"/>
        <v/>
      </c>
      <c r="R116" s="4" t="e" cm="1">
        <f t="array" ref="R116">IF(INDEX(Table2[],_xlfn.XMATCH($A116,Table2[Steel Member],0),_xlfn.XMATCH(R$2,Table2[#Headers],0))=0,"",INDEX(Table2[],_xlfn.XMATCH($A116,Table2[Steel Member],0),_xlfn.XMATCH(R$2,Table2[#Headers],0)))</f>
        <v>#N/A</v>
      </c>
      <c r="S116" s="4" t="e" cm="1">
        <f t="array" ref="S116">IF(INDEX(Table2[],_xlfn.XMATCH($A116,Table2[Steel Member],0),_xlfn.XMATCH(S$2,Table2[#Headers],0))=0,"",INDEX(Table2[],_xlfn.XMATCH($A116,Table2[Steel Member],0),_xlfn.XMATCH(S$2,Table2[#Headers],0)))</f>
        <v>#N/A</v>
      </c>
      <c r="T116" s="4" t="str">
        <f t="shared" si="29"/>
        <v/>
      </c>
      <c r="U116" s="4" t="e">
        <f ca="1">VLOOKUP(N116,'COLOR CODE'!$B:$D,2,FALSE)</f>
        <v>#N/A</v>
      </c>
      <c r="V116" s="4" t="str">
        <f t="shared" si="30"/>
        <v/>
      </c>
      <c r="W116" s="4" t="e" cm="1">
        <f t="array" ref="W116">IF(INDEX(Table2[],_xlfn.XMATCH($A116,Table2[Steel Member],0),_xlfn.XMATCH(W$2,Table2[#Headers],0))=0,"",INDEX(Table2[],_xlfn.XMATCH($A116,Table2[Steel Member],0),_xlfn.XMATCH(W$2,Table2[#Headers],0)))</f>
        <v>#N/A</v>
      </c>
      <c r="X116" s="4" t="e">
        <f t="shared" si="53"/>
        <v>#N/A</v>
      </c>
      <c r="Y116" s="4" t="e" cm="1">
        <f t="array" ref="Y116">IF(INDEX(Table2[],_xlfn.XMATCH($A116,Table2[Steel Member],0),_xlfn.XMATCH(Y$2,Table2[#Headers],0))=0,"",INDEX(Table2[],_xlfn.XMATCH($A116,Table2[Steel Member],0),_xlfn.XMATCH(Y$2,Table2[#Headers],0)))</f>
        <v>#N/A</v>
      </c>
      <c r="Z116" s="4" t="e" cm="1">
        <f t="array" ref="Z116">IF(INDEX(Table2[],_xlfn.XMATCH($A116,Table2[Steel Member],0),_xlfn.XMATCH(Z$2,Table2[#Headers],0))=0,"",INDEX(Table2[],_xlfn.XMATCH($A116,Table2[Steel Member],0),_xlfn.XMATCH(Z$2,Table2[#Headers],0)))</f>
        <v>#N/A</v>
      </c>
      <c r="AA116" s="4" t="e" cm="1">
        <f t="array" ref="AA116">IF(INDEX(Table2[],_xlfn.XMATCH($A116,Table2[Steel Member],0),_xlfn.XMATCH(AA$2,Table2[#Headers],0))=0,"",INDEX(Table2[],_xlfn.XMATCH($A116,Table2[Steel Member],0),_xlfn.XMATCH(AA$2,Table2[#Headers],0)))</f>
        <v>#N/A</v>
      </c>
      <c r="AB116" s="4" t="e" cm="1">
        <f t="array" ref="AB116">IF(INDEX(Table2[],_xlfn.XMATCH($A116,Table2[Steel Member],0),_xlfn.XMATCH(AB$2,Table2[#Headers],0))=0,"",INDEX(Table2[],_xlfn.XMATCH($A116,Table2[Steel Member],0),_xlfn.XMATCH(AB$2,Table2[#Headers],0)))</f>
        <v>#N/A</v>
      </c>
      <c r="AC116" s="4" t="str" cm="1">
        <f t="array" ref="AC116">IFERROR(INDEX(Table8[],_xlfn.XMATCH($O116,Table8[Dimension Name Category],0),_xlfn.XMATCH(AC$2&amp;IF($L116," w/ tag"," w/o tag"),Table8[#Headers],0)),"")</f>
        <v/>
      </c>
      <c r="AD116" s="59" t="str">
        <f t="shared" si="31"/>
        <v/>
      </c>
      <c r="AE116" s="4" t="str">
        <f t="shared" si="32"/>
        <v/>
      </c>
      <c r="AF116" s="4" t="str">
        <f t="shared" si="33"/>
        <v/>
      </c>
      <c r="AG116" s="4" t="str" cm="1">
        <f t="array" ref="AG116">IFERROR(INDEX(Table8[],_xlfn.XMATCH($O116,Table8[Dimension Name Category],0),_xlfn.XMATCH(AG$2&amp;IF($L116," w/ tag"," w/o tag"),Table8[#Headers],0)),"")</f>
        <v/>
      </c>
      <c r="AH116" s="59" t="str">
        <f t="shared" si="34"/>
        <v/>
      </c>
      <c r="AI116" s="4"/>
      <c r="AJ116" s="4" t="str">
        <f t="shared" si="35"/>
        <v/>
      </c>
      <c r="AK116" s="4" t="str">
        <f t="shared" si="36"/>
        <v/>
      </c>
      <c r="AL116" s="4" t="e" cm="1">
        <f t="array" ref="AL116">IF(INDEX(Table2[],_xlfn.XMATCH($A116,Table2[Steel Member],0),_xlfn.XMATCH(AL$2,Table2[#Headers],0))=0,"",INDEX(Table2[],_xlfn.XMATCH($A116,Table2[Steel Member],0),_xlfn.XMATCH(AL$2,Table2[#Headers],0)))</f>
        <v>#N/A</v>
      </c>
      <c r="AM116" s="4"/>
      <c r="AN116" s="4" t="str">
        <f t="shared" si="37"/>
        <v/>
      </c>
      <c r="AO116" s="4"/>
      <c r="AP116" s="4" t="e" cm="1">
        <f t="array" ref="AP116">IF(INDEX(Table2[],_xlfn.XMATCH($A116,Table2[Steel Member],0),_xlfn.XMATCH(AP$2,Table2[#Headers],0))=0,"",INDEX(Table2[],_xlfn.XMATCH($A116,Table2[Steel Member],0),_xlfn.XMATCH(AP$2,Table2[#Headers],0)))</f>
        <v>#N/A</v>
      </c>
      <c r="AQ116" s="4"/>
      <c r="AR116" s="4"/>
      <c r="AS116" s="4"/>
      <c r="AT116" s="4"/>
    </row>
    <row r="117" spans="1:46" x14ac:dyDescent="0.25">
      <c r="A117" s="52"/>
      <c r="B117" s="52"/>
      <c r="C117" s="52"/>
      <c r="D117" s="52"/>
      <c r="E117" s="52"/>
      <c r="F117" s="64" cm="1">
        <f t="array" ref="F117">IF(COUNT(FIND(PurlinsxGirthsxBracings,$C117))&gt;0,0,ROUNDUP(IF(D117=0,0,VLOOKUP(D117,'DATA SHEET'!$B:$D,2,FALSE)),2))</f>
        <v>0</v>
      </c>
      <c r="G117" s="64" cm="1">
        <f t="array" ref="G117">IF(COUNT(FIND(PurlinsxGirthsxBracings,$C117))&gt;0,0,ROUNDUP(IF(D117=0,0,VLOOKUP(D117,'DATA SHEET'!$B:$D,3,FALSE)),2))</f>
        <v>0</v>
      </c>
      <c r="H117" s="53"/>
      <c r="I117" s="66" cm="1">
        <f t="array" ref="I117">IF(AND(ISBLANK(B117),ISBLANK(C117),ISBLANK(E117)),0,IF(COUNT(FIND(PurlinsxGirthsxBracings,$C117))&gt;0,IF(B117=0,CONCATENATE(E117," ",C117),CONCATENATE(B117," - ",E117," ",C117)),IF(B117=0,IF(ISBLANK(C117),E117,CONCATENATE(D117,", ",F117,"kg/m, ",G117,"mm surface perimeter")),IF(AND(ISBLANK(C117),ISTEXT(E117)),CONCATENATE(B117," - ",E117),IF(AND(ISBLANK(C117),ISBLANK(E117)),B117,CONCATENATE(B117," - ",D117,", ",F117,"kg/m, ",G117,"mm surface perimeter"))))&amp;IF(ISBLANK(H117),"",H117)))</f>
        <v>0</v>
      </c>
      <c r="J117" s="53"/>
      <c r="L117" s="4" t="str" cm="1">
        <f t="array" ref="L117">IF(COUNT(FIND({0,1,2,3,4,5,6,7,8,9},B117))&gt;0,COUNT(FIND({0,1,2,3,4,5,6,7,8,9},B117))&gt;0,"")</f>
        <v/>
      </c>
      <c r="M117" s="4" t="str" cm="1">
        <f t="array" aca="1" ref="M117" ca="1">IFERROR(_xlfn.IFS(R117="Count",RANDBETWEEN(1,COUNTIF($R$11:$R$653,"Count")),R117="Length",RANDBETWEEN(1,COUNTIF($R$11:$R$653,"Length"))),"")</f>
        <v/>
      </c>
      <c r="N117" s="4" t="str">
        <f ca="1">IFERROR(_xlfn.RANK.EQ(M117,$M$11:$M$653)+COUNTIF($M$11:M117,M117)-1,"")</f>
        <v/>
      </c>
      <c r="O117" s="86" t="str">
        <f>IF(A117='DATA SHEET'!$L$36,C117,IFERROR(IF(AND(ISTEXT(I117),ISBLANK(C117)),"No details",VLOOKUP(C117,DimFolder,2,FALSE)),""))</f>
        <v/>
      </c>
      <c r="P117" s="4" t="str">
        <f t="shared" si="51"/>
        <v/>
      </c>
      <c r="Q117" s="58" t="str">
        <f t="shared" si="38"/>
        <v/>
      </c>
      <c r="R117" s="4" t="e" cm="1">
        <f t="array" ref="R117">IF(INDEX(Table2[],_xlfn.XMATCH($A117,Table2[Steel Member],0),_xlfn.XMATCH(R$2,Table2[#Headers],0))=0,"",INDEX(Table2[],_xlfn.XMATCH($A117,Table2[Steel Member],0),_xlfn.XMATCH(R$2,Table2[#Headers],0)))</f>
        <v>#N/A</v>
      </c>
      <c r="S117" s="4" t="e" cm="1">
        <f t="array" ref="S117">IF(INDEX(Table2[],_xlfn.XMATCH($A117,Table2[Steel Member],0),_xlfn.XMATCH(S$2,Table2[#Headers],0))=0,"",INDEX(Table2[],_xlfn.XMATCH($A117,Table2[Steel Member],0),_xlfn.XMATCH(S$2,Table2[#Headers],0)))</f>
        <v>#N/A</v>
      </c>
      <c r="T117" s="4" t="str">
        <f t="shared" ref="T117:T180" si="54">IF(AND(ISBLANK(B117),ISBLANK(C117)),"","t")</f>
        <v/>
      </c>
      <c r="U117" s="4" t="e">
        <f ca="1">VLOOKUP(N117,'COLOR CODE'!$B:$D,2,FALSE)</f>
        <v>#N/A</v>
      </c>
      <c r="V117" s="4" t="str">
        <f t="shared" ref="V117:V180" si="55">IF(AND(ISBLANK(B117),ISBLANK(C117)),"","Red")</f>
        <v/>
      </c>
      <c r="W117" s="4" t="e" cm="1">
        <f t="array" ref="W117">IF(INDEX(Table2[],_xlfn.XMATCH($A117,Table2[Steel Member],0),_xlfn.XMATCH(W$2,Table2[#Headers],0))=0,"",INDEX(Table2[],_xlfn.XMATCH($A117,Table2[Steel Member],0),_xlfn.XMATCH(W$2,Table2[#Headers],0)))</f>
        <v>#N/A</v>
      </c>
      <c r="X117" s="4" t="e">
        <f t="shared" si="53"/>
        <v>#N/A</v>
      </c>
      <c r="Y117" s="4" t="e" cm="1">
        <f t="array" ref="Y117">IF(INDEX(Table2[],_xlfn.XMATCH($A117,Table2[Steel Member],0),_xlfn.XMATCH(Y$2,Table2[#Headers],0))=0,"",INDEX(Table2[],_xlfn.XMATCH($A117,Table2[Steel Member],0),_xlfn.XMATCH(Y$2,Table2[#Headers],0)))</f>
        <v>#N/A</v>
      </c>
      <c r="Z117" s="4" t="e" cm="1">
        <f t="array" ref="Z117">IF(INDEX(Table2[],_xlfn.XMATCH($A117,Table2[Steel Member],0),_xlfn.XMATCH(Z$2,Table2[#Headers],0))=0,"",INDEX(Table2[],_xlfn.XMATCH($A117,Table2[Steel Member],0),_xlfn.XMATCH(Z$2,Table2[#Headers],0)))</f>
        <v>#N/A</v>
      </c>
      <c r="AA117" s="4" t="e" cm="1">
        <f t="array" ref="AA117">IF(INDEX(Table2[],_xlfn.XMATCH($A117,Table2[Steel Member],0),_xlfn.XMATCH(AA$2,Table2[#Headers],0))=0,"",INDEX(Table2[],_xlfn.XMATCH($A117,Table2[Steel Member],0),_xlfn.XMATCH(AA$2,Table2[#Headers],0)))</f>
        <v>#N/A</v>
      </c>
      <c r="AB117" s="4" t="e" cm="1">
        <f t="array" ref="AB117">IF(INDEX(Table2[],_xlfn.XMATCH($A117,Table2[Steel Member],0),_xlfn.XMATCH(AB$2,Table2[#Headers],0))=0,"",INDEX(Table2[],_xlfn.XMATCH($A117,Table2[Steel Member],0),_xlfn.XMATCH(AB$2,Table2[#Headers],0)))</f>
        <v>#N/A</v>
      </c>
      <c r="AC117" s="4" t="str" cm="1">
        <f t="array" ref="AC117">IFERROR(INDEX(Table8[],_xlfn.XMATCH($O117,Table8[Dimension Name Category],0),_xlfn.XMATCH(AC$2&amp;IF($L117," w/ tag"," w/o tag"),Table8[#Headers],0)),"")</f>
        <v/>
      </c>
      <c r="AD117" s="59" t="str">
        <f t="shared" ref="AD117:AD180" si="56">IF(OR($AC117="",$AC117=0),"",IF($A117=Column,"{Length}*XNUMBER({Dimension Group Name},"&amp;$AC117&amp;")/1000","{Length}*XNUMBER({Dimension Group Name},"&amp;$AC117&amp;")/1000*{Slope Factor}"))</f>
        <v/>
      </c>
      <c r="AE117" s="4" t="str">
        <f t="shared" ref="AE117:AE180" si="57">IF(AND(ISBLANK(B117),ISBLANK(C117)),"",IF($A117=Purlins_Girths_Bracings,"","Steel Surface Area"))</f>
        <v/>
      </c>
      <c r="AF117" s="4" t="str">
        <f t="shared" ref="AF117:AF180" si="58">IF(AND(ISBLANK(B117),ISBLANK(C117)),"",IF($A117=Purlins_Girths_Bracings,"","m2"))</f>
        <v/>
      </c>
      <c r="AG117" s="4" t="str" cm="1">
        <f t="array" ref="AG117">IFERROR(INDEX(Table8[],_xlfn.XMATCH($O117,Table8[Dimension Name Category],0),_xlfn.XMATCH(AG$2&amp;IF($L117," w/ tag"," w/o tag"),Table8[#Headers],0)),"")</f>
        <v/>
      </c>
      <c r="AH117" s="59" t="str">
        <f t="shared" ref="AH117:AH180" si="59">IF(OR($AG117="",$AG117=0),"",IF($A117=Column,"{Length}*XNUMBER({Dimension Group Name},"&amp;$AG117&amp;")/1000","{Length}*XNUMBER({Dimension Group Name},"&amp;$AG117&amp;")/1000*{Slope Factor}"))</f>
        <v/>
      </c>
      <c r="AI117" s="4"/>
      <c r="AJ117" s="4" t="str">
        <f t="shared" ref="AJ117:AJ180" si="60">IF(OR($A117=Column,$A117=""),"","Slope Length")</f>
        <v/>
      </c>
      <c r="AK117" s="4" t="str">
        <f t="shared" ref="AK117:AK180" si="61">IF(OR($A117=Column,$A117=""),"","m")</f>
        <v/>
      </c>
      <c r="AL117" s="4" t="e" cm="1">
        <f t="array" ref="AL117">IF(INDEX(Table2[],_xlfn.XMATCH($A117,Table2[Steel Member],0),_xlfn.XMATCH(AL$2,Table2[#Headers],0))=0,"",INDEX(Table2[],_xlfn.XMATCH($A117,Table2[Steel Member],0),_xlfn.XMATCH(AL$2,Table2[#Headers],0)))</f>
        <v>#N/A</v>
      </c>
      <c r="AM117" s="4"/>
      <c r="AN117" s="4" t="str">
        <f t="shared" ref="AN117:AN180" si="62">IF(OR($A117=Column,$A117=""),"","Slope Factor")</f>
        <v/>
      </c>
      <c r="AO117" s="4"/>
      <c r="AP117" s="4" t="e" cm="1">
        <f t="array" ref="AP117">IF(INDEX(Table2[],_xlfn.XMATCH($A117,Table2[Steel Member],0),_xlfn.XMATCH(AP$2,Table2[#Headers],0))=0,"",INDEX(Table2[],_xlfn.XMATCH($A117,Table2[Steel Member],0),_xlfn.XMATCH(AP$2,Table2[#Headers],0)))</f>
        <v>#N/A</v>
      </c>
      <c r="AQ117" s="4"/>
      <c r="AR117" s="4"/>
      <c r="AS117" s="4"/>
      <c r="AT117" s="4"/>
    </row>
    <row r="118" spans="1:46" x14ac:dyDescent="0.25">
      <c r="A118" s="52"/>
      <c r="B118" s="52"/>
      <c r="C118" s="52"/>
      <c r="D118" s="52"/>
      <c r="E118" s="52"/>
      <c r="F118" s="64" cm="1">
        <f t="array" ref="F118">IF(COUNT(FIND(PurlinsxGirthsxBracings,$C118))&gt;0,0,ROUNDUP(IF(D118=0,0,VLOOKUP(D118,'DATA SHEET'!$B:$D,2,FALSE)),2))</f>
        <v>0</v>
      </c>
      <c r="G118" s="64" cm="1">
        <f t="array" ref="G118">IF(COUNT(FIND(PurlinsxGirthsxBracings,$C118))&gt;0,0,ROUNDUP(IF(D118=0,0,VLOOKUP(D118,'DATA SHEET'!$B:$D,3,FALSE)),2))</f>
        <v>0</v>
      </c>
      <c r="H118" s="53"/>
      <c r="I118" s="66" cm="1">
        <f t="array" ref="I118">IF(AND(ISBLANK(B118),ISBLANK(C118),ISBLANK(E118)),0,IF(COUNT(FIND(PurlinsxGirthsxBracings,$C118))&gt;0,IF(B118=0,CONCATENATE(E118," ",C118),CONCATENATE(B118," - ",E118," ",C118)),IF(B118=0,IF(ISBLANK(C118),E118,CONCATENATE(D118,", ",F118,"kg/m, ",G118,"mm surface perimeter")),IF(AND(ISBLANK(C118),ISTEXT(E118)),CONCATENATE(B118," - ",E118),IF(AND(ISBLANK(C118),ISBLANK(E118)),B118,CONCATENATE(B118," - ",D118,", ",F118,"kg/m, ",G118,"mm surface perimeter"))))&amp;IF(ISBLANK(H118),"",H118)))</f>
        <v>0</v>
      </c>
      <c r="J118" s="53"/>
      <c r="L118" s="4" t="str" cm="1">
        <f t="array" ref="L118">IF(COUNT(FIND({0,1,2,3,4,5,6,7,8,9},B118))&gt;0,COUNT(FIND({0,1,2,3,4,5,6,7,8,9},B118))&gt;0,"")</f>
        <v/>
      </c>
      <c r="M118" s="4" t="str" cm="1">
        <f t="array" aca="1" ref="M118" ca="1">IFERROR(_xlfn.IFS(R118="Count",RANDBETWEEN(1,COUNTIF($R$11:$R$653,"Count")),R118="Length",RANDBETWEEN(1,COUNTIF($R$11:$R$653,"Length"))),"")</f>
        <v/>
      </c>
      <c r="N118" s="4" t="str">
        <f ca="1">IFERROR(_xlfn.RANK.EQ(M118,$M$11:$M$653)+COUNTIF($M$11:M118,M118)-1,"")</f>
        <v/>
      </c>
      <c r="O118" s="86" t="str">
        <f>IF(A118='DATA SHEET'!$L$36,C118,IFERROR(IF(AND(ISTEXT(I118),ISBLANK(C118)),"No details",VLOOKUP(C118,DimFolder,2,FALSE)),""))</f>
        <v/>
      </c>
      <c r="P118" s="4" t="str">
        <f t="shared" si="51"/>
        <v/>
      </c>
      <c r="Q118" s="58" t="str">
        <f t="shared" ref="Q118:Q181" si="63">IF(AND(ISBLANK(B118),ISBLANK(C118)),"",I118)</f>
        <v/>
      </c>
      <c r="R118" s="4" t="e" cm="1">
        <f t="array" ref="R118">IF(INDEX(Table2[],_xlfn.XMATCH($A118,Table2[Steel Member],0),_xlfn.XMATCH(R$2,Table2[#Headers],0))=0,"",INDEX(Table2[],_xlfn.XMATCH($A118,Table2[Steel Member],0),_xlfn.XMATCH(R$2,Table2[#Headers],0)))</f>
        <v>#N/A</v>
      </c>
      <c r="S118" s="4" t="e" cm="1">
        <f t="array" ref="S118">IF(INDEX(Table2[],_xlfn.XMATCH($A118,Table2[Steel Member],0),_xlfn.XMATCH(S$2,Table2[#Headers],0))=0,"",INDEX(Table2[],_xlfn.XMATCH($A118,Table2[Steel Member],0),_xlfn.XMATCH(S$2,Table2[#Headers],0)))</f>
        <v>#N/A</v>
      </c>
      <c r="T118" s="4" t="str">
        <f t="shared" si="54"/>
        <v/>
      </c>
      <c r="U118" s="4" t="e">
        <f ca="1">VLOOKUP(N118,'COLOR CODE'!$B:$D,2,FALSE)</f>
        <v>#N/A</v>
      </c>
      <c r="V118" s="4" t="str">
        <f t="shared" si="55"/>
        <v/>
      </c>
      <c r="W118" s="4" t="e" cm="1">
        <f t="array" ref="W118">IF(INDEX(Table2[],_xlfn.XMATCH($A118,Table2[Steel Member],0),_xlfn.XMATCH(W$2,Table2[#Headers],0))=0,"",INDEX(Table2[],_xlfn.XMATCH($A118,Table2[Steel Member],0),_xlfn.XMATCH(W$2,Table2[#Headers],0)))</f>
        <v>#N/A</v>
      </c>
      <c r="X118" s="4" t="e">
        <f t="shared" si="53"/>
        <v>#N/A</v>
      </c>
      <c r="Y118" s="4" t="e" cm="1">
        <f t="array" ref="Y118">IF(INDEX(Table2[],_xlfn.XMATCH($A118,Table2[Steel Member],0),_xlfn.XMATCH(Y$2,Table2[#Headers],0))=0,"",INDEX(Table2[],_xlfn.XMATCH($A118,Table2[Steel Member],0),_xlfn.XMATCH(Y$2,Table2[#Headers],0)))</f>
        <v>#N/A</v>
      </c>
      <c r="Z118" s="4" t="e" cm="1">
        <f t="array" ref="Z118">IF(INDEX(Table2[],_xlfn.XMATCH($A118,Table2[Steel Member],0),_xlfn.XMATCH(Z$2,Table2[#Headers],0))=0,"",INDEX(Table2[],_xlfn.XMATCH($A118,Table2[Steel Member],0),_xlfn.XMATCH(Z$2,Table2[#Headers],0)))</f>
        <v>#N/A</v>
      </c>
      <c r="AA118" s="4" t="e" cm="1">
        <f t="array" ref="AA118">IF(INDEX(Table2[],_xlfn.XMATCH($A118,Table2[Steel Member],0),_xlfn.XMATCH(AA$2,Table2[#Headers],0))=0,"",INDEX(Table2[],_xlfn.XMATCH($A118,Table2[Steel Member],0),_xlfn.XMATCH(AA$2,Table2[#Headers],0)))</f>
        <v>#N/A</v>
      </c>
      <c r="AB118" s="4" t="e" cm="1">
        <f t="array" ref="AB118">IF(INDEX(Table2[],_xlfn.XMATCH($A118,Table2[Steel Member],0),_xlfn.XMATCH(AB$2,Table2[#Headers],0))=0,"",INDEX(Table2[],_xlfn.XMATCH($A118,Table2[Steel Member],0),_xlfn.XMATCH(AB$2,Table2[#Headers],0)))</f>
        <v>#N/A</v>
      </c>
      <c r="AC118" s="4" t="str" cm="1">
        <f t="array" ref="AC118">IFERROR(INDEX(Table8[],_xlfn.XMATCH($O118,Table8[Dimension Name Category],0),_xlfn.XMATCH(AC$2&amp;IF($L118," w/ tag"," w/o tag"),Table8[#Headers],0)),"")</f>
        <v/>
      </c>
      <c r="AD118" s="59" t="str">
        <f t="shared" si="56"/>
        <v/>
      </c>
      <c r="AE118" s="4" t="str">
        <f t="shared" si="57"/>
        <v/>
      </c>
      <c r="AF118" s="4" t="str">
        <f t="shared" si="58"/>
        <v/>
      </c>
      <c r="AG118" s="4" t="str" cm="1">
        <f t="array" ref="AG118">IFERROR(INDEX(Table8[],_xlfn.XMATCH($O118,Table8[Dimension Name Category],0),_xlfn.XMATCH(AG$2&amp;IF($L118," w/ tag"," w/o tag"),Table8[#Headers],0)),"")</f>
        <v/>
      </c>
      <c r="AH118" s="59" t="str">
        <f t="shared" si="59"/>
        <v/>
      </c>
      <c r="AI118" s="4"/>
      <c r="AJ118" s="4" t="str">
        <f t="shared" si="60"/>
        <v/>
      </c>
      <c r="AK118" s="4" t="str">
        <f t="shared" si="61"/>
        <v/>
      </c>
      <c r="AL118" s="4" t="e" cm="1">
        <f t="array" ref="AL118">IF(INDEX(Table2[],_xlfn.XMATCH($A118,Table2[Steel Member],0),_xlfn.XMATCH(AL$2,Table2[#Headers],0))=0,"",INDEX(Table2[],_xlfn.XMATCH($A118,Table2[Steel Member],0),_xlfn.XMATCH(AL$2,Table2[#Headers],0)))</f>
        <v>#N/A</v>
      </c>
      <c r="AM118" s="4"/>
      <c r="AN118" s="4" t="str">
        <f t="shared" si="62"/>
        <v/>
      </c>
      <c r="AO118" s="4"/>
      <c r="AP118" s="4" t="e" cm="1">
        <f t="array" ref="AP118">IF(INDEX(Table2[],_xlfn.XMATCH($A118,Table2[Steel Member],0),_xlfn.XMATCH(AP$2,Table2[#Headers],0))=0,"",INDEX(Table2[],_xlfn.XMATCH($A118,Table2[Steel Member],0),_xlfn.XMATCH(AP$2,Table2[#Headers],0)))</f>
        <v>#N/A</v>
      </c>
      <c r="AQ118" s="4"/>
      <c r="AR118" s="4"/>
      <c r="AS118" s="4"/>
      <c r="AT118" s="4"/>
    </row>
    <row r="119" spans="1:46" x14ac:dyDescent="0.25">
      <c r="A119" s="52"/>
      <c r="B119" s="52"/>
      <c r="C119" s="52"/>
      <c r="D119" s="52"/>
      <c r="E119" s="52"/>
      <c r="F119" s="64" cm="1">
        <f t="array" ref="F119">IF(COUNT(FIND(PurlinsxGirthsxBracings,$C119))&gt;0,0,ROUNDUP(IF(D119=0,0,VLOOKUP(D119,'DATA SHEET'!$B:$D,2,FALSE)),2))</f>
        <v>0</v>
      </c>
      <c r="G119" s="64" cm="1">
        <f t="array" ref="G119">IF(COUNT(FIND(PurlinsxGirthsxBracings,$C119))&gt;0,0,ROUNDUP(IF(D119=0,0,VLOOKUP(D119,'DATA SHEET'!$B:$D,3,FALSE)),2))</f>
        <v>0</v>
      </c>
      <c r="H119" s="53"/>
      <c r="I119" s="66" cm="1">
        <f t="array" ref="I119">IF(AND(ISBLANK(B119),ISBLANK(C119),ISBLANK(E119)),0,IF(COUNT(FIND(PurlinsxGirthsxBracings,$C119))&gt;0,IF(B119=0,CONCATENATE(E119," ",C119),CONCATENATE(B119," - ",E119," ",C119)),IF(B119=0,IF(ISBLANK(C119),E119,CONCATENATE(D119,", ",F119,"kg/m, ",G119,"mm surface perimeter")),IF(AND(ISBLANK(C119),ISTEXT(E119)),CONCATENATE(B119," - ",E119),IF(AND(ISBLANK(C119),ISBLANK(E119)),B119,CONCATENATE(B119," - ",D119,", ",F119,"kg/m, ",G119,"mm surface perimeter"))))&amp;IF(ISBLANK(H119),"",H119)))</f>
        <v>0</v>
      </c>
      <c r="J119" s="53"/>
      <c r="L119" s="4" t="str" cm="1">
        <f t="array" ref="L119">IF(COUNT(FIND({0,1,2,3,4,5,6,7,8,9},B119))&gt;0,COUNT(FIND({0,1,2,3,4,5,6,7,8,9},B119))&gt;0,"")</f>
        <v/>
      </c>
      <c r="M119" s="4" t="str" cm="1">
        <f t="array" aca="1" ref="M119" ca="1">IFERROR(_xlfn.IFS(R119="Count",RANDBETWEEN(1,COUNTIF($R$11:$R$653,"Count")),R119="Length",RANDBETWEEN(1,COUNTIF($R$11:$R$653,"Length"))),"")</f>
        <v/>
      </c>
      <c r="N119" s="4" t="str">
        <f ca="1">IFERROR(_xlfn.RANK.EQ(M119,$M$11:$M$653)+COUNTIF($M$11:M119,M119)-1,"")</f>
        <v/>
      </c>
      <c r="O119" s="86" t="str">
        <f>IF(A119='DATA SHEET'!$L$36,C119,IFERROR(IF(AND(ISTEXT(I119),ISBLANK(C119)),"No details",VLOOKUP(C119,DimFolder,2,FALSE)),""))</f>
        <v/>
      </c>
      <c r="P119" s="4" t="str">
        <f t="shared" si="51"/>
        <v/>
      </c>
      <c r="Q119" s="58" t="str">
        <f t="shared" si="63"/>
        <v/>
      </c>
      <c r="R119" s="4" t="e" cm="1">
        <f t="array" ref="R119">IF(INDEX(Table2[],_xlfn.XMATCH($A119,Table2[Steel Member],0),_xlfn.XMATCH(R$2,Table2[#Headers],0))=0,"",INDEX(Table2[],_xlfn.XMATCH($A119,Table2[Steel Member],0),_xlfn.XMATCH(R$2,Table2[#Headers],0)))</f>
        <v>#N/A</v>
      </c>
      <c r="S119" s="4" t="e" cm="1">
        <f t="array" ref="S119">IF(INDEX(Table2[],_xlfn.XMATCH($A119,Table2[Steel Member],0),_xlfn.XMATCH(S$2,Table2[#Headers],0))=0,"",INDEX(Table2[],_xlfn.XMATCH($A119,Table2[Steel Member],0),_xlfn.XMATCH(S$2,Table2[#Headers],0)))</f>
        <v>#N/A</v>
      </c>
      <c r="T119" s="4" t="str">
        <f t="shared" si="54"/>
        <v/>
      </c>
      <c r="U119" s="4" t="e">
        <f ca="1">VLOOKUP(N119,'COLOR CODE'!$B:$D,2,FALSE)</f>
        <v>#N/A</v>
      </c>
      <c r="V119" s="4" t="str">
        <f t="shared" si="55"/>
        <v/>
      </c>
      <c r="W119" s="4" t="e" cm="1">
        <f t="array" ref="W119">IF(INDEX(Table2[],_xlfn.XMATCH($A119,Table2[Steel Member],0),_xlfn.XMATCH(W$2,Table2[#Headers],0))=0,"",INDEX(Table2[],_xlfn.XMATCH($A119,Table2[Steel Member],0),_xlfn.XMATCH(W$2,Table2[#Headers],0)))</f>
        <v>#N/A</v>
      </c>
      <c r="X119" s="4" t="e">
        <f t="shared" si="53"/>
        <v>#N/A</v>
      </c>
      <c r="Y119" s="4" t="e" cm="1">
        <f t="array" ref="Y119">IF(INDEX(Table2[],_xlfn.XMATCH($A119,Table2[Steel Member],0),_xlfn.XMATCH(Y$2,Table2[#Headers],0))=0,"",INDEX(Table2[],_xlfn.XMATCH($A119,Table2[Steel Member],0),_xlfn.XMATCH(Y$2,Table2[#Headers],0)))</f>
        <v>#N/A</v>
      </c>
      <c r="Z119" s="4" t="e" cm="1">
        <f t="array" ref="Z119">IF(INDEX(Table2[],_xlfn.XMATCH($A119,Table2[Steel Member],0),_xlfn.XMATCH(Z$2,Table2[#Headers],0))=0,"",INDEX(Table2[],_xlfn.XMATCH($A119,Table2[Steel Member],0),_xlfn.XMATCH(Z$2,Table2[#Headers],0)))</f>
        <v>#N/A</v>
      </c>
      <c r="AA119" s="4" t="e" cm="1">
        <f t="array" ref="AA119">IF(INDEX(Table2[],_xlfn.XMATCH($A119,Table2[Steel Member],0),_xlfn.XMATCH(AA$2,Table2[#Headers],0))=0,"",INDEX(Table2[],_xlfn.XMATCH($A119,Table2[Steel Member],0),_xlfn.XMATCH(AA$2,Table2[#Headers],0)))</f>
        <v>#N/A</v>
      </c>
      <c r="AB119" s="4" t="e" cm="1">
        <f t="array" ref="AB119">IF(INDEX(Table2[],_xlfn.XMATCH($A119,Table2[Steel Member],0),_xlfn.XMATCH(AB$2,Table2[#Headers],0))=0,"",INDEX(Table2[],_xlfn.XMATCH($A119,Table2[Steel Member],0),_xlfn.XMATCH(AB$2,Table2[#Headers],0)))</f>
        <v>#N/A</v>
      </c>
      <c r="AC119" s="4" t="str" cm="1">
        <f t="array" ref="AC119">IFERROR(INDEX(Table8[],_xlfn.XMATCH($O119,Table8[Dimension Name Category],0),_xlfn.XMATCH(AC$2&amp;IF($L119," w/ tag"," w/o tag"),Table8[#Headers],0)),"")</f>
        <v/>
      </c>
      <c r="AD119" s="59" t="str">
        <f t="shared" si="56"/>
        <v/>
      </c>
      <c r="AE119" s="4" t="str">
        <f t="shared" si="57"/>
        <v/>
      </c>
      <c r="AF119" s="4" t="str">
        <f t="shared" si="58"/>
        <v/>
      </c>
      <c r="AG119" s="4" t="str" cm="1">
        <f t="array" ref="AG119">IFERROR(INDEX(Table8[],_xlfn.XMATCH($O119,Table8[Dimension Name Category],0),_xlfn.XMATCH(AG$2&amp;IF($L119," w/ tag"," w/o tag"),Table8[#Headers],0)),"")</f>
        <v/>
      </c>
      <c r="AH119" s="59" t="str">
        <f t="shared" si="59"/>
        <v/>
      </c>
      <c r="AI119" s="4"/>
      <c r="AJ119" s="4" t="str">
        <f t="shared" si="60"/>
        <v/>
      </c>
      <c r="AK119" s="4" t="str">
        <f t="shared" si="61"/>
        <v/>
      </c>
      <c r="AL119" s="4" t="e" cm="1">
        <f t="array" ref="AL119">IF(INDEX(Table2[],_xlfn.XMATCH($A119,Table2[Steel Member],0),_xlfn.XMATCH(AL$2,Table2[#Headers],0))=0,"",INDEX(Table2[],_xlfn.XMATCH($A119,Table2[Steel Member],0),_xlfn.XMATCH(AL$2,Table2[#Headers],0)))</f>
        <v>#N/A</v>
      </c>
      <c r="AM119" s="4"/>
      <c r="AN119" s="4" t="str">
        <f t="shared" si="62"/>
        <v/>
      </c>
      <c r="AO119" s="4"/>
      <c r="AP119" s="4" t="e" cm="1">
        <f t="array" ref="AP119">IF(INDEX(Table2[],_xlfn.XMATCH($A119,Table2[Steel Member],0),_xlfn.XMATCH(AP$2,Table2[#Headers],0))=0,"",INDEX(Table2[],_xlfn.XMATCH($A119,Table2[Steel Member],0),_xlfn.XMATCH(AP$2,Table2[#Headers],0)))</f>
        <v>#N/A</v>
      </c>
      <c r="AQ119" s="4"/>
      <c r="AR119" s="4"/>
      <c r="AS119" s="4"/>
      <c r="AT119" s="4"/>
    </row>
    <row r="120" spans="1:46" x14ac:dyDescent="0.25">
      <c r="A120" s="52"/>
      <c r="B120" s="52"/>
      <c r="C120" s="52"/>
      <c r="D120" s="52"/>
      <c r="E120" s="52"/>
      <c r="F120" s="64" cm="1">
        <f t="array" ref="F120">IF(COUNT(FIND(PurlinsxGirthsxBracings,$C120))&gt;0,0,ROUNDUP(IF(D120=0,0,VLOOKUP(D120,'DATA SHEET'!$B:$D,2,FALSE)),2))</f>
        <v>0</v>
      </c>
      <c r="G120" s="64" cm="1">
        <f t="array" ref="G120">IF(COUNT(FIND(PurlinsxGirthsxBracings,$C120))&gt;0,0,ROUNDUP(IF(D120=0,0,VLOOKUP(D120,'DATA SHEET'!$B:$D,3,FALSE)),2))</f>
        <v>0</v>
      </c>
      <c r="H120" s="53"/>
      <c r="I120" s="66" cm="1">
        <f t="array" ref="I120">IF(AND(ISBLANK(B120),ISBLANK(C120),ISBLANK(E120)),0,IF(COUNT(FIND(PurlinsxGirthsxBracings,$C120))&gt;0,IF(B120=0,CONCATENATE(E120," ",C120),CONCATENATE(B120," - ",E120," ",C120)),IF(B120=0,IF(ISBLANK(C120),E120,CONCATENATE(D120,", ",F120,"kg/m, ",G120,"mm surface perimeter")),IF(AND(ISBLANK(C120),ISTEXT(E120)),CONCATENATE(B120," - ",E120),IF(AND(ISBLANK(C120),ISBLANK(E120)),B120,CONCATENATE(B120," - ",D120,", ",F120,"kg/m, ",G120,"mm surface perimeter"))))&amp;IF(ISBLANK(H120),"",H120)))</f>
        <v>0</v>
      </c>
      <c r="J120" s="53"/>
      <c r="L120" s="4" t="str" cm="1">
        <f t="array" ref="L120">IF(COUNT(FIND({0,1,2,3,4,5,6,7,8,9},B120))&gt;0,COUNT(FIND({0,1,2,3,4,5,6,7,8,9},B120))&gt;0,"")</f>
        <v/>
      </c>
      <c r="M120" s="4" t="str" cm="1">
        <f t="array" aca="1" ref="M120" ca="1">IFERROR(_xlfn.IFS(R120="Count",RANDBETWEEN(1,COUNTIF($R$11:$R$653,"Count")),R120="Length",RANDBETWEEN(1,COUNTIF($R$11:$R$653,"Length"))),"")</f>
        <v/>
      </c>
      <c r="N120" s="4" t="str">
        <f ca="1">IFERROR(_xlfn.RANK.EQ(M120,$M$11:$M$653)+COUNTIF($M$11:M120,M120)-1,"")</f>
        <v/>
      </c>
      <c r="O120" s="86" t="str">
        <f>IF(A120='DATA SHEET'!$L$36,C120,IFERROR(IF(AND(ISTEXT(I120),ISBLANK(C120)),"No details",VLOOKUP(C120,DimFolder,2,FALSE)),""))</f>
        <v/>
      </c>
      <c r="P120" s="4" t="str">
        <f t="shared" si="51"/>
        <v/>
      </c>
      <c r="Q120" s="58" t="str">
        <f t="shared" si="63"/>
        <v/>
      </c>
      <c r="R120" s="4" t="e" cm="1">
        <f t="array" ref="R120">IF(INDEX(Table2[],_xlfn.XMATCH($A120,Table2[Steel Member],0),_xlfn.XMATCH(R$2,Table2[#Headers],0))=0,"",INDEX(Table2[],_xlfn.XMATCH($A120,Table2[Steel Member],0),_xlfn.XMATCH(R$2,Table2[#Headers],0)))</f>
        <v>#N/A</v>
      </c>
      <c r="S120" s="4" t="e" cm="1">
        <f t="array" ref="S120">IF(INDEX(Table2[],_xlfn.XMATCH($A120,Table2[Steel Member],0),_xlfn.XMATCH(S$2,Table2[#Headers],0))=0,"",INDEX(Table2[],_xlfn.XMATCH($A120,Table2[Steel Member],0),_xlfn.XMATCH(S$2,Table2[#Headers],0)))</f>
        <v>#N/A</v>
      </c>
      <c r="T120" s="4" t="str">
        <f t="shared" si="54"/>
        <v/>
      </c>
      <c r="U120" s="4" t="e">
        <f ca="1">VLOOKUP(N120,'COLOR CODE'!$B:$D,2,FALSE)</f>
        <v>#N/A</v>
      </c>
      <c r="V120" s="4" t="str">
        <f t="shared" si="55"/>
        <v/>
      </c>
      <c r="W120" s="4" t="e" cm="1">
        <f t="array" ref="W120">IF(INDEX(Table2[],_xlfn.XMATCH($A120,Table2[Steel Member],0),_xlfn.XMATCH(W$2,Table2[#Headers],0))=0,"",INDEX(Table2[],_xlfn.XMATCH($A120,Table2[Steel Member],0),_xlfn.XMATCH(W$2,Table2[#Headers],0)))</f>
        <v>#N/A</v>
      </c>
      <c r="X120" s="4" t="e">
        <f t="shared" si="53"/>
        <v>#N/A</v>
      </c>
      <c r="Y120" s="4" t="e" cm="1">
        <f t="array" ref="Y120">IF(INDEX(Table2[],_xlfn.XMATCH($A120,Table2[Steel Member],0),_xlfn.XMATCH(Y$2,Table2[#Headers],0))=0,"",INDEX(Table2[],_xlfn.XMATCH($A120,Table2[Steel Member],0),_xlfn.XMATCH(Y$2,Table2[#Headers],0)))</f>
        <v>#N/A</v>
      </c>
      <c r="Z120" s="4" t="e" cm="1">
        <f t="array" ref="Z120">IF(INDEX(Table2[],_xlfn.XMATCH($A120,Table2[Steel Member],0),_xlfn.XMATCH(Z$2,Table2[#Headers],0))=0,"",INDEX(Table2[],_xlfn.XMATCH($A120,Table2[Steel Member],0),_xlfn.XMATCH(Z$2,Table2[#Headers],0)))</f>
        <v>#N/A</v>
      </c>
      <c r="AA120" s="4" t="e" cm="1">
        <f t="array" ref="AA120">IF(INDEX(Table2[],_xlfn.XMATCH($A120,Table2[Steel Member],0),_xlfn.XMATCH(AA$2,Table2[#Headers],0))=0,"",INDEX(Table2[],_xlfn.XMATCH($A120,Table2[Steel Member],0),_xlfn.XMATCH(AA$2,Table2[#Headers],0)))</f>
        <v>#N/A</v>
      </c>
      <c r="AB120" s="4" t="e" cm="1">
        <f t="array" ref="AB120">IF(INDEX(Table2[],_xlfn.XMATCH($A120,Table2[Steel Member],0),_xlfn.XMATCH(AB$2,Table2[#Headers],0))=0,"",INDEX(Table2[],_xlfn.XMATCH($A120,Table2[Steel Member],0),_xlfn.XMATCH(AB$2,Table2[#Headers],0)))</f>
        <v>#N/A</v>
      </c>
      <c r="AC120" s="4" t="str" cm="1">
        <f t="array" ref="AC120">IFERROR(INDEX(Table8[],_xlfn.XMATCH($O120,Table8[Dimension Name Category],0),_xlfn.XMATCH(AC$2&amp;IF($L120," w/ tag"," w/o tag"),Table8[#Headers],0)),"")</f>
        <v/>
      </c>
      <c r="AD120" s="59" t="str">
        <f t="shared" si="56"/>
        <v/>
      </c>
      <c r="AE120" s="4" t="str">
        <f t="shared" si="57"/>
        <v/>
      </c>
      <c r="AF120" s="4" t="str">
        <f t="shared" si="58"/>
        <v/>
      </c>
      <c r="AG120" s="4" t="str" cm="1">
        <f t="array" ref="AG120">IFERROR(INDEX(Table8[],_xlfn.XMATCH($O120,Table8[Dimension Name Category],0),_xlfn.XMATCH(AG$2&amp;IF($L120," w/ tag"," w/o tag"),Table8[#Headers],0)),"")</f>
        <v/>
      </c>
      <c r="AH120" s="59" t="str">
        <f t="shared" si="59"/>
        <v/>
      </c>
      <c r="AI120" s="4"/>
      <c r="AJ120" s="4" t="str">
        <f t="shared" si="60"/>
        <v/>
      </c>
      <c r="AK120" s="4" t="str">
        <f t="shared" si="61"/>
        <v/>
      </c>
      <c r="AL120" s="4" t="e" cm="1">
        <f t="array" ref="AL120">IF(INDEX(Table2[],_xlfn.XMATCH($A120,Table2[Steel Member],0),_xlfn.XMATCH(AL$2,Table2[#Headers],0))=0,"",INDEX(Table2[],_xlfn.XMATCH($A120,Table2[Steel Member],0),_xlfn.XMATCH(AL$2,Table2[#Headers],0)))</f>
        <v>#N/A</v>
      </c>
      <c r="AM120" s="4"/>
      <c r="AN120" s="4" t="str">
        <f t="shared" si="62"/>
        <v/>
      </c>
      <c r="AO120" s="4"/>
      <c r="AP120" s="4" t="e" cm="1">
        <f t="array" ref="AP120">IF(INDEX(Table2[],_xlfn.XMATCH($A120,Table2[Steel Member],0),_xlfn.XMATCH(AP$2,Table2[#Headers],0))=0,"",INDEX(Table2[],_xlfn.XMATCH($A120,Table2[Steel Member],0),_xlfn.XMATCH(AP$2,Table2[#Headers],0)))</f>
        <v>#N/A</v>
      </c>
      <c r="AQ120" s="4"/>
      <c r="AR120" s="4"/>
      <c r="AS120" s="4"/>
      <c r="AT120" s="4"/>
    </row>
    <row r="121" spans="1:46" x14ac:dyDescent="0.25">
      <c r="A121" s="52"/>
      <c r="B121" s="52"/>
      <c r="C121" s="52"/>
      <c r="D121" s="52"/>
      <c r="E121" s="52"/>
      <c r="F121" s="64" cm="1">
        <f t="array" ref="F121">IF(COUNT(FIND(PurlinsxGirthsxBracings,$C121))&gt;0,0,ROUNDUP(IF(D121=0,0,VLOOKUP(D121,'DATA SHEET'!$B:$D,2,FALSE)),2))</f>
        <v>0</v>
      </c>
      <c r="G121" s="64" cm="1">
        <f t="array" ref="G121">IF(COUNT(FIND(PurlinsxGirthsxBracings,$C121))&gt;0,0,ROUNDUP(IF(D121=0,0,VLOOKUP(D121,'DATA SHEET'!$B:$D,3,FALSE)),2))</f>
        <v>0</v>
      </c>
      <c r="H121" s="53"/>
      <c r="I121" s="66" cm="1">
        <f t="array" ref="I121">IF(AND(ISBLANK(B121),ISBLANK(C121),ISBLANK(E121)),0,IF(COUNT(FIND(PurlinsxGirthsxBracings,$C121))&gt;0,IF(B121=0,CONCATENATE(E121," ",C121),CONCATENATE(B121," - ",E121," ",C121)),IF(B121=0,IF(ISBLANK(C121),E121,CONCATENATE(D121,", ",F121,"kg/m, ",G121,"mm surface perimeter")),IF(AND(ISBLANK(C121),ISTEXT(E121)),CONCATENATE(B121," - ",E121),IF(AND(ISBLANK(C121),ISBLANK(E121)),B121,CONCATENATE(B121," - ",D121,", ",F121,"kg/m, ",G121,"mm surface perimeter"))))&amp;IF(ISBLANK(H121),"",H121)))</f>
        <v>0</v>
      </c>
      <c r="J121" s="53"/>
      <c r="L121" s="4" t="str" cm="1">
        <f t="array" ref="L121">IF(COUNT(FIND({0,1,2,3,4,5,6,7,8,9},B121))&gt;0,COUNT(FIND({0,1,2,3,4,5,6,7,8,9},B121))&gt;0,"")</f>
        <v/>
      </c>
      <c r="M121" s="4" t="str" cm="1">
        <f t="array" aca="1" ref="M121" ca="1">IFERROR(_xlfn.IFS(R121="Count",RANDBETWEEN(1,COUNTIF($R$11:$R$653,"Count")),R121="Length",RANDBETWEEN(1,COUNTIF($R$11:$R$653,"Length"))),"")</f>
        <v/>
      </c>
      <c r="N121" s="4" t="str">
        <f ca="1">IFERROR(_xlfn.RANK.EQ(M121,$M$11:$M$653)+COUNTIF($M$11:M121,M121)-1,"")</f>
        <v/>
      </c>
      <c r="O121" s="86" t="str">
        <f>IF(A121='DATA SHEET'!$L$36,C121,IFERROR(IF(AND(ISTEXT(I121),ISBLANK(C121)),"No details",VLOOKUP(C121,DimFolder,2,FALSE)),""))</f>
        <v/>
      </c>
      <c r="P121" s="4" t="str">
        <f t="shared" si="51"/>
        <v/>
      </c>
      <c r="Q121" s="58" t="str">
        <f t="shared" si="63"/>
        <v/>
      </c>
      <c r="R121" s="4" t="e" cm="1">
        <f t="array" ref="R121">IF(INDEX(Table2[],_xlfn.XMATCH($A121,Table2[Steel Member],0),_xlfn.XMATCH(R$2,Table2[#Headers],0))=0,"",INDEX(Table2[],_xlfn.XMATCH($A121,Table2[Steel Member],0),_xlfn.XMATCH(R$2,Table2[#Headers],0)))</f>
        <v>#N/A</v>
      </c>
      <c r="S121" s="4" t="e" cm="1">
        <f t="array" ref="S121">IF(INDEX(Table2[],_xlfn.XMATCH($A121,Table2[Steel Member],0),_xlfn.XMATCH(S$2,Table2[#Headers],0))=0,"",INDEX(Table2[],_xlfn.XMATCH($A121,Table2[Steel Member],0),_xlfn.XMATCH(S$2,Table2[#Headers],0)))</f>
        <v>#N/A</v>
      </c>
      <c r="T121" s="4" t="str">
        <f t="shared" si="54"/>
        <v/>
      </c>
      <c r="U121" s="4" t="e">
        <f ca="1">VLOOKUP(N121,'COLOR CODE'!$B:$D,2,FALSE)</f>
        <v>#N/A</v>
      </c>
      <c r="V121" s="4" t="str">
        <f t="shared" si="55"/>
        <v/>
      </c>
      <c r="W121" s="4" t="e" cm="1">
        <f t="array" ref="W121">IF(INDEX(Table2[],_xlfn.XMATCH($A121,Table2[Steel Member],0),_xlfn.XMATCH(W$2,Table2[#Headers],0))=0,"",INDEX(Table2[],_xlfn.XMATCH($A121,Table2[Steel Member],0),_xlfn.XMATCH(W$2,Table2[#Headers],0)))</f>
        <v>#N/A</v>
      </c>
      <c r="X121" s="4" t="e">
        <f t="shared" si="53"/>
        <v>#N/A</v>
      </c>
      <c r="Y121" s="4" t="e" cm="1">
        <f t="array" ref="Y121">IF(INDEX(Table2[],_xlfn.XMATCH($A121,Table2[Steel Member],0),_xlfn.XMATCH(Y$2,Table2[#Headers],0))=0,"",INDEX(Table2[],_xlfn.XMATCH($A121,Table2[Steel Member],0),_xlfn.XMATCH(Y$2,Table2[#Headers],0)))</f>
        <v>#N/A</v>
      </c>
      <c r="Z121" s="4" t="e" cm="1">
        <f t="array" ref="Z121">IF(INDEX(Table2[],_xlfn.XMATCH($A121,Table2[Steel Member],0),_xlfn.XMATCH(Z$2,Table2[#Headers],0))=0,"",INDEX(Table2[],_xlfn.XMATCH($A121,Table2[Steel Member],0),_xlfn.XMATCH(Z$2,Table2[#Headers],0)))</f>
        <v>#N/A</v>
      </c>
      <c r="AA121" s="4" t="e" cm="1">
        <f t="array" ref="AA121">IF(INDEX(Table2[],_xlfn.XMATCH($A121,Table2[Steel Member],0),_xlfn.XMATCH(AA$2,Table2[#Headers],0))=0,"",INDEX(Table2[],_xlfn.XMATCH($A121,Table2[Steel Member],0),_xlfn.XMATCH(AA$2,Table2[#Headers],0)))</f>
        <v>#N/A</v>
      </c>
      <c r="AB121" s="4" t="e" cm="1">
        <f t="array" ref="AB121">IF(INDEX(Table2[],_xlfn.XMATCH($A121,Table2[Steel Member],0),_xlfn.XMATCH(AB$2,Table2[#Headers],0))=0,"",INDEX(Table2[],_xlfn.XMATCH($A121,Table2[Steel Member],0),_xlfn.XMATCH(AB$2,Table2[#Headers],0)))</f>
        <v>#N/A</v>
      </c>
      <c r="AC121" s="4" t="str" cm="1">
        <f t="array" ref="AC121">IFERROR(INDEX(Table8[],_xlfn.XMATCH($O121,Table8[Dimension Name Category],0),_xlfn.XMATCH(AC$2&amp;IF($L121," w/ tag"," w/o tag"),Table8[#Headers],0)),"")</f>
        <v/>
      </c>
      <c r="AD121" s="59" t="str">
        <f t="shared" si="56"/>
        <v/>
      </c>
      <c r="AE121" s="4" t="str">
        <f t="shared" si="57"/>
        <v/>
      </c>
      <c r="AF121" s="4" t="str">
        <f t="shared" si="58"/>
        <v/>
      </c>
      <c r="AG121" s="4" t="str" cm="1">
        <f t="array" ref="AG121">IFERROR(INDEX(Table8[],_xlfn.XMATCH($O121,Table8[Dimension Name Category],0),_xlfn.XMATCH(AG$2&amp;IF($L121," w/ tag"," w/o tag"),Table8[#Headers],0)),"")</f>
        <v/>
      </c>
      <c r="AH121" s="59" t="str">
        <f t="shared" si="59"/>
        <v/>
      </c>
      <c r="AI121" s="4"/>
      <c r="AJ121" s="4" t="str">
        <f t="shared" si="60"/>
        <v/>
      </c>
      <c r="AK121" s="4" t="str">
        <f t="shared" si="61"/>
        <v/>
      </c>
      <c r="AL121" s="4" t="e" cm="1">
        <f t="array" ref="AL121">IF(INDEX(Table2[],_xlfn.XMATCH($A121,Table2[Steel Member],0),_xlfn.XMATCH(AL$2,Table2[#Headers],0))=0,"",INDEX(Table2[],_xlfn.XMATCH($A121,Table2[Steel Member],0),_xlfn.XMATCH(AL$2,Table2[#Headers],0)))</f>
        <v>#N/A</v>
      </c>
      <c r="AM121" s="4"/>
      <c r="AN121" s="4" t="str">
        <f t="shared" si="62"/>
        <v/>
      </c>
      <c r="AO121" s="4"/>
      <c r="AP121" s="4" t="e" cm="1">
        <f t="array" ref="AP121">IF(INDEX(Table2[],_xlfn.XMATCH($A121,Table2[Steel Member],0),_xlfn.XMATCH(AP$2,Table2[#Headers],0))=0,"",INDEX(Table2[],_xlfn.XMATCH($A121,Table2[Steel Member],0),_xlfn.XMATCH(AP$2,Table2[#Headers],0)))</f>
        <v>#N/A</v>
      </c>
      <c r="AQ121" s="4"/>
      <c r="AR121" s="4"/>
      <c r="AS121" s="4"/>
      <c r="AT121" s="4"/>
    </row>
    <row r="122" spans="1:46" x14ac:dyDescent="0.25">
      <c r="A122" s="52"/>
      <c r="B122" s="53"/>
      <c r="C122" s="52"/>
      <c r="D122" s="52"/>
      <c r="E122" s="52"/>
      <c r="F122" s="64" cm="1">
        <f t="array" ref="F122">IF(COUNT(FIND(PurlinsxGirthsxBracings,$C122))&gt;0,0,ROUNDUP(IF(D122=0,0,VLOOKUP(D122,'DATA SHEET'!$B:$D,2,FALSE)),2))</f>
        <v>0</v>
      </c>
      <c r="G122" s="64" cm="1">
        <f t="array" ref="G122">IF(COUNT(FIND(PurlinsxGirthsxBracings,$C122))&gt;0,0,ROUNDUP(IF(D122=0,0,VLOOKUP(D122,'DATA SHEET'!$B:$D,3,FALSE)),2))</f>
        <v>0</v>
      </c>
      <c r="H122" s="53"/>
      <c r="I122" s="66" cm="1">
        <f t="array" ref="I122">IF(AND(ISBLANK(B122),ISBLANK(C122),ISBLANK(E122)),0,IF(COUNT(FIND(PurlinsxGirthsxBracings,$C122))&gt;0,IF(B122=0,CONCATENATE(E122," ",C122),CONCATENATE(B122," - ",E122," ",C122)),IF(B122=0,IF(ISBLANK(C122),E122,CONCATENATE(D122,", ",F122,"kg/m, ",G122,"mm surface perimeter")),IF(AND(ISBLANK(C122),ISTEXT(E122)),CONCATENATE(B122," - ",E122),IF(AND(ISBLANK(C122),ISBLANK(E122)),B122,CONCATENATE(B122," - ",D122,", ",F122,"kg/m, ",G122,"mm surface perimeter"))))&amp;IF(ISBLANK(H122),"",H122)))</f>
        <v>0</v>
      </c>
      <c r="J122" s="53"/>
      <c r="L122" s="4" t="str" cm="1">
        <f t="array" ref="L122">IF(COUNT(FIND({0,1,2,3,4,5,6,7,8,9},B122))&gt;0,COUNT(FIND({0,1,2,3,4,5,6,7,8,9},B122))&gt;0,"")</f>
        <v/>
      </c>
      <c r="M122" s="4" t="str" cm="1">
        <f t="array" aca="1" ref="M122" ca="1">IFERROR(_xlfn.IFS(R122="Count",RANDBETWEEN(1,COUNTIF($R$11:$R$653,"Count")),R122="Length",RANDBETWEEN(1,COUNTIF($R$11:$R$653,"Length"))),"")</f>
        <v/>
      </c>
      <c r="N122" s="4" t="str">
        <f ca="1">IFERROR(_xlfn.RANK.EQ(M122,$M$11:$M$653)+COUNTIF($M$11:M122,M122)-1,"")</f>
        <v/>
      </c>
      <c r="O122" s="86" t="str">
        <f>IF(A122='DATA SHEET'!$L$36,C122,IFERROR(IF(AND(ISTEXT(I122),ISBLANK(C122)),"No details",VLOOKUP(C122,DimFolder,2,FALSE)),""))</f>
        <v/>
      </c>
      <c r="P122" s="4" t="str">
        <f t="shared" si="51"/>
        <v/>
      </c>
      <c r="Q122" s="58" t="str">
        <f t="shared" si="63"/>
        <v/>
      </c>
      <c r="R122" s="4" t="e" cm="1">
        <f t="array" ref="R122">IF(INDEX(Table2[],_xlfn.XMATCH($A122,Table2[Steel Member],0),_xlfn.XMATCH(R$2,Table2[#Headers],0))=0,"",INDEX(Table2[],_xlfn.XMATCH($A122,Table2[Steel Member],0),_xlfn.XMATCH(R$2,Table2[#Headers],0)))</f>
        <v>#N/A</v>
      </c>
      <c r="S122" s="4" t="e" cm="1">
        <f t="array" ref="S122">IF(INDEX(Table2[],_xlfn.XMATCH($A122,Table2[Steel Member],0),_xlfn.XMATCH(S$2,Table2[#Headers],0))=0,"",INDEX(Table2[],_xlfn.XMATCH($A122,Table2[Steel Member],0),_xlfn.XMATCH(S$2,Table2[#Headers],0)))</f>
        <v>#N/A</v>
      </c>
      <c r="T122" s="4" t="str">
        <f t="shared" si="54"/>
        <v/>
      </c>
      <c r="U122" s="4" t="e">
        <f ca="1">VLOOKUP(N122,'COLOR CODE'!$B:$D,2,FALSE)</f>
        <v>#N/A</v>
      </c>
      <c r="V122" s="4" t="str">
        <f t="shared" si="55"/>
        <v/>
      </c>
      <c r="W122" s="4" t="e" cm="1">
        <f t="array" ref="W122">IF(INDEX(Table2[],_xlfn.XMATCH($A122,Table2[Steel Member],0),_xlfn.XMATCH(W$2,Table2[#Headers],0))=0,"",INDEX(Table2[],_xlfn.XMATCH($A122,Table2[Steel Member],0),_xlfn.XMATCH(W$2,Table2[#Headers],0)))</f>
        <v>#N/A</v>
      </c>
      <c r="X122" s="4" t="e">
        <f t="shared" si="53"/>
        <v>#N/A</v>
      </c>
      <c r="Y122" s="4" t="e" cm="1">
        <f t="array" ref="Y122">IF(INDEX(Table2[],_xlfn.XMATCH($A122,Table2[Steel Member],0),_xlfn.XMATCH(Y$2,Table2[#Headers],0))=0,"",INDEX(Table2[],_xlfn.XMATCH($A122,Table2[Steel Member],0),_xlfn.XMATCH(Y$2,Table2[#Headers],0)))</f>
        <v>#N/A</v>
      </c>
      <c r="Z122" s="4" t="e" cm="1">
        <f t="array" ref="Z122">IF(INDEX(Table2[],_xlfn.XMATCH($A122,Table2[Steel Member],0),_xlfn.XMATCH(Z$2,Table2[#Headers],0))=0,"",INDEX(Table2[],_xlfn.XMATCH($A122,Table2[Steel Member],0),_xlfn.XMATCH(Z$2,Table2[#Headers],0)))</f>
        <v>#N/A</v>
      </c>
      <c r="AA122" s="4" t="e" cm="1">
        <f t="array" ref="AA122">IF(INDEX(Table2[],_xlfn.XMATCH($A122,Table2[Steel Member],0),_xlfn.XMATCH(AA$2,Table2[#Headers],0))=0,"",INDEX(Table2[],_xlfn.XMATCH($A122,Table2[Steel Member],0),_xlfn.XMATCH(AA$2,Table2[#Headers],0)))</f>
        <v>#N/A</v>
      </c>
      <c r="AB122" s="4" t="e" cm="1">
        <f t="array" ref="AB122">IF(INDEX(Table2[],_xlfn.XMATCH($A122,Table2[Steel Member],0),_xlfn.XMATCH(AB$2,Table2[#Headers],0))=0,"",INDEX(Table2[],_xlfn.XMATCH($A122,Table2[Steel Member],0),_xlfn.XMATCH(AB$2,Table2[#Headers],0)))</f>
        <v>#N/A</v>
      </c>
      <c r="AC122" s="4" t="str" cm="1">
        <f t="array" ref="AC122">IFERROR(INDEX(Table8[],_xlfn.XMATCH($O122,Table8[Dimension Name Category],0),_xlfn.XMATCH(AC$2&amp;IF($L122," w/ tag"," w/o tag"),Table8[#Headers],0)),"")</f>
        <v/>
      </c>
      <c r="AD122" s="59" t="str">
        <f t="shared" si="56"/>
        <v/>
      </c>
      <c r="AE122" s="4" t="str">
        <f t="shared" si="57"/>
        <v/>
      </c>
      <c r="AF122" s="4" t="str">
        <f t="shared" si="58"/>
        <v/>
      </c>
      <c r="AG122" s="4" t="str" cm="1">
        <f t="array" ref="AG122">IFERROR(INDEX(Table8[],_xlfn.XMATCH($O122,Table8[Dimension Name Category],0),_xlfn.XMATCH(AG$2&amp;IF($L122," w/ tag"," w/o tag"),Table8[#Headers],0)),"")</f>
        <v/>
      </c>
      <c r="AH122" s="59" t="str">
        <f t="shared" si="59"/>
        <v/>
      </c>
      <c r="AI122" s="4"/>
      <c r="AJ122" s="4" t="str">
        <f t="shared" si="60"/>
        <v/>
      </c>
      <c r="AK122" s="4" t="str">
        <f t="shared" si="61"/>
        <v/>
      </c>
      <c r="AL122" s="4" t="e" cm="1">
        <f t="array" ref="AL122">IF(INDEX(Table2[],_xlfn.XMATCH($A122,Table2[Steel Member],0),_xlfn.XMATCH(AL$2,Table2[#Headers],0))=0,"",INDEX(Table2[],_xlfn.XMATCH($A122,Table2[Steel Member],0),_xlfn.XMATCH(AL$2,Table2[#Headers],0)))</f>
        <v>#N/A</v>
      </c>
      <c r="AM122" s="4"/>
      <c r="AN122" s="4" t="str">
        <f t="shared" si="62"/>
        <v/>
      </c>
      <c r="AO122" s="4"/>
      <c r="AP122" s="4" t="e" cm="1">
        <f t="array" ref="AP122">IF(INDEX(Table2[],_xlfn.XMATCH($A122,Table2[Steel Member],0),_xlfn.XMATCH(AP$2,Table2[#Headers],0))=0,"",INDEX(Table2[],_xlfn.XMATCH($A122,Table2[Steel Member],0),_xlfn.XMATCH(AP$2,Table2[#Headers],0)))</f>
        <v>#N/A</v>
      </c>
      <c r="AQ122" s="4"/>
      <c r="AR122" s="4"/>
      <c r="AS122" s="4"/>
      <c r="AT122" s="4"/>
    </row>
    <row r="123" spans="1:46" x14ac:dyDescent="0.25">
      <c r="A123" s="52"/>
      <c r="B123" s="52"/>
      <c r="C123" s="52"/>
      <c r="D123" s="52"/>
      <c r="E123" s="52"/>
      <c r="F123" s="64" cm="1">
        <f t="array" ref="F123">IF(COUNT(FIND(PurlinsxGirthsxBracings,$C123))&gt;0,0,ROUNDUP(IF(D123=0,0,VLOOKUP(D123,'DATA SHEET'!$B:$D,2,FALSE)),2))</f>
        <v>0</v>
      </c>
      <c r="G123" s="64" cm="1">
        <f t="array" ref="G123">IF(COUNT(FIND(PurlinsxGirthsxBracings,$C123))&gt;0,0,ROUNDUP(IF(D123=0,0,VLOOKUP(D123,'DATA SHEET'!$B:$D,3,FALSE)),2))</f>
        <v>0</v>
      </c>
      <c r="H123" s="53"/>
      <c r="I123" s="66" cm="1">
        <f t="array" ref="I123">IF(AND(ISBLANK(B123),ISBLANK(C123),ISBLANK(E123)),0,IF(COUNT(FIND(PurlinsxGirthsxBracings,$C123))&gt;0,IF(B123=0,CONCATENATE(E123," ",C123),CONCATENATE(B123," - ",E123," ",C123)),IF(B123=0,IF(ISBLANK(C123),E123,CONCATENATE(D123,", ",F123,"kg/m, ",G123,"mm surface perimeter")),IF(AND(ISBLANK(C123),ISTEXT(E123)),CONCATENATE(B123," - ",E123),IF(AND(ISBLANK(C123),ISBLANK(E123)),B123,CONCATENATE(B123," - ",D123,", ",F123,"kg/m, ",G123,"mm surface perimeter"))))&amp;IF(ISBLANK(H123),"",H123)))</f>
        <v>0</v>
      </c>
      <c r="J123" s="53"/>
      <c r="L123" s="4" t="str" cm="1">
        <f t="array" ref="L123">IF(COUNT(FIND({0,1,2,3,4,5,6,7,8,9},B123))&gt;0,COUNT(FIND({0,1,2,3,4,5,6,7,8,9},B123))&gt;0,"")</f>
        <v/>
      </c>
      <c r="M123" s="4" t="str" cm="1">
        <f t="array" aca="1" ref="M123" ca="1">IFERROR(_xlfn.IFS(R123="Count",RANDBETWEEN(1,COUNTIF($R$11:$R$653,"Count")),R123="Length",RANDBETWEEN(1,COUNTIF($R$11:$R$653,"Length"))),"")</f>
        <v/>
      </c>
      <c r="N123" s="4" t="str">
        <f ca="1">IFERROR(_xlfn.RANK.EQ(M123,$M$11:$M$653)+COUNTIF($M$11:M123,M123)-1,"")</f>
        <v/>
      </c>
      <c r="O123" s="86" t="str">
        <f>IF(A123='DATA SHEET'!$L$36,C123,IFERROR(IF(AND(ISTEXT(I123),ISBLANK(C123)),"No details",VLOOKUP(C123,DimFolder,2,FALSE)),""))</f>
        <v/>
      </c>
      <c r="P123" s="4" t="str">
        <f t="shared" si="51"/>
        <v/>
      </c>
      <c r="Q123" s="58" t="str">
        <f t="shared" si="63"/>
        <v/>
      </c>
      <c r="R123" s="4" t="e" cm="1">
        <f t="array" ref="R123">IF(INDEX(Table2[],_xlfn.XMATCH($A123,Table2[Steel Member],0),_xlfn.XMATCH(R$2,Table2[#Headers],0))=0,"",INDEX(Table2[],_xlfn.XMATCH($A123,Table2[Steel Member],0),_xlfn.XMATCH(R$2,Table2[#Headers],0)))</f>
        <v>#N/A</v>
      </c>
      <c r="S123" s="4" t="e" cm="1">
        <f t="array" ref="S123">IF(INDEX(Table2[],_xlfn.XMATCH($A123,Table2[Steel Member],0),_xlfn.XMATCH(S$2,Table2[#Headers],0))=0,"",INDEX(Table2[],_xlfn.XMATCH($A123,Table2[Steel Member],0),_xlfn.XMATCH(S$2,Table2[#Headers],0)))</f>
        <v>#N/A</v>
      </c>
      <c r="T123" s="4" t="str">
        <f t="shared" si="54"/>
        <v/>
      </c>
      <c r="U123" s="4" t="e">
        <f ca="1">VLOOKUP(N123,'COLOR CODE'!$B:$D,2,FALSE)</f>
        <v>#N/A</v>
      </c>
      <c r="V123" s="4" t="str">
        <f t="shared" si="55"/>
        <v/>
      </c>
      <c r="W123" s="4" t="e" cm="1">
        <f t="array" ref="W123">IF(INDEX(Table2[],_xlfn.XMATCH($A123,Table2[Steel Member],0),_xlfn.XMATCH(W$2,Table2[#Headers],0))=0,"",INDEX(Table2[],_xlfn.XMATCH($A123,Table2[Steel Member],0),_xlfn.XMATCH(W$2,Table2[#Headers],0)))</f>
        <v>#N/A</v>
      </c>
      <c r="X123" s="4" t="e">
        <f t="shared" si="53"/>
        <v>#N/A</v>
      </c>
      <c r="Y123" s="4" t="e" cm="1">
        <f t="array" ref="Y123">IF(INDEX(Table2[],_xlfn.XMATCH($A123,Table2[Steel Member],0),_xlfn.XMATCH(Y$2,Table2[#Headers],0))=0,"",INDEX(Table2[],_xlfn.XMATCH($A123,Table2[Steel Member],0),_xlfn.XMATCH(Y$2,Table2[#Headers],0)))</f>
        <v>#N/A</v>
      </c>
      <c r="Z123" s="4" t="e" cm="1">
        <f t="array" ref="Z123">IF(INDEX(Table2[],_xlfn.XMATCH($A123,Table2[Steel Member],0),_xlfn.XMATCH(Z$2,Table2[#Headers],0))=0,"",INDEX(Table2[],_xlfn.XMATCH($A123,Table2[Steel Member],0),_xlfn.XMATCH(Z$2,Table2[#Headers],0)))</f>
        <v>#N/A</v>
      </c>
      <c r="AA123" s="4" t="e" cm="1">
        <f t="array" ref="AA123">IF(INDEX(Table2[],_xlfn.XMATCH($A123,Table2[Steel Member],0),_xlfn.XMATCH(AA$2,Table2[#Headers],0))=0,"",INDEX(Table2[],_xlfn.XMATCH($A123,Table2[Steel Member],0),_xlfn.XMATCH(AA$2,Table2[#Headers],0)))</f>
        <v>#N/A</v>
      </c>
      <c r="AB123" s="4" t="e" cm="1">
        <f t="array" ref="AB123">IF(INDEX(Table2[],_xlfn.XMATCH($A123,Table2[Steel Member],0),_xlfn.XMATCH(AB$2,Table2[#Headers],0))=0,"",INDEX(Table2[],_xlfn.XMATCH($A123,Table2[Steel Member],0),_xlfn.XMATCH(AB$2,Table2[#Headers],0)))</f>
        <v>#N/A</v>
      </c>
      <c r="AC123" s="4" t="str" cm="1">
        <f t="array" ref="AC123">IFERROR(INDEX(Table8[],_xlfn.XMATCH($O123,Table8[Dimension Name Category],0),_xlfn.XMATCH(AC$2&amp;IF($L123," w/ tag"," w/o tag"),Table8[#Headers],0)),"")</f>
        <v/>
      </c>
      <c r="AD123" s="59" t="str">
        <f t="shared" si="56"/>
        <v/>
      </c>
      <c r="AE123" s="4" t="str">
        <f t="shared" si="57"/>
        <v/>
      </c>
      <c r="AF123" s="4" t="str">
        <f t="shared" si="58"/>
        <v/>
      </c>
      <c r="AG123" s="4" t="str" cm="1">
        <f t="array" ref="AG123">IFERROR(INDEX(Table8[],_xlfn.XMATCH($O123,Table8[Dimension Name Category],0),_xlfn.XMATCH(AG$2&amp;IF($L123," w/ tag"," w/o tag"),Table8[#Headers],0)),"")</f>
        <v/>
      </c>
      <c r="AH123" s="59" t="str">
        <f t="shared" si="59"/>
        <v/>
      </c>
      <c r="AI123" s="4"/>
      <c r="AJ123" s="4" t="str">
        <f t="shared" si="60"/>
        <v/>
      </c>
      <c r="AK123" s="4" t="str">
        <f t="shared" si="61"/>
        <v/>
      </c>
      <c r="AL123" s="4" t="e" cm="1">
        <f t="array" ref="AL123">IF(INDEX(Table2[],_xlfn.XMATCH($A123,Table2[Steel Member],0),_xlfn.XMATCH(AL$2,Table2[#Headers],0))=0,"",INDEX(Table2[],_xlfn.XMATCH($A123,Table2[Steel Member],0),_xlfn.XMATCH(AL$2,Table2[#Headers],0)))</f>
        <v>#N/A</v>
      </c>
      <c r="AM123" s="4"/>
      <c r="AN123" s="4" t="str">
        <f t="shared" si="62"/>
        <v/>
      </c>
      <c r="AO123" s="4"/>
      <c r="AP123" s="4" t="e" cm="1">
        <f t="array" ref="AP123">IF(INDEX(Table2[],_xlfn.XMATCH($A123,Table2[Steel Member],0),_xlfn.XMATCH(AP$2,Table2[#Headers],0))=0,"",INDEX(Table2[],_xlfn.XMATCH($A123,Table2[Steel Member],0),_xlfn.XMATCH(AP$2,Table2[#Headers],0)))</f>
        <v>#N/A</v>
      </c>
      <c r="AQ123" s="4"/>
      <c r="AR123" s="4"/>
      <c r="AS123" s="4"/>
      <c r="AT123" s="4"/>
    </row>
    <row r="124" spans="1:46" x14ac:dyDescent="0.25">
      <c r="A124" s="52"/>
      <c r="B124" s="52"/>
      <c r="C124" s="52"/>
      <c r="D124" s="52"/>
      <c r="E124" s="52"/>
      <c r="F124" s="64" cm="1">
        <f t="array" ref="F124">IF(COUNT(FIND(PurlinsxGirthsxBracings,$C124))&gt;0,0,ROUNDUP(IF(D124=0,0,VLOOKUP(D124,'DATA SHEET'!$B:$D,2,FALSE)),2))</f>
        <v>0</v>
      </c>
      <c r="G124" s="64" cm="1">
        <f t="array" ref="G124">IF(COUNT(FIND(PurlinsxGirthsxBracings,$C124))&gt;0,0,ROUNDUP(IF(D124=0,0,VLOOKUP(D124,'DATA SHEET'!$B:$D,3,FALSE)),2))</f>
        <v>0</v>
      </c>
      <c r="H124" s="53"/>
      <c r="I124" s="66" cm="1">
        <f t="array" ref="I124">IF(AND(ISBLANK(B124),ISBLANK(C124),ISBLANK(E124)),0,IF(COUNT(FIND(PurlinsxGirthsxBracings,$C124))&gt;0,IF(B124=0,CONCATENATE(E124," ",C124),CONCATENATE(B124," - ",E124," ",C124)),IF(B124=0,IF(ISBLANK(C124),E124,CONCATENATE(D124,", ",F124,"kg/m, ",G124,"mm surface perimeter")),IF(AND(ISBLANK(C124),ISTEXT(E124)),CONCATENATE(B124," - ",E124),IF(AND(ISBLANK(C124),ISBLANK(E124)),B124,CONCATENATE(B124," - ",D124,", ",F124,"kg/m, ",G124,"mm surface perimeter"))))&amp;IF(ISBLANK(H124),"",H124)))</f>
        <v>0</v>
      </c>
      <c r="J124" s="53"/>
      <c r="L124" s="4" t="str" cm="1">
        <f t="array" ref="L124">IF(COUNT(FIND({0,1,2,3,4,5,6,7,8,9},B124))&gt;0,COUNT(FIND({0,1,2,3,4,5,6,7,8,9},B124))&gt;0,"")</f>
        <v/>
      </c>
      <c r="M124" s="4" t="str" cm="1">
        <f t="array" aca="1" ref="M124" ca="1">IFERROR(_xlfn.IFS(R124="Count",RANDBETWEEN(1,COUNTIF($R$11:$R$653,"Count")),R124="Length",RANDBETWEEN(1,COUNTIF($R$11:$R$653,"Length"))),"")</f>
        <v/>
      </c>
      <c r="N124" s="4" t="str">
        <f ca="1">IFERROR(_xlfn.RANK.EQ(M124,$M$11:$M$653)+COUNTIF($M$11:M124,M124)-1,"")</f>
        <v/>
      </c>
      <c r="O124" s="86" t="str">
        <f>IF(A124='DATA SHEET'!$L$36,C124,IFERROR(IF(AND(ISTEXT(I124),ISBLANK(C124)),"No details",VLOOKUP(C124,DimFolder,2,FALSE)),""))</f>
        <v/>
      </c>
      <c r="P124" s="4" t="str">
        <f t="shared" si="51"/>
        <v/>
      </c>
      <c r="Q124" s="58" t="str">
        <f t="shared" si="63"/>
        <v/>
      </c>
      <c r="R124" s="4" t="e" cm="1">
        <f t="array" ref="R124">IF(INDEX(Table2[],_xlfn.XMATCH($A124,Table2[Steel Member],0),_xlfn.XMATCH(R$2,Table2[#Headers],0))=0,"",INDEX(Table2[],_xlfn.XMATCH($A124,Table2[Steel Member],0),_xlfn.XMATCH(R$2,Table2[#Headers],0)))</f>
        <v>#N/A</v>
      </c>
      <c r="S124" s="4" t="e" cm="1">
        <f t="array" ref="S124">IF(INDEX(Table2[],_xlfn.XMATCH($A124,Table2[Steel Member],0),_xlfn.XMATCH(S$2,Table2[#Headers],0))=0,"",INDEX(Table2[],_xlfn.XMATCH($A124,Table2[Steel Member],0),_xlfn.XMATCH(S$2,Table2[#Headers],0)))</f>
        <v>#N/A</v>
      </c>
      <c r="T124" s="4" t="str">
        <f t="shared" si="54"/>
        <v/>
      </c>
      <c r="U124" s="4" t="e">
        <f ca="1">VLOOKUP(N124,'COLOR CODE'!$B:$D,2,FALSE)</f>
        <v>#N/A</v>
      </c>
      <c r="V124" s="4" t="str">
        <f t="shared" si="55"/>
        <v/>
      </c>
      <c r="W124" s="4" t="e" cm="1">
        <f t="array" ref="W124">IF(INDEX(Table2[],_xlfn.XMATCH($A124,Table2[Steel Member],0),_xlfn.XMATCH(W$2,Table2[#Headers],0))=0,"",INDEX(Table2[],_xlfn.XMATCH($A124,Table2[Steel Member],0),_xlfn.XMATCH(W$2,Table2[#Headers],0)))</f>
        <v>#N/A</v>
      </c>
      <c r="X124" s="4" t="e">
        <f t="shared" si="53"/>
        <v>#N/A</v>
      </c>
      <c r="Y124" s="4" t="e" cm="1">
        <f t="array" ref="Y124">IF(INDEX(Table2[],_xlfn.XMATCH($A124,Table2[Steel Member],0),_xlfn.XMATCH(Y$2,Table2[#Headers],0))=0,"",INDEX(Table2[],_xlfn.XMATCH($A124,Table2[Steel Member],0),_xlfn.XMATCH(Y$2,Table2[#Headers],0)))</f>
        <v>#N/A</v>
      </c>
      <c r="Z124" s="4" t="e" cm="1">
        <f t="array" ref="Z124">IF(INDEX(Table2[],_xlfn.XMATCH($A124,Table2[Steel Member],0),_xlfn.XMATCH(Z$2,Table2[#Headers],0))=0,"",INDEX(Table2[],_xlfn.XMATCH($A124,Table2[Steel Member],0),_xlfn.XMATCH(Z$2,Table2[#Headers],0)))</f>
        <v>#N/A</v>
      </c>
      <c r="AA124" s="4" t="e" cm="1">
        <f t="array" ref="AA124">IF(INDEX(Table2[],_xlfn.XMATCH($A124,Table2[Steel Member],0),_xlfn.XMATCH(AA$2,Table2[#Headers],0))=0,"",INDEX(Table2[],_xlfn.XMATCH($A124,Table2[Steel Member],0),_xlfn.XMATCH(AA$2,Table2[#Headers],0)))</f>
        <v>#N/A</v>
      </c>
      <c r="AB124" s="4" t="e" cm="1">
        <f t="array" ref="AB124">IF(INDEX(Table2[],_xlfn.XMATCH($A124,Table2[Steel Member],0),_xlfn.XMATCH(AB$2,Table2[#Headers],0))=0,"",INDEX(Table2[],_xlfn.XMATCH($A124,Table2[Steel Member],0),_xlfn.XMATCH(AB$2,Table2[#Headers],0)))</f>
        <v>#N/A</v>
      </c>
      <c r="AC124" s="4" t="str" cm="1">
        <f t="array" ref="AC124">IFERROR(INDEX(Table8[],_xlfn.XMATCH($O124,Table8[Dimension Name Category],0),_xlfn.XMATCH(AC$2&amp;IF($L124," w/ tag"," w/o tag"),Table8[#Headers],0)),"")</f>
        <v/>
      </c>
      <c r="AD124" s="59" t="str">
        <f t="shared" si="56"/>
        <v/>
      </c>
      <c r="AE124" s="4" t="str">
        <f t="shared" si="57"/>
        <v/>
      </c>
      <c r="AF124" s="4" t="str">
        <f t="shared" si="58"/>
        <v/>
      </c>
      <c r="AG124" s="4" t="str" cm="1">
        <f t="array" ref="AG124">IFERROR(INDEX(Table8[],_xlfn.XMATCH($O124,Table8[Dimension Name Category],0),_xlfn.XMATCH(AG$2&amp;IF($L124," w/ tag"," w/o tag"),Table8[#Headers],0)),"")</f>
        <v/>
      </c>
      <c r="AH124" s="59" t="str">
        <f t="shared" si="59"/>
        <v/>
      </c>
      <c r="AI124" s="4"/>
      <c r="AJ124" s="4" t="str">
        <f t="shared" si="60"/>
        <v/>
      </c>
      <c r="AK124" s="4" t="str">
        <f t="shared" si="61"/>
        <v/>
      </c>
      <c r="AL124" s="4" t="e" cm="1">
        <f t="array" ref="AL124">IF(INDEX(Table2[],_xlfn.XMATCH($A124,Table2[Steel Member],0),_xlfn.XMATCH(AL$2,Table2[#Headers],0))=0,"",INDEX(Table2[],_xlfn.XMATCH($A124,Table2[Steel Member],0),_xlfn.XMATCH(AL$2,Table2[#Headers],0)))</f>
        <v>#N/A</v>
      </c>
      <c r="AM124" s="4"/>
      <c r="AN124" s="4" t="str">
        <f t="shared" si="62"/>
        <v/>
      </c>
      <c r="AO124" s="4"/>
      <c r="AP124" s="4" t="e" cm="1">
        <f t="array" ref="AP124">IF(INDEX(Table2[],_xlfn.XMATCH($A124,Table2[Steel Member],0),_xlfn.XMATCH(AP$2,Table2[#Headers],0))=0,"",INDEX(Table2[],_xlfn.XMATCH($A124,Table2[Steel Member],0),_xlfn.XMATCH(AP$2,Table2[#Headers],0)))</f>
        <v>#N/A</v>
      </c>
      <c r="AQ124" s="4"/>
      <c r="AR124" s="4"/>
      <c r="AS124" s="4"/>
      <c r="AT124" s="4"/>
    </row>
    <row r="125" spans="1:46" x14ac:dyDescent="0.25">
      <c r="A125" s="52"/>
      <c r="B125" s="52"/>
      <c r="C125" s="52"/>
      <c r="D125" s="52"/>
      <c r="E125" s="52"/>
      <c r="F125" s="64" cm="1">
        <f t="array" ref="F125">IF(COUNT(FIND(PurlinsxGirthsxBracings,$C125))&gt;0,0,ROUNDUP(IF(D125=0,0,VLOOKUP(D125,'DATA SHEET'!$B:$D,2,FALSE)),2))</f>
        <v>0</v>
      </c>
      <c r="G125" s="64" cm="1">
        <f t="array" ref="G125">IF(COUNT(FIND(PurlinsxGirthsxBracings,$C125))&gt;0,0,ROUNDUP(IF(D125=0,0,VLOOKUP(D125,'DATA SHEET'!$B:$D,3,FALSE)),2))</f>
        <v>0</v>
      </c>
      <c r="H125" s="53"/>
      <c r="I125" s="66" cm="1">
        <f t="array" ref="I125">IF(AND(ISBLANK(B125),ISBLANK(C125),ISBLANK(E125)),0,IF(COUNT(FIND(PurlinsxGirthsxBracings,$C125))&gt;0,IF(B125=0,CONCATENATE(E125," ",C125),CONCATENATE(B125," - ",E125," ",C125)),IF(B125=0,IF(ISBLANK(C125),E125,CONCATENATE(D125,", ",F125,"kg/m, ",G125,"mm surface perimeter")),IF(AND(ISBLANK(C125),ISTEXT(E125)),CONCATENATE(B125," - ",E125),IF(AND(ISBLANK(C125),ISBLANK(E125)),B125,CONCATENATE(B125," - ",D125,", ",F125,"kg/m, ",G125,"mm surface perimeter"))))&amp;IF(ISBLANK(H125),"",H125)))</f>
        <v>0</v>
      </c>
      <c r="J125" s="53"/>
      <c r="L125" s="4" t="str" cm="1">
        <f t="array" ref="L125">IF(COUNT(FIND({0,1,2,3,4,5,6,7,8,9},B125))&gt;0,COUNT(FIND({0,1,2,3,4,5,6,7,8,9},B125))&gt;0,"")</f>
        <v/>
      </c>
      <c r="M125" s="4" t="str" cm="1">
        <f t="array" aca="1" ref="M125" ca="1">IFERROR(_xlfn.IFS(R125="Count",RANDBETWEEN(1,COUNTIF($R$11:$R$653,"Count")),R125="Length",RANDBETWEEN(1,COUNTIF($R$11:$R$653,"Length"))),"")</f>
        <v/>
      </c>
      <c r="N125" s="4" t="str">
        <f ca="1">IFERROR(_xlfn.RANK.EQ(M125,$M$11:$M$653)+COUNTIF($M$11:M125,M125)-1,"")</f>
        <v/>
      </c>
      <c r="O125" s="86" t="str">
        <f>IF(A125='DATA SHEET'!$L$36,C125,IFERROR(IF(AND(ISTEXT(I125),ISBLANK(C125)),"No details",VLOOKUP(C125,DimFolder,2,FALSE)),""))</f>
        <v/>
      </c>
      <c r="P125" s="4" t="str">
        <f t="shared" si="51"/>
        <v/>
      </c>
      <c r="Q125" s="58" t="str">
        <f t="shared" si="63"/>
        <v/>
      </c>
      <c r="R125" s="4" t="e" cm="1">
        <f t="array" ref="R125">IF(INDEX(Table2[],_xlfn.XMATCH($A125,Table2[Steel Member],0),_xlfn.XMATCH(R$2,Table2[#Headers],0))=0,"",INDEX(Table2[],_xlfn.XMATCH($A125,Table2[Steel Member],0),_xlfn.XMATCH(R$2,Table2[#Headers],0)))</f>
        <v>#N/A</v>
      </c>
      <c r="S125" s="4" t="e" cm="1">
        <f t="array" ref="S125">IF(INDEX(Table2[],_xlfn.XMATCH($A125,Table2[Steel Member],0),_xlfn.XMATCH(S$2,Table2[#Headers],0))=0,"",INDEX(Table2[],_xlfn.XMATCH($A125,Table2[Steel Member],0),_xlfn.XMATCH(S$2,Table2[#Headers],0)))</f>
        <v>#N/A</v>
      </c>
      <c r="T125" s="4" t="str">
        <f t="shared" si="54"/>
        <v/>
      </c>
      <c r="U125" s="4" t="e">
        <f ca="1">VLOOKUP(N125,'COLOR CODE'!$B:$D,2,FALSE)</f>
        <v>#N/A</v>
      </c>
      <c r="V125" s="4" t="str">
        <f t="shared" si="55"/>
        <v/>
      </c>
      <c r="W125" s="4" t="e" cm="1">
        <f t="array" ref="W125">IF(INDEX(Table2[],_xlfn.XMATCH($A125,Table2[Steel Member],0),_xlfn.XMATCH(W$2,Table2[#Headers],0))=0,"",INDEX(Table2[],_xlfn.XMATCH($A125,Table2[Steel Member],0),_xlfn.XMATCH(W$2,Table2[#Headers],0)))</f>
        <v>#N/A</v>
      </c>
      <c r="X125" s="4" t="e">
        <f t="shared" si="53"/>
        <v>#N/A</v>
      </c>
      <c r="Y125" s="4" t="e" cm="1">
        <f t="array" ref="Y125">IF(INDEX(Table2[],_xlfn.XMATCH($A125,Table2[Steel Member],0),_xlfn.XMATCH(Y$2,Table2[#Headers],0))=0,"",INDEX(Table2[],_xlfn.XMATCH($A125,Table2[Steel Member],0),_xlfn.XMATCH(Y$2,Table2[#Headers],0)))</f>
        <v>#N/A</v>
      </c>
      <c r="Z125" s="4" t="e" cm="1">
        <f t="array" ref="Z125">IF(INDEX(Table2[],_xlfn.XMATCH($A125,Table2[Steel Member],0),_xlfn.XMATCH(Z$2,Table2[#Headers],0))=0,"",INDEX(Table2[],_xlfn.XMATCH($A125,Table2[Steel Member],0),_xlfn.XMATCH(Z$2,Table2[#Headers],0)))</f>
        <v>#N/A</v>
      </c>
      <c r="AA125" s="4" t="e" cm="1">
        <f t="array" ref="AA125">IF(INDEX(Table2[],_xlfn.XMATCH($A125,Table2[Steel Member],0),_xlfn.XMATCH(AA$2,Table2[#Headers],0))=0,"",INDEX(Table2[],_xlfn.XMATCH($A125,Table2[Steel Member],0),_xlfn.XMATCH(AA$2,Table2[#Headers],0)))</f>
        <v>#N/A</v>
      </c>
      <c r="AB125" s="4" t="e" cm="1">
        <f t="array" ref="AB125">IF(INDEX(Table2[],_xlfn.XMATCH($A125,Table2[Steel Member],0),_xlfn.XMATCH(AB$2,Table2[#Headers],0))=0,"",INDEX(Table2[],_xlfn.XMATCH($A125,Table2[Steel Member],0),_xlfn.XMATCH(AB$2,Table2[#Headers],0)))</f>
        <v>#N/A</v>
      </c>
      <c r="AC125" s="4" t="str" cm="1">
        <f t="array" ref="AC125">IFERROR(INDEX(Table8[],_xlfn.XMATCH($O125,Table8[Dimension Name Category],0),_xlfn.XMATCH(AC$2&amp;IF($L125," w/ tag"," w/o tag"),Table8[#Headers],0)),"")</f>
        <v/>
      </c>
      <c r="AD125" s="59" t="str">
        <f t="shared" si="56"/>
        <v/>
      </c>
      <c r="AE125" s="4" t="str">
        <f t="shared" si="57"/>
        <v/>
      </c>
      <c r="AF125" s="4" t="str">
        <f t="shared" si="58"/>
        <v/>
      </c>
      <c r="AG125" s="4" t="str" cm="1">
        <f t="array" ref="AG125">IFERROR(INDEX(Table8[],_xlfn.XMATCH($O125,Table8[Dimension Name Category],0),_xlfn.XMATCH(AG$2&amp;IF($L125," w/ tag"," w/o tag"),Table8[#Headers],0)),"")</f>
        <v/>
      </c>
      <c r="AH125" s="59" t="str">
        <f t="shared" si="59"/>
        <v/>
      </c>
      <c r="AI125" s="4"/>
      <c r="AJ125" s="4" t="str">
        <f t="shared" si="60"/>
        <v/>
      </c>
      <c r="AK125" s="4" t="str">
        <f t="shared" si="61"/>
        <v/>
      </c>
      <c r="AL125" s="4" t="e" cm="1">
        <f t="array" ref="AL125">IF(INDEX(Table2[],_xlfn.XMATCH($A125,Table2[Steel Member],0),_xlfn.XMATCH(AL$2,Table2[#Headers],0))=0,"",INDEX(Table2[],_xlfn.XMATCH($A125,Table2[Steel Member],0),_xlfn.XMATCH(AL$2,Table2[#Headers],0)))</f>
        <v>#N/A</v>
      </c>
      <c r="AM125" s="4"/>
      <c r="AN125" s="4" t="str">
        <f t="shared" si="62"/>
        <v/>
      </c>
      <c r="AO125" s="4"/>
      <c r="AP125" s="4" t="e" cm="1">
        <f t="array" ref="AP125">IF(INDEX(Table2[],_xlfn.XMATCH($A125,Table2[Steel Member],0),_xlfn.XMATCH(AP$2,Table2[#Headers],0))=0,"",INDEX(Table2[],_xlfn.XMATCH($A125,Table2[Steel Member],0),_xlfn.XMATCH(AP$2,Table2[#Headers],0)))</f>
        <v>#N/A</v>
      </c>
      <c r="AQ125" s="4"/>
      <c r="AR125" s="4"/>
      <c r="AS125" s="4"/>
      <c r="AT125" s="4"/>
    </row>
    <row r="126" spans="1:46" x14ac:dyDescent="0.25">
      <c r="A126" s="52"/>
      <c r="B126" s="52"/>
      <c r="C126" s="52"/>
      <c r="D126" s="52"/>
      <c r="E126" s="52"/>
      <c r="F126" s="64" cm="1">
        <f t="array" ref="F126">IF(COUNT(FIND(PurlinsxGirthsxBracings,$C126))&gt;0,0,ROUNDUP(IF(D126=0,0,VLOOKUP(D126,'DATA SHEET'!$B:$D,2,FALSE)),2))</f>
        <v>0</v>
      </c>
      <c r="G126" s="64" cm="1">
        <f t="array" ref="G126">IF(COUNT(FIND(PurlinsxGirthsxBracings,$C126))&gt;0,0,ROUNDUP(IF(D126=0,0,VLOOKUP(D126,'DATA SHEET'!$B:$D,3,FALSE)),2))</f>
        <v>0</v>
      </c>
      <c r="H126" s="53"/>
      <c r="I126" s="66" cm="1">
        <f t="array" ref="I126">IF(AND(ISBLANK(B126),ISBLANK(C126),ISBLANK(E126)),0,IF(COUNT(FIND(PurlinsxGirthsxBracings,$C126))&gt;0,IF(B126=0,CONCATENATE(E126," ",C126),CONCATENATE(B126," - ",E126," ",C126)),IF(B126=0,IF(ISBLANK(C126),E126,CONCATENATE(D126,", ",F126,"kg/m, ",G126,"mm surface perimeter")),IF(AND(ISBLANK(C126),ISTEXT(E126)),CONCATENATE(B126," - ",E126),IF(AND(ISBLANK(C126),ISBLANK(E126)),B126,CONCATENATE(B126," - ",D126,", ",F126,"kg/m, ",G126,"mm surface perimeter"))))&amp;IF(ISBLANK(H126),"",H126)))</f>
        <v>0</v>
      </c>
      <c r="J126" s="53"/>
      <c r="L126" s="4" t="str" cm="1">
        <f t="array" ref="L126">IF(COUNT(FIND({0,1,2,3,4,5,6,7,8,9},B126))&gt;0,COUNT(FIND({0,1,2,3,4,5,6,7,8,9},B126))&gt;0,"")</f>
        <v/>
      </c>
      <c r="M126" s="4" t="str" cm="1">
        <f t="array" aca="1" ref="M126" ca="1">IFERROR(_xlfn.IFS(R126="Count",RANDBETWEEN(1,COUNTIF($R$11:$R$653,"Count")),R126="Length",RANDBETWEEN(1,COUNTIF($R$11:$R$653,"Length"))),"")</f>
        <v/>
      </c>
      <c r="N126" s="4" t="str">
        <f ca="1">IFERROR(_xlfn.RANK.EQ(M126,$M$11:$M$653)+COUNTIF($M$11:M126,M126)-1,"")</f>
        <v/>
      </c>
      <c r="O126" s="86" t="str">
        <f>IF(A126='DATA SHEET'!$L$36,C126,IFERROR(IF(AND(ISTEXT(I126),ISBLANK(C126)),"No details",VLOOKUP(C126,DimFolder,2,FALSE)),""))</f>
        <v/>
      </c>
      <c r="P126" s="4" t="str">
        <f t="shared" si="51"/>
        <v/>
      </c>
      <c r="Q126" s="58" t="str">
        <f t="shared" si="63"/>
        <v/>
      </c>
      <c r="R126" s="4" t="e" cm="1">
        <f t="array" ref="R126">IF(INDEX(Table2[],_xlfn.XMATCH($A126,Table2[Steel Member],0),_xlfn.XMATCH(R$2,Table2[#Headers],0))=0,"",INDEX(Table2[],_xlfn.XMATCH($A126,Table2[Steel Member],0),_xlfn.XMATCH(R$2,Table2[#Headers],0)))</f>
        <v>#N/A</v>
      </c>
      <c r="S126" s="4" t="e" cm="1">
        <f t="array" ref="S126">IF(INDEX(Table2[],_xlfn.XMATCH($A126,Table2[Steel Member],0),_xlfn.XMATCH(S$2,Table2[#Headers],0))=0,"",INDEX(Table2[],_xlfn.XMATCH($A126,Table2[Steel Member],0),_xlfn.XMATCH(S$2,Table2[#Headers],0)))</f>
        <v>#N/A</v>
      </c>
      <c r="T126" s="4" t="str">
        <f t="shared" si="54"/>
        <v/>
      </c>
      <c r="U126" s="4" t="e">
        <f ca="1">VLOOKUP(N126,'COLOR CODE'!$B:$D,2,FALSE)</f>
        <v>#N/A</v>
      </c>
      <c r="V126" s="4" t="str">
        <f t="shared" si="55"/>
        <v/>
      </c>
      <c r="W126" s="4" t="e" cm="1">
        <f t="array" ref="W126">IF(INDEX(Table2[],_xlfn.XMATCH($A126,Table2[Steel Member],0),_xlfn.XMATCH(W$2,Table2[#Headers],0))=0,"",INDEX(Table2[],_xlfn.XMATCH($A126,Table2[Steel Member],0),_xlfn.XMATCH(W$2,Table2[#Headers],0)))</f>
        <v>#N/A</v>
      </c>
      <c r="X126" s="4" t="e">
        <f t="shared" si="53"/>
        <v>#N/A</v>
      </c>
      <c r="Y126" s="4" t="e" cm="1">
        <f t="array" ref="Y126">IF(INDEX(Table2[],_xlfn.XMATCH($A126,Table2[Steel Member],0),_xlfn.XMATCH(Y$2,Table2[#Headers],0))=0,"",INDEX(Table2[],_xlfn.XMATCH($A126,Table2[Steel Member],0),_xlfn.XMATCH(Y$2,Table2[#Headers],0)))</f>
        <v>#N/A</v>
      </c>
      <c r="Z126" s="4" t="e" cm="1">
        <f t="array" ref="Z126">IF(INDEX(Table2[],_xlfn.XMATCH($A126,Table2[Steel Member],0),_xlfn.XMATCH(Z$2,Table2[#Headers],0))=0,"",INDEX(Table2[],_xlfn.XMATCH($A126,Table2[Steel Member],0),_xlfn.XMATCH(Z$2,Table2[#Headers],0)))</f>
        <v>#N/A</v>
      </c>
      <c r="AA126" s="4" t="e" cm="1">
        <f t="array" ref="AA126">IF(INDEX(Table2[],_xlfn.XMATCH($A126,Table2[Steel Member],0),_xlfn.XMATCH(AA$2,Table2[#Headers],0))=0,"",INDEX(Table2[],_xlfn.XMATCH($A126,Table2[Steel Member],0),_xlfn.XMATCH(AA$2,Table2[#Headers],0)))</f>
        <v>#N/A</v>
      </c>
      <c r="AB126" s="4" t="e" cm="1">
        <f t="array" ref="AB126">IF(INDEX(Table2[],_xlfn.XMATCH($A126,Table2[Steel Member],0),_xlfn.XMATCH(AB$2,Table2[#Headers],0))=0,"",INDEX(Table2[],_xlfn.XMATCH($A126,Table2[Steel Member],0),_xlfn.XMATCH(AB$2,Table2[#Headers],0)))</f>
        <v>#N/A</v>
      </c>
      <c r="AC126" s="4" t="str" cm="1">
        <f t="array" ref="AC126">IFERROR(INDEX(Table8[],_xlfn.XMATCH($O126,Table8[Dimension Name Category],0),_xlfn.XMATCH(AC$2&amp;IF($L126," w/ tag"," w/o tag"),Table8[#Headers],0)),"")</f>
        <v/>
      </c>
      <c r="AD126" s="59" t="str">
        <f t="shared" si="56"/>
        <v/>
      </c>
      <c r="AE126" s="4" t="str">
        <f t="shared" si="57"/>
        <v/>
      </c>
      <c r="AF126" s="4" t="str">
        <f t="shared" si="58"/>
        <v/>
      </c>
      <c r="AG126" s="4" t="str" cm="1">
        <f t="array" ref="AG126">IFERROR(INDEX(Table8[],_xlfn.XMATCH($O126,Table8[Dimension Name Category],0),_xlfn.XMATCH(AG$2&amp;IF($L126," w/ tag"," w/o tag"),Table8[#Headers],0)),"")</f>
        <v/>
      </c>
      <c r="AH126" s="59" t="str">
        <f t="shared" si="59"/>
        <v/>
      </c>
      <c r="AI126" s="4"/>
      <c r="AJ126" s="4" t="str">
        <f t="shared" si="60"/>
        <v/>
      </c>
      <c r="AK126" s="4" t="str">
        <f t="shared" si="61"/>
        <v/>
      </c>
      <c r="AL126" s="4" t="e" cm="1">
        <f t="array" ref="AL126">IF(INDEX(Table2[],_xlfn.XMATCH($A126,Table2[Steel Member],0),_xlfn.XMATCH(AL$2,Table2[#Headers],0))=0,"",INDEX(Table2[],_xlfn.XMATCH($A126,Table2[Steel Member],0),_xlfn.XMATCH(AL$2,Table2[#Headers],0)))</f>
        <v>#N/A</v>
      </c>
      <c r="AM126" s="4"/>
      <c r="AN126" s="4" t="str">
        <f t="shared" si="62"/>
        <v/>
      </c>
      <c r="AO126" s="4"/>
      <c r="AP126" s="4" t="e" cm="1">
        <f t="array" ref="AP126">IF(INDEX(Table2[],_xlfn.XMATCH($A126,Table2[Steel Member],0),_xlfn.XMATCH(AP$2,Table2[#Headers],0))=0,"",INDEX(Table2[],_xlfn.XMATCH($A126,Table2[Steel Member],0),_xlfn.XMATCH(AP$2,Table2[#Headers],0)))</f>
        <v>#N/A</v>
      </c>
      <c r="AQ126" s="4"/>
      <c r="AR126" s="4"/>
      <c r="AS126" s="4"/>
      <c r="AT126" s="4"/>
    </row>
    <row r="127" spans="1:46" x14ac:dyDescent="0.25">
      <c r="A127" s="52"/>
      <c r="B127" s="52"/>
      <c r="C127" s="52"/>
      <c r="D127" s="52"/>
      <c r="E127" s="52"/>
      <c r="F127" s="64" cm="1">
        <f t="array" ref="F127">IF(COUNT(FIND(PurlinsxGirthsxBracings,$C127))&gt;0,0,ROUNDUP(IF(D127=0,0,VLOOKUP(D127,'DATA SHEET'!$B:$D,2,FALSE)),2))</f>
        <v>0</v>
      </c>
      <c r="G127" s="64" cm="1">
        <f t="array" ref="G127">IF(COUNT(FIND(PurlinsxGirthsxBracings,$C127))&gt;0,0,ROUNDUP(IF(D127=0,0,VLOOKUP(D127,'DATA SHEET'!$B:$D,3,FALSE)),2))</f>
        <v>0</v>
      </c>
      <c r="H127" s="53"/>
      <c r="I127" s="66" cm="1">
        <f t="array" ref="I127">IF(AND(ISBLANK(B127),ISBLANK(C127),ISBLANK(E127)),0,IF(COUNT(FIND(PurlinsxGirthsxBracings,$C127))&gt;0,IF(B127=0,CONCATENATE(E127," ",C127),CONCATENATE(B127," - ",E127," ",C127)),IF(B127=0,IF(ISBLANK(C127),E127,CONCATENATE(D127,", ",F127,"kg/m, ",G127,"mm surface perimeter")),IF(AND(ISBLANK(C127),ISTEXT(E127)),CONCATENATE(B127," - ",E127),IF(AND(ISBLANK(C127),ISBLANK(E127)),B127,CONCATENATE(B127," - ",D127,", ",F127,"kg/m, ",G127,"mm surface perimeter"))))&amp;IF(ISBLANK(H127),"",H127)))</f>
        <v>0</v>
      </c>
      <c r="J127" s="53"/>
      <c r="L127" s="4" t="str" cm="1">
        <f t="array" ref="L127">IF(COUNT(FIND({0,1,2,3,4,5,6,7,8,9},B127))&gt;0,COUNT(FIND({0,1,2,3,4,5,6,7,8,9},B127))&gt;0,"")</f>
        <v/>
      </c>
      <c r="M127" s="4" t="str" cm="1">
        <f t="array" aca="1" ref="M127" ca="1">IFERROR(_xlfn.IFS(R127="Count",RANDBETWEEN(1,COUNTIF($R$11:$R$653,"Count")),R127="Length",RANDBETWEEN(1,COUNTIF($R$11:$R$653,"Length"))),"")</f>
        <v/>
      </c>
      <c r="N127" s="4" t="str">
        <f ca="1">IFERROR(_xlfn.RANK.EQ(M127,$M$11:$M$653)+COUNTIF($M$11:M127,M127)-1,"")</f>
        <v/>
      </c>
      <c r="O127" s="86" t="str">
        <f>IF(A127='DATA SHEET'!$L$36,C127,IFERROR(IF(AND(ISTEXT(I127),ISBLANK(C127)),"No details",VLOOKUP(C127,DimFolder,2,FALSE)),""))</f>
        <v/>
      </c>
      <c r="P127" s="4" t="str">
        <f t="shared" si="51"/>
        <v/>
      </c>
      <c r="Q127" s="58" t="str">
        <f t="shared" si="63"/>
        <v/>
      </c>
      <c r="R127" s="4" t="e" cm="1">
        <f t="array" ref="R127">IF(INDEX(Table2[],_xlfn.XMATCH($A127,Table2[Steel Member],0),_xlfn.XMATCH(R$2,Table2[#Headers],0))=0,"",INDEX(Table2[],_xlfn.XMATCH($A127,Table2[Steel Member],0),_xlfn.XMATCH(R$2,Table2[#Headers],0)))</f>
        <v>#N/A</v>
      </c>
      <c r="S127" s="4" t="e" cm="1">
        <f t="array" ref="S127">IF(INDEX(Table2[],_xlfn.XMATCH($A127,Table2[Steel Member],0),_xlfn.XMATCH(S$2,Table2[#Headers],0))=0,"",INDEX(Table2[],_xlfn.XMATCH($A127,Table2[Steel Member],0),_xlfn.XMATCH(S$2,Table2[#Headers],0)))</f>
        <v>#N/A</v>
      </c>
      <c r="T127" s="4" t="str">
        <f t="shared" si="54"/>
        <v/>
      </c>
      <c r="U127" s="4" t="e">
        <f ca="1">VLOOKUP(N127,'COLOR CODE'!$B:$D,2,FALSE)</f>
        <v>#N/A</v>
      </c>
      <c r="V127" s="4" t="str">
        <f t="shared" si="55"/>
        <v/>
      </c>
      <c r="W127" s="4" t="e" cm="1">
        <f t="array" ref="W127">IF(INDEX(Table2[],_xlfn.XMATCH($A127,Table2[Steel Member],0),_xlfn.XMATCH(W$2,Table2[#Headers],0))=0,"",INDEX(Table2[],_xlfn.XMATCH($A127,Table2[Steel Member],0),_xlfn.XMATCH(W$2,Table2[#Headers],0)))</f>
        <v>#N/A</v>
      </c>
      <c r="X127" s="4" t="e">
        <f t="shared" si="53"/>
        <v>#N/A</v>
      </c>
      <c r="Y127" s="4" t="e" cm="1">
        <f t="array" ref="Y127">IF(INDEX(Table2[],_xlfn.XMATCH($A127,Table2[Steel Member],0),_xlfn.XMATCH(Y$2,Table2[#Headers],0))=0,"",INDEX(Table2[],_xlfn.XMATCH($A127,Table2[Steel Member],0),_xlfn.XMATCH(Y$2,Table2[#Headers],0)))</f>
        <v>#N/A</v>
      </c>
      <c r="Z127" s="4" t="e" cm="1">
        <f t="array" ref="Z127">IF(INDEX(Table2[],_xlfn.XMATCH($A127,Table2[Steel Member],0),_xlfn.XMATCH(Z$2,Table2[#Headers],0))=0,"",INDEX(Table2[],_xlfn.XMATCH($A127,Table2[Steel Member],0),_xlfn.XMATCH(Z$2,Table2[#Headers],0)))</f>
        <v>#N/A</v>
      </c>
      <c r="AA127" s="4" t="e" cm="1">
        <f t="array" ref="AA127">IF(INDEX(Table2[],_xlfn.XMATCH($A127,Table2[Steel Member],0),_xlfn.XMATCH(AA$2,Table2[#Headers],0))=0,"",INDEX(Table2[],_xlfn.XMATCH($A127,Table2[Steel Member],0),_xlfn.XMATCH(AA$2,Table2[#Headers],0)))</f>
        <v>#N/A</v>
      </c>
      <c r="AB127" s="4" t="e" cm="1">
        <f t="array" ref="AB127">IF(INDEX(Table2[],_xlfn.XMATCH($A127,Table2[Steel Member],0),_xlfn.XMATCH(AB$2,Table2[#Headers],0))=0,"",INDEX(Table2[],_xlfn.XMATCH($A127,Table2[Steel Member],0),_xlfn.XMATCH(AB$2,Table2[#Headers],0)))</f>
        <v>#N/A</v>
      </c>
      <c r="AC127" s="4" t="str" cm="1">
        <f t="array" ref="AC127">IFERROR(INDEX(Table8[],_xlfn.XMATCH($O127,Table8[Dimension Name Category],0),_xlfn.XMATCH(AC$2&amp;IF($L127," w/ tag"," w/o tag"),Table8[#Headers],0)),"")</f>
        <v/>
      </c>
      <c r="AD127" s="59" t="str">
        <f t="shared" si="56"/>
        <v/>
      </c>
      <c r="AE127" s="4" t="str">
        <f t="shared" si="57"/>
        <v/>
      </c>
      <c r="AF127" s="4" t="str">
        <f t="shared" si="58"/>
        <v/>
      </c>
      <c r="AG127" s="4" t="str" cm="1">
        <f t="array" ref="AG127">IFERROR(INDEX(Table8[],_xlfn.XMATCH($O127,Table8[Dimension Name Category],0),_xlfn.XMATCH(AG$2&amp;IF($L127," w/ tag"," w/o tag"),Table8[#Headers],0)),"")</f>
        <v/>
      </c>
      <c r="AH127" s="59" t="str">
        <f t="shared" si="59"/>
        <v/>
      </c>
      <c r="AI127" s="4"/>
      <c r="AJ127" s="4" t="str">
        <f t="shared" si="60"/>
        <v/>
      </c>
      <c r="AK127" s="4" t="str">
        <f t="shared" si="61"/>
        <v/>
      </c>
      <c r="AL127" s="4" t="e" cm="1">
        <f t="array" ref="AL127">IF(INDEX(Table2[],_xlfn.XMATCH($A127,Table2[Steel Member],0),_xlfn.XMATCH(AL$2,Table2[#Headers],0))=0,"",INDEX(Table2[],_xlfn.XMATCH($A127,Table2[Steel Member],0),_xlfn.XMATCH(AL$2,Table2[#Headers],0)))</f>
        <v>#N/A</v>
      </c>
      <c r="AM127" s="4"/>
      <c r="AN127" s="4" t="str">
        <f t="shared" si="62"/>
        <v/>
      </c>
      <c r="AO127" s="4"/>
      <c r="AP127" s="4" t="e" cm="1">
        <f t="array" ref="AP127">IF(INDEX(Table2[],_xlfn.XMATCH($A127,Table2[Steel Member],0),_xlfn.XMATCH(AP$2,Table2[#Headers],0))=0,"",INDEX(Table2[],_xlfn.XMATCH($A127,Table2[Steel Member],0),_xlfn.XMATCH(AP$2,Table2[#Headers],0)))</f>
        <v>#N/A</v>
      </c>
      <c r="AQ127" s="4"/>
      <c r="AR127" s="4"/>
      <c r="AS127" s="4"/>
      <c r="AT127" s="4"/>
    </row>
    <row r="128" spans="1:46" x14ac:dyDescent="0.25">
      <c r="A128" s="52"/>
      <c r="B128" s="52"/>
      <c r="C128" s="52"/>
      <c r="D128" s="52"/>
      <c r="E128" s="52"/>
      <c r="F128" s="64" cm="1">
        <f t="array" ref="F128">IF(COUNT(FIND(PurlinsxGirthsxBracings,$C128))&gt;0,0,ROUNDUP(IF(D128=0,0,VLOOKUP(D128,'DATA SHEET'!$B:$D,2,FALSE)),2))</f>
        <v>0</v>
      </c>
      <c r="G128" s="64" cm="1">
        <f t="array" ref="G128">IF(COUNT(FIND(PurlinsxGirthsxBracings,$C128))&gt;0,0,ROUNDUP(IF(D128=0,0,VLOOKUP(D128,'DATA SHEET'!$B:$D,3,FALSE)),2))</f>
        <v>0</v>
      </c>
      <c r="H128" s="53"/>
      <c r="I128" s="66" cm="1">
        <f t="array" ref="I128">IF(AND(ISBLANK(B128),ISBLANK(C128),ISBLANK(E128)),0,IF(COUNT(FIND(PurlinsxGirthsxBracings,$C128))&gt;0,IF(B128=0,CONCATENATE(E128," ",C128),CONCATENATE(B128," - ",E128," ",C128)),IF(B128=0,IF(ISBLANK(C128),E128,CONCATENATE(D128,", ",F128,"kg/m, ",G128,"mm surface perimeter")),IF(AND(ISBLANK(C128),ISTEXT(E128)),CONCATENATE(B128," - ",E128),IF(AND(ISBLANK(C128),ISBLANK(E128)),B128,CONCATENATE(B128," - ",D128,", ",F128,"kg/m, ",G128,"mm surface perimeter"))))&amp;IF(ISBLANK(H128),"",H128)))</f>
        <v>0</v>
      </c>
      <c r="J128" s="53"/>
      <c r="L128" s="4" t="str" cm="1">
        <f t="array" ref="L128">IF(COUNT(FIND({0,1,2,3,4,5,6,7,8,9},B128))&gt;0,COUNT(FIND({0,1,2,3,4,5,6,7,8,9},B128))&gt;0,"")</f>
        <v/>
      </c>
      <c r="M128" s="4" t="str" cm="1">
        <f t="array" aca="1" ref="M128" ca="1">IFERROR(_xlfn.IFS(R128="Count",RANDBETWEEN(1,COUNTIF($R$11:$R$653,"Count")),R128="Length",RANDBETWEEN(1,COUNTIF($R$11:$R$653,"Length"))),"")</f>
        <v/>
      </c>
      <c r="N128" s="4" t="str">
        <f ca="1">IFERROR(_xlfn.RANK.EQ(M128,$M$11:$M$653)+COUNTIF($M$11:M128,M128)-1,"")</f>
        <v/>
      </c>
      <c r="O128" s="86" t="str">
        <f>IF(A128='DATA SHEET'!$L$36,C128,IFERROR(IF(AND(ISTEXT(I128),ISBLANK(C128)),"No details",VLOOKUP(C128,DimFolder,2,FALSE)),""))</f>
        <v/>
      </c>
      <c r="P128" s="4" t="str">
        <f t="shared" si="51"/>
        <v/>
      </c>
      <c r="Q128" s="58" t="str">
        <f t="shared" si="63"/>
        <v/>
      </c>
      <c r="R128" s="4" t="e" cm="1">
        <f t="array" ref="R128">IF(INDEX(Table2[],_xlfn.XMATCH($A128,Table2[Steel Member],0),_xlfn.XMATCH(R$2,Table2[#Headers],0))=0,"",INDEX(Table2[],_xlfn.XMATCH($A128,Table2[Steel Member],0),_xlfn.XMATCH(R$2,Table2[#Headers],0)))</f>
        <v>#N/A</v>
      </c>
      <c r="S128" s="4" t="e" cm="1">
        <f t="array" ref="S128">IF(INDEX(Table2[],_xlfn.XMATCH($A128,Table2[Steel Member],0),_xlfn.XMATCH(S$2,Table2[#Headers],0))=0,"",INDEX(Table2[],_xlfn.XMATCH($A128,Table2[Steel Member],0),_xlfn.XMATCH(S$2,Table2[#Headers],0)))</f>
        <v>#N/A</v>
      </c>
      <c r="T128" s="4" t="str">
        <f t="shared" si="54"/>
        <v/>
      </c>
      <c r="U128" s="4" t="e">
        <f ca="1">VLOOKUP(N128,'COLOR CODE'!$B:$D,2,FALSE)</f>
        <v>#N/A</v>
      </c>
      <c r="V128" s="4" t="str">
        <f t="shared" si="55"/>
        <v/>
      </c>
      <c r="W128" s="4" t="e" cm="1">
        <f t="array" ref="W128">IF(INDEX(Table2[],_xlfn.XMATCH($A128,Table2[Steel Member],0),_xlfn.XMATCH(W$2,Table2[#Headers],0))=0,"",INDEX(Table2[],_xlfn.XMATCH($A128,Table2[Steel Member],0),_xlfn.XMATCH(W$2,Table2[#Headers],0)))</f>
        <v>#N/A</v>
      </c>
      <c r="X128" s="4" t="e">
        <f t="shared" si="53"/>
        <v>#N/A</v>
      </c>
      <c r="Y128" s="4" t="e" cm="1">
        <f t="array" ref="Y128">IF(INDEX(Table2[],_xlfn.XMATCH($A128,Table2[Steel Member],0),_xlfn.XMATCH(Y$2,Table2[#Headers],0))=0,"",INDEX(Table2[],_xlfn.XMATCH($A128,Table2[Steel Member],0),_xlfn.XMATCH(Y$2,Table2[#Headers],0)))</f>
        <v>#N/A</v>
      </c>
      <c r="Z128" s="4" t="e" cm="1">
        <f t="array" ref="Z128">IF(INDEX(Table2[],_xlfn.XMATCH($A128,Table2[Steel Member],0),_xlfn.XMATCH(Z$2,Table2[#Headers],0))=0,"",INDEX(Table2[],_xlfn.XMATCH($A128,Table2[Steel Member],0),_xlfn.XMATCH(Z$2,Table2[#Headers],0)))</f>
        <v>#N/A</v>
      </c>
      <c r="AA128" s="4" t="e" cm="1">
        <f t="array" ref="AA128">IF(INDEX(Table2[],_xlfn.XMATCH($A128,Table2[Steel Member],0),_xlfn.XMATCH(AA$2,Table2[#Headers],0))=0,"",INDEX(Table2[],_xlfn.XMATCH($A128,Table2[Steel Member],0),_xlfn.XMATCH(AA$2,Table2[#Headers],0)))</f>
        <v>#N/A</v>
      </c>
      <c r="AB128" s="4" t="e" cm="1">
        <f t="array" ref="AB128">IF(INDEX(Table2[],_xlfn.XMATCH($A128,Table2[Steel Member],0),_xlfn.XMATCH(AB$2,Table2[#Headers],0))=0,"",INDEX(Table2[],_xlfn.XMATCH($A128,Table2[Steel Member],0),_xlfn.XMATCH(AB$2,Table2[#Headers],0)))</f>
        <v>#N/A</v>
      </c>
      <c r="AC128" s="4" t="str" cm="1">
        <f t="array" ref="AC128">IFERROR(INDEX(Table8[],_xlfn.XMATCH($O128,Table8[Dimension Name Category],0),_xlfn.XMATCH(AC$2&amp;IF($L128," w/ tag"," w/o tag"),Table8[#Headers],0)),"")</f>
        <v/>
      </c>
      <c r="AD128" s="59" t="str">
        <f t="shared" si="56"/>
        <v/>
      </c>
      <c r="AE128" s="4" t="str">
        <f t="shared" si="57"/>
        <v/>
      </c>
      <c r="AF128" s="4" t="str">
        <f t="shared" si="58"/>
        <v/>
      </c>
      <c r="AG128" s="4" t="str" cm="1">
        <f t="array" ref="AG128">IFERROR(INDEX(Table8[],_xlfn.XMATCH($O128,Table8[Dimension Name Category],0),_xlfn.XMATCH(AG$2&amp;IF($L128," w/ tag"," w/o tag"),Table8[#Headers],0)),"")</f>
        <v/>
      </c>
      <c r="AH128" s="59" t="str">
        <f t="shared" si="59"/>
        <v/>
      </c>
      <c r="AI128" s="4"/>
      <c r="AJ128" s="4" t="str">
        <f t="shared" si="60"/>
        <v/>
      </c>
      <c r="AK128" s="4" t="str">
        <f t="shared" si="61"/>
        <v/>
      </c>
      <c r="AL128" s="4" t="e" cm="1">
        <f t="array" ref="AL128">IF(INDEX(Table2[],_xlfn.XMATCH($A128,Table2[Steel Member],0),_xlfn.XMATCH(AL$2,Table2[#Headers],0))=0,"",INDEX(Table2[],_xlfn.XMATCH($A128,Table2[Steel Member],0),_xlfn.XMATCH(AL$2,Table2[#Headers],0)))</f>
        <v>#N/A</v>
      </c>
      <c r="AM128" s="4"/>
      <c r="AN128" s="4" t="str">
        <f t="shared" si="62"/>
        <v/>
      </c>
      <c r="AO128" s="4"/>
      <c r="AP128" s="4" t="e" cm="1">
        <f t="array" ref="AP128">IF(INDEX(Table2[],_xlfn.XMATCH($A128,Table2[Steel Member],0),_xlfn.XMATCH(AP$2,Table2[#Headers],0))=0,"",INDEX(Table2[],_xlfn.XMATCH($A128,Table2[Steel Member],0),_xlfn.XMATCH(AP$2,Table2[#Headers],0)))</f>
        <v>#N/A</v>
      </c>
      <c r="AQ128" s="4"/>
      <c r="AR128" s="4"/>
      <c r="AS128" s="4"/>
      <c r="AT128" s="4"/>
    </row>
    <row r="129" spans="1:46" x14ac:dyDescent="0.25">
      <c r="A129" s="52"/>
      <c r="B129" s="52"/>
      <c r="C129" s="52"/>
      <c r="D129" s="52"/>
      <c r="E129" s="52"/>
      <c r="F129" s="64" cm="1">
        <f t="array" ref="F129">IF(COUNT(FIND(PurlinsxGirthsxBracings,$C129))&gt;0,0,ROUNDUP(IF(D129=0,0,VLOOKUP(D129,'DATA SHEET'!$B:$D,2,FALSE)),2))</f>
        <v>0</v>
      </c>
      <c r="G129" s="64" cm="1">
        <f t="array" ref="G129">IF(COUNT(FIND(PurlinsxGirthsxBracings,$C129))&gt;0,0,ROUNDUP(IF(D129=0,0,VLOOKUP(D129,'DATA SHEET'!$B:$D,3,FALSE)),2))</f>
        <v>0</v>
      </c>
      <c r="H129" s="53"/>
      <c r="I129" s="66" cm="1">
        <f t="array" ref="I129">IF(AND(ISBLANK(B129),ISBLANK(C129),ISBLANK(E129)),0,IF(COUNT(FIND(PurlinsxGirthsxBracings,$C129))&gt;0,IF(B129=0,CONCATENATE(E129," ",C129),CONCATENATE(B129," - ",E129," ",C129)),IF(B129=0,IF(ISBLANK(C129),E129,CONCATENATE(D129,", ",F129,"kg/m, ",G129,"mm surface perimeter")),IF(AND(ISBLANK(C129),ISTEXT(E129)),CONCATENATE(B129," - ",E129),IF(AND(ISBLANK(C129),ISBLANK(E129)),B129,CONCATENATE(B129," - ",D129,", ",F129,"kg/m, ",G129,"mm surface perimeter"))))&amp;IF(ISBLANK(H129),"",H129)))</f>
        <v>0</v>
      </c>
      <c r="J129" s="53"/>
      <c r="L129" s="4" t="str" cm="1">
        <f t="array" ref="L129">IF(COUNT(FIND({0,1,2,3,4,5,6,7,8,9},B129))&gt;0,COUNT(FIND({0,1,2,3,4,5,6,7,8,9},B129))&gt;0,"")</f>
        <v/>
      </c>
      <c r="M129" s="4" t="str" cm="1">
        <f t="array" aca="1" ref="M129" ca="1">IFERROR(_xlfn.IFS(R129="Count",RANDBETWEEN(1,COUNTIF($R$11:$R$653,"Count")),R129="Length",RANDBETWEEN(1,COUNTIF($R$11:$R$653,"Length"))),"")</f>
        <v/>
      </c>
      <c r="N129" s="4" t="str">
        <f ca="1">IFERROR(_xlfn.RANK.EQ(M129,$M$11:$M$653)+COUNTIF($M$11:M129,M129)-1,"")</f>
        <v/>
      </c>
      <c r="O129" s="86" t="str">
        <f>IF(A129='DATA SHEET'!$L$36,C129,IFERROR(IF(AND(ISTEXT(I129),ISBLANK(C129)),"No details",VLOOKUP(C129,DimFolder,2,FALSE)),""))</f>
        <v/>
      </c>
      <c r="P129" s="4" t="str">
        <f t="shared" si="51"/>
        <v/>
      </c>
      <c r="Q129" s="58" t="str">
        <f t="shared" si="63"/>
        <v/>
      </c>
      <c r="R129" s="4" t="e" cm="1">
        <f t="array" ref="R129">IF(INDEX(Table2[],_xlfn.XMATCH($A129,Table2[Steel Member],0),_xlfn.XMATCH(R$2,Table2[#Headers],0))=0,"",INDEX(Table2[],_xlfn.XMATCH($A129,Table2[Steel Member],0),_xlfn.XMATCH(R$2,Table2[#Headers],0)))</f>
        <v>#N/A</v>
      </c>
      <c r="S129" s="4" t="e" cm="1">
        <f t="array" ref="S129">IF(INDEX(Table2[],_xlfn.XMATCH($A129,Table2[Steel Member],0),_xlfn.XMATCH(S$2,Table2[#Headers],0))=0,"",INDEX(Table2[],_xlfn.XMATCH($A129,Table2[Steel Member],0),_xlfn.XMATCH(S$2,Table2[#Headers],0)))</f>
        <v>#N/A</v>
      </c>
      <c r="T129" s="4" t="str">
        <f t="shared" si="54"/>
        <v/>
      </c>
      <c r="U129" s="4" t="e">
        <f ca="1">VLOOKUP(N129,'COLOR CODE'!$B:$D,2,FALSE)</f>
        <v>#N/A</v>
      </c>
      <c r="V129" s="4" t="str">
        <f t="shared" si="55"/>
        <v/>
      </c>
      <c r="W129" s="4" t="e" cm="1">
        <f t="array" ref="W129">IF(INDEX(Table2[],_xlfn.XMATCH($A129,Table2[Steel Member],0),_xlfn.XMATCH(W$2,Table2[#Headers],0))=0,"",INDEX(Table2[],_xlfn.XMATCH($A129,Table2[Steel Member],0),_xlfn.XMATCH(W$2,Table2[#Headers],0)))</f>
        <v>#N/A</v>
      </c>
      <c r="X129" s="4" t="e">
        <f t="shared" si="53"/>
        <v>#N/A</v>
      </c>
      <c r="Y129" s="4" t="e" cm="1">
        <f t="array" ref="Y129">IF(INDEX(Table2[],_xlfn.XMATCH($A129,Table2[Steel Member],0),_xlfn.XMATCH(Y$2,Table2[#Headers],0))=0,"",INDEX(Table2[],_xlfn.XMATCH($A129,Table2[Steel Member],0),_xlfn.XMATCH(Y$2,Table2[#Headers],0)))</f>
        <v>#N/A</v>
      </c>
      <c r="Z129" s="4" t="e" cm="1">
        <f t="array" ref="Z129">IF(INDEX(Table2[],_xlfn.XMATCH($A129,Table2[Steel Member],0),_xlfn.XMATCH(Z$2,Table2[#Headers],0))=0,"",INDEX(Table2[],_xlfn.XMATCH($A129,Table2[Steel Member],0),_xlfn.XMATCH(Z$2,Table2[#Headers],0)))</f>
        <v>#N/A</v>
      </c>
      <c r="AA129" s="4" t="e" cm="1">
        <f t="array" ref="AA129">IF(INDEX(Table2[],_xlfn.XMATCH($A129,Table2[Steel Member],0),_xlfn.XMATCH(AA$2,Table2[#Headers],0))=0,"",INDEX(Table2[],_xlfn.XMATCH($A129,Table2[Steel Member],0),_xlfn.XMATCH(AA$2,Table2[#Headers],0)))</f>
        <v>#N/A</v>
      </c>
      <c r="AB129" s="4" t="e" cm="1">
        <f t="array" ref="AB129">IF(INDEX(Table2[],_xlfn.XMATCH($A129,Table2[Steel Member],0),_xlfn.XMATCH(AB$2,Table2[#Headers],0))=0,"",INDEX(Table2[],_xlfn.XMATCH($A129,Table2[Steel Member],0),_xlfn.XMATCH(AB$2,Table2[#Headers],0)))</f>
        <v>#N/A</v>
      </c>
      <c r="AC129" s="4" t="str" cm="1">
        <f t="array" ref="AC129">IFERROR(INDEX(Table8[],_xlfn.XMATCH($O129,Table8[Dimension Name Category],0),_xlfn.XMATCH(AC$2&amp;IF($L129," w/ tag"," w/o tag"),Table8[#Headers],0)),"")</f>
        <v/>
      </c>
      <c r="AD129" s="59" t="str">
        <f t="shared" si="56"/>
        <v/>
      </c>
      <c r="AE129" s="4" t="str">
        <f t="shared" si="57"/>
        <v/>
      </c>
      <c r="AF129" s="4" t="str">
        <f t="shared" si="58"/>
        <v/>
      </c>
      <c r="AG129" s="4" t="str" cm="1">
        <f t="array" ref="AG129">IFERROR(INDEX(Table8[],_xlfn.XMATCH($O129,Table8[Dimension Name Category],0),_xlfn.XMATCH(AG$2&amp;IF($L129," w/ tag"," w/o tag"),Table8[#Headers],0)),"")</f>
        <v/>
      </c>
      <c r="AH129" s="59" t="str">
        <f t="shared" si="59"/>
        <v/>
      </c>
      <c r="AI129" s="4"/>
      <c r="AJ129" s="4" t="str">
        <f t="shared" si="60"/>
        <v/>
      </c>
      <c r="AK129" s="4" t="str">
        <f t="shared" si="61"/>
        <v/>
      </c>
      <c r="AL129" s="4" t="e" cm="1">
        <f t="array" ref="AL129">IF(INDEX(Table2[],_xlfn.XMATCH($A129,Table2[Steel Member],0),_xlfn.XMATCH(AL$2,Table2[#Headers],0))=0,"",INDEX(Table2[],_xlfn.XMATCH($A129,Table2[Steel Member],0),_xlfn.XMATCH(AL$2,Table2[#Headers],0)))</f>
        <v>#N/A</v>
      </c>
      <c r="AM129" s="4"/>
      <c r="AN129" s="4" t="str">
        <f t="shared" si="62"/>
        <v/>
      </c>
      <c r="AO129" s="4"/>
      <c r="AP129" s="4" t="e" cm="1">
        <f t="array" ref="AP129">IF(INDEX(Table2[],_xlfn.XMATCH($A129,Table2[Steel Member],0),_xlfn.XMATCH(AP$2,Table2[#Headers],0))=0,"",INDEX(Table2[],_xlfn.XMATCH($A129,Table2[Steel Member],0),_xlfn.XMATCH(AP$2,Table2[#Headers],0)))</f>
        <v>#N/A</v>
      </c>
      <c r="AQ129" s="4"/>
      <c r="AR129" s="4"/>
      <c r="AS129" s="4"/>
      <c r="AT129" s="4"/>
    </row>
    <row r="130" spans="1:46" x14ac:dyDescent="0.25">
      <c r="A130" s="52"/>
      <c r="B130" s="52"/>
      <c r="C130" s="52"/>
      <c r="D130" s="52"/>
      <c r="E130" s="52"/>
      <c r="F130" s="64" cm="1">
        <f t="array" ref="F130">IF(COUNT(FIND(PurlinsxGirthsxBracings,$C130))&gt;0,0,ROUNDUP(IF(D130=0,0,VLOOKUP(D130,'DATA SHEET'!$B:$D,2,FALSE)),2))</f>
        <v>0</v>
      </c>
      <c r="G130" s="64" cm="1">
        <f t="array" ref="G130">IF(COUNT(FIND(PurlinsxGirthsxBracings,$C130))&gt;0,0,ROUNDUP(IF(D130=0,0,VLOOKUP(D130,'DATA SHEET'!$B:$D,3,FALSE)),2))</f>
        <v>0</v>
      </c>
      <c r="H130" s="53"/>
      <c r="I130" s="66" cm="1">
        <f t="array" ref="I130">IF(AND(ISBLANK(B130),ISBLANK(C130),ISBLANK(E130)),0,IF(COUNT(FIND(PurlinsxGirthsxBracings,$C130))&gt;0,IF(B130=0,CONCATENATE(E130," ",C130),CONCATENATE(B130," - ",E130," ",C130)),IF(B130=0,IF(ISBLANK(C130),E130,CONCATENATE(D130,", ",F130,"kg/m, ",G130,"mm surface perimeter")),IF(AND(ISBLANK(C130),ISTEXT(E130)),CONCATENATE(B130," - ",E130),IF(AND(ISBLANK(C130),ISBLANK(E130)),B130,CONCATENATE(B130," - ",D130,", ",F130,"kg/m, ",G130,"mm surface perimeter"))))&amp;IF(ISBLANK(H130),"",H130)))</f>
        <v>0</v>
      </c>
      <c r="J130" s="53"/>
      <c r="L130" s="4" t="str" cm="1">
        <f t="array" ref="L130">IF(COUNT(FIND({0,1,2,3,4,5,6,7,8,9},B130))&gt;0,COUNT(FIND({0,1,2,3,4,5,6,7,8,9},B130))&gt;0,"")</f>
        <v/>
      </c>
      <c r="M130" s="4" t="str" cm="1">
        <f t="array" aca="1" ref="M130" ca="1">IFERROR(_xlfn.IFS(R130="Count",RANDBETWEEN(1,COUNTIF($R$11:$R$653,"Count")),R130="Length",RANDBETWEEN(1,COUNTIF($R$11:$R$653,"Length"))),"")</f>
        <v/>
      </c>
      <c r="N130" s="4" t="str">
        <f ca="1">IFERROR(_xlfn.RANK.EQ(M130,$M$11:$M$653)+COUNTIF($M$11:M130,M130)-1,"")</f>
        <v/>
      </c>
      <c r="O130" s="86" t="str">
        <f>IF(A130='DATA SHEET'!$L$36,C130,IFERROR(IF(AND(ISTEXT(I130),ISBLANK(C130)),"No details",VLOOKUP(C130,DimFolder,2,FALSE)),""))</f>
        <v/>
      </c>
      <c r="P130" s="4" t="str">
        <f t="shared" si="51"/>
        <v/>
      </c>
      <c r="Q130" s="58" t="str">
        <f t="shared" si="63"/>
        <v/>
      </c>
      <c r="R130" s="4" t="e" cm="1">
        <f t="array" ref="R130">IF(INDEX(Table2[],_xlfn.XMATCH($A130,Table2[Steel Member],0),_xlfn.XMATCH(R$2,Table2[#Headers],0))=0,"",INDEX(Table2[],_xlfn.XMATCH($A130,Table2[Steel Member],0),_xlfn.XMATCH(R$2,Table2[#Headers],0)))</f>
        <v>#N/A</v>
      </c>
      <c r="S130" s="4" t="e" cm="1">
        <f t="array" ref="S130">IF(INDEX(Table2[],_xlfn.XMATCH($A130,Table2[Steel Member],0),_xlfn.XMATCH(S$2,Table2[#Headers],0))=0,"",INDEX(Table2[],_xlfn.XMATCH($A130,Table2[Steel Member],0),_xlfn.XMATCH(S$2,Table2[#Headers],0)))</f>
        <v>#N/A</v>
      </c>
      <c r="T130" s="4" t="str">
        <f t="shared" si="54"/>
        <v/>
      </c>
      <c r="U130" s="4" t="e">
        <f ca="1">VLOOKUP(N130,'COLOR CODE'!$B:$D,2,FALSE)</f>
        <v>#N/A</v>
      </c>
      <c r="V130" s="4" t="str">
        <f t="shared" si="55"/>
        <v/>
      </c>
      <c r="W130" s="4" t="e" cm="1">
        <f t="array" ref="W130">IF(INDEX(Table2[],_xlfn.XMATCH($A130,Table2[Steel Member],0),_xlfn.XMATCH(W$2,Table2[#Headers],0))=0,"",INDEX(Table2[],_xlfn.XMATCH($A130,Table2[Steel Member],0),_xlfn.XMATCH(W$2,Table2[#Headers],0)))</f>
        <v>#N/A</v>
      </c>
      <c r="X130" s="4" t="e">
        <f t="shared" si="53"/>
        <v>#N/A</v>
      </c>
      <c r="Y130" s="4" t="e" cm="1">
        <f t="array" ref="Y130">IF(INDEX(Table2[],_xlfn.XMATCH($A130,Table2[Steel Member],0),_xlfn.XMATCH(Y$2,Table2[#Headers],0))=0,"",INDEX(Table2[],_xlfn.XMATCH($A130,Table2[Steel Member],0),_xlfn.XMATCH(Y$2,Table2[#Headers],0)))</f>
        <v>#N/A</v>
      </c>
      <c r="Z130" s="4" t="e" cm="1">
        <f t="array" ref="Z130">IF(INDEX(Table2[],_xlfn.XMATCH($A130,Table2[Steel Member],0),_xlfn.XMATCH(Z$2,Table2[#Headers],0))=0,"",INDEX(Table2[],_xlfn.XMATCH($A130,Table2[Steel Member],0),_xlfn.XMATCH(Z$2,Table2[#Headers],0)))</f>
        <v>#N/A</v>
      </c>
      <c r="AA130" s="4" t="e" cm="1">
        <f t="array" ref="AA130">IF(INDEX(Table2[],_xlfn.XMATCH($A130,Table2[Steel Member],0),_xlfn.XMATCH(AA$2,Table2[#Headers],0))=0,"",INDEX(Table2[],_xlfn.XMATCH($A130,Table2[Steel Member],0),_xlfn.XMATCH(AA$2,Table2[#Headers],0)))</f>
        <v>#N/A</v>
      </c>
      <c r="AB130" s="4" t="e" cm="1">
        <f t="array" ref="AB130">IF(INDEX(Table2[],_xlfn.XMATCH($A130,Table2[Steel Member],0),_xlfn.XMATCH(AB$2,Table2[#Headers],0))=0,"",INDEX(Table2[],_xlfn.XMATCH($A130,Table2[Steel Member],0),_xlfn.XMATCH(AB$2,Table2[#Headers],0)))</f>
        <v>#N/A</v>
      </c>
      <c r="AC130" s="4" t="str" cm="1">
        <f t="array" ref="AC130">IFERROR(INDEX(Table8[],_xlfn.XMATCH($O130,Table8[Dimension Name Category],0),_xlfn.XMATCH(AC$2&amp;IF($L130," w/ tag"," w/o tag"),Table8[#Headers],0)),"")</f>
        <v/>
      </c>
      <c r="AD130" s="59" t="str">
        <f t="shared" si="56"/>
        <v/>
      </c>
      <c r="AE130" s="4" t="str">
        <f t="shared" si="57"/>
        <v/>
      </c>
      <c r="AF130" s="4" t="str">
        <f t="shared" si="58"/>
        <v/>
      </c>
      <c r="AG130" s="4" t="str" cm="1">
        <f t="array" ref="AG130">IFERROR(INDEX(Table8[],_xlfn.XMATCH($O130,Table8[Dimension Name Category],0),_xlfn.XMATCH(AG$2&amp;IF($L130," w/ tag"," w/o tag"),Table8[#Headers],0)),"")</f>
        <v/>
      </c>
      <c r="AH130" s="59" t="str">
        <f t="shared" si="59"/>
        <v/>
      </c>
      <c r="AI130" s="4"/>
      <c r="AJ130" s="4" t="str">
        <f t="shared" si="60"/>
        <v/>
      </c>
      <c r="AK130" s="4" t="str">
        <f t="shared" si="61"/>
        <v/>
      </c>
      <c r="AL130" s="4" t="e" cm="1">
        <f t="array" ref="AL130">IF(INDEX(Table2[],_xlfn.XMATCH($A130,Table2[Steel Member],0),_xlfn.XMATCH(AL$2,Table2[#Headers],0))=0,"",INDEX(Table2[],_xlfn.XMATCH($A130,Table2[Steel Member],0),_xlfn.XMATCH(AL$2,Table2[#Headers],0)))</f>
        <v>#N/A</v>
      </c>
      <c r="AM130" s="4"/>
      <c r="AN130" s="4" t="str">
        <f t="shared" si="62"/>
        <v/>
      </c>
      <c r="AO130" s="4"/>
      <c r="AP130" s="4" t="e" cm="1">
        <f t="array" ref="AP130">IF(INDEX(Table2[],_xlfn.XMATCH($A130,Table2[Steel Member],0),_xlfn.XMATCH(AP$2,Table2[#Headers],0))=0,"",INDEX(Table2[],_xlfn.XMATCH($A130,Table2[Steel Member],0),_xlfn.XMATCH(AP$2,Table2[#Headers],0)))</f>
        <v>#N/A</v>
      </c>
      <c r="AQ130" s="4"/>
      <c r="AR130" s="4"/>
      <c r="AS130" s="4"/>
      <c r="AT130" s="4"/>
    </row>
    <row r="131" spans="1:46" x14ac:dyDescent="0.25">
      <c r="A131" s="52"/>
      <c r="B131" s="52"/>
      <c r="C131" s="52"/>
      <c r="D131" s="52"/>
      <c r="E131" s="52"/>
      <c r="F131" s="64" cm="1">
        <f t="array" ref="F131">IF(COUNT(FIND(PurlinsxGirthsxBracings,$C131))&gt;0,0,ROUNDUP(IF(D131=0,0,VLOOKUP(D131,'DATA SHEET'!$B:$D,2,FALSE)),2))</f>
        <v>0</v>
      </c>
      <c r="G131" s="64" cm="1">
        <f t="array" ref="G131">IF(COUNT(FIND(PurlinsxGirthsxBracings,$C131))&gt;0,0,ROUNDUP(IF(D131=0,0,VLOOKUP(D131,'DATA SHEET'!$B:$D,3,FALSE)),2))</f>
        <v>0</v>
      </c>
      <c r="H131" s="53"/>
      <c r="I131" s="66" cm="1">
        <f t="array" ref="I131">IF(AND(ISBLANK(B131),ISBLANK(C131),ISBLANK(E131)),0,IF(COUNT(FIND(PurlinsxGirthsxBracings,$C131))&gt;0,IF(B131=0,CONCATENATE(E131," ",C131),CONCATENATE(B131," - ",E131," ",C131)),IF(B131=0,IF(ISBLANK(C131),E131,CONCATENATE(D131,", ",F131,"kg/m, ",G131,"mm surface perimeter")),IF(AND(ISBLANK(C131),ISTEXT(E131)),CONCATENATE(B131," - ",E131),IF(AND(ISBLANK(C131),ISBLANK(E131)),B131,CONCATENATE(B131," - ",D131,", ",F131,"kg/m, ",G131,"mm surface perimeter"))))&amp;IF(ISBLANK(H131),"",H131)))</f>
        <v>0</v>
      </c>
      <c r="J131" s="53"/>
      <c r="L131" s="4" t="str" cm="1">
        <f t="array" ref="L131">IF(COUNT(FIND({0,1,2,3,4,5,6,7,8,9},B131))&gt;0,COUNT(FIND({0,1,2,3,4,5,6,7,8,9},B131))&gt;0,"")</f>
        <v/>
      </c>
      <c r="M131" s="4" t="str" cm="1">
        <f t="array" aca="1" ref="M131" ca="1">IFERROR(_xlfn.IFS(R131="Count",RANDBETWEEN(1,COUNTIF($R$11:$R$653,"Count")),R131="Length",RANDBETWEEN(1,COUNTIF($R$11:$R$653,"Length"))),"")</f>
        <v/>
      </c>
      <c r="N131" s="4" t="str">
        <f ca="1">IFERROR(_xlfn.RANK.EQ(M131,$M$11:$M$653)+COUNTIF($M$11:M131,M131)-1,"")</f>
        <v/>
      </c>
      <c r="O131" s="86" t="str">
        <f>IF(A131='DATA SHEET'!$L$36,C131,IFERROR(IF(AND(ISTEXT(I131),ISBLANK(C131)),"No details",VLOOKUP(C131,DimFolder,2,FALSE)),""))</f>
        <v/>
      </c>
      <c r="P131" s="4" t="str">
        <f t="shared" si="51"/>
        <v/>
      </c>
      <c r="Q131" s="58" t="str">
        <f t="shared" si="63"/>
        <v/>
      </c>
      <c r="R131" s="4" t="e" cm="1">
        <f t="array" ref="R131">IF(INDEX(Table2[],_xlfn.XMATCH($A131,Table2[Steel Member],0),_xlfn.XMATCH(R$2,Table2[#Headers],0))=0,"",INDEX(Table2[],_xlfn.XMATCH($A131,Table2[Steel Member],0),_xlfn.XMATCH(R$2,Table2[#Headers],0)))</f>
        <v>#N/A</v>
      </c>
      <c r="S131" s="4" t="e" cm="1">
        <f t="array" ref="S131">IF(INDEX(Table2[],_xlfn.XMATCH($A131,Table2[Steel Member],0),_xlfn.XMATCH(S$2,Table2[#Headers],0))=0,"",INDEX(Table2[],_xlfn.XMATCH($A131,Table2[Steel Member],0),_xlfn.XMATCH(S$2,Table2[#Headers],0)))</f>
        <v>#N/A</v>
      </c>
      <c r="T131" s="4" t="str">
        <f t="shared" si="54"/>
        <v/>
      </c>
      <c r="U131" s="4" t="e">
        <f ca="1">VLOOKUP(N131,'COLOR CODE'!$B:$D,2,FALSE)</f>
        <v>#N/A</v>
      </c>
      <c r="V131" s="4" t="str">
        <f t="shared" si="55"/>
        <v/>
      </c>
      <c r="W131" s="4" t="e" cm="1">
        <f t="array" ref="W131">IF(INDEX(Table2[],_xlfn.XMATCH($A131,Table2[Steel Member],0),_xlfn.XMATCH(W$2,Table2[#Headers],0))=0,"",INDEX(Table2[],_xlfn.XMATCH($A131,Table2[Steel Member],0),_xlfn.XMATCH(W$2,Table2[#Headers],0)))</f>
        <v>#N/A</v>
      </c>
      <c r="X131" s="4" t="e">
        <f t="shared" si="53"/>
        <v>#N/A</v>
      </c>
      <c r="Y131" s="4" t="e" cm="1">
        <f t="array" ref="Y131">IF(INDEX(Table2[],_xlfn.XMATCH($A131,Table2[Steel Member],0),_xlfn.XMATCH(Y$2,Table2[#Headers],0))=0,"",INDEX(Table2[],_xlfn.XMATCH($A131,Table2[Steel Member],0),_xlfn.XMATCH(Y$2,Table2[#Headers],0)))</f>
        <v>#N/A</v>
      </c>
      <c r="Z131" s="4" t="e" cm="1">
        <f t="array" ref="Z131">IF(INDEX(Table2[],_xlfn.XMATCH($A131,Table2[Steel Member],0),_xlfn.XMATCH(Z$2,Table2[#Headers],0))=0,"",INDEX(Table2[],_xlfn.XMATCH($A131,Table2[Steel Member],0),_xlfn.XMATCH(Z$2,Table2[#Headers],0)))</f>
        <v>#N/A</v>
      </c>
      <c r="AA131" s="4" t="e" cm="1">
        <f t="array" ref="AA131">IF(INDEX(Table2[],_xlfn.XMATCH($A131,Table2[Steel Member],0),_xlfn.XMATCH(AA$2,Table2[#Headers],0))=0,"",INDEX(Table2[],_xlfn.XMATCH($A131,Table2[Steel Member],0),_xlfn.XMATCH(AA$2,Table2[#Headers],0)))</f>
        <v>#N/A</v>
      </c>
      <c r="AB131" s="4" t="e" cm="1">
        <f t="array" ref="AB131">IF(INDEX(Table2[],_xlfn.XMATCH($A131,Table2[Steel Member],0),_xlfn.XMATCH(AB$2,Table2[#Headers],0))=0,"",INDEX(Table2[],_xlfn.XMATCH($A131,Table2[Steel Member],0),_xlfn.XMATCH(AB$2,Table2[#Headers],0)))</f>
        <v>#N/A</v>
      </c>
      <c r="AC131" s="4" t="str" cm="1">
        <f t="array" ref="AC131">IFERROR(INDEX(Table8[],_xlfn.XMATCH($O131,Table8[Dimension Name Category],0),_xlfn.XMATCH(AC$2&amp;IF($L131," w/ tag"," w/o tag"),Table8[#Headers],0)),"")</f>
        <v/>
      </c>
      <c r="AD131" s="59" t="str">
        <f t="shared" si="56"/>
        <v/>
      </c>
      <c r="AE131" s="4" t="str">
        <f t="shared" si="57"/>
        <v/>
      </c>
      <c r="AF131" s="4" t="str">
        <f t="shared" si="58"/>
        <v/>
      </c>
      <c r="AG131" s="4" t="str" cm="1">
        <f t="array" ref="AG131">IFERROR(INDEX(Table8[],_xlfn.XMATCH($O131,Table8[Dimension Name Category],0),_xlfn.XMATCH(AG$2&amp;IF($L131," w/ tag"," w/o tag"),Table8[#Headers],0)),"")</f>
        <v/>
      </c>
      <c r="AH131" s="59" t="str">
        <f t="shared" si="59"/>
        <v/>
      </c>
      <c r="AI131" s="4"/>
      <c r="AJ131" s="4" t="str">
        <f t="shared" si="60"/>
        <v/>
      </c>
      <c r="AK131" s="4" t="str">
        <f t="shared" si="61"/>
        <v/>
      </c>
      <c r="AL131" s="4" t="e" cm="1">
        <f t="array" ref="AL131">IF(INDEX(Table2[],_xlfn.XMATCH($A131,Table2[Steel Member],0),_xlfn.XMATCH(AL$2,Table2[#Headers],0))=0,"",INDEX(Table2[],_xlfn.XMATCH($A131,Table2[Steel Member],0),_xlfn.XMATCH(AL$2,Table2[#Headers],0)))</f>
        <v>#N/A</v>
      </c>
      <c r="AM131" s="4"/>
      <c r="AN131" s="4" t="str">
        <f t="shared" si="62"/>
        <v/>
      </c>
      <c r="AO131" s="4"/>
      <c r="AP131" s="4" t="e" cm="1">
        <f t="array" ref="AP131">IF(INDEX(Table2[],_xlfn.XMATCH($A131,Table2[Steel Member],0),_xlfn.XMATCH(AP$2,Table2[#Headers],0))=0,"",INDEX(Table2[],_xlfn.XMATCH($A131,Table2[Steel Member],0),_xlfn.XMATCH(AP$2,Table2[#Headers],0)))</f>
        <v>#N/A</v>
      </c>
      <c r="AQ131" s="4"/>
      <c r="AR131" s="4"/>
      <c r="AS131" s="4"/>
      <c r="AT131" s="4"/>
    </row>
    <row r="132" spans="1:46" x14ac:dyDescent="0.25">
      <c r="A132" s="52"/>
      <c r="B132" s="52"/>
      <c r="C132" s="52"/>
      <c r="D132" s="52"/>
      <c r="E132" s="52"/>
      <c r="F132" s="64" cm="1">
        <f t="array" ref="F132">IF(COUNT(FIND(PurlinsxGirthsxBracings,$C132))&gt;0,0,ROUNDUP(IF(D132=0,0,VLOOKUP(D132,'DATA SHEET'!$B:$D,2,FALSE)),2))</f>
        <v>0</v>
      </c>
      <c r="G132" s="64" cm="1">
        <f t="array" ref="G132">IF(COUNT(FIND(PurlinsxGirthsxBracings,$C132))&gt;0,0,ROUNDUP(IF(D132=0,0,VLOOKUP(D132,'DATA SHEET'!$B:$D,3,FALSE)),2))</f>
        <v>0</v>
      </c>
      <c r="H132" s="53"/>
      <c r="I132" s="66" cm="1">
        <f t="array" ref="I132">IF(AND(ISBLANK(B132),ISBLANK(C132),ISBLANK(E132)),0,IF(COUNT(FIND(PurlinsxGirthsxBracings,$C132))&gt;0,IF(B132=0,CONCATENATE(E132," ",C132),CONCATENATE(B132," - ",E132," ",C132)),IF(B132=0,IF(ISBLANK(C132),E132,CONCATENATE(D132,", ",F132,"kg/m, ",G132,"mm surface perimeter")),IF(AND(ISBLANK(C132),ISTEXT(E132)),CONCATENATE(B132," - ",E132),IF(AND(ISBLANK(C132),ISBLANK(E132)),B132,CONCATENATE(B132," - ",D132,", ",F132,"kg/m, ",G132,"mm surface perimeter"))))&amp;IF(ISBLANK(H132),"",H132)))</f>
        <v>0</v>
      </c>
      <c r="J132" s="53"/>
      <c r="L132" s="4" t="str" cm="1">
        <f t="array" ref="L132">IF(COUNT(FIND({0,1,2,3,4,5,6,7,8,9},B132))&gt;0,COUNT(FIND({0,1,2,3,4,5,6,7,8,9},B132))&gt;0,"")</f>
        <v/>
      </c>
      <c r="M132" s="4" t="str" cm="1">
        <f t="array" aca="1" ref="M132" ca="1">IFERROR(_xlfn.IFS(R132="Count",RANDBETWEEN(1,COUNTIF($R$11:$R$653,"Count")),R132="Length",RANDBETWEEN(1,COUNTIF($R$11:$R$653,"Length"))),"")</f>
        <v/>
      </c>
      <c r="N132" s="4" t="str">
        <f ca="1">IFERROR(_xlfn.RANK.EQ(M132,$M$11:$M$653)+COUNTIF($M$11:M132,M132)-1,"")</f>
        <v/>
      </c>
      <c r="O132" s="86" t="str">
        <f>IF(A132='DATA SHEET'!$L$36,C132,IFERROR(IF(AND(ISTEXT(I132),ISBLANK(C132)),"No details",VLOOKUP(C132,DimFolder,2,FALSE)),""))</f>
        <v/>
      </c>
      <c r="P132" s="4" t="str">
        <f t="shared" si="51"/>
        <v/>
      </c>
      <c r="Q132" s="58" t="str">
        <f t="shared" si="63"/>
        <v/>
      </c>
      <c r="R132" s="4" t="e" cm="1">
        <f t="array" ref="R132">IF(INDEX(Table2[],_xlfn.XMATCH($A132,Table2[Steel Member],0),_xlfn.XMATCH(R$2,Table2[#Headers],0))=0,"",INDEX(Table2[],_xlfn.XMATCH($A132,Table2[Steel Member],0),_xlfn.XMATCH(R$2,Table2[#Headers],0)))</f>
        <v>#N/A</v>
      </c>
      <c r="S132" s="4" t="e" cm="1">
        <f t="array" ref="S132">IF(INDEX(Table2[],_xlfn.XMATCH($A132,Table2[Steel Member],0),_xlfn.XMATCH(S$2,Table2[#Headers],0))=0,"",INDEX(Table2[],_xlfn.XMATCH($A132,Table2[Steel Member],0),_xlfn.XMATCH(S$2,Table2[#Headers],0)))</f>
        <v>#N/A</v>
      </c>
      <c r="T132" s="4" t="str">
        <f t="shared" si="54"/>
        <v/>
      </c>
      <c r="U132" s="4" t="e">
        <f ca="1">VLOOKUP(N132,'COLOR CODE'!$B:$D,2,FALSE)</f>
        <v>#N/A</v>
      </c>
      <c r="V132" s="4" t="str">
        <f t="shared" si="55"/>
        <v/>
      </c>
      <c r="W132" s="4" t="e" cm="1">
        <f t="array" ref="W132">IF(INDEX(Table2[],_xlfn.XMATCH($A132,Table2[Steel Member],0),_xlfn.XMATCH(W$2,Table2[#Headers],0))=0,"",INDEX(Table2[],_xlfn.XMATCH($A132,Table2[Steel Member],0),_xlfn.XMATCH(W$2,Table2[#Headers],0)))</f>
        <v>#N/A</v>
      </c>
      <c r="X132" s="4" t="e">
        <f t="shared" si="53"/>
        <v>#N/A</v>
      </c>
      <c r="Y132" s="4" t="e" cm="1">
        <f t="array" ref="Y132">IF(INDEX(Table2[],_xlfn.XMATCH($A132,Table2[Steel Member],0),_xlfn.XMATCH(Y$2,Table2[#Headers],0))=0,"",INDEX(Table2[],_xlfn.XMATCH($A132,Table2[Steel Member],0),_xlfn.XMATCH(Y$2,Table2[#Headers],0)))</f>
        <v>#N/A</v>
      </c>
      <c r="Z132" s="4" t="e" cm="1">
        <f t="array" ref="Z132">IF(INDEX(Table2[],_xlfn.XMATCH($A132,Table2[Steel Member],0),_xlfn.XMATCH(Z$2,Table2[#Headers],0))=0,"",INDEX(Table2[],_xlfn.XMATCH($A132,Table2[Steel Member],0),_xlfn.XMATCH(Z$2,Table2[#Headers],0)))</f>
        <v>#N/A</v>
      </c>
      <c r="AA132" s="4" t="e" cm="1">
        <f t="array" ref="AA132">IF(INDEX(Table2[],_xlfn.XMATCH($A132,Table2[Steel Member],0),_xlfn.XMATCH(AA$2,Table2[#Headers],0))=0,"",INDEX(Table2[],_xlfn.XMATCH($A132,Table2[Steel Member],0),_xlfn.XMATCH(AA$2,Table2[#Headers],0)))</f>
        <v>#N/A</v>
      </c>
      <c r="AB132" s="4" t="e" cm="1">
        <f t="array" ref="AB132">IF(INDEX(Table2[],_xlfn.XMATCH($A132,Table2[Steel Member],0),_xlfn.XMATCH(AB$2,Table2[#Headers],0))=0,"",INDEX(Table2[],_xlfn.XMATCH($A132,Table2[Steel Member],0),_xlfn.XMATCH(AB$2,Table2[#Headers],0)))</f>
        <v>#N/A</v>
      </c>
      <c r="AC132" s="4" t="str" cm="1">
        <f t="array" ref="AC132">IFERROR(INDEX(Table8[],_xlfn.XMATCH($O132,Table8[Dimension Name Category],0),_xlfn.XMATCH(AC$2&amp;IF($L132," w/ tag"," w/o tag"),Table8[#Headers],0)),"")</f>
        <v/>
      </c>
      <c r="AD132" s="59" t="str">
        <f t="shared" si="56"/>
        <v/>
      </c>
      <c r="AE132" s="4" t="str">
        <f t="shared" si="57"/>
        <v/>
      </c>
      <c r="AF132" s="4" t="str">
        <f t="shared" si="58"/>
        <v/>
      </c>
      <c r="AG132" s="4" t="str" cm="1">
        <f t="array" ref="AG132">IFERROR(INDEX(Table8[],_xlfn.XMATCH($O132,Table8[Dimension Name Category],0),_xlfn.XMATCH(AG$2&amp;IF($L132," w/ tag"," w/o tag"),Table8[#Headers],0)),"")</f>
        <v/>
      </c>
      <c r="AH132" s="59" t="str">
        <f t="shared" si="59"/>
        <v/>
      </c>
      <c r="AI132" s="4"/>
      <c r="AJ132" s="4" t="str">
        <f t="shared" si="60"/>
        <v/>
      </c>
      <c r="AK132" s="4" t="str">
        <f t="shared" si="61"/>
        <v/>
      </c>
      <c r="AL132" s="4" t="e" cm="1">
        <f t="array" ref="AL132">IF(INDEX(Table2[],_xlfn.XMATCH($A132,Table2[Steel Member],0),_xlfn.XMATCH(AL$2,Table2[#Headers],0))=0,"",INDEX(Table2[],_xlfn.XMATCH($A132,Table2[Steel Member],0),_xlfn.XMATCH(AL$2,Table2[#Headers],0)))</f>
        <v>#N/A</v>
      </c>
      <c r="AM132" s="4"/>
      <c r="AN132" s="4" t="str">
        <f t="shared" si="62"/>
        <v/>
      </c>
      <c r="AO132" s="4"/>
      <c r="AP132" s="4" t="e" cm="1">
        <f t="array" ref="AP132">IF(INDEX(Table2[],_xlfn.XMATCH($A132,Table2[Steel Member],0),_xlfn.XMATCH(AP$2,Table2[#Headers],0))=0,"",INDEX(Table2[],_xlfn.XMATCH($A132,Table2[Steel Member],0),_xlfn.XMATCH(AP$2,Table2[#Headers],0)))</f>
        <v>#N/A</v>
      </c>
      <c r="AQ132" s="4"/>
      <c r="AR132" s="4"/>
      <c r="AS132" s="4"/>
      <c r="AT132" s="4"/>
    </row>
    <row r="133" spans="1:46" x14ac:dyDescent="0.25">
      <c r="A133" s="52"/>
      <c r="B133" s="52"/>
      <c r="C133" s="52"/>
      <c r="D133" s="52"/>
      <c r="E133" s="52"/>
      <c r="F133" s="64" cm="1">
        <f t="array" ref="F133">IF(COUNT(FIND(PurlinsxGirthsxBracings,$C133))&gt;0,0,ROUNDUP(IF(D133=0,0,VLOOKUP(D133,'DATA SHEET'!$B:$D,2,FALSE)),2))</f>
        <v>0</v>
      </c>
      <c r="G133" s="64" cm="1">
        <f t="array" ref="G133">IF(COUNT(FIND(PurlinsxGirthsxBracings,$C133))&gt;0,0,ROUNDUP(IF(D133=0,0,VLOOKUP(D133,'DATA SHEET'!$B:$D,3,FALSE)),2))</f>
        <v>0</v>
      </c>
      <c r="H133" s="53"/>
      <c r="I133" s="66" cm="1">
        <f t="array" ref="I133">IF(AND(ISBLANK(B133),ISBLANK(C133),ISBLANK(E133)),0,IF(COUNT(FIND(PurlinsxGirthsxBracings,$C133))&gt;0,IF(B133=0,CONCATENATE(E133," ",C133),CONCATENATE(B133," - ",E133," ",C133)),IF(B133=0,IF(ISBLANK(C133),E133,CONCATENATE(D133,", ",F133,"kg/m, ",G133,"mm surface perimeter")),IF(AND(ISBLANK(C133),ISTEXT(E133)),CONCATENATE(B133," - ",E133),IF(AND(ISBLANK(C133),ISBLANK(E133)),B133,CONCATENATE(B133," - ",D133,", ",F133,"kg/m, ",G133,"mm surface perimeter"))))&amp;IF(ISBLANK(H133),"",H133)))</f>
        <v>0</v>
      </c>
      <c r="J133" s="53"/>
      <c r="L133" s="4" t="str" cm="1">
        <f t="array" ref="L133">IF(COUNT(FIND({0,1,2,3,4,5,6,7,8,9},B133))&gt;0,COUNT(FIND({0,1,2,3,4,5,6,7,8,9},B133))&gt;0,"")</f>
        <v/>
      </c>
      <c r="M133" s="4" t="str" cm="1">
        <f t="array" aca="1" ref="M133" ca="1">IFERROR(_xlfn.IFS(R133="Count",RANDBETWEEN(1,COUNTIF($R$11:$R$653,"Count")),R133="Length",RANDBETWEEN(1,COUNTIF($R$11:$R$653,"Length"))),"")</f>
        <v/>
      </c>
      <c r="N133" s="4" t="str">
        <f ca="1">IFERROR(_xlfn.RANK.EQ(M133,$M$11:$M$653)+COUNTIF($M$11:M133,M133)-1,"")</f>
        <v/>
      </c>
      <c r="O133" s="86" t="str">
        <f>IF(A133='DATA SHEET'!$L$36,C133,IFERROR(IF(AND(ISTEXT(I133),ISBLANK(C133)),"No details",VLOOKUP(C133,DimFolder,2,FALSE)),""))</f>
        <v/>
      </c>
      <c r="P133" s="4" t="str">
        <f t="shared" si="51"/>
        <v/>
      </c>
      <c r="Q133" s="58" t="str">
        <f t="shared" si="63"/>
        <v/>
      </c>
      <c r="R133" s="4" t="e" cm="1">
        <f t="array" ref="R133">IF(INDEX(Table2[],_xlfn.XMATCH($A133,Table2[Steel Member],0),_xlfn.XMATCH(R$2,Table2[#Headers],0))=0,"",INDEX(Table2[],_xlfn.XMATCH($A133,Table2[Steel Member],0),_xlfn.XMATCH(R$2,Table2[#Headers],0)))</f>
        <v>#N/A</v>
      </c>
      <c r="S133" s="4" t="e" cm="1">
        <f t="array" ref="S133">IF(INDEX(Table2[],_xlfn.XMATCH($A133,Table2[Steel Member],0),_xlfn.XMATCH(S$2,Table2[#Headers],0))=0,"",INDEX(Table2[],_xlfn.XMATCH($A133,Table2[Steel Member],0),_xlfn.XMATCH(S$2,Table2[#Headers],0)))</f>
        <v>#N/A</v>
      </c>
      <c r="T133" s="4" t="str">
        <f t="shared" si="54"/>
        <v/>
      </c>
      <c r="U133" s="4" t="e">
        <f ca="1">VLOOKUP(N133,'COLOR CODE'!$B:$D,2,FALSE)</f>
        <v>#N/A</v>
      </c>
      <c r="V133" s="4" t="str">
        <f t="shared" si="55"/>
        <v/>
      </c>
      <c r="W133" s="4" t="e" cm="1">
        <f t="array" ref="W133">IF(INDEX(Table2[],_xlfn.XMATCH($A133,Table2[Steel Member],0),_xlfn.XMATCH(W$2,Table2[#Headers],0))=0,"",INDEX(Table2[],_xlfn.XMATCH($A133,Table2[Steel Member],0),_xlfn.XMATCH(W$2,Table2[#Headers],0)))</f>
        <v>#N/A</v>
      </c>
      <c r="X133" s="4" t="e">
        <f t="shared" si="53"/>
        <v>#N/A</v>
      </c>
      <c r="Y133" s="4" t="e" cm="1">
        <f t="array" ref="Y133">IF(INDEX(Table2[],_xlfn.XMATCH($A133,Table2[Steel Member],0),_xlfn.XMATCH(Y$2,Table2[#Headers],0))=0,"",INDEX(Table2[],_xlfn.XMATCH($A133,Table2[Steel Member],0),_xlfn.XMATCH(Y$2,Table2[#Headers],0)))</f>
        <v>#N/A</v>
      </c>
      <c r="Z133" s="4" t="e" cm="1">
        <f t="array" ref="Z133">IF(INDEX(Table2[],_xlfn.XMATCH($A133,Table2[Steel Member],0),_xlfn.XMATCH(Z$2,Table2[#Headers],0))=0,"",INDEX(Table2[],_xlfn.XMATCH($A133,Table2[Steel Member],0),_xlfn.XMATCH(Z$2,Table2[#Headers],0)))</f>
        <v>#N/A</v>
      </c>
      <c r="AA133" s="4" t="e" cm="1">
        <f t="array" ref="AA133">IF(INDEX(Table2[],_xlfn.XMATCH($A133,Table2[Steel Member],0),_xlfn.XMATCH(AA$2,Table2[#Headers],0))=0,"",INDEX(Table2[],_xlfn.XMATCH($A133,Table2[Steel Member],0),_xlfn.XMATCH(AA$2,Table2[#Headers],0)))</f>
        <v>#N/A</v>
      </c>
      <c r="AB133" s="4" t="e" cm="1">
        <f t="array" ref="AB133">IF(INDEX(Table2[],_xlfn.XMATCH($A133,Table2[Steel Member],0),_xlfn.XMATCH(AB$2,Table2[#Headers],0))=0,"",INDEX(Table2[],_xlfn.XMATCH($A133,Table2[Steel Member],0),_xlfn.XMATCH(AB$2,Table2[#Headers],0)))</f>
        <v>#N/A</v>
      </c>
      <c r="AC133" s="4" t="str" cm="1">
        <f t="array" ref="AC133">IFERROR(INDEX(Table8[],_xlfn.XMATCH($O133,Table8[Dimension Name Category],0),_xlfn.XMATCH(AC$2&amp;IF($L133," w/ tag"," w/o tag"),Table8[#Headers],0)),"")</f>
        <v/>
      </c>
      <c r="AD133" s="59" t="str">
        <f t="shared" si="56"/>
        <v/>
      </c>
      <c r="AE133" s="4" t="str">
        <f t="shared" si="57"/>
        <v/>
      </c>
      <c r="AF133" s="4" t="str">
        <f t="shared" si="58"/>
        <v/>
      </c>
      <c r="AG133" s="4" t="str" cm="1">
        <f t="array" ref="AG133">IFERROR(INDEX(Table8[],_xlfn.XMATCH($O133,Table8[Dimension Name Category],0),_xlfn.XMATCH(AG$2&amp;IF($L133," w/ tag"," w/o tag"),Table8[#Headers],0)),"")</f>
        <v/>
      </c>
      <c r="AH133" s="59" t="str">
        <f t="shared" si="59"/>
        <v/>
      </c>
      <c r="AI133" s="4"/>
      <c r="AJ133" s="4" t="str">
        <f t="shared" si="60"/>
        <v/>
      </c>
      <c r="AK133" s="4" t="str">
        <f t="shared" si="61"/>
        <v/>
      </c>
      <c r="AL133" s="4" t="e" cm="1">
        <f t="array" ref="AL133">IF(INDEX(Table2[],_xlfn.XMATCH($A133,Table2[Steel Member],0),_xlfn.XMATCH(AL$2,Table2[#Headers],0))=0,"",INDEX(Table2[],_xlfn.XMATCH($A133,Table2[Steel Member],0),_xlfn.XMATCH(AL$2,Table2[#Headers],0)))</f>
        <v>#N/A</v>
      </c>
      <c r="AM133" s="4"/>
      <c r="AN133" s="4" t="str">
        <f t="shared" si="62"/>
        <v/>
      </c>
      <c r="AO133" s="4"/>
      <c r="AP133" s="4" t="e" cm="1">
        <f t="array" ref="AP133">IF(INDEX(Table2[],_xlfn.XMATCH($A133,Table2[Steel Member],0),_xlfn.XMATCH(AP$2,Table2[#Headers],0))=0,"",INDEX(Table2[],_xlfn.XMATCH($A133,Table2[Steel Member],0),_xlfn.XMATCH(AP$2,Table2[#Headers],0)))</f>
        <v>#N/A</v>
      </c>
      <c r="AQ133" s="4"/>
      <c r="AR133" s="4"/>
      <c r="AS133" s="4"/>
      <c r="AT133" s="4"/>
    </row>
    <row r="134" spans="1:46" x14ac:dyDescent="0.25">
      <c r="A134" s="52"/>
      <c r="B134" s="52"/>
      <c r="C134" s="52"/>
      <c r="D134" s="52"/>
      <c r="E134" s="52"/>
      <c r="F134" s="64" cm="1">
        <f t="array" ref="F134">IF(COUNT(FIND(PurlinsxGirthsxBracings,$C134))&gt;0,0,ROUNDUP(IF(D134=0,0,VLOOKUP(D134,'DATA SHEET'!$B:$D,2,FALSE)),2))</f>
        <v>0</v>
      </c>
      <c r="G134" s="64" cm="1">
        <f t="array" ref="G134">IF(COUNT(FIND(PurlinsxGirthsxBracings,$C134))&gt;0,0,ROUNDUP(IF(D134=0,0,VLOOKUP(D134,'DATA SHEET'!$B:$D,3,FALSE)),2))</f>
        <v>0</v>
      </c>
      <c r="H134" s="53"/>
      <c r="I134" s="66" cm="1">
        <f t="array" ref="I134">IF(AND(ISBLANK(B134),ISBLANK(C134),ISBLANK(E134)),0,IF(COUNT(FIND(PurlinsxGirthsxBracings,$C134))&gt;0,IF(B134=0,CONCATENATE(E134," ",C134),CONCATENATE(B134," - ",E134," ",C134)),IF(B134=0,IF(ISBLANK(C134),E134,CONCATENATE(D134,", ",F134,"kg/m, ",G134,"mm surface perimeter")),IF(AND(ISBLANK(C134),ISTEXT(E134)),CONCATENATE(B134," - ",E134),IF(AND(ISBLANK(C134),ISBLANK(E134)),B134,CONCATENATE(B134," - ",D134,", ",F134,"kg/m, ",G134,"mm surface perimeter"))))&amp;IF(ISBLANK(H134),"",H134)))</f>
        <v>0</v>
      </c>
      <c r="J134" s="53"/>
      <c r="L134" s="4" t="str" cm="1">
        <f t="array" ref="L134">IF(COUNT(FIND({0,1,2,3,4,5,6,7,8,9},B134))&gt;0,COUNT(FIND({0,1,2,3,4,5,6,7,8,9},B134))&gt;0,"")</f>
        <v/>
      </c>
      <c r="M134" s="4" t="str" cm="1">
        <f t="array" aca="1" ref="M134" ca="1">IFERROR(_xlfn.IFS(R134="Count",RANDBETWEEN(1,COUNTIF($R$11:$R$653,"Count")),R134="Length",RANDBETWEEN(1,COUNTIF($R$11:$R$653,"Length"))),"")</f>
        <v/>
      </c>
      <c r="N134" s="4" t="str">
        <f ca="1">IFERROR(_xlfn.RANK.EQ(M134,$M$11:$M$653)+COUNTIF($M$11:M134,M134)-1,"")</f>
        <v/>
      </c>
      <c r="O134" s="86" t="str">
        <f>IF(A134='DATA SHEET'!$L$36,C134,IFERROR(IF(AND(ISTEXT(I134),ISBLANK(C134)),"No details",VLOOKUP(C134,DimFolder,2,FALSE)),""))</f>
        <v/>
      </c>
      <c r="P134" s="4" t="str">
        <f t="shared" si="51"/>
        <v/>
      </c>
      <c r="Q134" s="58" t="str">
        <f t="shared" si="63"/>
        <v/>
      </c>
      <c r="R134" s="4" t="e" cm="1">
        <f t="array" ref="R134">IF(INDEX(Table2[],_xlfn.XMATCH($A134,Table2[Steel Member],0),_xlfn.XMATCH(R$2,Table2[#Headers],0))=0,"",INDEX(Table2[],_xlfn.XMATCH($A134,Table2[Steel Member],0),_xlfn.XMATCH(R$2,Table2[#Headers],0)))</f>
        <v>#N/A</v>
      </c>
      <c r="S134" s="4" t="e" cm="1">
        <f t="array" ref="S134">IF(INDEX(Table2[],_xlfn.XMATCH($A134,Table2[Steel Member],0),_xlfn.XMATCH(S$2,Table2[#Headers],0))=0,"",INDEX(Table2[],_xlfn.XMATCH($A134,Table2[Steel Member],0),_xlfn.XMATCH(S$2,Table2[#Headers],0)))</f>
        <v>#N/A</v>
      </c>
      <c r="T134" s="4" t="str">
        <f t="shared" si="54"/>
        <v/>
      </c>
      <c r="U134" s="4" t="e">
        <f ca="1">VLOOKUP(N134,'COLOR CODE'!$B:$D,2,FALSE)</f>
        <v>#N/A</v>
      </c>
      <c r="V134" s="4" t="str">
        <f t="shared" si="55"/>
        <v/>
      </c>
      <c r="W134" s="4" t="e" cm="1">
        <f t="array" ref="W134">IF(INDEX(Table2[],_xlfn.XMATCH($A134,Table2[Steel Member],0),_xlfn.XMATCH(W$2,Table2[#Headers],0))=0,"",INDEX(Table2[],_xlfn.XMATCH($A134,Table2[Steel Member],0),_xlfn.XMATCH(W$2,Table2[#Headers],0)))</f>
        <v>#N/A</v>
      </c>
      <c r="X134" s="4" t="e">
        <f t="shared" si="53"/>
        <v>#N/A</v>
      </c>
      <c r="Y134" s="4" t="e" cm="1">
        <f t="array" ref="Y134">IF(INDEX(Table2[],_xlfn.XMATCH($A134,Table2[Steel Member],0),_xlfn.XMATCH(Y$2,Table2[#Headers],0))=0,"",INDEX(Table2[],_xlfn.XMATCH($A134,Table2[Steel Member],0),_xlfn.XMATCH(Y$2,Table2[#Headers],0)))</f>
        <v>#N/A</v>
      </c>
      <c r="Z134" s="4" t="e" cm="1">
        <f t="array" ref="Z134">IF(INDEX(Table2[],_xlfn.XMATCH($A134,Table2[Steel Member],0),_xlfn.XMATCH(Z$2,Table2[#Headers],0))=0,"",INDEX(Table2[],_xlfn.XMATCH($A134,Table2[Steel Member],0),_xlfn.XMATCH(Z$2,Table2[#Headers],0)))</f>
        <v>#N/A</v>
      </c>
      <c r="AA134" s="4" t="e" cm="1">
        <f t="array" ref="AA134">IF(INDEX(Table2[],_xlfn.XMATCH($A134,Table2[Steel Member],0),_xlfn.XMATCH(AA$2,Table2[#Headers],0))=0,"",INDEX(Table2[],_xlfn.XMATCH($A134,Table2[Steel Member],0),_xlfn.XMATCH(AA$2,Table2[#Headers],0)))</f>
        <v>#N/A</v>
      </c>
      <c r="AB134" s="4" t="e" cm="1">
        <f t="array" ref="AB134">IF(INDEX(Table2[],_xlfn.XMATCH($A134,Table2[Steel Member],0),_xlfn.XMATCH(AB$2,Table2[#Headers],0))=0,"",INDEX(Table2[],_xlfn.XMATCH($A134,Table2[Steel Member],0),_xlfn.XMATCH(AB$2,Table2[#Headers],0)))</f>
        <v>#N/A</v>
      </c>
      <c r="AC134" s="4" t="str" cm="1">
        <f t="array" ref="AC134">IFERROR(INDEX(Table8[],_xlfn.XMATCH($O134,Table8[Dimension Name Category],0),_xlfn.XMATCH(AC$2&amp;IF($L134," w/ tag"," w/o tag"),Table8[#Headers],0)),"")</f>
        <v/>
      </c>
      <c r="AD134" s="59" t="str">
        <f t="shared" si="56"/>
        <v/>
      </c>
      <c r="AE134" s="4" t="str">
        <f t="shared" si="57"/>
        <v/>
      </c>
      <c r="AF134" s="4" t="str">
        <f t="shared" si="58"/>
        <v/>
      </c>
      <c r="AG134" s="4" t="str" cm="1">
        <f t="array" ref="AG134">IFERROR(INDEX(Table8[],_xlfn.XMATCH($O134,Table8[Dimension Name Category],0),_xlfn.XMATCH(AG$2&amp;IF($L134," w/ tag"," w/o tag"),Table8[#Headers],0)),"")</f>
        <v/>
      </c>
      <c r="AH134" s="59" t="str">
        <f t="shared" si="59"/>
        <v/>
      </c>
      <c r="AI134" s="4"/>
      <c r="AJ134" s="4" t="str">
        <f t="shared" si="60"/>
        <v/>
      </c>
      <c r="AK134" s="4" t="str">
        <f t="shared" si="61"/>
        <v/>
      </c>
      <c r="AL134" s="4" t="e" cm="1">
        <f t="array" ref="AL134">IF(INDEX(Table2[],_xlfn.XMATCH($A134,Table2[Steel Member],0),_xlfn.XMATCH(AL$2,Table2[#Headers],0))=0,"",INDEX(Table2[],_xlfn.XMATCH($A134,Table2[Steel Member],0),_xlfn.XMATCH(AL$2,Table2[#Headers],0)))</f>
        <v>#N/A</v>
      </c>
      <c r="AM134" s="4"/>
      <c r="AN134" s="4" t="str">
        <f t="shared" si="62"/>
        <v/>
      </c>
      <c r="AO134" s="4"/>
      <c r="AP134" s="4" t="e" cm="1">
        <f t="array" ref="AP134">IF(INDEX(Table2[],_xlfn.XMATCH($A134,Table2[Steel Member],0),_xlfn.XMATCH(AP$2,Table2[#Headers],0))=0,"",INDEX(Table2[],_xlfn.XMATCH($A134,Table2[Steel Member],0),_xlfn.XMATCH(AP$2,Table2[#Headers],0)))</f>
        <v>#N/A</v>
      </c>
      <c r="AQ134" s="4"/>
      <c r="AR134" s="4"/>
      <c r="AS134" s="4"/>
      <c r="AT134" s="4"/>
    </row>
    <row r="135" spans="1:46" x14ac:dyDescent="0.25">
      <c r="A135" s="52"/>
      <c r="B135" s="52"/>
      <c r="C135" s="52"/>
      <c r="D135" s="52"/>
      <c r="E135" s="52"/>
      <c r="F135" s="64" cm="1">
        <f t="array" ref="F135">IF(COUNT(FIND(PurlinsxGirthsxBracings,$C135))&gt;0,0,ROUNDUP(IF(D135=0,0,VLOOKUP(D135,'DATA SHEET'!$B:$D,2,FALSE)),2))</f>
        <v>0</v>
      </c>
      <c r="G135" s="64" cm="1">
        <f t="array" ref="G135">IF(COUNT(FIND(PurlinsxGirthsxBracings,$C135))&gt;0,0,ROUNDUP(IF(D135=0,0,VLOOKUP(D135,'DATA SHEET'!$B:$D,3,FALSE)),2))</f>
        <v>0</v>
      </c>
      <c r="H135" s="53"/>
      <c r="I135" s="66" cm="1">
        <f t="array" ref="I135">IF(AND(ISBLANK(B135),ISBLANK(C135),ISBLANK(E135)),0,IF(COUNT(FIND(PurlinsxGirthsxBracings,$C135))&gt;0,IF(B135=0,CONCATENATE(E135," ",C135),CONCATENATE(B135," - ",E135," ",C135)),IF(B135=0,IF(ISBLANK(C135),E135,CONCATENATE(D135,", ",F135,"kg/m, ",G135,"mm surface perimeter")),IF(AND(ISBLANK(C135),ISTEXT(E135)),CONCATENATE(B135," - ",E135),IF(AND(ISBLANK(C135),ISBLANK(E135)),B135,CONCATENATE(B135," - ",D135,", ",F135,"kg/m, ",G135,"mm surface perimeter"))))&amp;IF(ISBLANK(H135),"",H135)))</f>
        <v>0</v>
      </c>
      <c r="J135" s="53"/>
      <c r="L135" s="4" t="str" cm="1">
        <f t="array" ref="L135">IF(COUNT(FIND({0,1,2,3,4,5,6,7,8,9},B135))&gt;0,COUNT(FIND({0,1,2,3,4,5,6,7,8,9},B135))&gt;0,"")</f>
        <v/>
      </c>
      <c r="M135" s="4" t="str" cm="1">
        <f t="array" aca="1" ref="M135" ca="1">IFERROR(_xlfn.IFS(R135="Count",RANDBETWEEN(1,COUNTIF($R$11:$R$653,"Count")),R135="Length",RANDBETWEEN(1,COUNTIF($R$11:$R$653,"Length"))),"")</f>
        <v/>
      </c>
      <c r="N135" s="4" t="str">
        <f ca="1">IFERROR(_xlfn.RANK.EQ(M135,$M$11:$M$653)+COUNTIF($M$11:M135,M135)-1,"")</f>
        <v/>
      </c>
      <c r="O135" s="86" t="str">
        <f>IF(A135='DATA SHEET'!$L$36,C135,IFERROR(IF(AND(ISTEXT(I135),ISBLANK(C135)),"No details",VLOOKUP(C135,DimFolder,2,FALSE)),""))</f>
        <v/>
      </c>
      <c r="P135" s="4" t="str">
        <f t="shared" si="51"/>
        <v/>
      </c>
      <c r="Q135" s="58" t="str">
        <f t="shared" si="63"/>
        <v/>
      </c>
      <c r="R135" s="4" t="e" cm="1">
        <f t="array" ref="R135">IF(INDEX(Table2[],_xlfn.XMATCH($A135,Table2[Steel Member],0),_xlfn.XMATCH(R$2,Table2[#Headers],0))=0,"",INDEX(Table2[],_xlfn.XMATCH($A135,Table2[Steel Member],0),_xlfn.XMATCH(R$2,Table2[#Headers],0)))</f>
        <v>#N/A</v>
      </c>
      <c r="S135" s="4" t="e" cm="1">
        <f t="array" ref="S135">IF(INDEX(Table2[],_xlfn.XMATCH($A135,Table2[Steel Member],0),_xlfn.XMATCH(S$2,Table2[#Headers],0))=0,"",INDEX(Table2[],_xlfn.XMATCH($A135,Table2[Steel Member],0),_xlfn.XMATCH(S$2,Table2[#Headers],0)))</f>
        <v>#N/A</v>
      </c>
      <c r="T135" s="4" t="str">
        <f t="shared" si="54"/>
        <v/>
      </c>
      <c r="U135" s="4" t="e">
        <f ca="1">VLOOKUP(N135,'COLOR CODE'!$B:$D,2,FALSE)</f>
        <v>#N/A</v>
      </c>
      <c r="V135" s="4" t="str">
        <f t="shared" si="55"/>
        <v/>
      </c>
      <c r="W135" s="4" t="e" cm="1">
        <f t="array" ref="W135">IF(INDEX(Table2[],_xlfn.XMATCH($A135,Table2[Steel Member],0),_xlfn.XMATCH(W$2,Table2[#Headers],0))=0,"",INDEX(Table2[],_xlfn.XMATCH($A135,Table2[Steel Member],0),_xlfn.XMATCH(W$2,Table2[#Headers],0)))</f>
        <v>#N/A</v>
      </c>
      <c r="X135" s="4" t="e">
        <f t="shared" si="53"/>
        <v>#N/A</v>
      </c>
      <c r="Y135" s="4" t="e" cm="1">
        <f t="array" ref="Y135">IF(INDEX(Table2[],_xlfn.XMATCH($A135,Table2[Steel Member],0),_xlfn.XMATCH(Y$2,Table2[#Headers],0))=0,"",INDEX(Table2[],_xlfn.XMATCH($A135,Table2[Steel Member],0),_xlfn.XMATCH(Y$2,Table2[#Headers],0)))</f>
        <v>#N/A</v>
      </c>
      <c r="Z135" s="4" t="e" cm="1">
        <f t="array" ref="Z135">IF(INDEX(Table2[],_xlfn.XMATCH($A135,Table2[Steel Member],0),_xlfn.XMATCH(Z$2,Table2[#Headers],0))=0,"",INDEX(Table2[],_xlfn.XMATCH($A135,Table2[Steel Member],0),_xlfn.XMATCH(Z$2,Table2[#Headers],0)))</f>
        <v>#N/A</v>
      </c>
      <c r="AA135" s="4" t="e" cm="1">
        <f t="array" ref="AA135">IF(INDEX(Table2[],_xlfn.XMATCH($A135,Table2[Steel Member],0),_xlfn.XMATCH(AA$2,Table2[#Headers],0))=0,"",INDEX(Table2[],_xlfn.XMATCH($A135,Table2[Steel Member],0),_xlfn.XMATCH(AA$2,Table2[#Headers],0)))</f>
        <v>#N/A</v>
      </c>
      <c r="AB135" s="4" t="e" cm="1">
        <f t="array" ref="AB135">IF(INDEX(Table2[],_xlfn.XMATCH($A135,Table2[Steel Member],0),_xlfn.XMATCH(AB$2,Table2[#Headers],0))=0,"",INDEX(Table2[],_xlfn.XMATCH($A135,Table2[Steel Member],0),_xlfn.XMATCH(AB$2,Table2[#Headers],0)))</f>
        <v>#N/A</v>
      </c>
      <c r="AC135" s="4" t="str" cm="1">
        <f t="array" ref="AC135">IFERROR(INDEX(Table8[],_xlfn.XMATCH($O135,Table8[Dimension Name Category],0),_xlfn.XMATCH(AC$2&amp;IF($L135," w/ tag"," w/o tag"),Table8[#Headers],0)),"")</f>
        <v/>
      </c>
      <c r="AD135" s="59" t="str">
        <f t="shared" si="56"/>
        <v/>
      </c>
      <c r="AE135" s="4" t="str">
        <f t="shared" si="57"/>
        <v/>
      </c>
      <c r="AF135" s="4" t="str">
        <f t="shared" si="58"/>
        <v/>
      </c>
      <c r="AG135" s="4" t="str" cm="1">
        <f t="array" ref="AG135">IFERROR(INDEX(Table8[],_xlfn.XMATCH($O135,Table8[Dimension Name Category],0),_xlfn.XMATCH(AG$2&amp;IF($L135," w/ tag"," w/o tag"),Table8[#Headers],0)),"")</f>
        <v/>
      </c>
      <c r="AH135" s="59" t="str">
        <f t="shared" si="59"/>
        <v/>
      </c>
      <c r="AI135" s="4"/>
      <c r="AJ135" s="4" t="str">
        <f t="shared" si="60"/>
        <v/>
      </c>
      <c r="AK135" s="4" t="str">
        <f t="shared" si="61"/>
        <v/>
      </c>
      <c r="AL135" s="4" t="e" cm="1">
        <f t="array" ref="AL135">IF(INDEX(Table2[],_xlfn.XMATCH($A135,Table2[Steel Member],0),_xlfn.XMATCH(AL$2,Table2[#Headers],0))=0,"",INDEX(Table2[],_xlfn.XMATCH($A135,Table2[Steel Member],0),_xlfn.XMATCH(AL$2,Table2[#Headers],0)))</f>
        <v>#N/A</v>
      </c>
      <c r="AM135" s="4"/>
      <c r="AN135" s="4" t="str">
        <f t="shared" si="62"/>
        <v/>
      </c>
      <c r="AO135" s="4"/>
      <c r="AP135" s="4" t="e" cm="1">
        <f t="array" ref="AP135">IF(INDEX(Table2[],_xlfn.XMATCH($A135,Table2[Steel Member],0),_xlfn.XMATCH(AP$2,Table2[#Headers],0))=0,"",INDEX(Table2[],_xlfn.XMATCH($A135,Table2[Steel Member],0),_xlfn.XMATCH(AP$2,Table2[#Headers],0)))</f>
        <v>#N/A</v>
      </c>
      <c r="AQ135" s="4"/>
      <c r="AR135" s="4"/>
      <c r="AS135" s="4"/>
      <c r="AT135" s="4"/>
    </row>
    <row r="136" spans="1:46" x14ac:dyDescent="0.25">
      <c r="A136" s="52"/>
      <c r="B136" s="52"/>
      <c r="C136" s="52"/>
      <c r="D136" s="52"/>
      <c r="E136" s="52"/>
      <c r="F136" s="64" cm="1">
        <f t="array" ref="F136">IF(COUNT(FIND(PurlinsxGirthsxBracings,$C136))&gt;0,0,ROUNDUP(IF(D136=0,0,VLOOKUP(D136,'DATA SHEET'!$B:$D,2,FALSE)),2))</f>
        <v>0</v>
      </c>
      <c r="G136" s="64" cm="1">
        <f t="array" ref="G136">IF(COUNT(FIND(PurlinsxGirthsxBracings,$C136))&gt;0,0,ROUNDUP(IF(D136=0,0,VLOOKUP(D136,'DATA SHEET'!$B:$D,3,FALSE)),2))</f>
        <v>0</v>
      </c>
      <c r="H136" s="53"/>
      <c r="I136" s="66" cm="1">
        <f t="array" ref="I136">IF(AND(ISBLANK(B136),ISBLANK(C136),ISBLANK(E136)),0,IF(COUNT(FIND(PurlinsxGirthsxBracings,$C136))&gt;0,IF(B136=0,CONCATENATE(E136," ",C136),CONCATENATE(B136," - ",E136," ",C136)),IF(B136=0,IF(ISBLANK(C136),E136,CONCATENATE(D136,", ",F136,"kg/m, ",G136,"mm surface perimeter")),IF(AND(ISBLANK(C136),ISTEXT(E136)),CONCATENATE(B136," - ",E136),IF(AND(ISBLANK(C136),ISBLANK(E136)),B136,CONCATENATE(B136," - ",D136,", ",F136,"kg/m, ",G136,"mm surface perimeter"))))&amp;IF(ISBLANK(H136),"",H136)))</f>
        <v>0</v>
      </c>
      <c r="J136" s="53"/>
      <c r="L136" s="4" t="str" cm="1">
        <f t="array" ref="L136">IF(COUNT(FIND({0,1,2,3,4,5,6,7,8,9},B136))&gt;0,COUNT(FIND({0,1,2,3,4,5,6,7,8,9},B136))&gt;0,"")</f>
        <v/>
      </c>
      <c r="M136" s="4" t="str" cm="1">
        <f t="array" aca="1" ref="M136" ca="1">IFERROR(_xlfn.IFS(R136="Count",RANDBETWEEN(1,COUNTIF($R$11:$R$653,"Count")),R136="Length",RANDBETWEEN(1,COUNTIF($R$11:$R$653,"Length"))),"")</f>
        <v/>
      </c>
      <c r="N136" s="4" t="str">
        <f ca="1">IFERROR(_xlfn.RANK.EQ(M136,$M$11:$M$653)+COUNTIF($M$11:M136,M136)-1,"")</f>
        <v/>
      </c>
      <c r="O136" s="86" t="str">
        <f>IF(A136='DATA SHEET'!$L$36,C136,IFERROR(IF(AND(ISTEXT(I136),ISBLANK(C136)),"No details",VLOOKUP(C136,DimFolder,2,FALSE)),""))</f>
        <v/>
      </c>
      <c r="P136" s="4" t="str">
        <f t="shared" si="51"/>
        <v/>
      </c>
      <c r="Q136" s="58" t="str">
        <f t="shared" si="63"/>
        <v/>
      </c>
      <c r="R136" s="4" t="e" cm="1">
        <f t="array" ref="R136">IF(INDEX(Table2[],_xlfn.XMATCH($A136,Table2[Steel Member],0),_xlfn.XMATCH(R$2,Table2[#Headers],0))=0,"",INDEX(Table2[],_xlfn.XMATCH($A136,Table2[Steel Member],0),_xlfn.XMATCH(R$2,Table2[#Headers],0)))</f>
        <v>#N/A</v>
      </c>
      <c r="S136" s="4" t="e" cm="1">
        <f t="array" ref="S136">IF(INDEX(Table2[],_xlfn.XMATCH($A136,Table2[Steel Member],0),_xlfn.XMATCH(S$2,Table2[#Headers],0))=0,"",INDEX(Table2[],_xlfn.XMATCH($A136,Table2[Steel Member],0),_xlfn.XMATCH(S$2,Table2[#Headers],0)))</f>
        <v>#N/A</v>
      </c>
      <c r="T136" s="4" t="str">
        <f t="shared" si="54"/>
        <v/>
      </c>
      <c r="U136" s="4" t="e">
        <f ca="1">VLOOKUP(N136,'COLOR CODE'!$B:$D,2,FALSE)</f>
        <v>#N/A</v>
      </c>
      <c r="V136" s="4" t="str">
        <f t="shared" si="55"/>
        <v/>
      </c>
      <c r="W136" s="4" t="e" cm="1">
        <f t="array" ref="W136">IF(INDEX(Table2[],_xlfn.XMATCH($A136,Table2[Steel Member],0),_xlfn.XMATCH(W$2,Table2[#Headers],0))=0,"",INDEX(Table2[],_xlfn.XMATCH($A136,Table2[Steel Member],0),_xlfn.XMATCH(W$2,Table2[#Headers],0)))</f>
        <v>#N/A</v>
      </c>
      <c r="X136" s="4" t="e">
        <f t="shared" si="53"/>
        <v>#N/A</v>
      </c>
      <c r="Y136" s="4" t="e" cm="1">
        <f t="array" ref="Y136">IF(INDEX(Table2[],_xlfn.XMATCH($A136,Table2[Steel Member],0),_xlfn.XMATCH(Y$2,Table2[#Headers],0))=0,"",INDEX(Table2[],_xlfn.XMATCH($A136,Table2[Steel Member],0),_xlfn.XMATCH(Y$2,Table2[#Headers],0)))</f>
        <v>#N/A</v>
      </c>
      <c r="Z136" s="4" t="e" cm="1">
        <f t="array" ref="Z136">IF(INDEX(Table2[],_xlfn.XMATCH($A136,Table2[Steel Member],0),_xlfn.XMATCH(Z$2,Table2[#Headers],0))=0,"",INDEX(Table2[],_xlfn.XMATCH($A136,Table2[Steel Member],0),_xlfn.XMATCH(Z$2,Table2[#Headers],0)))</f>
        <v>#N/A</v>
      </c>
      <c r="AA136" s="4" t="e" cm="1">
        <f t="array" ref="AA136">IF(INDEX(Table2[],_xlfn.XMATCH($A136,Table2[Steel Member],0),_xlfn.XMATCH(AA$2,Table2[#Headers],0))=0,"",INDEX(Table2[],_xlfn.XMATCH($A136,Table2[Steel Member],0),_xlfn.XMATCH(AA$2,Table2[#Headers],0)))</f>
        <v>#N/A</v>
      </c>
      <c r="AB136" s="4" t="e" cm="1">
        <f t="array" ref="AB136">IF(INDEX(Table2[],_xlfn.XMATCH($A136,Table2[Steel Member],0),_xlfn.XMATCH(AB$2,Table2[#Headers],0))=0,"",INDEX(Table2[],_xlfn.XMATCH($A136,Table2[Steel Member],0),_xlfn.XMATCH(AB$2,Table2[#Headers],0)))</f>
        <v>#N/A</v>
      </c>
      <c r="AC136" s="4" t="str" cm="1">
        <f t="array" ref="AC136">IFERROR(INDEX(Table8[],_xlfn.XMATCH($O136,Table8[Dimension Name Category],0),_xlfn.XMATCH(AC$2&amp;IF($L136," w/ tag"," w/o tag"),Table8[#Headers],0)),"")</f>
        <v/>
      </c>
      <c r="AD136" s="59" t="str">
        <f t="shared" si="56"/>
        <v/>
      </c>
      <c r="AE136" s="4" t="str">
        <f t="shared" si="57"/>
        <v/>
      </c>
      <c r="AF136" s="4" t="str">
        <f t="shared" si="58"/>
        <v/>
      </c>
      <c r="AG136" s="4" t="str" cm="1">
        <f t="array" ref="AG136">IFERROR(INDEX(Table8[],_xlfn.XMATCH($O136,Table8[Dimension Name Category],0),_xlfn.XMATCH(AG$2&amp;IF($L136," w/ tag"," w/o tag"),Table8[#Headers],0)),"")</f>
        <v/>
      </c>
      <c r="AH136" s="59" t="str">
        <f t="shared" si="59"/>
        <v/>
      </c>
      <c r="AI136" s="4"/>
      <c r="AJ136" s="4" t="str">
        <f t="shared" si="60"/>
        <v/>
      </c>
      <c r="AK136" s="4" t="str">
        <f t="shared" si="61"/>
        <v/>
      </c>
      <c r="AL136" s="4" t="e" cm="1">
        <f t="array" ref="AL136">IF(INDEX(Table2[],_xlfn.XMATCH($A136,Table2[Steel Member],0),_xlfn.XMATCH(AL$2,Table2[#Headers],0))=0,"",INDEX(Table2[],_xlfn.XMATCH($A136,Table2[Steel Member],0),_xlfn.XMATCH(AL$2,Table2[#Headers],0)))</f>
        <v>#N/A</v>
      </c>
      <c r="AM136" s="4"/>
      <c r="AN136" s="4" t="str">
        <f t="shared" si="62"/>
        <v/>
      </c>
      <c r="AO136" s="4"/>
      <c r="AP136" s="4" t="e" cm="1">
        <f t="array" ref="AP136">IF(INDEX(Table2[],_xlfn.XMATCH($A136,Table2[Steel Member],0),_xlfn.XMATCH(AP$2,Table2[#Headers],0))=0,"",INDEX(Table2[],_xlfn.XMATCH($A136,Table2[Steel Member],0),_xlfn.XMATCH(AP$2,Table2[#Headers],0)))</f>
        <v>#N/A</v>
      </c>
      <c r="AQ136" s="4"/>
      <c r="AR136" s="4"/>
      <c r="AS136" s="4"/>
      <c r="AT136" s="4"/>
    </row>
    <row r="137" spans="1:46" x14ac:dyDescent="0.25">
      <c r="A137" s="52"/>
      <c r="B137" s="52"/>
      <c r="C137" s="52"/>
      <c r="D137" s="52"/>
      <c r="E137" s="52"/>
      <c r="F137" s="64" cm="1">
        <f t="array" ref="F137">IF(COUNT(FIND(PurlinsxGirthsxBracings,$C137))&gt;0,0,ROUNDUP(IF(D137=0,0,VLOOKUP(D137,'DATA SHEET'!$B:$D,2,FALSE)),2))</f>
        <v>0</v>
      </c>
      <c r="G137" s="64" cm="1">
        <f t="array" ref="G137">IF(COUNT(FIND(PurlinsxGirthsxBracings,$C137))&gt;0,0,ROUNDUP(IF(D137=0,0,VLOOKUP(D137,'DATA SHEET'!$B:$D,3,FALSE)),2))</f>
        <v>0</v>
      </c>
      <c r="H137" s="53"/>
      <c r="I137" s="66" cm="1">
        <f t="array" ref="I137">IF(AND(ISBLANK(B137),ISBLANK(C137),ISBLANK(E137)),0,IF(COUNT(FIND(PurlinsxGirthsxBracings,$C137))&gt;0,IF(B137=0,CONCATENATE(E137," ",C137),CONCATENATE(B137," - ",E137," ",C137)),IF(B137=0,IF(ISBLANK(C137),E137,CONCATENATE(D137,", ",F137,"kg/m, ",G137,"mm surface perimeter")),IF(AND(ISBLANK(C137),ISTEXT(E137)),CONCATENATE(B137," - ",E137),IF(AND(ISBLANK(C137),ISBLANK(E137)),B137,CONCATENATE(B137," - ",D137,", ",F137,"kg/m, ",G137,"mm surface perimeter"))))&amp;IF(ISBLANK(H137),"",H137)))</f>
        <v>0</v>
      </c>
      <c r="J137" s="53"/>
      <c r="L137" s="4" t="str" cm="1">
        <f t="array" ref="L137">IF(COUNT(FIND({0,1,2,3,4,5,6,7,8,9},B137))&gt;0,COUNT(FIND({0,1,2,3,4,5,6,7,8,9},B137))&gt;0,"")</f>
        <v/>
      </c>
      <c r="M137" s="4" t="str" cm="1">
        <f t="array" aca="1" ref="M137" ca="1">IFERROR(_xlfn.IFS(R137="Count",RANDBETWEEN(1,COUNTIF($R$11:$R$653,"Count")),R137="Length",RANDBETWEEN(1,COUNTIF($R$11:$R$653,"Length"))),"")</f>
        <v/>
      </c>
      <c r="N137" s="4" t="str">
        <f ca="1">IFERROR(_xlfn.RANK.EQ(M137,$M$11:$M$653)+COUNTIF($M$11:M137,M137)-1,"")</f>
        <v/>
      </c>
      <c r="O137" s="86" t="str">
        <f>IF(A137='DATA SHEET'!$L$36,C137,IFERROR(IF(AND(ISTEXT(I137),ISBLANK(C137)),"No details",VLOOKUP(C137,DimFolder,2,FALSE)),""))</f>
        <v/>
      </c>
      <c r="P137" s="4" t="str">
        <f t="shared" si="51"/>
        <v/>
      </c>
      <c r="Q137" s="58" t="str">
        <f t="shared" si="63"/>
        <v/>
      </c>
      <c r="R137" s="4" t="e" cm="1">
        <f t="array" ref="R137">IF(INDEX(Table2[],_xlfn.XMATCH($A137,Table2[Steel Member],0),_xlfn.XMATCH(R$2,Table2[#Headers],0))=0,"",INDEX(Table2[],_xlfn.XMATCH($A137,Table2[Steel Member],0),_xlfn.XMATCH(R$2,Table2[#Headers],0)))</f>
        <v>#N/A</v>
      </c>
      <c r="S137" s="4" t="e" cm="1">
        <f t="array" ref="S137">IF(INDEX(Table2[],_xlfn.XMATCH($A137,Table2[Steel Member],0),_xlfn.XMATCH(S$2,Table2[#Headers],0))=0,"",INDEX(Table2[],_xlfn.XMATCH($A137,Table2[Steel Member],0),_xlfn.XMATCH(S$2,Table2[#Headers],0)))</f>
        <v>#N/A</v>
      </c>
      <c r="T137" s="4" t="str">
        <f t="shared" si="54"/>
        <v/>
      </c>
      <c r="U137" s="4" t="e">
        <f ca="1">VLOOKUP(N137,'COLOR CODE'!$B:$D,2,FALSE)</f>
        <v>#N/A</v>
      </c>
      <c r="V137" s="4" t="str">
        <f t="shared" si="55"/>
        <v/>
      </c>
      <c r="W137" s="4" t="e" cm="1">
        <f t="array" ref="W137">IF(INDEX(Table2[],_xlfn.XMATCH($A137,Table2[Steel Member],0),_xlfn.XMATCH(W$2,Table2[#Headers],0))=0,"",INDEX(Table2[],_xlfn.XMATCH($A137,Table2[Steel Member],0),_xlfn.XMATCH(W$2,Table2[#Headers],0)))</f>
        <v>#N/A</v>
      </c>
      <c r="X137" s="4" t="e">
        <f t="shared" si="53"/>
        <v>#N/A</v>
      </c>
      <c r="Y137" s="4" t="e" cm="1">
        <f t="array" ref="Y137">IF(INDEX(Table2[],_xlfn.XMATCH($A137,Table2[Steel Member],0),_xlfn.XMATCH(Y$2,Table2[#Headers],0))=0,"",INDEX(Table2[],_xlfn.XMATCH($A137,Table2[Steel Member],0),_xlfn.XMATCH(Y$2,Table2[#Headers],0)))</f>
        <v>#N/A</v>
      </c>
      <c r="Z137" s="4" t="e" cm="1">
        <f t="array" ref="Z137">IF(INDEX(Table2[],_xlfn.XMATCH($A137,Table2[Steel Member],0),_xlfn.XMATCH(Z$2,Table2[#Headers],0))=0,"",INDEX(Table2[],_xlfn.XMATCH($A137,Table2[Steel Member],0),_xlfn.XMATCH(Z$2,Table2[#Headers],0)))</f>
        <v>#N/A</v>
      </c>
      <c r="AA137" s="4" t="e" cm="1">
        <f t="array" ref="AA137">IF(INDEX(Table2[],_xlfn.XMATCH($A137,Table2[Steel Member],0),_xlfn.XMATCH(AA$2,Table2[#Headers],0))=0,"",INDEX(Table2[],_xlfn.XMATCH($A137,Table2[Steel Member],0),_xlfn.XMATCH(AA$2,Table2[#Headers],0)))</f>
        <v>#N/A</v>
      </c>
      <c r="AB137" s="4" t="e" cm="1">
        <f t="array" ref="AB137">IF(INDEX(Table2[],_xlfn.XMATCH($A137,Table2[Steel Member],0),_xlfn.XMATCH(AB$2,Table2[#Headers],0))=0,"",INDEX(Table2[],_xlfn.XMATCH($A137,Table2[Steel Member],0),_xlfn.XMATCH(AB$2,Table2[#Headers],0)))</f>
        <v>#N/A</v>
      </c>
      <c r="AC137" s="4" t="str" cm="1">
        <f t="array" ref="AC137">IFERROR(INDEX(Table8[],_xlfn.XMATCH($O137,Table8[Dimension Name Category],0),_xlfn.XMATCH(AC$2&amp;IF($L137," w/ tag"," w/o tag"),Table8[#Headers],0)),"")</f>
        <v/>
      </c>
      <c r="AD137" s="59" t="str">
        <f t="shared" si="56"/>
        <v/>
      </c>
      <c r="AE137" s="4" t="str">
        <f t="shared" si="57"/>
        <v/>
      </c>
      <c r="AF137" s="4" t="str">
        <f t="shared" si="58"/>
        <v/>
      </c>
      <c r="AG137" s="4" t="str" cm="1">
        <f t="array" ref="AG137">IFERROR(INDEX(Table8[],_xlfn.XMATCH($O137,Table8[Dimension Name Category],0),_xlfn.XMATCH(AG$2&amp;IF($L137," w/ tag"," w/o tag"),Table8[#Headers],0)),"")</f>
        <v/>
      </c>
      <c r="AH137" s="59" t="str">
        <f t="shared" si="59"/>
        <v/>
      </c>
      <c r="AI137" s="4"/>
      <c r="AJ137" s="4" t="str">
        <f t="shared" si="60"/>
        <v/>
      </c>
      <c r="AK137" s="4" t="str">
        <f t="shared" si="61"/>
        <v/>
      </c>
      <c r="AL137" s="4" t="e" cm="1">
        <f t="array" ref="AL137">IF(INDEX(Table2[],_xlfn.XMATCH($A137,Table2[Steel Member],0),_xlfn.XMATCH(AL$2,Table2[#Headers],0))=0,"",INDEX(Table2[],_xlfn.XMATCH($A137,Table2[Steel Member],0),_xlfn.XMATCH(AL$2,Table2[#Headers],0)))</f>
        <v>#N/A</v>
      </c>
      <c r="AM137" s="4"/>
      <c r="AN137" s="4" t="str">
        <f t="shared" si="62"/>
        <v/>
      </c>
      <c r="AO137" s="4"/>
      <c r="AP137" s="4" t="e" cm="1">
        <f t="array" ref="AP137">IF(INDEX(Table2[],_xlfn.XMATCH($A137,Table2[Steel Member],0),_xlfn.XMATCH(AP$2,Table2[#Headers],0))=0,"",INDEX(Table2[],_xlfn.XMATCH($A137,Table2[Steel Member],0),_xlfn.XMATCH(AP$2,Table2[#Headers],0)))</f>
        <v>#N/A</v>
      </c>
      <c r="AQ137" s="4"/>
      <c r="AR137" s="4"/>
      <c r="AS137" s="4"/>
      <c r="AT137" s="4"/>
    </row>
    <row r="138" spans="1:46" x14ac:dyDescent="0.25">
      <c r="A138" s="52"/>
      <c r="B138" s="52"/>
      <c r="C138" s="52"/>
      <c r="D138" s="52"/>
      <c r="E138" s="52"/>
      <c r="F138" s="64" cm="1">
        <f t="array" ref="F138">IF(COUNT(FIND(PurlinsxGirthsxBracings,$C138))&gt;0,0,ROUNDUP(IF(D138=0,0,VLOOKUP(D138,'DATA SHEET'!$B:$D,2,FALSE)),2))</f>
        <v>0</v>
      </c>
      <c r="G138" s="64" cm="1">
        <f t="array" ref="G138">IF(COUNT(FIND(PurlinsxGirthsxBracings,$C138))&gt;0,0,ROUNDUP(IF(D138=0,0,VLOOKUP(D138,'DATA SHEET'!$B:$D,3,FALSE)),2))</f>
        <v>0</v>
      </c>
      <c r="H138" s="53"/>
      <c r="I138" s="66" cm="1">
        <f t="array" ref="I138">IF(AND(ISBLANK(B138),ISBLANK(C138),ISBLANK(E138)),0,IF(COUNT(FIND(PurlinsxGirthsxBracings,$C138))&gt;0,IF(B138=0,CONCATENATE(E138," ",C138),CONCATENATE(B138," - ",E138," ",C138)),IF(B138=0,IF(ISBLANK(C138),E138,CONCATENATE(D138,", ",F138,"kg/m, ",G138,"mm surface perimeter")),IF(AND(ISBLANK(C138),ISTEXT(E138)),CONCATENATE(B138," - ",E138),IF(AND(ISBLANK(C138),ISBLANK(E138)),B138,CONCATENATE(B138," - ",D138,", ",F138,"kg/m, ",G138,"mm surface perimeter"))))&amp;IF(ISBLANK(H138),"",H138)))</f>
        <v>0</v>
      </c>
      <c r="J138" s="53"/>
      <c r="L138" s="4" t="str" cm="1">
        <f t="array" ref="L138">IF(COUNT(FIND({0,1,2,3,4,5,6,7,8,9},B138))&gt;0,COUNT(FIND({0,1,2,3,4,5,6,7,8,9},B138))&gt;0,"")</f>
        <v/>
      </c>
      <c r="M138" s="4" t="str" cm="1">
        <f t="array" aca="1" ref="M138" ca="1">IFERROR(_xlfn.IFS(R138="Count",RANDBETWEEN(1,COUNTIF($R$11:$R$653,"Count")),R138="Length",RANDBETWEEN(1,COUNTIF($R$11:$R$653,"Length"))),"")</f>
        <v/>
      </c>
      <c r="N138" s="4" t="str">
        <f ca="1">IFERROR(_xlfn.RANK.EQ(M138,$M$11:$M$653)+COUNTIF($M$11:M138,M138)-1,"")</f>
        <v/>
      </c>
      <c r="O138" s="86" t="str">
        <f>IF(A138='DATA SHEET'!$L$36,C138,IFERROR(IF(AND(ISTEXT(I138),ISBLANK(C138)),"No details",VLOOKUP(C138,DimFolder,2,FALSE)),""))</f>
        <v/>
      </c>
      <c r="P138" s="4" t="str">
        <f t="shared" si="51"/>
        <v/>
      </c>
      <c r="Q138" s="58" t="str">
        <f t="shared" si="63"/>
        <v/>
      </c>
      <c r="R138" s="4" t="e" cm="1">
        <f t="array" ref="R138">IF(INDEX(Table2[],_xlfn.XMATCH($A138,Table2[Steel Member],0),_xlfn.XMATCH(R$2,Table2[#Headers],0))=0,"",INDEX(Table2[],_xlfn.XMATCH($A138,Table2[Steel Member],0),_xlfn.XMATCH(R$2,Table2[#Headers],0)))</f>
        <v>#N/A</v>
      </c>
      <c r="S138" s="4" t="e" cm="1">
        <f t="array" ref="S138">IF(INDEX(Table2[],_xlfn.XMATCH($A138,Table2[Steel Member],0),_xlfn.XMATCH(S$2,Table2[#Headers],0))=0,"",INDEX(Table2[],_xlfn.XMATCH($A138,Table2[Steel Member],0),_xlfn.XMATCH(S$2,Table2[#Headers],0)))</f>
        <v>#N/A</v>
      </c>
      <c r="T138" s="4" t="str">
        <f t="shared" si="54"/>
        <v/>
      </c>
      <c r="U138" s="4" t="e">
        <f ca="1">VLOOKUP(N138,'COLOR CODE'!$B:$D,2,FALSE)</f>
        <v>#N/A</v>
      </c>
      <c r="V138" s="4" t="str">
        <f t="shared" si="55"/>
        <v/>
      </c>
      <c r="W138" s="4" t="e" cm="1">
        <f t="array" ref="W138">IF(INDEX(Table2[],_xlfn.XMATCH($A138,Table2[Steel Member],0),_xlfn.XMATCH(W$2,Table2[#Headers],0))=0,"",INDEX(Table2[],_xlfn.XMATCH($A138,Table2[Steel Member],0),_xlfn.XMATCH(W$2,Table2[#Headers],0)))</f>
        <v>#N/A</v>
      </c>
      <c r="X138" s="4" t="e">
        <f t="shared" si="53"/>
        <v>#N/A</v>
      </c>
      <c r="Y138" s="4" t="e" cm="1">
        <f t="array" ref="Y138">IF(INDEX(Table2[],_xlfn.XMATCH($A138,Table2[Steel Member],0),_xlfn.XMATCH(Y$2,Table2[#Headers],0))=0,"",INDEX(Table2[],_xlfn.XMATCH($A138,Table2[Steel Member],0),_xlfn.XMATCH(Y$2,Table2[#Headers],0)))</f>
        <v>#N/A</v>
      </c>
      <c r="Z138" s="4" t="e" cm="1">
        <f t="array" ref="Z138">IF(INDEX(Table2[],_xlfn.XMATCH($A138,Table2[Steel Member],0),_xlfn.XMATCH(Z$2,Table2[#Headers],0))=0,"",INDEX(Table2[],_xlfn.XMATCH($A138,Table2[Steel Member],0),_xlfn.XMATCH(Z$2,Table2[#Headers],0)))</f>
        <v>#N/A</v>
      </c>
      <c r="AA138" s="4" t="e" cm="1">
        <f t="array" ref="AA138">IF(INDEX(Table2[],_xlfn.XMATCH($A138,Table2[Steel Member],0),_xlfn.XMATCH(AA$2,Table2[#Headers],0))=0,"",INDEX(Table2[],_xlfn.XMATCH($A138,Table2[Steel Member],0),_xlfn.XMATCH(AA$2,Table2[#Headers],0)))</f>
        <v>#N/A</v>
      </c>
      <c r="AB138" s="4" t="e" cm="1">
        <f t="array" ref="AB138">IF(INDEX(Table2[],_xlfn.XMATCH($A138,Table2[Steel Member],0),_xlfn.XMATCH(AB$2,Table2[#Headers],0))=0,"",INDEX(Table2[],_xlfn.XMATCH($A138,Table2[Steel Member],0),_xlfn.XMATCH(AB$2,Table2[#Headers],0)))</f>
        <v>#N/A</v>
      </c>
      <c r="AC138" s="4" t="str" cm="1">
        <f t="array" ref="AC138">IFERROR(INDEX(Table8[],_xlfn.XMATCH($O138,Table8[Dimension Name Category],0),_xlfn.XMATCH(AC$2&amp;IF($L138," w/ tag"," w/o tag"),Table8[#Headers],0)),"")</f>
        <v/>
      </c>
      <c r="AD138" s="59" t="str">
        <f t="shared" si="56"/>
        <v/>
      </c>
      <c r="AE138" s="4" t="str">
        <f t="shared" si="57"/>
        <v/>
      </c>
      <c r="AF138" s="4" t="str">
        <f t="shared" si="58"/>
        <v/>
      </c>
      <c r="AG138" s="4" t="str" cm="1">
        <f t="array" ref="AG138">IFERROR(INDEX(Table8[],_xlfn.XMATCH($O138,Table8[Dimension Name Category],0),_xlfn.XMATCH(AG$2&amp;IF($L138," w/ tag"," w/o tag"),Table8[#Headers],0)),"")</f>
        <v/>
      </c>
      <c r="AH138" s="59" t="str">
        <f t="shared" si="59"/>
        <v/>
      </c>
      <c r="AI138" s="4"/>
      <c r="AJ138" s="4" t="str">
        <f t="shared" si="60"/>
        <v/>
      </c>
      <c r="AK138" s="4" t="str">
        <f t="shared" si="61"/>
        <v/>
      </c>
      <c r="AL138" s="4" t="e" cm="1">
        <f t="array" ref="AL138">IF(INDEX(Table2[],_xlfn.XMATCH($A138,Table2[Steel Member],0),_xlfn.XMATCH(AL$2,Table2[#Headers],0))=0,"",INDEX(Table2[],_xlfn.XMATCH($A138,Table2[Steel Member],0),_xlfn.XMATCH(AL$2,Table2[#Headers],0)))</f>
        <v>#N/A</v>
      </c>
      <c r="AM138" s="4"/>
      <c r="AN138" s="4" t="str">
        <f t="shared" si="62"/>
        <v/>
      </c>
      <c r="AO138" s="4"/>
      <c r="AP138" s="4" t="e" cm="1">
        <f t="array" ref="AP138">IF(INDEX(Table2[],_xlfn.XMATCH($A138,Table2[Steel Member],0),_xlfn.XMATCH(AP$2,Table2[#Headers],0))=0,"",INDEX(Table2[],_xlfn.XMATCH($A138,Table2[Steel Member],0),_xlfn.XMATCH(AP$2,Table2[#Headers],0)))</f>
        <v>#N/A</v>
      </c>
      <c r="AQ138" s="4"/>
      <c r="AR138" s="4"/>
      <c r="AS138" s="4"/>
      <c r="AT138" s="4"/>
    </row>
    <row r="139" spans="1:46" x14ac:dyDescent="0.25">
      <c r="A139" s="52"/>
      <c r="B139" s="52"/>
      <c r="C139" s="52"/>
      <c r="D139" s="52"/>
      <c r="E139" s="52"/>
      <c r="F139" s="64" cm="1">
        <f t="array" ref="F139">IF(COUNT(FIND(PurlinsxGirthsxBracings,$C139))&gt;0,0,ROUNDUP(IF(D139=0,0,VLOOKUP(D139,'DATA SHEET'!$B:$D,2,FALSE)),2))</f>
        <v>0</v>
      </c>
      <c r="G139" s="64" cm="1">
        <f t="array" ref="G139">IF(COUNT(FIND(PurlinsxGirthsxBracings,$C139))&gt;0,0,ROUNDUP(IF(D139=0,0,VLOOKUP(D139,'DATA SHEET'!$B:$D,3,FALSE)),2))</f>
        <v>0</v>
      </c>
      <c r="H139" s="53"/>
      <c r="I139" s="66" cm="1">
        <f t="array" ref="I139">IF(AND(ISBLANK(B139),ISBLANK(C139),ISBLANK(E139)),0,IF(COUNT(FIND(PurlinsxGirthsxBracings,$C139))&gt;0,IF(B139=0,CONCATENATE(E139," ",C139),CONCATENATE(B139," - ",E139," ",C139)),IF(B139=0,IF(ISBLANK(C139),E139,CONCATENATE(D139,", ",F139,"kg/m, ",G139,"mm surface perimeter")),IF(AND(ISBLANK(C139),ISTEXT(E139)),CONCATENATE(B139," - ",E139),IF(AND(ISBLANK(C139),ISBLANK(E139)),B139,CONCATENATE(B139," - ",D139,", ",F139,"kg/m, ",G139,"mm surface perimeter"))))&amp;IF(ISBLANK(H139),"",H139)))</f>
        <v>0</v>
      </c>
      <c r="J139" s="53"/>
      <c r="L139" s="4" t="str" cm="1">
        <f t="array" ref="L139">IF(COUNT(FIND({0,1,2,3,4,5,6,7,8,9},B139))&gt;0,COUNT(FIND({0,1,2,3,4,5,6,7,8,9},B139))&gt;0,"")</f>
        <v/>
      </c>
      <c r="M139" s="4" t="str" cm="1">
        <f t="array" aca="1" ref="M139" ca="1">IFERROR(_xlfn.IFS(R139="Count",RANDBETWEEN(1,COUNTIF($R$11:$R$653,"Count")),R139="Length",RANDBETWEEN(1,COUNTIF($R$11:$R$653,"Length"))),"")</f>
        <v/>
      </c>
      <c r="N139" s="4" t="str">
        <f ca="1">IFERROR(_xlfn.RANK.EQ(M139,$M$11:$M$653)+COUNTIF($M$11:M139,M139)-1,"")</f>
        <v/>
      </c>
      <c r="O139" s="86" t="str">
        <f>IF(A139='DATA SHEET'!$L$36,C139,IFERROR(IF(AND(ISTEXT(I139),ISBLANK(C139)),"No details",VLOOKUP(C139,DimFolder,2,FALSE)),""))</f>
        <v/>
      </c>
      <c r="P139" s="4" t="str">
        <f t="shared" ref="P139:P202" si="64">IF(AND(ISBLANK(B139),ISBLANK(C139)),"",CONCATENATE("Structural\Structural Steel\",A139,"\",O139))</f>
        <v/>
      </c>
      <c r="Q139" s="58" t="str">
        <f t="shared" si="63"/>
        <v/>
      </c>
      <c r="R139" s="4" t="e" cm="1">
        <f t="array" ref="R139">IF(INDEX(Table2[],_xlfn.XMATCH($A139,Table2[Steel Member],0),_xlfn.XMATCH(R$2,Table2[#Headers],0))=0,"",INDEX(Table2[],_xlfn.XMATCH($A139,Table2[Steel Member],0),_xlfn.XMATCH(R$2,Table2[#Headers],0)))</f>
        <v>#N/A</v>
      </c>
      <c r="S139" s="4" t="e" cm="1">
        <f t="array" ref="S139">IF(INDEX(Table2[],_xlfn.XMATCH($A139,Table2[Steel Member],0),_xlfn.XMATCH(S$2,Table2[#Headers],0))=0,"",INDEX(Table2[],_xlfn.XMATCH($A139,Table2[Steel Member],0),_xlfn.XMATCH(S$2,Table2[#Headers],0)))</f>
        <v>#N/A</v>
      </c>
      <c r="T139" s="4" t="str">
        <f t="shared" si="54"/>
        <v/>
      </c>
      <c r="U139" s="4" t="e">
        <f ca="1">VLOOKUP(N139,'COLOR CODE'!$B:$D,2,FALSE)</f>
        <v>#N/A</v>
      </c>
      <c r="V139" s="4" t="str">
        <f t="shared" si="55"/>
        <v/>
      </c>
      <c r="W139" s="4" t="e" cm="1">
        <f t="array" ref="W139">IF(INDEX(Table2[],_xlfn.XMATCH($A139,Table2[Steel Member],0),_xlfn.XMATCH(W$2,Table2[#Headers],0))=0,"",INDEX(Table2[],_xlfn.XMATCH($A139,Table2[Steel Member],0),_xlfn.XMATCH(W$2,Table2[#Headers],0)))</f>
        <v>#N/A</v>
      </c>
      <c r="X139" s="4" t="e">
        <f t="shared" si="53"/>
        <v>#N/A</v>
      </c>
      <c r="Y139" s="4" t="e" cm="1">
        <f t="array" ref="Y139">IF(INDEX(Table2[],_xlfn.XMATCH($A139,Table2[Steel Member],0),_xlfn.XMATCH(Y$2,Table2[#Headers],0))=0,"",INDEX(Table2[],_xlfn.XMATCH($A139,Table2[Steel Member],0),_xlfn.XMATCH(Y$2,Table2[#Headers],0)))</f>
        <v>#N/A</v>
      </c>
      <c r="Z139" s="4" t="e" cm="1">
        <f t="array" ref="Z139">IF(INDEX(Table2[],_xlfn.XMATCH($A139,Table2[Steel Member],0),_xlfn.XMATCH(Z$2,Table2[#Headers],0))=0,"",INDEX(Table2[],_xlfn.XMATCH($A139,Table2[Steel Member],0),_xlfn.XMATCH(Z$2,Table2[#Headers],0)))</f>
        <v>#N/A</v>
      </c>
      <c r="AA139" s="4" t="e" cm="1">
        <f t="array" ref="AA139">IF(INDEX(Table2[],_xlfn.XMATCH($A139,Table2[Steel Member],0),_xlfn.XMATCH(AA$2,Table2[#Headers],0))=0,"",INDEX(Table2[],_xlfn.XMATCH($A139,Table2[Steel Member],0),_xlfn.XMATCH(AA$2,Table2[#Headers],0)))</f>
        <v>#N/A</v>
      </c>
      <c r="AB139" s="4" t="e" cm="1">
        <f t="array" ref="AB139">IF(INDEX(Table2[],_xlfn.XMATCH($A139,Table2[Steel Member],0),_xlfn.XMATCH(AB$2,Table2[#Headers],0))=0,"",INDEX(Table2[],_xlfn.XMATCH($A139,Table2[Steel Member],0),_xlfn.XMATCH(AB$2,Table2[#Headers],0)))</f>
        <v>#N/A</v>
      </c>
      <c r="AC139" s="4" t="str" cm="1">
        <f t="array" ref="AC139">IFERROR(INDEX(Table8[],_xlfn.XMATCH($O139,Table8[Dimension Name Category],0),_xlfn.XMATCH(AC$2&amp;IF($L139," w/ tag"," w/o tag"),Table8[#Headers],0)),"")</f>
        <v/>
      </c>
      <c r="AD139" s="59" t="str">
        <f t="shared" si="56"/>
        <v/>
      </c>
      <c r="AE139" s="4" t="str">
        <f t="shared" si="57"/>
        <v/>
      </c>
      <c r="AF139" s="4" t="str">
        <f t="shared" si="58"/>
        <v/>
      </c>
      <c r="AG139" s="4" t="str" cm="1">
        <f t="array" ref="AG139">IFERROR(INDEX(Table8[],_xlfn.XMATCH($O139,Table8[Dimension Name Category],0),_xlfn.XMATCH(AG$2&amp;IF($L139," w/ tag"," w/o tag"),Table8[#Headers],0)),"")</f>
        <v/>
      </c>
      <c r="AH139" s="59" t="str">
        <f t="shared" si="59"/>
        <v/>
      </c>
      <c r="AI139" s="4"/>
      <c r="AJ139" s="4" t="str">
        <f t="shared" si="60"/>
        <v/>
      </c>
      <c r="AK139" s="4" t="str">
        <f t="shared" si="61"/>
        <v/>
      </c>
      <c r="AL139" s="4" t="e" cm="1">
        <f t="array" ref="AL139">IF(INDEX(Table2[],_xlfn.XMATCH($A139,Table2[Steel Member],0),_xlfn.XMATCH(AL$2,Table2[#Headers],0))=0,"",INDEX(Table2[],_xlfn.XMATCH($A139,Table2[Steel Member],0),_xlfn.XMATCH(AL$2,Table2[#Headers],0)))</f>
        <v>#N/A</v>
      </c>
      <c r="AM139" s="4"/>
      <c r="AN139" s="4" t="str">
        <f t="shared" si="62"/>
        <v/>
      </c>
      <c r="AO139" s="4"/>
      <c r="AP139" s="4" t="e" cm="1">
        <f t="array" ref="AP139">IF(INDEX(Table2[],_xlfn.XMATCH($A139,Table2[Steel Member],0),_xlfn.XMATCH(AP$2,Table2[#Headers],0))=0,"",INDEX(Table2[],_xlfn.XMATCH($A139,Table2[Steel Member],0),_xlfn.XMATCH(AP$2,Table2[#Headers],0)))</f>
        <v>#N/A</v>
      </c>
      <c r="AQ139" s="4"/>
      <c r="AR139" s="4"/>
      <c r="AS139" s="4"/>
      <c r="AT139" s="4"/>
    </row>
    <row r="140" spans="1:46" x14ac:dyDescent="0.25">
      <c r="A140" s="52"/>
      <c r="B140" s="52"/>
      <c r="C140" s="52"/>
      <c r="D140" s="52"/>
      <c r="E140" s="52"/>
      <c r="F140" s="64" cm="1">
        <f t="array" ref="F140">IF(COUNT(FIND(PurlinsxGirthsxBracings,$C140))&gt;0,0,ROUNDUP(IF(D140=0,0,VLOOKUP(D140,'DATA SHEET'!$B:$D,2,FALSE)),2))</f>
        <v>0</v>
      </c>
      <c r="G140" s="64" cm="1">
        <f t="array" ref="G140">IF(COUNT(FIND(PurlinsxGirthsxBracings,$C140))&gt;0,0,ROUNDUP(IF(D140=0,0,VLOOKUP(D140,'DATA SHEET'!$B:$D,3,FALSE)),2))</f>
        <v>0</v>
      </c>
      <c r="H140" s="53"/>
      <c r="I140" s="66" cm="1">
        <f t="array" ref="I140">IF(AND(ISBLANK(B140),ISBLANK(C140),ISBLANK(E140)),0,IF(COUNT(FIND(PurlinsxGirthsxBracings,$C140))&gt;0,IF(B140=0,CONCATENATE(E140," ",C140),CONCATENATE(B140," - ",E140," ",C140)),IF(B140=0,IF(ISBLANK(C140),E140,CONCATENATE(D140,", ",F140,"kg/m, ",G140,"mm surface perimeter")),IF(AND(ISBLANK(C140),ISTEXT(E140)),CONCATENATE(B140," - ",E140),IF(AND(ISBLANK(C140),ISBLANK(E140)),B140,CONCATENATE(B140," - ",D140,", ",F140,"kg/m, ",G140,"mm surface perimeter"))))&amp;IF(ISBLANK(H140),"",H140)))</f>
        <v>0</v>
      </c>
      <c r="J140" s="53"/>
      <c r="L140" s="4" t="str" cm="1">
        <f t="array" ref="L140">IF(COUNT(FIND({0,1,2,3,4,5,6,7,8,9},B140))&gt;0,COUNT(FIND({0,1,2,3,4,5,6,7,8,9},B140))&gt;0,"")</f>
        <v/>
      </c>
      <c r="M140" s="4" t="str" cm="1">
        <f t="array" aca="1" ref="M140" ca="1">IFERROR(_xlfn.IFS(R140="Count",RANDBETWEEN(1,COUNTIF($R$11:$R$653,"Count")),R140="Length",RANDBETWEEN(1,COUNTIF($R$11:$R$653,"Length"))),"")</f>
        <v/>
      </c>
      <c r="N140" s="4" t="str">
        <f ca="1">IFERROR(_xlfn.RANK.EQ(M140,$M$11:$M$653)+COUNTIF($M$11:M140,M140)-1,"")</f>
        <v/>
      </c>
      <c r="O140" s="86" t="str">
        <f>IF(A140='DATA SHEET'!$L$36,C140,IFERROR(IF(AND(ISTEXT(I140),ISBLANK(C140)),"No details",VLOOKUP(C140,DimFolder,2,FALSE)),""))</f>
        <v/>
      </c>
      <c r="P140" s="4" t="str">
        <f t="shared" si="64"/>
        <v/>
      </c>
      <c r="Q140" s="58" t="str">
        <f t="shared" si="63"/>
        <v/>
      </c>
      <c r="R140" s="4" t="e" cm="1">
        <f t="array" ref="R140">IF(INDEX(Table2[],_xlfn.XMATCH($A140,Table2[Steel Member],0),_xlfn.XMATCH(R$2,Table2[#Headers],0))=0,"",INDEX(Table2[],_xlfn.XMATCH($A140,Table2[Steel Member],0),_xlfn.XMATCH(R$2,Table2[#Headers],0)))</f>
        <v>#N/A</v>
      </c>
      <c r="S140" s="4" t="e" cm="1">
        <f t="array" ref="S140">IF(INDEX(Table2[],_xlfn.XMATCH($A140,Table2[Steel Member],0),_xlfn.XMATCH(S$2,Table2[#Headers],0))=0,"",INDEX(Table2[],_xlfn.XMATCH($A140,Table2[Steel Member],0),_xlfn.XMATCH(S$2,Table2[#Headers],0)))</f>
        <v>#N/A</v>
      </c>
      <c r="T140" s="4" t="str">
        <f t="shared" si="54"/>
        <v/>
      </c>
      <c r="U140" s="4" t="e">
        <f ca="1">VLOOKUP(N140,'COLOR CODE'!$B:$D,2,FALSE)</f>
        <v>#N/A</v>
      </c>
      <c r="V140" s="4" t="str">
        <f t="shared" si="55"/>
        <v/>
      </c>
      <c r="W140" s="4" t="e" cm="1">
        <f t="array" ref="W140">IF(INDEX(Table2[],_xlfn.XMATCH($A140,Table2[Steel Member],0),_xlfn.XMATCH(W$2,Table2[#Headers],0))=0,"",INDEX(Table2[],_xlfn.XMATCH($A140,Table2[Steel Member],0),_xlfn.XMATCH(W$2,Table2[#Headers],0)))</f>
        <v>#N/A</v>
      </c>
      <c r="X140" s="4" t="e">
        <f t="shared" si="53"/>
        <v>#N/A</v>
      </c>
      <c r="Y140" s="4" t="e" cm="1">
        <f t="array" ref="Y140">IF(INDEX(Table2[],_xlfn.XMATCH($A140,Table2[Steel Member],0),_xlfn.XMATCH(Y$2,Table2[#Headers],0))=0,"",INDEX(Table2[],_xlfn.XMATCH($A140,Table2[Steel Member],0),_xlfn.XMATCH(Y$2,Table2[#Headers],0)))</f>
        <v>#N/A</v>
      </c>
      <c r="Z140" s="4" t="e" cm="1">
        <f t="array" ref="Z140">IF(INDEX(Table2[],_xlfn.XMATCH($A140,Table2[Steel Member],0),_xlfn.XMATCH(Z$2,Table2[#Headers],0))=0,"",INDEX(Table2[],_xlfn.XMATCH($A140,Table2[Steel Member],0),_xlfn.XMATCH(Z$2,Table2[#Headers],0)))</f>
        <v>#N/A</v>
      </c>
      <c r="AA140" s="4" t="e" cm="1">
        <f t="array" ref="AA140">IF(INDEX(Table2[],_xlfn.XMATCH($A140,Table2[Steel Member],0),_xlfn.XMATCH(AA$2,Table2[#Headers],0))=0,"",INDEX(Table2[],_xlfn.XMATCH($A140,Table2[Steel Member],0),_xlfn.XMATCH(AA$2,Table2[#Headers],0)))</f>
        <v>#N/A</v>
      </c>
      <c r="AB140" s="4" t="e" cm="1">
        <f t="array" ref="AB140">IF(INDEX(Table2[],_xlfn.XMATCH($A140,Table2[Steel Member],0),_xlfn.XMATCH(AB$2,Table2[#Headers],0))=0,"",INDEX(Table2[],_xlfn.XMATCH($A140,Table2[Steel Member],0),_xlfn.XMATCH(AB$2,Table2[#Headers],0)))</f>
        <v>#N/A</v>
      </c>
      <c r="AC140" s="4" t="str" cm="1">
        <f t="array" ref="AC140">IFERROR(INDEX(Table8[],_xlfn.XMATCH($O140,Table8[Dimension Name Category],0),_xlfn.XMATCH(AC$2&amp;IF($L140," w/ tag"," w/o tag"),Table8[#Headers],0)),"")</f>
        <v/>
      </c>
      <c r="AD140" s="59" t="str">
        <f t="shared" si="56"/>
        <v/>
      </c>
      <c r="AE140" s="4" t="str">
        <f t="shared" si="57"/>
        <v/>
      </c>
      <c r="AF140" s="4" t="str">
        <f t="shared" si="58"/>
        <v/>
      </c>
      <c r="AG140" s="4" t="str" cm="1">
        <f t="array" ref="AG140">IFERROR(INDEX(Table8[],_xlfn.XMATCH($O140,Table8[Dimension Name Category],0),_xlfn.XMATCH(AG$2&amp;IF($L140," w/ tag"," w/o tag"),Table8[#Headers],0)),"")</f>
        <v/>
      </c>
      <c r="AH140" s="59" t="str">
        <f t="shared" si="59"/>
        <v/>
      </c>
      <c r="AI140" s="4"/>
      <c r="AJ140" s="4" t="str">
        <f t="shared" si="60"/>
        <v/>
      </c>
      <c r="AK140" s="4" t="str">
        <f t="shared" si="61"/>
        <v/>
      </c>
      <c r="AL140" s="4" t="e" cm="1">
        <f t="array" ref="AL140">IF(INDEX(Table2[],_xlfn.XMATCH($A140,Table2[Steel Member],0),_xlfn.XMATCH(AL$2,Table2[#Headers],0))=0,"",INDEX(Table2[],_xlfn.XMATCH($A140,Table2[Steel Member],0),_xlfn.XMATCH(AL$2,Table2[#Headers],0)))</f>
        <v>#N/A</v>
      </c>
      <c r="AM140" s="4"/>
      <c r="AN140" s="4" t="str">
        <f t="shared" si="62"/>
        <v/>
      </c>
      <c r="AO140" s="4"/>
      <c r="AP140" s="4" t="e" cm="1">
        <f t="array" ref="AP140">IF(INDEX(Table2[],_xlfn.XMATCH($A140,Table2[Steel Member],0),_xlfn.XMATCH(AP$2,Table2[#Headers],0))=0,"",INDEX(Table2[],_xlfn.XMATCH($A140,Table2[Steel Member],0),_xlfn.XMATCH(AP$2,Table2[#Headers],0)))</f>
        <v>#N/A</v>
      </c>
      <c r="AQ140" s="4"/>
      <c r="AR140" s="4"/>
      <c r="AS140" s="4"/>
      <c r="AT140" s="4"/>
    </row>
    <row r="141" spans="1:46" x14ac:dyDescent="0.25">
      <c r="A141" s="52"/>
      <c r="B141" s="52"/>
      <c r="C141" s="52"/>
      <c r="D141" s="52"/>
      <c r="E141" s="52"/>
      <c r="F141" s="64" cm="1">
        <f t="array" ref="F141">IF(COUNT(FIND(PurlinsxGirthsxBracings,$C141))&gt;0,0,ROUNDUP(IF(D141=0,0,VLOOKUP(D141,'DATA SHEET'!$B:$D,2,FALSE)),2))</f>
        <v>0</v>
      </c>
      <c r="G141" s="64" cm="1">
        <f t="array" ref="G141">IF(COUNT(FIND(PurlinsxGirthsxBracings,$C141))&gt;0,0,ROUNDUP(IF(D141=0,0,VLOOKUP(D141,'DATA SHEET'!$B:$D,3,FALSE)),2))</f>
        <v>0</v>
      </c>
      <c r="H141" s="53"/>
      <c r="I141" s="66" cm="1">
        <f t="array" ref="I141">IF(AND(ISBLANK(B141),ISBLANK(C141),ISBLANK(E141)),0,IF(COUNT(FIND(PurlinsxGirthsxBracings,$C141))&gt;0,IF(B141=0,CONCATENATE(E141," ",C141),CONCATENATE(B141," - ",E141," ",C141)),IF(B141=0,IF(ISBLANK(C141),E141,CONCATENATE(D141,", ",F141,"kg/m, ",G141,"mm surface perimeter")),IF(AND(ISBLANK(C141),ISTEXT(E141)),CONCATENATE(B141," - ",E141),IF(AND(ISBLANK(C141),ISBLANK(E141)),B141,CONCATENATE(B141," - ",D141,", ",F141,"kg/m, ",G141,"mm surface perimeter"))))&amp;IF(ISBLANK(H141),"",H141)))</f>
        <v>0</v>
      </c>
      <c r="J141" s="53"/>
      <c r="L141" s="4" t="str" cm="1">
        <f t="array" ref="L141">IF(COUNT(FIND({0,1,2,3,4,5,6,7,8,9},B141))&gt;0,COUNT(FIND({0,1,2,3,4,5,6,7,8,9},B141))&gt;0,"")</f>
        <v/>
      </c>
      <c r="M141" s="4" t="str" cm="1">
        <f t="array" aca="1" ref="M141" ca="1">IFERROR(_xlfn.IFS(R141="Count",RANDBETWEEN(1,COUNTIF($R$11:$R$653,"Count")),R141="Length",RANDBETWEEN(1,COUNTIF($R$11:$R$653,"Length"))),"")</f>
        <v/>
      </c>
      <c r="N141" s="4" t="str">
        <f ca="1">IFERROR(_xlfn.RANK.EQ(M141,$M$11:$M$653)+COUNTIF($M$11:M141,M141)-1,"")</f>
        <v/>
      </c>
      <c r="O141" s="86" t="str">
        <f>IF(A141='DATA SHEET'!$L$36,C141,IFERROR(IF(AND(ISTEXT(I141),ISBLANK(C141)),"No details",VLOOKUP(C141,DimFolder,2,FALSE)),""))</f>
        <v/>
      </c>
      <c r="P141" s="4" t="str">
        <f t="shared" si="64"/>
        <v/>
      </c>
      <c r="Q141" s="58" t="str">
        <f t="shared" si="63"/>
        <v/>
      </c>
      <c r="R141" s="4" t="e" cm="1">
        <f t="array" ref="R141">IF(INDEX(Table2[],_xlfn.XMATCH($A141,Table2[Steel Member],0),_xlfn.XMATCH(R$2,Table2[#Headers],0))=0,"",INDEX(Table2[],_xlfn.XMATCH($A141,Table2[Steel Member],0),_xlfn.XMATCH(R$2,Table2[#Headers],0)))</f>
        <v>#N/A</v>
      </c>
      <c r="S141" s="4" t="e" cm="1">
        <f t="array" ref="S141">IF(INDEX(Table2[],_xlfn.XMATCH($A141,Table2[Steel Member],0),_xlfn.XMATCH(S$2,Table2[#Headers],0))=0,"",INDEX(Table2[],_xlfn.XMATCH($A141,Table2[Steel Member],0),_xlfn.XMATCH(S$2,Table2[#Headers],0)))</f>
        <v>#N/A</v>
      </c>
      <c r="T141" s="4" t="str">
        <f t="shared" si="54"/>
        <v/>
      </c>
      <c r="U141" s="4" t="e">
        <f ca="1">VLOOKUP(N141,'COLOR CODE'!$B:$D,2,FALSE)</f>
        <v>#N/A</v>
      </c>
      <c r="V141" s="4" t="str">
        <f t="shared" si="55"/>
        <v/>
      </c>
      <c r="W141" s="4" t="e" cm="1">
        <f t="array" ref="W141">IF(INDEX(Table2[],_xlfn.XMATCH($A141,Table2[Steel Member],0),_xlfn.XMATCH(W$2,Table2[#Headers],0))=0,"",INDEX(Table2[],_xlfn.XMATCH($A141,Table2[Steel Member],0),_xlfn.XMATCH(W$2,Table2[#Headers],0)))</f>
        <v>#N/A</v>
      </c>
      <c r="X141" s="4" t="e">
        <f t="shared" si="53"/>
        <v>#N/A</v>
      </c>
      <c r="Y141" s="4" t="e" cm="1">
        <f t="array" ref="Y141">IF(INDEX(Table2[],_xlfn.XMATCH($A141,Table2[Steel Member],0),_xlfn.XMATCH(Y$2,Table2[#Headers],0))=0,"",INDEX(Table2[],_xlfn.XMATCH($A141,Table2[Steel Member],0),_xlfn.XMATCH(Y$2,Table2[#Headers],0)))</f>
        <v>#N/A</v>
      </c>
      <c r="Z141" s="4" t="e" cm="1">
        <f t="array" ref="Z141">IF(INDEX(Table2[],_xlfn.XMATCH($A141,Table2[Steel Member],0),_xlfn.XMATCH(Z$2,Table2[#Headers],0))=0,"",INDEX(Table2[],_xlfn.XMATCH($A141,Table2[Steel Member],0),_xlfn.XMATCH(Z$2,Table2[#Headers],0)))</f>
        <v>#N/A</v>
      </c>
      <c r="AA141" s="4" t="e" cm="1">
        <f t="array" ref="AA141">IF(INDEX(Table2[],_xlfn.XMATCH($A141,Table2[Steel Member],0),_xlfn.XMATCH(AA$2,Table2[#Headers],0))=0,"",INDEX(Table2[],_xlfn.XMATCH($A141,Table2[Steel Member],0),_xlfn.XMATCH(AA$2,Table2[#Headers],0)))</f>
        <v>#N/A</v>
      </c>
      <c r="AB141" s="4" t="e" cm="1">
        <f t="array" ref="AB141">IF(INDEX(Table2[],_xlfn.XMATCH($A141,Table2[Steel Member],0),_xlfn.XMATCH(AB$2,Table2[#Headers],0))=0,"",INDEX(Table2[],_xlfn.XMATCH($A141,Table2[Steel Member],0),_xlfn.XMATCH(AB$2,Table2[#Headers],0)))</f>
        <v>#N/A</v>
      </c>
      <c r="AC141" s="4" t="str" cm="1">
        <f t="array" ref="AC141">IFERROR(INDEX(Table8[],_xlfn.XMATCH($O141,Table8[Dimension Name Category],0),_xlfn.XMATCH(AC$2&amp;IF($L141," w/ tag"," w/o tag"),Table8[#Headers],0)),"")</f>
        <v/>
      </c>
      <c r="AD141" s="59" t="str">
        <f t="shared" si="56"/>
        <v/>
      </c>
      <c r="AE141" s="4" t="str">
        <f t="shared" si="57"/>
        <v/>
      </c>
      <c r="AF141" s="4" t="str">
        <f t="shared" si="58"/>
        <v/>
      </c>
      <c r="AG141" s="4" t="str" cm="1">
        <f t="array" ref="AG141">IFERROR(INDEX(Table8[],_xlfn.XMATCH($O141,Table8[Dimension Name Category],0),_xlfn.XMATCH(AG$2&amp;IF($L141," w/ tag"," w/o tag"),Table8[#Headers],0)),"")</f>
        <v/>
      </c>
      <c r="AH141" s="59" t="str">
        <f t="shared" si="59"/>
        <v/>
      </c>
      <c r="AI141" s="4"/>
      <c r="AJ141" s="4" t="str">
        <f t="shared" si="60"/>
        <v/>
      </c>
      <c r="AK141" s="4" t="str">
        <f t="shared" si="61"/>
        <v/>
      </c>
      <c r="AL141" s="4" t="e" cm="1">
        <f t="array" ref="AL141">IF(INDEX(Table2[],_xlfn.XMATCH($A141,Table2[Steel Member],0),_xlfn.XMATCH(AL$2,Table2[#Headers],0))=0,"",INDEX(Table2[],_xlfn.XMATCH($A141,Table2[Steel Member],0),_xlfn.XMATCH(AL$2,Table2[#Headers],0)))</f>
        <v>#N/A</v>
      </c>
      <c r="AM141" s="4"/>
      <c r="AN141" s="4" t="str">
        <f t="shared" si="62"/>
        <v/>
      </c>
      <c r="AO141" s="4"/>
      <c r="AP141" s="4" t="e" cm="1">
        <f t="array" ref="AP141">IF(INDEX(Table2[],_xlfn.XMATCH($A141,Table2[Steel Member],0),_xlfn.XMATCH(AP$2,Table2[#Headers],0))=0,"",INDEX(Table2[],_xlfn.XMATCH($A141,Table2[Steel Member],0),_xlfn.XMATCH(AP$2,Table2[#Headers],0)))</f>
        <v>#N/A</v>
      </c>
      <c r="AQ141" s="4"/>
      <c r="AR141" s="4"/>
      <c r="AS141" s="4"/>
      <c r="AT141" s="4"/>
    </row>
    <row r="142" spans="1:46" x14ac:dyDescent="0.25">
      <c r="A142" s="52"/>
      <c r="B142" s="52"/>
      <c r="C142" s="52"/>
      <c r="D142" s="52"/>
      <c r="E142" s="52"/>
      <c r="F142" s="64" cm="1">
        <f t="array" ref="F142">IF(COUNT(FIND(PurlinsxGirthsxBracings,$C142))&gt;0,0,ROUNDUP(IF(D142=0,0,VLOOKUP(D142,'DATA SHEET'!$B:$D,2,FALSE)),2))</f>
        <v>0</v>
      </c>
      <c r="G142" s="64" cm="1">
        <f t="array" ref="G142">IF(COUNT(FIND(PurlinsxGirthsxBracings,$C142))&gt;0,0,ROUNDUP(IF(D142=0,0,VLOOKUP(D142,'DATA SHEET'!$B:$D,3,FALSE)),2))</f>
        <v>0</v>
      </c>
      <c r="H142" s="53"/>
      <c r="I142" s="66" cm="1">
        <f t="array" ref="I142">IF(AND(ISBLANK(B142),ISBLANK(C142),ISBLANK(E142)),0,IF(COUNT(FIND(PurlinsxGirthsxBracings,$C142))&gt;0,IF(B142=0,CONCATENATE(E142," ",C142),CONCATENATE(B142," - ",E142," ",C142)),IF(B142=0,IF(ISBLANK(C142),E142,CONCATENATE(D142,", ",F142,"kg/m, ",G142,"mm surface perimeter")),IF(AND(ISBLANK(C142),ISTEXT(E142)),CONCATENATE(B142," - ",E142),IF(AND(ISBLANK(C142),ISBLANK(E142)),B142,CONCATENATE(B142," - ",D142,", ",F142,"kg/m, ",G142,"mm surface perimeter"))))&amp;IF(ISBLANK(H142),"",H142)))</f>
        <v>0</v>
      </c>
      <c r="J142" s="53"/>
      <c r="L142" s="4" t="str" cm="1">
        <f t="array" ref="L142">IF(COUNT(FIND({0,1,2,3,4,5,6,7,8,9},B142))&gt;0,COUNT(FIND({0,1,2,3,4,5,6,7,8,9},B142))&gt;0,"")</f>
        <v/>
      </c>
      <c r="M142" s="4" t="str" cm="1">
        <f t="array" aca="1" ref="M142" ca="1">IFERROR(_xlfn.IFS(R142="Count",RANDBETWEEN(1,COUNTIF($R$11:$R$653,"Count")),R142="Length",RANDBETWEEN(1,COUNTIF($R$11:$R$653,"Length"))),"")</f>
        <v/>
      </c>
      <c r="N142" s="4" t="str">
        <f ca="1">IFERROR(_xlfn.RANK.EQ(M142,$M$11:$M$653)+COUNTIF($M$11:M142,M142)-1,"")</f>
        <v/>
      </c>
      <c r="O142" s="86" t="str">
        <f>IF(A142='DATA SHEET'!$L$36,C142,IFERROR(IF(AND(ISTEXT(I142),ISBLANK(C142)),"No details",VLOOKUP(C142,DimFolder,2,FALSE)),""))</f>
        <v/>
      </c>
      <c r="P142" s="4" t="str">
        <f t="shared" si="64"/>
        <v/>
      </c>
      <c r="Q142" s="58" t="str">
        <f t="shared" si="63"/>
        <v/>
      </c>
      <c r="R142" s="4" t="e" cm="1">
        <f t="array" ref="R142">IF(INDEX(Table2[],_xlfn.XMATCH($A142,Table2[Steel Member],0),_xlfn.XMATCH(R$2,Table2[#Headers],0))=0,"",INDEX(Table2[],_xlfn.XMATCH($A142,Table2[Steel Member],0),_xlfn.XMATCH(R$2,Table2[#Headers],0)))</f>
        <v>#N/A</v>
      </c>
      <c r="S142" s="4" t="e" cm="1">
        <f t="array" ref="S142">IF(INDEX(Table2[],_xlfn.XMATCH($A142,Table2[Steel Member],0),_xlfn.XMATCH(S$2,Table2[#Headers],0))=0,"",INDEX(Table2[],_xlfn.XMATCH($A142,Table2[Steel Member],0),_xlfn.XMATCH(S$2,Table2[#Headers],0)))</f>
        <v>#N/A</v>
      </c>
      <c r="T142" s="4" t="str">
        <f t="shared" si="54"/>
        <v/>
      </c>
      <c r="U142" s="4" t="e">
        <f ca="1">VLOOKUP(N142,'COLOR CODE'!$B:$D,2,FALSE)</f>
        <v>#N/A</v>
      </c>
      <c r="V142" s="4" t="str">
        <f t="shared" si="55"/>
        <v/>
      </c>
      <c r="W142" s="4" t="e" cm="1">
        <f t="array" ref="W142">IF(INDEX(Table2[],_xlfn.XMATCH($A142,Table2[Steel Member],0),_xlfn.XMATCH(W$2,Table2[#Headers],0))=0,"",INDEX(Table2[],_xlfn.XMATCH($A142,Table2[Steel Member],0),_xlfn.XMATCH(W$2,Table2[#Headers],0)))</f>
        <v>#N/A</v>
      </c>
      <c r="X142" s="4" t="e">
        <f t="shared" si="53"/>
        <v>#N/A</v>
      </c>
      <c r="Y142" s="4" t="e" cm="1">
        <f t="array" ref="Y142">IF(INDEX(Table2[],_xlfn.XMATCH($A142,Table2[Steel Member],0),_xlfn.XMATCH(Y$2,Table2[#Headers],0))=0,"",INDEX(Table2[],_xlfn.XMATCH($A142,Table2[Steel Member],0),_xlfn.XMATCH(Y$2,Table2[#Headers],0)))</f>
        <v>#N/A</v>
      </c>
      <c r="Z142" s="4" t="e" cm="1">
        <f t="array" ref="Z142">IF(INDEX(Table2[],_xlfn.XMATCH($A142,Table2[Steel Member],0),_xlfn.XMATCH(Z$2,Table2[#Headers],0))=0,"",INDEX(Table2[],_xlfn.XMATCH($A142,Table2[Steel Member],0),_xlfn.XMATCH(Z$2,Table2[#Headers],0)))</f>
        <v>#N/A</v>
      </c>
      <c r="AA142" s="4" t="e" cm="1">
        <f t="array" ref="AA142">IF(INDEX(Table2[],_xlfn.XMATCH($A142,Table2[Steel Member],0),_xlfn.XMATCH(AA$2,Table2[#Headers],0))=0,"",INDEX(Table2[],_xlfn.XMATCH($A142,Table2[Steel Member],0),_xlfn.XMATCH(AA$2,Table2[#Headers],0)))</f>
        <v>#N/A</v>
      </c>
      <c r="AB142" s="4" t="e" cm="1">
        <f t="array" ref="AB142">IF(INDEX(Table2[],_xlfn.XMATCH($A142,Table2[Steel Member],0),_xlfn.XMATCH(AB$2,Table2[#Headers],0))=0,"",INDEX(Table2[],_xlfn.XMATCH($A142,Table2[Steel Member],0),_xlfn.XMATCH(AB$2,Table2[#Headers],0)))</f>
        <v>#N/A</v>
      </c>
      <c r="AC142" s="4" t="str" cm="1">
        <f t="array" ref="AC142">IFERROR(INDEX(Table8[],_xlfn.XMATCH($O142,Table8[Dimension Name Category],0),_xlfn.XMATCH(AC$2&amp;IF($L142," w/ tag"," w/o tag"),Table8[#Headers],0)),"")</f>
        <v/>
      </c>
      <c r="AD142" s="59" t="str">
        <f t="shared" si="56"/>
        <v/>
      </c>
      <c r="AE142" s="4" t="str">
        <f t="shared" si="57"/>
        <v/>
      </c>
      <c r="AF142" s="4" t="str">
        <f t="shared" si="58"/>
        <v/>
      </c>
      <c r="AG142" s="4" t="str" cm="1">
        <f t="array" ref="AG142">IFERROR(INDEX(Table8[],_xlfn.XMATCH($O142,Table8[Dimension Name Category],0),_xlfn.XMATCH(AG$2&amp;IF($L142," w/ tag"," w/o tag"),Table8[#Headers],0)),"")</f>
        <v/>
      </c>
      <c r="AH142" s="59" t="str">
        <f t="shared" si="59"/>
        <v/>
      </c>
      <c r="AI142" s="4"/>
      <c r="AJ142" s="4" t="str">
        <f t="shared" si="60"/>
        <v/>
      </c>
      <c r="AK142" s="4" t="str">
        <f t="shared" si="61"/>
        <v/>
      </c>
      <c r="AL142" s="4" t="e" cm="1">
        <f t="array" ref="AL142">IF(INDEX(Table2[],_xlfn.XMATCH($A142,Table2[Steel Member],0),_xlfn.XMATCH(AL$2,Table2[#Headers],0))=0,"",INDEX(Table2[],_xlfn.XMATCH($A142,Table2[Steel Member],0),_xlfn.XMATCH(AL$2,Table2[#Headers],0)))</f>
        <v>#N/A</v>
      </c>
      <c r="AM142" s="4"/>
      <c r="AN142" s="4" t="str">
        <f t="shared" si="62"/>
        <v/>
      </c>
      <c r="AO142" s="4"/>
      <c r="AP142" s="4" t="e" cm="1">
        <f t="array" ref="AP142">IF(INDEX(Table2[],_xlfn.XMATCH($A142,Table2[Steel Member],0),_xlfn.XMATCH(AP$2,Table2[#Headers],0))=0,"",INDEX(Table2[],_xlfn.XMATCH($A142,Table2[Steel Member],0),_xlfn.XMATCH(AP$2,Table2[#Headers],0)))</f>
        <v>#N/A</v>
      </c>
      <c r="AQ142" s="4"/>
      <c r="AR142" s="4"/>
      <c r="AS142" s="4"/>
      <c r="AT142" s="4"/>
    </row>
    <row r="143" spans="1:46" x14ac:dyDescent="0.25">
      <c r="A143" s="52"/>
      <c r="B143" s="52"/>
      <c r="C143" s="52"/>
      <c r="D143" s="52"/>
      <c r="E143" s="52"/>
      <c r="F143" s="64" cm="1">
        <f t="array" ref="F143">IF(COUNT(FIND(PurlinsxGirthsxBracings,$C143))&gt;0,0,ROUNDUP(IF(D143=0,0,VLOOKUP(D143,'DATA SHEET'!$B:$D,2,FALSE)),2))</f>
        <v>0</v>
      </c>
      <c r="G143" s="64" cm="1">
        <f t="array" ref="G143">IF(COUNT(FIND(PurlinsxGirthsxBracings,$C143))&gt;0,0,ROUNDUP(IF(D143=0,0,VLOOKUP(D143,'DATA SHEET'!$B:$D,3,FALSE)),2))</f>
        <v>0</v>
      </c>
      <c r="H143" s="53"/>
      <c r="I143" s="66" cm="1">
        <f t="array" ref="I143">IF(AND(ISBLANK(B143),ISBLANK(C143),ISBLANK(E143)),0,IF(COUNT(FIND(PurlinsxGirthsxBracings,$C143))&gt;0,IF(B143=0,CONCATENATE(E143," ",C143),CONCATENATE(B143," - ",E143," ",C143)),IF(B143=0,IF(ISBLANK(C143),E143,CONCATENATE(D143,", ",F143,"kg/m, ",G143,"mm surface perimeter")),IF(AND(ISBLANK(C143),ISTEXT(E143)),CONCATENATE(B143," - ",E143),IF(AND(ISBLANK(C143),ISBLANK(E143)),B143,CONCATENATE(B143," - ",D143,", ",F143,"kg/m, ",G143,"mm surface perimeter"))))&amp;IF(ISBLANK(H143),"",H143)))</f>
        <v>0</v>
      </c>
      <c r="J143" s="53"/>
      <c r="L143" s="4" t="str" cm="1">
        <f t="array" ref="L143">IF(COUNT(FIND({0,1,2,3,4,5,6,7,8,9},B143))&gt;0,COUNT(FIND({0,1,2,3,4,5,6,7,8,9},B143))&gt;0,"")</f>
        <v/>
      </c>
      <c r="M143" s="4" t="str" cm="1">
        <f t="array" aca="1" ref="M143" ca="1">IFERROR(_xlfn.IFS(R143="Count",RANDBETWEEN(1,COUNTIF($R$11:$R$653,"Count")),R143="Length",RANDBETWEEN(1,COUNTIF($R$11:$R$653,"Length"))),"")</f>
        <v/>
      </c>
      <c r="N143" s="4" t="str">
        <f ca="1">IFERROR(_xlfn.RANK.EQ(M143,$M$11:$M$653)+COUNTIF($M$11:M143,M143)-1,"")</f>
        <v/>
      </c>
      <c r="O143" s="86" t="str">
        <f>IF(A143='DATA SHEET'!$L$36,C143,IFERROR(IF(AND(ISTEXT(I143),ISBLANK(C143)),"No details",VLOOKUP(C143,DimFolder,2,FALSE)),""))</f>
        <v/>
      </c>
      <c r="P143" s="4" t="str">
        <f t="shared" si="64"/>
        <v/>
      </c>
      <c r="Q143" s="58" t="str">
        <f t="shared" si="63"/>
        <v/>
      </c>
      <c r="R143" s="4" t="e" cm="1">
        <f t="array" ref="R143">IF(INDEX(Table2[],_xlfn.XMATCH($A143,Table2[Steel Member],0),_xlfn.XMATCH(R$2,Table2[#Headers],0))=0,"",INDEX(Table2[],_xlfn.XMATCH($A143,Table2[Steel Member],0),_xlfn.XMATCH(R$2,Table2[#Headers],0)))</f>
        <v>#N/A</v>
      </c>
      <c r="S143" s="4" t="e" cm="1">
        <f t="array" ref="S143">IF(INDEX(Table2[],_xlfn.XMATCH($A143,Table2[Steel Member],0),_xlfn.XMATCH(S$2,Table2[#Headers],0))=0,"",INDEX(Table2[],_xlfn.XMATCH($A143,Table2[Steel Member],0),_xlfn.XMATCH(S$2,Table2[#Headers],0)))</f>
        <v>#N/A</v>
      </c>
      <c r="T143" s="4" t="str">
        <f t="shared" si="54"/>
        <v/>
      </c>
      <c r="U143" s="4" t="e">
        <f ca="1">VLOOKUP(N143,'COLOR CODE'!$B:$D,2,FALSE)</f>
        <v>#N/A</v>
      </c>
      <c r="V143" s="4" t="str">
        <f t="shared" si="55"/>
        <v/>
      </c>
      <c r="W143" s="4" t="e" cm="1">
        <f t="array" ref="W143">IF(INDEX(Table2[],_xlfn.XMATCH($A143,Table2[Steel Member],0),_xlfn.XMATCH(W$2,Table2[#Headers],0))=0,"",INDEX(Table2[],_xlfn.XMATCH($A143,Table2[Steel Member],0),_xlfn.XMATCH(W$2,Table2[#Headers],0)))</f>
        <v>#N/A</v>
      </c>
      <c r="X143" s="4" t="e">
        <f t="shared" ref="X143:X175" si="65">W143</f>
        <v>#N/A</v>
      </c>
      <c r="Y143" s="4" t="e" cm="1">
        <f t="array" ref="Y143">IF(INDEX(Table2[],_xlfn.XMATCH($A143,Table2[Steel Member],0),_xlfn.XMATCH(Y$2,Table2[#Headers],0))=0,"",INDEX(Table2[],_xlfn.XMATCH($A143,Table2[Steel Member],0),_xlfn.XMATCH(Y$2,Table2[#Headers],0)))</f>
        <v>#N/A</v>
      </c>
      <c r="Z143" s="4" t="e" cm="1">
        <f t="array" ref="Z143">IF(INDEX(Table2[],_xlfn.XMATCH($A143,Table2[Steel Member],0),_xlfn.XMATCH(Z$2,Table2[#Headers],0))=0,"",INDEX(Table2[],_xlfn.XMATCH($A143,Table2[Steel Member],0),_xlfn.XMATCH(Z$2,Table2[#Headers],0)))</f>
        <v>#N/A</v>
      </c>
      <c r="AA143" s="4" t="e" cm="1">
        <f t="array" ref="AA143">IF(INDEX(Table2[],_xlfn.XMATCH($A143,Table2[Steel Member],0),_xlfn.XMATCH(AA$2,Table2[#Headers],0))=0,"",INDEX(Table2[],_xlfn.XMATCH($A143,Table2[Steel Member],0),_xlfn.XMATCH(AA$2,Table2[#Headers],0)))</f>
        <v>#N/A</v>
      </c>
      <c r="AB143" s="4" t="e" cm="1">
        <f t="array" ref="AB143">IF(INDEX(Table2[],_xlfn.XMATCH($A143,Table2[Steel Member],0),_xlfn.XMATCH(AB$2,Table2[#Headers],0))=0,"",INDEX(Table2[],_xlfn.XMATCH($A143,Table2[Steel Member],0),_xlfn.XMATCH(AB$2,Table2[#Headers],0)))</f>
        <v>#N/A</v>
      </c>
      <c r="AC143" s="4" t="str" cm="1">
        <f t="array" ref="AC143">IFERROR(INDEX(Table8[],_xlfn.XMATCH($O143,Table8[Dimension Name Category],0),_xlfn.XMATCH(AC$2&amp;IF($L143," w/ tag"," w/o tag"),Table8[#Headers],0)),"")</f>
        <v/>
      </c>
      <c r="AD143" s="59" t="str">
        <f t="shared" si="56"/>
        <v/>
      </c>
      <c r="AE143" s="4" t="str">
        <f t="shared" si="57"/>
        <v/>
      </c>
      <c r="AF143" s="4" t="str">
        <f t="shared" si="58"/>
        <v/>
      </c>
      <c r="AG143" s="4" t="str" cm="1">
        <f t="array" ref="AG143">IFERROR(INDEX(Table8[],_xlfn.XMATCH($O143,Table8[Dimension Name Category],0),_xlfn.XMATCH(AG$2&amp;IF($L143," w/ tag"," w/o tag"),Table8[#Headers],0)),"")</f>
        <v/>
      </c>
      <c r="AH143" s="59" t="str">
        <f t="shared" si="59"/>
        <v/>
      </c>
      <c r="AI143" s="4"/>
      <c r="AJ143" s="4" t="str">
        <f t="shared" si="60"/>
        <v/>
      </c>
      <c r="AK143" s="4" t="str">
        <f t="shared" si="61"/>
        <v/>
      </c>
      <c r="AL143" s="4" t="e" cm="1">
        <f t="array" ref="AL143">IF(INDEX(Table2[],_xlfn.XMATCH($A143,Table2[Steel Member],0),_xlfn.XMATCH(AL$2,Table2[#Headers],0))=0,"",INDEX(Table2[],_xlfn.XMATCH($A143,Table2[Steel Member],0),_xlfn.XMATCH(AL$2,Table2[#Headers],0)))</f>
        <v>#N/A</v>
      </c>
      <c r="AM143" s="4"/>
      <c r="AN143" s="4" t="str">
        <f t="shared" si="62"/>
        <v/>
      </c>
      <c r="AO143" s="4"/>
      <c r="AP143" s="4" t="e" cm="1">
        <f t="array" ref="AP143">IF(INDEX(Table2[],_xlfn.XMATCH($A143,Table2[Steel Member],0),_xlfn.XMATCH(AP$2,Table2[#Headers],0))=0,"",INDEX(Table2[],_xlfn.XMATCH($A143,Table2[Steel Member],0),_xlfn.XMATCH(AP$2,Table2[#Headers],0)))</f>
        <v>#N/A</v>
      </c>
      <c r="AQ143" s="4"/>
      <c r="AR143" s="4"/>
      <c r="AS143" s="4"/>
      <c r="AT143" s="4"/>
    </row>
    <row r="144" spans="1:46" x14ac:dyDescent="0.25">
      <c r="A144" s="52"/>
      <c r="B144" s="52"/>
      <c r="C144" s="52"/>
      <c r="D144" s="52"/>
      <c r="E144" s="52"/>
      <c r="F144" s="64" cm="1">
        <f t="array" ref="F144">IF(COUNT(FIND(PurlinsxGirthsxBracings,$C144))&gt;0,0,ROUNDUP(IF(D144=0,0,VLOOKUP(D144,'DATA SHEET'!$B:$D,2,FALSE)),2))</f>
        <v>0</v>
      </c>
      <c r="G144" s="64" cm="1">
        <f t="array" ref="G144">IF(COUNT(FIND(PurlinsxGirthsxBracings,$C144))&gt;0,0,ROUNDUP(IF(D144=0,0,VLOOKUP(D144,'DATA SHEET'!$B:$D,3,FALSE)),2))</f>
        <v>0</v>
      </c>
      <c r="H144" s="53"/>
      <c r="I144" s="66" cm="1">
        <f t="array" ref="I144">IF(AND(ISBLANK(B144),ISBLANK(C144),ISBLANK(E144)),0,IF(COUNT(FIND(PurlinsxGirthsxBracings,$C144))&gt;0,IF(B144=0,CONCATENATE(E144," ",C144),CONCATENATE(B144," - ",E144," ",C144)),IF(B144=0,IF(ISBLANK(C144),E144,CONCATENATE(D144,", ",F144,"kg/m, ",G144,"mm surface perimeter")),IF(AND(ISBLANK(C144),ISTEXT(E144)),CONCATENATE(B144," - ",E144),IF(AND(ISBLANK(C144),ISBLANK(E144)),B144,CONCATENATE(B144," - ",D144,", ",F144,"kg/m, ",G144,"mm surface perimeter"))))&amp;IF(ISBLANK(H144),"",H144)))</f>
        <v>0</v>
      </c>
      <c r="J144" s="53"/>
      <c r="L144" s="4" t="str" cm="1">
        <f t="array" ref="L144">IF(COUNT(FIND({0,1,2,3,4,5,6,7,8,9},B144))&gt;0,COUNT(FIND({0,1,2,3,4,5,6,7,8,9},B144))&gt;0,"")</f>
        <v/>
      </c>
      <c r="M144" s="4" t="str" cm="1">
        <f t="array" aca="1" ref="M144" ca="1">IFERROR(_xlfn.IFS(R144="Count",RANDBETWEEN(1,COUNTIF($R$11:$R$653,"Count")),R144="Length",RANDBETWEEN(1,COUNTIF($R$11:$R$653,"Length"))),"")</f>
        <v/>
      </c>
      <c r="N144" s="4" t="str">
        <f ca="1">IFERROR(_xlfn.RANK.EQ(M144,$M$11:$M$653)+COUNTIF($M$11:M144,M144)-1,"")</f>
        <v/>
      </c>
      <c r="O144" s="86" t="str">
        <f>IF(A144='DATA SHEET'!$L$36,C144,IFERROR(IF(AND(ISTEXT(I144),ISBLANK(C144)),"No details",VLOOKUP(C144,DimFolder,2,FALSE)),""))</f>
        <v/>
      </c>
      <c r="P144" s="4" t="str">
        <f t="shared" si="64"/>
        <v/>
      </c>
      <c r="Q144" s="58" t="str">
        <f t="shared" si="63"/>
        <v/>
      </c>
      <c r="R144" s="4" t="e" cm="1">
        <f t="array" ref="R144">IF(INDEX(Table2[],_xlfn.XMATCH($A144,Table2[Steel Member],0),_xlfn.XMATCH(R$2,Table2[#Headers],0))=0,"",INDEX(Table2[],_xlfn.XMATCH($A144,Table2[Steel Member],0),_xlfn.XMATCH(R$2,Table2[#Headers],0)))</f>
        <v>#N/A</v>
      </c>
      <c r="S144" s="4" t="e" cm="1">
        <f t="array" ref="S144">IF(INDEX(Table2[],_xlfn.XMATCH($A144,Table2[Steel Member],0),_xlfn.XMATCH(S$2,Table2[#Headers],0))=0,"",INDEX(Table2[],_xlfn.XMATCH($A144,Table2[Steel Member],0),_xlfn.XMATCH(S$2,Table2[#Headers],0)))</f>
        <v>#N/A</v>
      </c>
      <c r="T144" s="4" t="str">
        <f t="shared" si="54"/>
        <v/>
      </c>
      <c r="U144" s="4" t="e">
        <f ca="1">VLOOKUP(N144,'COLOR CODE'!$B:$D,2,FALSE)</f>
        <v>#N/A</v>
      </c>
      <c r="V144" s="4" t="str">
        <f t="shared" si="55"/>
        <v/>
      </c>
      <c r="W144" s="4" t="e" cm="1">
        <f t="array" ref="W144">IF(INDEX(Table2[],_xlfn.XMATCH($A144,Table2[Steel Member],0),_xlfn.XMATCH(W$2,Table2[#Headers],0))=0,"",INDEX(Table2[],_xlfn.XMATCH($A144,Table2[Steel Member],0),_xlfn.XMATCH(W$2,Table2[#Headers],0)))</f>
        <v>#N/A</v>
      </c>
      <c r="X144" s="4" t="e">
        <f t="shared" si="65"/>
        <v>#N/A</v>
      </c>
      <c r="Y144" s="4" t="e" cm="1">
        <f t="array" ref="Y144">IF(INDEX(Table2[],_xlfn.XMATCH($A144,Table2[Steel Member],0),_xlfn.XMATCH(Y$2,Table2[#Headers],0))=0,"",INDEX(Table2[],_xlfn.XMATCH($A144,Table2[Steel Member],0),_xlfn.XMATCH(Y$2,Table2[#Headers],0)))</f>
        <v>#N/A</v>
      </c>
      <c r="Z144" s="4" t="e" cm="1">
        <f t="array" ref="Z144">IF(INDEX(Table2[],_xlfn.XMATCH($A144,Table2[Steel Member],0),_xlfn.XMATCH(Z$2,Table2[#Headers],0))=0,"",INDEX(Table2[],_xlfn.XMATCH($A144,Table2[Steel Member],0),_xlfn.XMATCH(Z$2,Table2[#Headers],0)))</f>
        <v>#N/A</v>
      </c>
      <c r="AA144" s="4" t="e" cm="1">
        <f t="array" ref="AA144">IF(INDEX(Table2[],_xlfn.XMATCH($A144,Table2[Steel Member],0),_xlfn.XMATCH(AA$2,Table2[#Headers],0))=0,"",INDEX(Table2[],_xlfn.XMATCH($A144,Table2[Steel Member],0),_xlfn.XMATCH(AA$2,Table2[#Headers],0)))</f>
        <v>#N/A</v>
      </c>
      <c r="AB144" s="4" t="e" cm="1">
        <f t="array" ref="AB144">IF(INDEX(Table2[],_xlfn.XMATCH($A144,Table2[Steel Member],0),_xlfn.XMATCH(AB$2,Table2[#Headers],0))=0,"",INDEX(Table2[],_xlfn.XMATCH($A144,Table2[Steel Member],0),_xlfn.XMATCH(AB$2,Table2[#Headers],0)))</f>
        <v>#N/A</v>
      </c>
      <c r="AC144" s="4" t="str" cm="1">
        <f t="array" ref="AC144">IFERROR(INDEX(Table8[],_xlfn.XMATCH($O144,Table8[Dimension Name Category],0),_xlfn.XMATCH(AC$2&amp;IF($L144," w/ tag"," w/o tag"),Table8[#Headers],0)),"")</f>
        <v/>
      </c>
      <c r="AD144" s="59" t="str">
        <f t="shared" si="56"/>
        <v/>
      </c>
      <c r="AE144" s="4" t="str">
        <f t="shared" si="57"/>
        <v/>
      </c>
      <c r="AF144" s="4" t="str">
        <f t="shared" si="58"/>
        <v/>
      </c>
      <c r="AG144" s="4" t="str" cm="1">
        <f t="array" ref="AG144">IFERROR(INDEX(Table8[],_xlfn.XMATCH($O144,Table8[Dimension Name Category],0),_xlfn.XMATCH(AG$2&amp;IF($L144," w/ tag"," w/o tag"),Table8[#Headers],0)),"")</f>
        <v/>
      </c>
      <c r="AH144" s="59" t="str">
        <f t="shared" si="59"/>
        <v/>
      </c>
      <c r="AI144" s="4"/>
      <c r="AJ144" s="4" t="str">
        <f t="shared" si="60"/>
        <v/>
      </c>
      <c r="AK144" s="4" t="str">
        <f t="shared" si="61"/>
        <v/>
      </c>
      <c r="AL144" s="4" t="e" cm="1">
        <f t="array" ref="AL144">IF(INDEX(Table2[],_xlfn.XMATCH($A144,Table2[Steel Member],0),_xlfn.XMATCH(AL$2,Table2[#Headers],0))=0,"",INDEX(Table2[],_xlfn.XMATCH($A144,Table2[Steel Member],0),_xlfn.XMATCH(AL$2,Table2[#Headers],0)))</f>
        <v>#N/A</v>
      </c>
      <c r="AM144" s="4"/>
      <c r="AN144" s="4" t="str">
        <f t="shared" si="62"/>
        <v/>
      </c>
      <c r="AO144" s="4"/>
      <c r="AP144" s="4" t="e" cm="1">
        <f t="array" ref="AP144">IF(INDEX(Table2[],_xlfn.XMATCH($A144,Table2[Steel Member],0),_xlfn.XMATCH(AP$2,Table2[#Headers],0))=0,"",INDEX(Table2[],_xlfn.XMATCH($A144,Table2[Steel Member],0),_xlfn.XMATCH(AP$2,Table2[#Headers],0)))</f>
        <v>#N/A</v>
      </c>
      <c r="AQ144" s="4"/>
      <c r="AR144" s="4"/>
      <c r="AS144" s="4"/>
      <c r="AT144" s="4"/>
    </row>
    <row r="145" spans="1:46" x14ac:dyDescent="0.25">
      <c r="A145" s="52"/>
      <c r="B145" s="52"/>
      <c r="C145" s="52"/>
      <c r="D145" s="52"/>
      <c r="E145" s="52"/>
      <c r="F145" s="64" cm="1">
        <f t="array" ref="F145">IF(COUNT(FIND(PurlinsxGirthsxBracings,$C145))&gt;0,0,ROUNDUP(IF(D145=0,0,VLOOKUP(D145,'DATA SHEET'!$B:$D,2,FALSE)),2))</f>
        <v>0</v>
      </c>
      <c r="G145" s="64" cm="1">
        <f t="array" ref="G145">IF(COUNT(FIND(PurlinsxGirthsxBracings,$C145))&gt;0,0,ROUNDUP(IF(D145=0,0,VLOOKUP(D145,'DATA SHEET'!$B:$D,3,FALSE)),2))</f>
        <v>0</v>
      </c>
      <c r="H145" s="53"/>
      <c r="I145" s="66" cm="1">
        <f t="array" ref="I145">IF(AND(ISBLANK(B145),ISBLANK(C145),ISBLANK(E145)),0,IF(COUNT(FIND(PurlinsxGirthsxBracings,$C145))&gt;0,IF(B145=0,CONCATENATE(E145," ",C145),CONCATENATE(B145," - ",E145," ",C145)),IF(B145=0,IF(ISBLANK(C145),E145,CONCATENATE(D145,", ",F145,"kg/m, ",G145,"mm surface perimeter")),IF(AND(ISBLANK(C145),ISTEXT(E145)),CONCATENATE(B145," - ",E145),IF(AND(ISBLANK(C145),ISBLANK(E145)),B145,CONCATENATE(B145," - ",D145,", ",F145,"kg/m, ",G145,"mm surface perimeter"))))&amp;IF(ISBLANK(H145),"",H145)))</f>
        <v>0</v>
      </c>
      <c r="J145" s="53"/>
      <c r="L145" s="4" t="str" cm="1">
        <f t="array" ref="L145">IF(COUNT(FIND({0,1,2,3,4,5,6,7,8,9},B145))&gt;0,COUNT(FIND({0,1,2,3,4,5,6,7,8,9},B145))&gt;0,"")</f>
        <v/>
      </c>
      <c r="M145" s="4" t="str" cm="1">
        <f t="array" aca="1" ref="M145" ca="1">IFERROR(_xlfn.IFS(R145="Count",RANDBETWEEN(1,COUNTIF($R$11:$R$653,"Count")),R145="Length",RANDBETWEEN(1,COUNTIF($R$11:$R$653,"Length"))),"")</f>
        <v/>
      </c>
      <c r="N145" s="4" t="str">
        <f ca="1">IFERROR(_xlfn.RANK.EQ(M145,$M$11:$M$653)+COUNTIF($M$11:M145,M145)-1,"")</f>
        <v/>
      </c>
      <c r="O145" s="86" t="str">
        <f>IF(A145='DATA SHEET'!$L$36,C145,IFERROR(IF(AND(ISTEXT(I145),ISBLANK(C145)),"No details",VLOOKUP(C145,DimFolder,2,FALSE)),""))</f>
        <v/>
      </c>
      <c r="P145" s="4" t="str">
        <f t="shared" si="64"/>
        <v/>
      </c>
      <c r="Q145" s="58" t="str">
        <f t="shared" si="63"/>
        <v/>
      </c>
      <c r="R145" s="4" t="e" cm="1">
        <f t="array" ref="R145">IF(INDEX(Table2[],_xlfn.XMATCH($A145,Table2[Steel Member],0),_xlfn.XMATCH(R$2,Table2[#Headers],0))=0,"",INDEX(Table2[],_xlfn.XMATCH($A145,Table2[Steel Member],0),_xlfn.XMATCH(R$2,Table2[#Headers],0)))</f>
        <v>#N/A</v>
      </c>
      <c r="S145" s="4" t="e" cm="1">
        <f t="array" ref="S145">IF(INDEX(Table2[],_xlfn.XMATCH($A145,Table2[Steel Member],0),_xlfn.XMATCH(S$2,Table2[#Headers],0))=0,"",INDEX(Table2[],_xlfn.XMATCH($A145,Table2[Steel Member],0),_xlfn.XMATCH(S$2,Table2[#Headers],0)))</f>
        <v>#N/A</v>
      </c>
      <c r="T145" s="4" t="str">
        <f t="shared" si="54"/>
        <v/>
      </c>
      <c r="U145" s="4" t="e">
        <f ca="1">VLOOKUP(N145,'COLOR CODE'!$B:$D,2,FALSE)</f>
        <v>#N/A</v>
      </c>
      <c r="V145" s="4" t="str">
        <f t="shared" si="55"/>
        <v/>
      </c>
      <c r="W145" s="4" t="e" cm="1">
        <f t="array" ref="W145">IF(INDEX(Table2[],_xlfn.XMATCH($A145,Table2[Steel Member],0),_xlfn.XMATCH(W$2,Table2[#Headers],0))=0,"",INDEX(Table2[],_xlfn.XMATCH($A145,Table2[Steel Member],0),_xlfn.XMATCH(W$2,Table2[#Headers],0)))</f>
        <v>#N/A</v>
      </c>
      <c r="X145" s="4" t="e">
        <f t="shared" si="65"/>
        <v>#N/A</v>
      </c>
      <c r="Y145" s="4" t="e" cm="1">
        <f t="array" ref="Y145">IF(INDEX(Table2[],_xlfn.XMATCH($A145,Table2[Steel Member],0),_xlfn.XMATCH(Y$2,Table2[#Headers],0))=0,"",INDEX(Table2[],_xlfn.XMATCH($A145,Table2[Steel Member],0),_xlfn.XMATCH(Y$2,Table2[#Headers],0)))</f>
        <v>#N/A</v>
      </c>
      <c r="Z145" s="4" t="e" cm="1">
        <f t="array" ref="Z145">IF(INDEX(Table2[],_xlfn.XMATCH($A145,Table2[Steel Member],0),_xlfn.XMATCH(Z$2,Table2[#Headers],0))=0,"",INDEX(Table2[],_xlfn.XMATCH($A145,Table2[Steel Member],0),_xlfn.XMATCH(Z$2,Table2[#Headers],0)))</f>
        <v>#N/A</v>
      </c>
      <c r="AA145" s="4" t="e" cm="1">
        <f t="array" ref="AA145">IF(INDEX(Table2[],_xlfn.XMATCH($A145,Table2[Steel Member],0),_xlfn.XMATCH(AA$2,Table2[#Headers],0))=0,"",INDEX(Table2[],_xlfn.XMATCH($A145,Table2[Steel Member],0),_xlfn.XMATCH(AA$2,Table2[#Headers],0)))</f>
        <v>#N/A</v>
      </c>
      <c r="AB145" s="4" t="e" cm="1">
        <f t="array" ref="AB145">IF(INDEX(Table2[],_xlfn.XMATCH($A145,Table2[Steel Member],0),_xlfn.XMATCH(AB$2,Table2[#Headers],0))=0,"",INDEX(Table2[],_xlfn.XMATCH($A145,Table2[Steel Member],0),_xlfn.XMATCH(AB$2,Table2[#Headers],0)))</f>
        <v>#N/A</v>
      </c>
      <c r="AC145" s="4" t="str" cm="1">
        <f t="array" ref="AC145">IFERROR(INDEX(Table8[],_xlfn.XMATCH($O145,Table8[Dimension Name Category],0),_xlfn.XMATCH(AC$2&amp;IF($L145," w/ tag"," w/o tag"),Table8[#Headers],0)),"")</f>
        <v/>
      </c>
      <c r="AD145" s="59" t="str">
        <f t="shared" si="56"/>
        <v/>
      </c>
      <c r="AE145" s="4" t="str">
        <f t="shared" si="57"/>
        <v/>
      </c>
      <c r="AF145" s="4" t="str">
        <f t="shared" si="58"/>
        <v/>
      </c>
      <c r="AG145" s="4" t="str" cm="1">
        <f t="array" ref="AG145">IFERROR(INDEX(Table8[],_xlfn.XMATCH($O145,Table8[Dimension Name Category],0),_xlfn.XMATCH(AG$2&amp;IF($L145," w/ tag"," w/o tag"),Table8[#Headers],0)),"")</f>
        <v/>
      </c>
      <c r="AH145" s="59" t="str">
        <f t="shared" si="59"/>
        <v/>
      </c>
      <c r="AI145" s="4"/>
      <c r="AJ145" s="4" t="str">
        <f t="shared" si="60"/>
        <v/>
      </c>
      <c r="AK145" s="4" t="str">
        <f t="shared" si="61"/>
        <v/>
      </c>
      <c r="AL145" s="4" t="e" cm="1">
        <f t="array" ref="AL145">IF(INDEX(Table2[],_xlfn.XMATCH($A145,Table2[Steel Member],0),_xlfn.XMATCH(AL$2,Table2[#Headers],0))=0,"",INDEX(Table2[],_xlfn.XMATCH($A145,Table2[Steel Member],0),_xlfn.XMATCH(AL$2,Table2[#Headers],0)))</f>
        <v>#N/A</v>
      </c>
      <c r="AM145" s="4"/>
      <c r="AN145" s="4" t="str">
        <f t="shared" si="62"/>
        <v/>
      </c>
      <c r="AO145" s="4"/>
      <c r="AP145" s="4" t="e" cm="1">
        <f t="array" ref="AP145">IF(INDEX(Table2[],_xlfn.XMATCH($A145,Table2[Steel Member],0),_xlfn.XMATCH(AP$2,Table2[#Headers],0))=0,"",INDEX(Table2[],_xlfn.XMATCH($A145,Table2[Steel Member],0),_xlfn.XMATCH(AP$2,Table2[#Headers],0)))</f>
        <v>#N/A</v>
      </c>
      <c r="AQ145" s="4"/>
      <c r="AR145" s="4"/>
      <c r="AS145" s="4"/>
      <c r="AT145" s="4"/>
    </row>
    <row r="146" spans="1:46" x14ac:dyDescent="0.25">
      <c r="A146" s="52"/>
      <c r="B146" s="52"/>
      <c r="C146" s="52"/>
      <c r="D146" s="52"/>
      <c r="E146" s="52"/>
      <c r="F146" s="64" cm="1">
        <f t="array" ref="F146">IF(COUNT(FIND(PurlinsxGirthsxBracings,$C146))&gt;0,0,ROUNDUP(IF(D146=0,0,VLOOKUP(D146,'DATA SHEET'!$B:$D,2,FALSE)),2))</f>
        <v>0</v>
      </c>
      <c r="G146" s="64" cm="1">
        <f t="array" ref="G146">IF(COUNT(FIND(PurlinsxGirthsxBracings,$C146))&gt;0,0,ROUNDUP(IF(D146=0,0,VLOOKUP(D146,'DATA SHEET'!$B:$D,3,FALSE)),2))</f>
        <v>0</v>
      </c>
      <c r="H146" s="53"/>
      <c r="I146" s="66" cm="1">
        <f t="array" ref="I146">IF(AND(ISBLANK(B146),ISBLANK(C146),ISBLANK(E146)),0,IF(COUNT(FIND(PurlinsxGirthsxBracings,$C146))&gt;0,IF(B146=0,CONCATENATE(E146," ",C146),CONCATENATE(B146," - ",E146," ",C146)),IF(B146=0,IF(ISBLANK(C146),E146,CONCATENATE(D146,", ",F146,"kg/m, ",G146,"mm surface perimeter")),IF(AND(ISBLANK(C146),ISTEXT(E146)),CONCATENATE(B146," - ",E146),IF(AND(ISBLANK(C146),ISBLANK(E146)),B146,CONCATENATE(B146," - ",D146,", ",F146,"kg/m, ",G146,"mm surface perimeter"))))&amp;IF(ISBLANK(H146),"",H146)))</f>
        <v>0</v>
      </c>
      <c r="J146" s="53"/>
      <c r="L146" s="4" t="str" cm="1">
        <f t="array" ref="L146">IF(COUNT(FIND({0,1,2,3,4,5,6,7,8,9},B146))&gt;0,COUNT(FIND({0,1,2,3,4,5,6,7,8,9},B146))&gt;0,"")</f>
        <v/>
      </c>
      <c r="M146" s="4" t="str" cm="1">
        <f t="array" aca="1" ref="M146" ca="1">IFERROR(_xlfn.IFS(R146="Count",RANDBETWEEN(1,COUNTIF($R$11:$R$653,"Count")),R146="Length",RANDBETWEEN(1,COUNTIF($R$11:$R$653,"Length"))),"")</f>
        <v/>
      </c>
      <c r="N146" s="4" t="str">
        <f ca="1">IFERROR(_xlfn.RANK.EQ(M146,$M$11:$M$653)+COUNTIF($M$11:M146,M146)-1,"")</f>
        <v/>
      </c>
      <c r="O146" s="86" t="str">
        <f>IF(A146='DATA SHEET'!$L$36,C146,IFERROR(IF(AND(ISTEXT(I146),ISBLANK(C146)),"No details",VLOOKUP(C146,DimFolder,2,FALSE)),""))</f>
        <v/>
      </c>
      <c r="P146" s="4" t="str">
        <f t="shared" si="64"/>
        <v/>
      </c>
      <c r="Q146" s="58" t="str">
        <f t="shared" si="63"/>
        <v/>
      </c>
      <c r="R146" s="4" t="e" cm="1">
        <f t="array" ref="R146">IF(INDEX(Table2[],_xlfn.XMATCH($A146,Table2[Steel Member],0),_xlfn.XMATCH(R$2,Table2[#Headers],0))=0,"",INDEX(Table2[],_xlfn.XMATCH($A146,Table2[Steel Member],0),_xlfn.XMATCH(R$2,Table2[#Headers],0)))</f>
        <v>#N/A</v>
      </c>
      <c r="S146" s="4" t="e" cm="1">
        <f t="array" ref="S146">IF(INDEX(Table2[],_xlfn.XMATCH($A146,Table2[Steel Member],0),_xlfn.XMATCH(S$2,Table2[#Headers],0))=0,"",INDEX(Table2[],_xlfn.XMATCH($A146,Table2[Steel Member],0),_xlfn.XMATCH(S$2,Table2[#Headers],0)))</f>
        <v>#N/A</v>
      </c>
      <c r="T146" s="4" t="str">
        <f t="shared" si="54"/>
        <v/>
      </c>
      <c r="U146" s="4" t="e">
        <f ca="1">VLOOKUP(N146,'COLOR CODE'!$B:$D,2,FALSE)</f>
        <v>#N/A</v>
      </c>
      <c r="V146" s="4" t="str">
        <f t="shared" si="55"/>
        <v/>
      </c>
      <c r="W146" s="4" t="e" cm="1">
        <f t="array" ref="W146">IF(INDEX(Table2[],_xlfn.XMATCH($A146,Table2[Steel Member],0),_xlfn.XMATCH(W$2,Table2[#Headers],0))=0,"",INDEX(Table2[],_xlfn.XMATCH($A146,Table2[Steel Member],0),_xlfn.XMATCH(W$2,Table2[#Headers],0)))</f>
        <v>#N/A</v>
      </c>
      <c r="X146" s="4" t="e">
        <f t="shared" si="65"/>
        <v>#N/A</v>
      </c>
      <c r="Y146" s="4" t="e" cm="1">
        <f t="array" ref="Y146">IF(INDEX(Table2[],_xlfn.XMATCH($A146,Table2[Steel Member],0),_xlfn.XMATCH(Y$2,Table2[#Headers],0))=0,"",INDEX(Table2[],_xlfn.XMATCH($A146,Table2[Steel Member],0),_xlfn.XMATCH(Y$2,Table2[#Headers],0)))</f>
        <v>#N/A</v>
      </c>
      <c r="Z146" s="4" t="e" cm="1">
        <f t="array" ref="Z146">IF(INDEX(Table2[],_xlfn.XMATCH($A146,Table2[Steel Member],0),_xlfn.XMATCH(Z$2,Table2[#Headers],0))=0,"",INDEX(Table2[],_xlfn.XMATCH($A146,Table2[Steel Member],0),_xlfn.XMATCH(Z$2,Table2[#Headers],0)))</f>
        <v>#N/A</v>
      </c>
      <c r="AA146" s="4" t="e" cm="1">
        <f t="array" ref="AA146">IF(INDEX(Table2[],_xlfn.XMATCH($A146,Table2[Steel Member],0),_xlfn.XMATCH(AA$2,Table2[#Headers],0))=0,"",INDEX(Table2[],_xlfn.XMATCH($A146,Table2[Steel Member],0),_xlfn.XMATCH(AA$2,Table2[#Headers],0)))</f>
        <v>#N/A</v>
      </c>
      <c r="AB146" s="4" t="e" cm="1">
        <f t="array" ref="AB146">IF(INDEX(Table2[],_xlfn.XMATCH($A146,Table2[Steel Member],0),_xlfn.XMATCH(AB$2,Table2[#Headers],0))=0,"",INDEX(Table2[],_xlfn.XMATCH($A146,Table2[Steel Member],0),_xlfn.XMATCH(AB$2,Table2[#Headers],0)))</f>
        <v>#N/A</v>
      </c>
      <c r="AC146" s="4" t="str" cm="1">
        <f t="array" ref="AC146">IFERROR(INDEX(Table8[],_xlfn.XMATCH($O146,Table8[Dimension Name Category],0),_xlfn.XMATCH(AC$2&amp;IF($L146," w/ tag"," w/o tag"),Table8[#Headers],0)),"")</f>
        <v/>
      </c>
      <c r="AD146" s="59" t="str">
        <f t="shared" si="56"/>
        <v/>
      </c>
      <c r="AE146" s="4" t="str">
        <f t="shared" si="57"/>
        <v/>
      </c>
      <c r="AF146" s="4" t="str">
        <f t="shared" si="58"/>
        <v/>
      </c>
      <c r="AG146" s="4" t="str" cm="1">
        <f t="array" ref="AG146">IFERROR(INDEX(Table8[],_xlfn.XMATCH($O146,Table8[Dimension Name Category],0),_xlfn.XMATCH(AG$2&amp;IF($L146," w/ tag"," w/o tag"),Table8[#Headers],0)),"")</f>
        <v/>
      </c>
      <c r="AH146" s="59" t="str">
        <f t="shared" si="59"/>
        <v/>
      </c>
      <c r="AI146" s="4"/>
      <c r="AJ146" s="4" t="str">
        <f t="shared" si="60"/>
        <v/>
      </c>
      <c r="AK146" s="4" t="str">
        <f t="shared" si="61"/>
        <v/>
      </c>
      <c r="AL146" s="4" t="e" cm="1">
        <f t="array" ref="AL146">IF(INDEX(Table2[],_xlfn.XMATCH($A146,Table2[Steel Member],0),_xlfn.XMATCH(AL$2,Table2[#Headers],0))=0,"",INDEX(Table2[],_xlfn.XMATCH($A146,Table2[Steel Member],0),_xlfn.XMATCH(AL$2,Table2[#Headers],0)))</f>
        <v>#N/A</v>
      </c>
      <c r="AM146" s="4"/>
      <c r="AN146" s="4" t="str">
        <f t="shared" si="62"/>
        <v/>
      </c>
      <c r="AO146" s="4"/>
      <c r="AP146" s="4" t="e" cm="1">
        <f t="array" ref="AP146">IF(INDEX(Table2[],_xlfn.XMATCH($A146,Table2[Steel Member],0),_xlfn.XMATCH(AP$2,Table2[#Headers],0))=0,"",INDEX(Table2[],_xlfn.XMATCH($A146,Table2[Steel Member],0),_xlfn.XMATCH(AP$2,Table2[#Headers],0)))</f>
        <v>#N/A</v>
      </c>
      <c r="AQ146" s="4"/>
      <c r="AR146" s="4"/>
      <c r="AS146" s="4"/>
      <c r="AT146" s="4"/>
    </row>
    <row r="147" spans="1:46" x14ac:dyDescent="0.25">
      <c r="A147" s="52"/>
      <c r="B147" s="52"/>
      <c r="C147" s="52"/>
      <c r="D147" s="52"/>
      <c r="E147" s="52"/>
      <c r="F147" s="64" cm="1">
        <f t="array" ref="F147">IF(COUNT(FIND(PurlinsxGirthsxBracings,$C147))&gt;0,0,ROUNDUP(IF(D147=0,0,VLOOKUP(D147,'DATA SHEET'!$B:$D,2,FALSE)),2))</f>
        <v>0</v>
      </c>
      <c r="G147" s="64" cm="1">
        <f t="array" ref="G147">IF(COUNT(FIND(PurlinsxGirthsxBracings,$C147))&gt;0,0,ROUNDUP(IF(D147=0,0,VLOOKUP(D147,'DATA SHEET'!$B:$D,3,FALSE)),2))</f>
        <v>0</v>
      </c>
      <c r="H147" s="53"/>
      <c r="I147" s="66" cm="1">
        <f t="array" ref="I147">IF(AND(ISBLANK(B147),ISBLANK(C147),ISBLANK(E147)),0,IF(COUNT(FIND(PurlinsxGirthsxBracings,$C147))&gt;0,IF(B147=0,CONCATENATE(E147," ",C147),CONCATENATE(B147," - ",E147," ",C147)),IF(B147=0,IF(ISBLANK(C147),E147,CONCATENATE(D147,", ",F147,"kg/m, ",G147,"mm surface perimeter")),IF(AND(ISBLANK(C147),ISTEXT(E147)),CONCATENATE(B147," - ",E147),IF(AND(ISBLANK(C147),ISBLANK(E147)),B147,CONCATENATE(B147," - ",D147,", ",F147,"kg/m, ",G147,"mm surface perimeter"))))&amp;IF(ISBLANK(H147),"",H147)))</f>
        <v>0</v>
      </c>
      <c r="J147" s="53"/>
      <c r="L147" s="4" t="str" cm="1">
        <f t="array" ref="L147">IF(COUNT(FIND({0,1,2,3,4,5,6,7,8,9},B147))&gt;0,COUNT(FIND({0,1,2,3,4,5,6,7,8,9},B147))&gt;0,"")</f>
        <v/>
      </c>
      <c r="M147" s="4" t="str" cm="1">
        <f t="array" aca="1" ref="M147" ca="1">IFERROR(_xlfn.IFS(R147="Count",RANDBETWEEN(1,COUNTIF($R$11:$R$653,"Count")),R147="Length",RANDBETWEEN(1,COUNTIF($R$11:$R$653,"Length"))),"")</f>
        <v/>
      </c>
      <c r="N147" s="4" t="str">
        <f ca="1">IFERROR(_xlfn.RANK.EQ(M147,$M$11:$M$653)+COUNTIF($M$11:M147,M147)-1,"")</f>
        <v/>
      </c>
      <c r="O147" s="86" t="str">
        <f>IF(A147='DATA SHEET'!$L$36,C147,IFERROR(IF(AND(ISTEXT(I147),ISBLANK(C147)),"No details",VLOOKUP(C147,DimFolder,2,FALSE)),""))</f>
        <v/>
      </c>
      <c r="P147" s="4" t="str">
        <f t="shared" si="64"/>
        <v/>
      </c>
      <c r="Q147" s="58" t="str">
        <f t="shared" si="63"/>
        <v/>
      </c>
      <c r="R147" s="4" t="e" cm="1">
        <f t="array" ref="R147">IF(INDEX(Table2[],_xlfn.XMATCH($A147,Table2[Steel Member],0),_xlfn.XMATCH(R$2,Table2[#Headers],0))=0,"",INDEX(Table2[],_xlfn.XMATCH($A147,Table2[Steel Member],0),_xlfn.XMATCH(R$2,Table2[#Headers],0)))</f>
        <v>#N/A</v>
      </c>
      <c r="S147" s="4" t="e" cm="1">
        <f t="array" ref="S147">IF(INDEX(Table2[],_xlfn.XMATCH($A147,Table2[Steel Member],0),_xlfn.XMATCH(S$2,Table2[#Headers],0))=0,"",INDEX(Table2[],_xlfn.XMATCH($A147,Table2[Steel Member],0),_xlfn.XMATCH(S$2,Table2[#Headers],0)))</f>
        <v>#N/A</v>
      </c>
      <c r="T147" s="4" t="str">
        <f t="shared" si="54"/>
        <v/>
      </c>
      <c r="U147" s="4" t="e">
        <f ca="1">VLOOKUP(N147,'COLOR CODE'!$B:$D,2,FALSE)</f>
        <v>#N/A</v>
      </c>
      <c r="V147" s="4" t="str">
        <f t="shared" si="55"/>
        <v/>
      </c>
      <c r="W147" s="4" t="e" cm="1">
        <f t="array" ref="W147">IF(INDEX(Table2[],_xlfn.XMATCH($A147,Table2[Steel Member],0),_xlfn.XMATCH(W$2,Table2[#Headers],0))=0,"",INDEX(Table2[],_xlfn.XMATCH($A147,Table2[Steel Member],0),_xlfn.XMATCH(W$2,Table2[#Headers],0)))</f>
        <v>#N/A</v>
      </c>
      <c r="X147" s="4" t="e">
        <f t="shared" si="65"/>
        <v>#N/A</v>
      </c>
      <c r="Y147" s="4" t="e" cm="1">
        <f t="array" ref="Y147">IF(INDEX(Table2[],_xlfn.XMATCH($A147,Table2[Steel Member],0),_xlfn.XMATCH(Y$2,Table2[#Headers],0))=0,"",INDEX(Table2[],_xlfn.XMATCH($A147,Table2[Steel Member],0),_xlfn.XMATCH(Y$2,Table2[#Headers],0)))</f>
        <v>#N/A</v>
      </c>
      <c r="Z147" s="4" t="e" cm="1">
        <f t="array" ref="Z147">IF(INDEX(Table2[],_xlfn.XMATCH($A147,Table2[Steel Member],0),_xlfn.XMATCH(Z$2,Table2[#Headers],0))=0,"",INDEX(Table2[],_xlfn.XMATCH($A147,Table2[Steel Member],0),_xlfn.XMATCH(Z$2,Table2[#Headers],0)))</f>
        <v>#N/A</v>
      </c>
      <c r="AA147" s="4" t="e" cm="1">
        <f t="array" ref="AA147">IF(INDEX(Table2[],_xlfn.XMATCH($A147,Table2[Steel Member],0),_xlfn.XMATCH(AA$2,Table2[#Headers],0))=0,"",INDEX(Table2[],_xlfn.XMATCH($A147,Table2[Steel Member],0),_xlfn.XMATCH(AA$2,Table2[#Headers],0)))</f>
        <v>#N/A</v>
      </c>
      <c r="AB147" s="4" t="e" cm="1">
        <f t="array" ref="AB147">IF(INDEX(Table2[],_xlfn.XMATCH($A147,Table2[Steel Member],0),_xlfn.XMATCH(AB$2,Table2[#Headers],0))=0,"",INDEX(Table2[],_xlfn.XMATCH($A147,Table2[Steel Member],0),_xlfn.XMATCH(AB$2,Table2[#Headers],0)))</f>
        <v>#N/A</v>
      </c>
      <c r="AC147" s="4" t="str" cm="1">
        <f t="array" ref="AC147">IFERROR(INDEX(Table8[],_xlfn.XMATCH($O147,Table8[Dimension Name Category],0),_xlfn.XMATCH(AC$2&amp;IF($L147," w/ tag"," w/o tag"),Table8[#Headers],0)),"")</f>
        <v/>
      </c>
      <c r="AD147" s="59" t="str">
        <f t="shared" si="56"/>
        <v/>
      </c>
      <c r="AE147" s="4" t="str">
        <f t="shared" si="57"/>
        <v/>
      </c>
      <c r="AF147" s="4" t="str">
        <f t="shared" si="58"/>
        <v/>
      </c>
      <c r="AG147" s="4" t="str" cm="1">
        <f t="array" ref="AG147">IFERROR(INDEX(Table8[],_xlfn.XMATCH($O147,Table8[Dimension Name Category],0),_xlfn.XMATCH(AG$2&amp;IF($L147," w/ tag"," w/o tag"),Table8[#Headers],0)),"")</f>
        <v/>
      </c>
      <c r="AH147" s="59" t="str">
        <f t="shared" si="59"/>
        <v/>
      </c>
      <c r="AI147" s="4"/>
      <c r="AJ147" s="4" t="str">
        <f t="shared" si="60"/>
        <v/>
      </c>
      <c r="AK147" s="4" t="str">
        <f t="shared" si="61"/>
        <v/>
      </c>
      <c r="AL147" s="4" t="e" cm="1">
        <f t="array" ref="AL147">IF(INDEX(Table2[],_xlfn.XMATCH($A147,Table2[Steel Member],0),_xlfn.XMATCH(AL$2,Table2[#Headers],0))=0,"",INDEX(Table2[],_xlfn.XMATCH($A147,Table2[Steel Member],0),_xlfn.XMATCH(AL$2,Table2[#Headers],0)))</f>
        <v>#N/A</v>
      </c>
      <c r="AM147" s="4"/>
      <c r="AN147" s="4" t="str">
        <f t="shared" si="62"/>
        <v/>
      </c>
      <c r="AO147" s="4"/>
      <c r="AP147" s="4" t="e" cm="1">
        <f t="array" ref="AP147">IF(INDEX(Table2[],_xlfn.XMATCH($A147,Table2[Steel Member],0),_xlfn.XMATCH(AP$2,Table2[#Headers],0))=0,"",INDEX(Table2[],_xlfn.XMATCH($A147,Table2[Steel Member],0),_xlfn.XMATCH(AP$2,Table2[#Headers],0)))</f>
        <v>#N/A</v>
      </c>
      <c r="AQ147" s="4"/>
      <c r="AR147" s="4"/>
      <c r="AS147" s="4"/>
      <c r="AT147" s="4"/>
    </row>
    <row r="148" spans="1:46" x14ac:dyDescent="0.25">
      <c r="A148" s="52"/>
      <c r="B148" s="52"/>
      <c r="C148" s="52"/>
      <c r="D148" s="52"/>
      <c r="E148" s="52"/>
      <c r="F148" s="64" cm="1">
        <f t="array" ref="F148">IF(COUNT(FIND(PurlinsxGirthsxBracings,$C148))&gt;0,0,ROUNDUP(IF(D148=0,0,VLOOKUP(D148,'DATA SHEET'!$B:$D,2,FALSE)),2))</f>
        <v>0</v>
      </c>
      <c r="G148" s="64" cm="1">
        <f t="array" ref="G148">IF(COUNT(FIND(PurlinsxGirthsxBracings,$C148))&gt;0,0,ROUNDUP(IF(D148=0,0,VLOOKUP(D148,'DATA SHEET'!$B:$D,3,FALSE)),2))</f>
        <v>0</v>
      </c>
      <c r="H148" s="53"/>
      <c r="I148" s="66" cm="1">
        <f t="array" ref="I148">IF(AND(ISBLANK(B148),ISBLANK(C148),ISBLANK(E148)),0,IF(COUNT(FIND(PurlinsxGirthsxBracings,$C148))&gt;0,IF(B148=0,CONCATENATE(E148," ",C148),CONCATENATE(B148," - ",E148," ",C148)),IF(B148=0,IF(ISBLANK(C148),E148,CONCATENATE(D148,", ",F148,"kg/m, ",G148,"mm surface perimeter")),IF(AND(ISBLANK(C148),ISTEXT(E148)),CONCATENATE(B148," - ",E148),IF(AND(ISBLANK(C148),ISBLANK(E148)),B148,CONCATENATE(B148," - ",D148,", ",F148,"kg/m, ",G148,"mm surface perimeter"))))&amp;IF(ISBLANK(H148),"",H148)))</f>
        <v>0</v>
      </c>
      <c r="J148" s="53"/>
      <c r="L148" s="4" t="str" cm="1">
        <f t="array" ref="L148">IF(COUNT(FIND({0,1,2,3,4,5,6,7,8,9},B148))&gt;0,COUNT(FIND({0,1,2,3,4,5,6,7,8,9},B148))&gt;0,"")</f>
        <v/>
      </c>
      <c r="M148" s="4" t="str" cm="1">
        <f t="array" aca="1" ref="M148" ca="1">IFERROR(_xlfn.IFS(R148="Count",RANDBETWEEN(1,COUNTIF($R$11:$R$653,"Count")),R148="Length",RANDBETWEEN(1,COUNTIF($R$11:$R$653,"Length"))),"")</f>
        <v/>
      </c>
      <c r="N148" s="4" t="str">
        <f ca="1">IFERROR(_xlfn.RANK.EQ(M148,$M$11:$M$653)+COUNTIF($M$11:M148,M148)-1,"")</f>
        <v/>
      </c>
      <c r="O148" s="86" t="str">
        <f>IF(A148='DATA SHEET'!$L$36,C148,IFERROR(IF(AND(ISTEXT(I148),ISBLANK(C148)),"No details",VLOOKUP(C148,DimFolder,2,FALSE)),""))</f>
        <v/>
      </c>
      <c r="P148" s="4" t="str">
        <f t="shared" si="64"/>
        <v/>
      </c>
      <c r="Q148" s="58" t="str">
        <f t="shared" si="63"/>
        <v/>
      </c>
      <c r="R148" s="4" t="e" cm="1">
        <f t="array" ref="R148">IF(INDEX(Table2[],_xlfn.XMATCH($A148,Table2[Steel Member],0),_xlfn.XMATCH(R$2,Table2[#Headers],0))=0,"",INDEX(Table2[],_xlfn.XMATCH($A148,Table2[Steel Member],0),_xlfn.XMATCH(R$2,Table2[#Headers],0)))</f>
        <v>#N/A</v>
      </c>
      <c r="S148" s="4" t="e" cm="1">
        <f t="array" ref="S148">IF(INDEX(Table2[],_xlfn.XMATCH($A148,Table2[Steel Member],0),_xlfn.XMATCH(S$2,Table2[#Headers],0))=0,"",INDEX(Table2[],_xlfn.XMATCH($A148,Table2[Steel Member],0),_xlfn.XMATCH(S$2,Table2[#Headers],0)))</f>
        <v>#N/A</v>
      </c>
      <c r="T148" s="4" t="str">
        <f t="shared" si="54"/>
        <v/>
      </c>
      <c r="U148" s="4" t="e">
        <f ca="1">VLOOKUP(N148,'COLOR CODE'!$B:$D,2,FALSE)</f>
        <v>#N/A</v>
      </c>
      <c r="V148" s="4" t="str">
        <f t="shared" si="55"/>
        <v/>
      </c>
      <c r="W148" s="4" t="e" cm="1">
        <f t="array" ref="W148">IF(INDEX(Table2[],_xlfn.XMATCH($A148,Table2[Steel Member],0),_xlfn.XMATCH(W$2,Table2[#Headers],0))=0,"",INDEX(Table2[],_xlfn.XMATCH($A148,Table2[Steel Member],0),_xlfn.XMATCH(W$2,Table2[#Headers],0)))</f>
        <v>#N/A</v>
      </c>
      <c r="X148" s="4" t="e">
        <f t="shared" si="65"/>
        <v>#N/A</v>
      </c>
      <c r="Y148" s="4" t="e" cm="1">
        <f t="array" ref="Y148">IF(INDEX(Table2[],_xlfn.XMATCH($A148,Table2[Steel Member],0),_xlfn.XMATCH(Y$2,Table2[#Headers],0))=0,"",INDEX(Table2[],_xlfn.XMATCH($A148,Table2[Steel Member],0),_xlfn.XMATCH(Y$2,Table2[#Headers],0)))</f>
        <v>#N/A</v>
      </c>
      <c r="Z148" s="4" t="e" cm="1">
        <f t="array" ref="Z148">IF(INDEX(Table2[],_xlfn.XMATCH($A148,Table2[Steel Member],0),_xlfn.XMATCH(Z$2,Table2[#Headers],0))=0,"",INDEX(Table2[],_xlfn.XMATCH($A148,Table2[Steel Member],0),_xlfn.XMATCH(Z$2,Table2[#Headers],0)))</f>
        <v>#N/A</v>
      </c>
      <c r="AA148" s="4" t="e" cm="1">
        <f t="array" ref="AA148">IF(INDEX(Table2[],_xlfn.XMATCH($A148,Table2[Steel Member],0),_xlfn.XMATCH(AA$2,Table2[#Headers],0))=0,"",INDEX(Table2[],_xlfn.XMATCH($A148,Table2[Steel Member],0),_xlfn.XMATCH(AA$2,Table2[#Headers],0)))</f>
        <v>#N/A</v>
      </c>
      <c r="AB148" s="4" t="e" cm="1">
        <f t="array" ref="AB148">IF(INDEX(Table2[],_xlfn.XMATCH($A148,Table2[Steel Member],0),_xlfn.XMATCH(AB$2,Table2[#Headers],0))=0,"",INDEX(Table2[],_xlfn.XMATCH($A148,Table2[Steel Member],0),_xlfn.XMATCH(AB$2,Table2[#Headers],0)))</f>
        <v>#N/A</v>
      </c>
      <c r="AC148" s="4" t="str" cm="1">
        <f t="array" ref="AC148">IFERROR(INDEX(Table8[],_xlfn.XMATCH($O148,Table8[Dimension Name Category],0),_xlfn.XMATCH(AC$2&amp;IF($L148," w/ tag"," w/o tag"),Table8[#Headers],0)),"")</f>
        <v/>
      </c>
      <c r="AD148" s="59" t="str">
        <f t="shared" si="56"/>
        <v/>
      </c>
      <c r="AE148" s="4" t="str">
        <f t="shared" si="57"/>
        <v/>
      </c>
      <c r="AF148" s="4" t="str">
        <f t="shared" si="58"/>
        <v/>
      </c>
      <c r="AG148" s="4" t="str" cm="1">
        <f t="array" ref="AG148">IFERROR(INDEX(Table8[],_xlfn.XMATCH($O148,Table8[Dimension Name Category],0),_xlfn.XMATCH(AG$2&amp;IF($L148," w/ tag"," w/o tag"),Table8[#Headers],0)),"")</f>
        <v/>
      </c>
      <c r="AH148" s="59" t="str">
        <f t="shared" si="59"/>
        <v/>
      </c>
      <c r="AI148" s="4"/>
      <c r="AJ148" s="4" t="str">
        <f t="shared" si="60"/>
        <v/>
      </c>
      <c r="AK148" s="4" t="str">
        <f t="shared" si="61"/>
        <v/>
      </c>
      <c r="AL148" s="4" t="e" cm="1">
        <f t="array" ref="AL148">IF(INDEX(Table2[],_xlfn.XMATCH($A148,Table2[Steel Member],0),_xlfn.XMATCH(AL$2,Table2[#Headers],0))=0,"",INDEX(Table2[],_xlfn.XMATCH($A148,Table2[Steel Member],0),_xlfn.XMATCH(AL$2,Table2[#Headers],0)))</f>
        <v>#N/A</v>
      </c>
      <c r="AM148" s="4"/>
      <c r="AN148" s="4" t="str">
        <f t="shared" si="62"/>
        <v/>
      </c>
      <c r="AO148" s="4"/>
      <c r="AP148" s="4" t="e" cm="1">
        <f t="array" ref="AP148">IF(INDEX(Table2[],_xlfn.XMATCH($A148,Table2[Steel Member],0),_xlfn.XMATCH(AP$2,Table2[#Headers],0))=0,"",INDEX(Table2[],_xlfn.XMATCH($A148,Table2[Steel Member],0),_xlfn.XMATCH(AP$2,Table2[#Headers],0)))</f>
        <v>#N/A</v>
      </c>
      <c r="AQ148" s="4"/>
      <c r="AR148" s="4"/>
      <c r="AS148" s="4"/>
      <c r="AT148" s="4"/>
    </row>
    <row r="149" spans="1:46" x14ac:dyDescent="0.25">
      <c r="A149" s="52"/>
      <c r="B149" s="52"/>
      <c r="C149" s="52"/>
      <c r="D149" s="52"/>
      <c r="E149" s="52"/>
      <c r="F149" s="64" cm="1">
        <f t="array" ref="F149">IF(COUNT(FIND(PurlinsxGirthsxBracings,$C149))&gt;0,0,ROUNDUP(IF(D149=0,0,VLOOKUP(D149,'DATA SHEET'!$B:$D,2,FALSE)),2))</f>
        <v>0</v>
      </c>
      <c r="G149" s="64" cm="1">
        <f t="array" ref="G149">IF(COUNT(FIND(PurlinsxGirthsxBracings,$C149))&gt;0,0,ROUNDUP(IF(D149=0,0,VLOOKUP(D149,'DATA SHEET'!$B:$D,3,FALSE)),2))</f>
        <v>0</v>
      </c>
      <c r="H149" s="53"/>
      <c r="I149" s="66" cm="1">
        <f t="array" ref="I149">IF(AND(ISBLANK(B149),ISBLANK(C149),ISBLANK(E149)),0,IF(COUNT(FIND(PurlinsxGirthsxBracings,$C149))&gt;0,IF(B149=0,CONCATENATE(E149," ",C149),CONCATENATE(B149," - ",E149," ",C149)),IF(B149=0,IF(ISBLANK(C149),E149,CONCATENATE(D149,", ",F149,"kg/m, ",G149,"mm surface perimeter")),IF(AND(ISBLANK(C149),ISTEXT(E149)),CONCATENATE(B149," - ",E149),IF(AND(ISBLANK(C149),ISBLANK(E149)),B149,CONCATENATE(B149," - ",D149,", ",F149,"kg/m, ",G149,"mm surface perimeter"))))&amp;IF(ISBLANK(H149),"",H149)))</f>
        <v>0</v>
      </c>
      <c r="J149" s="53"/>
      <c r="L149" s="4" t="str" cm="1">
        <f t="array" ref="L149">IF(COUNT(FIND({0,1,2,3,4,5,6,7,8,9},B149))&gt;0,COUNT(FIND({0,1,2,3,4,5,6,7,8,9},B149))&gt;0,"")</f>
        <v/>
      </c>
      <c r="M149" s="4" t="str" cm="1">
        <f t="array" aca="1" ref="M149" ca="1">IFERROR(_xlfn.IFS(R149="Count",RANDBETWEEN(1,COUNTIF($R$11:$R$653,"Count")),R149="Length",RANDBETWEEN(1,COUNTIF($R$11:$R$653,"Length"))),"")</f>
        <v/>
      </c>
      <c r="N149" s="4" t="str">
        <f ca="1">IFERROR(_xlfn.RANK.EQ(M149,$M$11:$M$653)+COUNTIF($M$11:M149,M149)-1,"")</f>
        <v/>
      </c>
      <c r="O149" s="86" t="str">
        <f>IF(A149='DATA SHEET'!$L$36,C149,IFERROR(IF(AND(ISTEXT(I149),ISBLANK(C149)),"No details",VLOOKUP(C149,DimFolder,2,FALSE)),""))</f>
        <v/>
      </c>
      <c r="P149" s="4" t="str">
        <f t="shared" si="64"/>
        <v/>
      </c>
      <c r="Q149" s="58" t="str">
        <f t="shared" si="63"/>
        <v/>
      </c>
      <c r="R149" s="4" t="e" cm="1">
        <f t="array" ref="R149">IF(INDEX(Table2[],_xlfn.XMATCH($A149,Table2[Steel Member],0),_xlfn.XMATCH(R$2,Table2[#Headers],0))=0,"",INDEX(Table2[],_xlfn.XMATCH($A149,Table2[Steel Member],0),_xlfn.XMATCH(R$2,Table2[#Headers],0)))</f>
        <v>#N/A</v>
      </c>
      <c r="S149" s="4" t="e" cm="1">
        <f t="array" ref="S149">IF(INDEX(Table2[],_xlfn.XMATCH($A149,Table2[Steel Member],0),_xlfn.XMATCH(S$2,Table2[#Headers],0))=0,"",INDEX(Table2[],_xlfn.XMATCH($A149,Table2[Steel Member],0),_xlfn.XMATCH(S$2,Table2[#Headers],0)))</f>
        <v>#N/A</v>
      </c>
      <c r="T149" s="4" t="str">
        <f t="shared" si="54"/>
        <v/>
      </c>
      <c r="U149" s="4" t="e">
        <f ca="1">VLOOKUP(N149,'COLOR CODE'!$B:$D,2,FALSE)</f>
        <v>#N/A</v>
      </c>
      <c r="V149" s="4" t="str">
        <f t="shared" si="55"/>
        <v/>
      </c>
      <c r="W149" s="4" t="e" cm="1">
        <f t="array" ref="W149">IF(INDEX(Table2[],_xlfn.XMATCH($A149,Table2[Steel Member],0),_xlfn.XMATCH(W$2,Table2[#Headers],0))=0,"",INDEX(Table2[],_xlfn.XMATCH($A149,Table2[Steel Member],0),_xlfn.XMATCH(W$2,Table2[#Headers],0)))</f>
        <v>#N/A</v>
      </c>
      <c r="X149" s="4" t="e">
        <f t="shared" si="65"/>
        <v>#N/A</v>
      </c>
      <c r="Y149" s="4" t="e" cm="1">
        <f t="array" ref="Y149">IF(INDEX(Table2[],_xlfn.XMATCH($A149,Table2[Steel Member],0),_xlfn.XMATCH(Y$2,Table2[#Headers],0))=0,"",INDEX(Table2[],_xlfn.XMATCH($A149,Table2[Steel Member],0),_xlfn.XMATCH(Y$2,Table2[#Headers],0)))</f>
        <v>#N/A</v>
      </c>
      <c r="Z149" s="4" t="e" cm="1">
        <f t="array" ref="Z149">IF(INDEX(Table2[],_xlfn.XMATCH($A149,Table2[Steel Member],0),_xlfn.XMATCH(Z$2,Table2[#Headers],0))=0,"",INDEX(Table2[],_xlfn.XMATCH($A149,Table2[Steel Member],0),_xlfn.XMATCH(Z$2,Table2[#Headers],0)))</f>
        <v>#N/A</v>
      </c>
      <c r="AA149" s="4" t="e" cm="1">
        <f t="array" ref="AA149">IF(INDEX(Table2[],_xlfn.XMATCH($A149,Table2[Steel Member],0),_xlfn.XMATCH(AA$2,Table2[#Headers],0))=0,"",INDEX(Table2[],_xlfn.XMATCH($A149,Table2[Steel Member],0),_xlfn.XMATCH(AA$2,Table2[#Headers],0)))</f>
        <v>#N/A</v>
      </c>
      <c r="AB149" s="4" t="e" cm="1">
        <f t="array" ref="AB149">IF(INDEX(Table2[],_xlfn.XMATCH($A149,Table2[Steel Member],0),_xlfn.XMATCH(AB$2,Table2[#Headers],0))=0,"",INDEX(Table2[],_xlfn.XMATCH($A149,Table2[Steel Member],0),_xlfn.XMATCH(AB$2,Table2[#Headers],0)))</f>
        <v>#N/A</v>
      </c>
      <c r="AC149" s="4" t="str" cm="1">
        <f t="array" ref="AC149">IFERROR(INDEX(Table8[],_xlfn.XMATCH($O149,Table8[Dimension Name Category],0),_xlfn.XMATCH(AC$2&amp;IF($L149," w/ tag"," w/o tag"),Table8[#Headers],0)),"")</f>
        <v/>
      </c>
      <c r="AD149" s="59" t="str">
        <f t="shared" si="56"/>
        <v/>
      </c>
      <c r="AE149" s="4" t="str">
        <f t="shared" si="57"/>
        <v/>
      </c>
      <c r="AF149" s="4" t="str">
        <f t="shared" si="58"/>
        <v/>
      </c>
      <c r="AG149" s="4" t="str" cm="1">
        <f t="array" ref="AG149">IFERROR(INDEX(Table8[],_xlfn.XMATCH($O149,Table8[Dimension Name Category],0),_xlfn.XMATCH(AG$2&amp;IF($L149," w/ tag"," w/o tag"),Table8[#Headers],0)),"")</f>
        <v/>
      </c>
      <c r="AH149" s="59" t="str">
        <f t="shared" si="59"/>
        <v/>
      </c>
      <c r="AI149" s="4"/>
      <c r="AJ149" s="4" t="str">
        <f t="shared" si="60"/>
        <v/>
      </c>
      <c r="AK149" s="4" t="str">
        <f t="shared" si="61"/>
        <v/>
      </c>
      <c r="AL149" s="4" t="e" cm="1">
        <f t="array" ref="AL149">IF(INDEX(Table2[],_xlfn.XMATCH($A149,Table2[Steel Member],0),_xlfn.XMATCH(AL$2,Table2[#Headers],0))=0,"",INDEX(Table2[],_xlfn.XMATCH($A149,Table2[Steel Member],0),_xlfn.XMATCH(AL$2,Table2[#Headers],0)))</f>
        <v>#N/A</v>
      </c>
      <c r="AM149" s="4"/>
      <c r="AN149" s="4" t="str">
        <f t="shared" si="62"/>
        <v/>
      </c>
      <c r="AO149" s="4"/>
      <c r="AP149" s="4" t="e" cm="1">
        <f t="array" ref="AP149">IF(INDEX(Table2[],_xlfn.XMATCH($A149,Table2[Steel Member],0),_xlfn.XMATCH(AP$2,Table2[#Headers],0))=0,"",INDEX(Table2[],_xlfn.XMATCH($A149,Table2[Steel Member],0),_xlfn.XMATCH(AP$2,Table2[#Headers],0)))</f>
        <v>#N/A</v>
      </c>
      <c r="AQ149" s="4"/>
      <c r="AR149" s="4"/>
      <c r="AS149" s="4"/>
      <c r="AT149" s="4"/>
    </row>
    <row r="150" spans="1:46" x14ac:dyDescent="0.25">
      <c r="A150" s="52"/>
      <c r="B150" s="52"/>
      <c r="C150" s="52"/>
      <c r="D150" s="52"/>
      <c r="E150" s="52"/>
      <c r="F150" s="64" cm="1">
        <f t="array" ref="F150">IF(COUNT(FIND(PurlinsxGirthsxBracings,$C150))&gt;0,0,ROUNDUP(IF(D150=0,0,VLOOKUP(D150,'DATA SHEET'!$B:$D,2,FALSE)),2))</f>
        <v>0</v>
      </c>
      <c r="G150" s="64" cm="1">
        <f t="array" ref="G150">IF(COUNT(FIND(PurlinsxGirthsxBracings,$C150))&gt;0,0,ROUNDUP(IF(D150=0,0,VLOOKUP(D150,'DATA SHEET'!$B:$D,3,FALSE)),2))</f>
        <v>0</v>
      </c>
      <c r="H150" s="53"/>
      <c r="I150" s="66" cm="1">
        <f t="array" ref="I150">IF(AND(ISBLANK(B150),ISBLANK(C150),ISBLANK(E150)),0,IF(COUNT(FIND(PurlinsxGirthsxBracings,$C150))&gt;0,IF(B150=0,CONCATENATE(E150," ",C150),CONCATENATE(B150," - ",E150," ",C150)),IF(B150=0,IF(ISBLANK(C150),E150,CONCATENATE(D150,", ",F150,"kg/m, ",G150,"mm surface perimeter")),IF(AND(ISBLANK(C150),ISTEXT(E150)),CONCATENATE(B150," - ",E150),IF(AND(ISBLANK(C150),ISBLANK(E150)),B150,CONCATENATE(B150," - ",D150,", ",F150,"kg/m, ",G150,"mm surface perimeter"))))&amp;IF(ISBLANK(H150),"",H150)))</f>
        <v>0</v>
      </c>
      <c r="J150" s="53"/>
      <c r="L150" s="4" t="str" cm="1">
        <f t="array" ref="L150">IF(COUNT(FIND({0,1,2,3,4,5,6,7,8,9},B150))&gt;0,COUNT(FIND({0,1,2,3,4,5,6,7,8,9},B150))&gt;0,"")</f>
        <v/>
      </c>
      <c r="M150" s="4" t="str" cm="1">
        <f t="array" aca="1" ref="M150" ca="1">IFERROR(_xlfn.IFS(R150="Count",RANDBETWEEN(1,COUNTIF($R$11:$R$653,"Count")),R150="Length",RANDBETWEEN(1,COUNTIF($R$11:$R$653,"Length"))),"")</f>
        <v/>
      </c>
      <c r="N150" s="4" t="str">
        <f ca="1">IFERROR(_xlfn.RANK.EQ(M150,$M$11:$M$653)+COUNTIF($M$11:M150,M150)-1,"")</f>
        <v/>
      </c>
      <c r="O150" s="86" t="str">
        <f>IF(A150='DATA SHEET'!$L$36,C150,IFERROR(IF(AND(ISTEXT(I150),ISBLANK(C150)),"No details",VLOOKUP(C150,DimFolder,2,FALSE)),""))</f>
        <v/>
      </c>
      <c r="P150" s="4" t="str">
        <f t="shared" si="64"/>
        <v/>
      </c>
      <c r="Q150" s="58" t="str">
        <f t="shared" si="63"/>
        <v/>
      </c>
      <c r="R150" s="4" t="e" cm="1">
        <f t="array" ref="R150">IF(INDEX(Table2[],_xlfn.XMATCH($A150,Table2[Steel Member],0),_xlfn.XMATCH(R$2,Table2[#Headers],0))=0,"",INDEX(Table2[],_xlfn.XMATCH($A150,Table2[Steel Member],0),_xlfn.XMATCH(R$2,Table2[#Headers],0)))</f>
        <v>#N/A</v>
      </c>
      <c r="S150" s="4" t="e" cm="1">
        <f t="array" ref="S150">IF(INDEX(Table2[],_xlfn.XMATCH($A150,Table2[Steel Member],0),_xlfn.XMATCH(S$2,Table2[#Headers],0))=0,"",INDEX(Table2[],_xlfn.XMATCH($A150,Table2[Steel Member],0),_xlfn.XMATCH(S$2,Table2[#Headers],0)))</f>
        <v>#N/A</v>
      </c>
      <c r="T150" s="4" t="str">
        <f t="shared" si="54"/>
        <v/>
      </c>
      <c r="U150" s="4" t="e">
        <f ca="1">VLOOKUP(N150,'COLOR CODE'!$B:$D,2,FALSE)</f>
        <v>#N/A</v>
      </c>
      <c r="V150" s="4" t="str">
        <f t="shared" si="55"/>
        <v/>
      </c>
      <c r="W150" s="4" t="e" cm="1">
        <f t="array" ref="W150">IF(INDEX(Table2[],_xlfn.XMATCH($A150,Table2[Steel Member],0),_xlfn.XMATCH(W$2,Table2[#Headers],0))=0,"",INDEX(Table2[],_xlfn.XMATCH($A150,Table2[Steel Member],0),_xlfn.XMATCH(W$2,Table2[#Headers],0)))</f>
        <v>#N/A</v>
      </c>
      <c r="X150" s="4" t="e">
        <f t="shared" si="65"/>
        <v>#N/A</v>
      </c>
      <c r="Y150" s="4" t="e" cm="1">
        <f t="array" ref="Y150">IF(INDEX(Table2[],_xlfn.XMATCH($A150,Table2[Steel Member],0),_xlfn.XMATCH(Y$2,Table2[#Headers],0))=0,"",INDEX(Table2[],_xlfn.XMATCH($A150,Table2[Steel Member],0),_xlfn.XMATCH(Y$2,Table2[#Headers],0)))</f>
        <v>#N/A</v>
      </c>
      <c r="Z150" s="4" t="e" cm="1">
        <f t="array" ref="Z150">IF(INDEX(Table2[],_xlfn.XMATCH($A150,Table2[Steel Member],0),_xlfn.XMATCH(Z$2,Table2[#Headers],0))=0,"",INDEX(Table2[],_xlfn.XMATCH($A150,Table2[Steel Member],0),_xlfn.XMATCH(Z$2,Table2[#Headers],0)))</f>
        <v>#N/A</v>
      </c>
      <c r="AA150" s="4" t="e" cm="1">
        <f t="array" ref="AA150">IF(INDEX(Table2[],_xlfn.XMATCH($A150,Table2[Steel Member],0),_xlfn.XMATCH(AA$2,Table2[#Headers],0))=0,"",INDEX(Table2[],_xlfn.XMATCH($A150,Table2[Steel Member],0),_xlfn.XMATCH(AA$2,Table2[#Headers],0)))</f>
        <v>#N/A</v>
      </c>
      <c r="AB150" s="4" t="e" cm="1">
        <f t="array" ref="AB150">IF(INDEX(Table2[],_xlfn.XMATCH($A150,Table2[Steel Member],0),_xlfn.XMATCH(AB$2,Table2[#Headers],0))=0,"",INDEX(Table2[],_xlfn.XMATCH($A150,Table2[Steel Member],0),_xlfn.XMATCH(AB$2,Table2[#Headers],0)))</f>
        <v>#N/A</v>
      </c>
      <c r="AC150" s="4" t="str" cm="1">
        <f t="array" ref="AC150">IFERROR(INDEX(Table8[],_xlfn.XMATCH($O150,Table8[Dimension Name Category],0),_xlfn.XMATCH(AC$2&amp;IF($L150," w/ tag"," w/o tag"),Table8[#Headers],0)),"")</f>
        <v/>
      </c>
      <c r="AD150" s="59" t="str">
        <f t="shared" si="56"/>
        <v/>
      </c>
      <c r="AE150" s="4" t="str">
        <f t="shared" si="57"/>
        <v/>
      </c>
      <c r="AF150" s="4" t="str">
        <f t="shared" si="58"/>
        <v/>
      </c>
      <c r="AG150" s="4" t="str" cm="1">
        <f t="array" ref="AG150">IFERROR(INDEX(Table8[],_xlfn.XMATCH($O150,Table8[Dimension Name Category],0),_xlfn.XMATCH(AG$2&amp;IF($L150," w/ tag"," w/o tag"),Table8[#Headers],0)),"")</f>
        <v/>
      </c>
      <c r="AH150" s="59" t="str">
        <f t="shared" si="59"/>
        <v/>
      </c>
      <c r="AI150" s="4"/>
      <c r="AJ150" s="4" t="str">
        <f t="shared" si="60"/>
        <v/>
      </c>
      <c r="AK150" s="4" t="str">
        <f t="shared" si="61"/>
        <v/>
      </c>
      <c r="AL150" s="4" t="e" cm="1">
        <f t="array" ref="AL150">IF(INDEX(Table2[],_xlfn.XMATCH($A150,Table2[Steel Member],0),_xlfn.XMATCH(AL$2,Table2[#Headers],0))=0,"",INDEX(Table2[],_xlfn.XMATCH($A150,Table2[Steel Member],0),_xlfn.XMATCH(AL$2,Table2[#Headers],0)))</f>
        <v>#N/A</v>
      </c>
      <c r="AM150" s="4"/>
      <c r="AN150" s="4" t="str">
        <f t="shared" si="62"/>
        <v/>
      </c>
      <c r="AO150" s="4"/>
      <c r="AP150" s="4" t="e" cm="1">
        <f t="array" ref="AP150">IF(INDEX(Table2[],_xlfn.XMATCH($A150,Table2[Steel Member],0),_xlfn.XMATCH(AP$2,Table2[#Headers],0))=0,"",INDEX(Table2[],_xlfn.XMATCH($A150,Table2[Steel Member],0),_xlfn.XMATCH(AP$2,Table2[#Headers],0)))</f>
        <v>#N/A</v>
      </c>
      <c r="AQ150" s="4"/>
      <c r="AR150" s="4"/>
      <c r="AS150" s="4"/>
      <c r="AT150" s="4"/>
    </row>
    <row r="151" spans="1:46" x14ac:dyDescent="0.25">
      <c r="A151" s="52"/>
      <c r="B151" s="52"/>
      <c r="C151" s="52"/>
      <c r="D151" s="52"/>
      <c r="E151" s="52"/>
      <c r="F151" s="64" cm="1">
        <f t="array" ref="F151">IF(COUNT(FIND(PurlinsxGirthsxBracings,$C151))&gt;0,0,ROUNDUP(IF(D151=0,0,VLOOKUP(D151,'DATA SHEET'!$B:$D,2,FALSE)),2))</f>
        <v>0</v>
      </c>
      <c r="G151" s="64" cm="1">
        <f t="array" ref="G151">IF(COUNT(FIND(PurlinsxGirthsxBracings,$C151))&gt;0,0,ROUNDUP(IF(D151=0,0,VLOOKUP(D151,'DATA SHEET'!$B:$D,3,FALSE)),2))</f>
        <v>0</v>
      </c>
      <c r="H151" s="53"/>
      <c r="I151" s="66" cm="1">
        <f t="array" ref="I151">IF(AND(ISBLANK(B151),ISBLANK(C151),ISBLANK(E151)),0,IF(COUNT(FIND(PurlinsxGirthsxBracings,$C151))&gt;0,IF(B151=0,CONCATENATE(E151," ",C151),CONCATENATE(B151," - ",E151," ",C151)),IF(B151=0,IF(ISBLANK(C151),E151,CONCATENATE(D151,", ",F151,"kg/m, ",G151,"mm surface perimeter")),IF(AND(ISBLANK(C151),ISTEXT(E151)),CONCATENATE(B151," - ",E151),IF(AND(ISBLANK(C151),ISBLANK(E151)),B151,CONCATENATE(B151," - ",D151,", ",F151,"kg/m, ",G151,"mm surface perimeter"))))&amp;IF(ISBLANK(H151),"",H151)))</f>
        <v>0</v>
      </c>
      <c r="J151" s="53"/>
      <c r="L151" s="4" t="str" cm="1">
        <f t="array" ref="L151">IF(COUNT(FIND({0,1,2,3,4,5,6,7,8,9},B151))&gt;0,COUNT(FIND({0,1,2,3,4,5,6,7,8,9},B151))&gt;0,"")</f>
        <v/>
      </c>
      <c r="M151" s="4" t="str" cm="1">
        <f t="array" aca="1" ref="M151" ca="1">IFERROR(_xlfn.IFS(R151="Count",RANDBETWEEN(1,COUNTIF($R$11:$R$653,"Count")),R151="Length",RANDBETWEEN(1,COUNTIF($R$11:$R$653,"Length"))),"")</f>
        <v/>
      </c>
      <c r="N151" s="4" t="str">
        <f ca="1">IFERROR(_xlfn.RANK.EQ(M151,$M$11:$M$653)+COUNTIF($M$11:M151,M151)-1,"")</f>
        <v/>
      </c>
      <c r="O151" s="86" t="str">
        <f>IF(A151='DATA SHEET'!$L$36,C151,IFERROR(IF(AND(ISTEXT(I151),ISBLANK(C151)),"No details",VLOOKUP(C151,DimFolder,2,FALSE)),""))</f>
        <v/>
      </c>
      <c r="P151" s="4" t="str">
        <f t="shared" si="64"/>
        <v/>
      </c>
      <c r="Q151" s="58" t="str">
        <f t="shared" si="63"/>
        <v/>
      </c>
      <c r="R151" s="4" t="e" cm="1">
        <f t="array" ref="R151">IF(INDEX(Table2[],_xlfn.XMATCH($A151,Table2[Steel Member],0),_xlfn.XMATCH(R$2,Table2[#Headers],0))=0,"",INDEX(Table2[],_xlfn.XMATCH($A151,Table2[Steel Member],0),_xlfn.XMATCH(R$2,Table2[#Headers],0)))</f>
        <v>#N/A</v>
      </c>
      <c r="S151" s="4" t="e" cm="1">
        <f t="array" ref="S151">IF(INDEX(Table2[],_xlfn.XMATCH($A151,Table2[Steel Member],0),_xlfn.XMATCH(S$2,Table2[#Headers],0))=0,"",INDEX(Table2[],_xlfn.XMATCH($A151,Table2[Steel Member],0),_xlfn.XMATCH(S$2,Table2[#Headers],0)))</f>
        <v>#N/A</v>
      </c>
      <c r="T151" s="4" t="str">
        <f t="shared" si="54"/>
        <v/>
      </c>
      <c r="U151" s="4" t="e">
        <f ca="1">VLOOKUP(N151,'COLOR CODE'!$B:$D,2,FALSE)</f>
        <v>#N/A</v>
      </c>
      <c r="V151" s="4" t="str">
        <f t="shared" si="55"/>
        <v/>
      </c>
      <c r="W151" s="4" t="e" cm="1">
        <f t="array" ref="W151">IF(INDEX(Table2[],_xlfn.XMATCH($A151,Table2[Steel Member],0),_xlfn.XMATCH(W$2,Table2[#Headers],0))=0,"",INDEX(Table2[],_xlfn.XMATCH($A151,Table2[Steel Member],0),_xlfn.XMATCH(W$2,Table2[#Headers],0)))</f>
        <v>#N/A</v>
      </c>
      <c r="X151" s="4" t="e">
        <f t="shared" si="65"/>
        <v>#N/A</v>
      </c>
      <c r="Y151" s="4" t="e" cm="1">
        <f t="array" ref="Y151">IF(INDEX(Table2[],_xlfn.XMATCH($A151,Table2[Steel Member],0),_xlfn.XMATCH(Y$2,Table2[#Headers],0))=0,"",INDEX(Table2[],_xlfn.XMATCH($A151,Table2[Steel Member],0),_xlfn.XMATCH(Y$2,Table2[#Headers],0)))</f>
        <v>#N/A</v>
      </c>
      <c r="Z151" s="4" t="e" cm="1">
        <f t="array" ref="Z151">IF(INDEX(Table2[],_xlfn.XMATCH($A151,Table2[Steel Member],0),_xlfn.XMATCH(Z$2,Table2[#Headers],0))=0,"",INDEX(Table2[],_xlfn.XMATCH($A151,Table2[Steel Member],0),_xlfn.XMATCH(Z$2,Table2[#Headers],0)))</f>
        <v>#N/A</v>
      </c>
      <c r="AA151" s="4" t="e" cm="1">
        <f t="array" ref="AA151">IF(INDEX(Table2[],_xlfn.XMATCH($A151,Table2[Steel Member],0),_xlfn.XMATCH(AA$2,Table2[#Headers],0))=0,"",INDEX(Table2[],_xlfn.XMATCH($A151,Table2[Steel Member],0),_xlfn.XMATCH(AA$2,Table2[#Headers],0)))</f>
        <v>#N/A</v>
      </c>
      <c r="AB151" s="4" t="e" cm="1">
        <f t="array" ref="AB151">IF(INDEX(Table2[],_xlfn.XMATCH($A151,Table2[Steel Member],0),_xlfn.XMATCH(AB$2,Table2[#Headers],0))=0,"",INDEX(Table2[],_xlfn.XMATCH($A151,Table2[Steel Member],0),_xlfn.XMATCH(AB$2,Table2[#Headers],0)))</f>
        <v>#N/A</v>
      </c>
      <c r="AC151" s="4" t="str" cm="1">
        <f t="array" ref="AC151">IFERROR(INDEX(Table8[],_xlfn.XMATCH($O151,Table8[Dimension Name Category],0),_xlfn.XMATCH(AC$2&amp;IF($L151," w/ tag"," w/o tag"),Table8[#Headers],0)),"")</f>
        <v/>
      </c>
      <c r="AD151" s="59" t="str">
        <f t="shared" si="56"/>
        <v/>
      </c>
      <c r="AE151" s="4" t="str">
        <f t="shared" si="57"/>
        <v/>
      </c>
      <c r="AF151" s="4" t="str">
        <f t="shared" si="58"/>
        <v/>
      </c>
      <c r="AG151" s="4" t="str" cm="1">
        <f t="array" ref="AG151">IFERROR(INDEX(Table8[],_xlfn.XMATCH($O151,Table8[Dimension Name Category],0),_xlfn.XMATCH(AG$2&amp;IF($L151," w/ tag"," w/o tag"),Table8[#Headers],0)),"")</f>
        <v/>
      </c>
      <c r="AH151" s="59" t="str">
        <f t="shared" si="59"/>
        <v/>
      </c>
      <c r="AI151" s="4"/>
      <c r="AJ151" s="4" t="str">
        <f t="shared" si="60"/>
        <v/>
      </c>
      <c r="AK151" s="4" t="str">
        <f t="shared" si="61"/>
        <v/>
      </c>
      <c r="AL151" s="4" t="e" cm="1">
        <f t="array" ref="AL151">IF(INDEX(Table2[],_xlfn.XMATCH($A151,Table2[Steel Member],0),_xlfn.XMATCH(AL$2,Table2[#Headers],0))=0,"",INDEX(Table2[],_xlfn.XMATCH($A151,Table2[Steel Member],0),_xlfn.XMATCH(AL$2,Table2[#Headers],0)))</f>
        <v>#N/A</v>
      </c>
      <c r="AM151" s="4"/>
      <c r="AN151" s="4" t="str">
        <f t="shared" si="62"/>
        <v/>
      </c>
      <c r="AO151" s="4"/>
      <c r="AP151" s="4" t="e" cm="1">
        <f t="array" ref="AP151">IF(INDEX(Table2[],_xlfn.XMATCH($A151,Table2[Steel Member],0),_xlfn.XMATCH(AP$2,Table2[#Headers],0))=0,"",INDEX(Table2[],_xlfn.XMATCH($A151,Table2[Steel Member],0),_xlfn.XMATCH(AP$2,Table2[#Headers],0)))</f>
        <v>#N/A</v>
      </c>
      <c r="AQ151" s="4"/>
      <c r="AR151" s="4"/>
      <c r="AS151" s="4"/>
      <c r="AT151" s="4"/>
    </row>
    <row r="152" spans="1:46" x14ac:dyDescent="0.25">
      <c r="A152" s="52"/>
      <c r="B152" s="52"/>
      <c r="C152" s="52"/>
      <c r="D152" s="52"/>
      <c r="E152" s="52"/>
      <c r="F152" s="64" cm="1">
        <f t="array" ref="F152">IF(COUNT(FIND(PurlinsxGirthsxBracings,$C152))&gt;0,0,ROUNDUP(IF(D152=0,0,VLOOKUP(D152,'DATA SHEET'!$B:$D,2,FALSE)),2))</f>
        <v>0</v>
      </c>
      <c r="G152" s="64" cm="1">
        <f t="array" ref="G152">IF(COUNT(FIND(PurlinsxGirthsxBracings,$C152))&gt;0,0,ROUNDUP(IF(D152=0,0,VLOOKUP(D152,'DATA SHEET'!$B:$D,3,FALSE)),2))</f>
        <v>0</v>
      </c>
      <c r="H152" s="53"/>
      <c r="I152" s="66" cm="1">
        <f t="array" ref="I152">IF(AND(ISBLANK(B152),ISBLANK(C152),ISBLANK(E152)),0,IF(COUNT(FIND(PurlinsxGirthsxBracings,$C152))&gt;0,IF(B152=0,CONCATENATE(E152," ",C152),CONCATENATE(B152," - ",E152," ",C152)),IF(B152=0,IF(ISBLANK(C152),E152,CONCATENATE(D152,", ",F152,"kg/m, ",G152,"mm surface perimeter")),IF(AND(ISBLANK(C152),ISTEXT(E152)),CONCATENATE(B152," - ",E152),IF(AND(ISBLANK(C152),ISBLANK(E152)),B152,CONCATENATE(B152," - ",D152,", ",F152,"kg/m, ",G152,"mm surface perimeter"))))&amp;IF(ISBLANK(H152),"",H152)))</f>
        <v>0</v>
      </c>
      <c r="J152" s="53"/>
      <c r="L152" s="4" t="str" cm="1">
        <f t="array" ref="L152">IF(COUNT(FIND({0,1,2,3,4,5,6,7,8,9},B152))&gt;0,COUNT(FIND({0,1,2,3,4,5,6,7,8,9},B152))&gt;0,"")</f>
        <v/>
      </c>
      <c r="M152" s="4" t="str" cm="1">
        <f t="array" aca="1" ref="M152" ca="1">IFERROR(_xlfn.IFS(R152="Count",RANDBETWEEN(1,COUNTIF($R$11:$R$653,"Count")),R152="Length",RANDBETWEEN(1,COUNTIF($R$11:$R$653,"Length"))),"")</f>
        <v/>
      </c>
      <c r="N152" s="4" t="str">
        <f ca="1">IFERROR(_xlfn.RANK.EQ(M152,$M$11:$M$653)+COUNTIF($M$11:M152,M152)-1,"")</f>
        <v/>
      </c>
      <c r="O152" s="86" t="str">
        <f>IF(A152='DATA SHEET'!$L$36,C152,IFERROR(IF(AND(ISTEXT(I152),ISBLANK(C152)),"No details",VLOOKUP(C152,DimFolder,2,FALSE)),""))</f>
        <v/>
      </c>
      <c r="P152" s="4" t="str">
        <f t="shared" si="64"/>
        <v/>
      </c>
      <c r="Q152" s="58" t="str">
        <f t="shared" si="63"/>
        <v/>
      </c>
      <c r="R152" s="4" t="e" cm="1">
        <f t="array" ref="R152">IF(INDEX(Table2[],_xlfn.XMATCH($A152,Table2[Steel Member],0),_xlfn.XMATCH(R$2,Table2[#Headers],0))=0,"",INDEX(Table2[],_xlfn.XMATCH($A152,Table2[Steel Member],0),_xlfn.XMATCH(R$2,Table2[#Headers],0)))</f>
        <v>#N/A</v>
      </c>
      <c r="S152" s="4" t="e" cm="1">
        <f t="array" ref="S152">IF(INDEX(Table2[],_xlfn.XMATCH($A152,Table2[Steel Member],0),_xlfn.XMATCH(S$2,Table2[#Headers],0))=0,"",INDEX(Table2[],_xlfn.XMATCH($A152,Table2[Steel Member],0),_xlfn.XMATCH(S$2,Table2[#Headers],0)))</f>
        <v>#N/A</v>
      </c>
      <c r="T152" s="4" t="str">
        <f t="shared" si="54"/>
        <v/>
      </c>
      <c r="U152" s="4" t="e">
        <f ca="1">VLOOKUP(N152,'COLOR CODE'!$B:$D,2,FALSE)</f>
        <v>#N/A</v>
      </c>
      <c r="V152" s="4" t="str">
        <f t="shared" si="55"/>
        <v/>
      </c>
      <c r="W152" s="4" t="e" cm="1">
        <f t="array" ref="W152">IF(INDEX(Table2[],_xlfn.XMATCH($A152,Table2[Steel Member],0),_xlfn.XMATCH(W$2,Table2[#Headers],0))=0,"",INDEX(Table2[],_xlfn.XMATCH($A152,Table2[Steel Member],0),_xlfn.XMATCH(W$2,Table2[#Headers],0)))</f>
        <v>#N/A</v>
      </c>
      <c r="X152" s="4" t="e">
        <f t="shared" si="65"/>
        <v>#N/A</v>
      </c>
      <c r="Y152" s="4" t="e" cm="1">
        <f t="array" ref="Y152">IF(INDEX(Table2[],_xlfn.XMATCH($A152,Table2[Steel Member],0),_xlfn.XMATCH(Y$2,Table2[#Headers],0))=0,"",INDEX(Table2[],_xlfn.XMATCH($A152,Table2[Steel Member],0),_xlfn.XMATCH(Y$2,Table2[#Headers],0)))</f>
        <v>#N/A</v>
      </c>
      <c r="Z152" s="4" t="e" cm="1">
        <f t="array" ref="Z152">IF(INDEX(Table2[],_xlfn.XMATCH($A152,Table2[Steel Member],0),_xlfn.XMATCH(Z$2,Table2[#Headers],0))=0,"",INDEX(Table2[],_xlfn.XMATCH($A152,Table2[Steel Member],0),_xlfn.XMATCH(Z$2,Table2[#Headers],0)))</f>
        <v>#N/A</v>
      </c>
      <c r="AA152" s="4" t="e" cm="1">
        <f t="array" ref="AA152">IF(INDEX(Table2[],_xlfn.XMATCH($A152,Table2[Steel Member],0),_xlfn.XMATCH(AA$2,Table2[#Headers],0))=0,"",INDEX(Table2[],_xlfn.XMATCH($A152,Table2[Steel Member],0),_xlfn.XMATCH(AA$2,Table2[#Headers],0)))</f>
        <v>#N/A</v>
      </c>
      <c r="AB152" s="4" t="e" cm="1">
        <f t="array" ref="AB152">IF(INDEX(Table2[],_xlfn.XMATCH($A152,Table2[Steel Member],0),_xlfn.XMATCH(AB$2,Table2[#Headers],0))=0,"",INDEX(Table2[],_xlfn.XMATCH($A152,Table2[Steel Member],0),_xlfn.XMATCH(AB$2,Table2[#Headers],0)))</f>
        <v>#N/A</v>
      </c>
      <c r="AC152" s="4" t="str" cm="1">
        <f t="array" ref="AC152">IFERROR(INDEX(Table8[],_xlfn.XMATCH($O152,Table8[Dimension Name Category],0),_xlfn.XMATCH(AC$2&amp;IF($L152," w/ tag"," w/o tag"),Table8[#Headers],0)),"")</f>
        <v/>
      </c>
      <c r="AD152" s="59" t="str">
        <f t="shared" si="56"/>
        <v/>
      </c>
      <c r="AE152" s="4" t="str">
        <f t="shared" si="57"/>
        <v/>
      </c>
      <c r="AF152" s="4" t="str">
        <f t="shared" si="58"/>
        <v/>
      </c>
      <c r="AG152" s="4" t="str" cm="1">
        <f t="array" ref="AG152">IFERROR(INDEX(Table8[],_xlfn.XMATCH($O152,Table8[Dimension Name Category],0),_xlfn.XMATCH(AG$2&amp;IF($L152," w/ tag"," w/o tag"),Table8[#Headers],0)),"")</f>
        <v/>
      </c>
      <c r="AH152" s="59" t="str">
        <f t="shared" si="59"/>
        <v/>
      </c>
      <c r="AI152" s="4"/>
      <c r="AJ152" s="4" t="str">
        <f t="shared" si="60"/>
        <v/>
      </c>
      <c r="AK152" s="4" t="str">
        <f t="shared" si="61"/>
        <v/>
      </c>
      <c r="AL152" s="4" t="e" cm="1">
        <f t="array" ref="AL152">IF(INDEX(Table2[],_xlfn.XMATCH($A152,Table2[Steel Member],0),_xlfn.XMATCH(AL$2,Table2[#Headers],0))=0,"",INDEX(Table2[],_xlfn.XMATCH($A152,Table2[Steel Member],0),_xlfn.XMATCH(AL$2,Table2[#Headers],0)))</f>
        <v>#N/A</v>
      </c>
      <c r="AM152" s="4"/>
      <c r="AN152" s="4" t="str">
        <f t="shared" si="62"/>
        <v/>
      </c>
      <c r="AO152" s="4"/>
      <c r="AP152" s="4" t="e" cm="1">
        <f t="array" ref="AP152">IF(INDEX(Table2[],_xlfn.XMATCH($A152,Table2[Steel Member],0),_xlfn.XMATCH(AP$2,Table2[#Headers],0))=0,"",INDEX(Table2[],_xlfn.XMATCH($A152,Table2[Steel Member],0),_xlfn.XMATCH(AP$2,Table2[#Headers],0)))</f>
        <v>#N/A</v>
      </c>
      <c r="AQ152" s="4"/>
      <c r="AR152" s="4"/>
      <c r="AS152" s="4"/>
      <c r="AT152" s="4"/>
    </row>
    <row r="153" spans="1:46" x14ac:dyDescent="0.25">
      <c r="A153" s="52"/>
      <c r="B153" s="53"/>
      <c r="C153" s="52"/>
      <c r="D153" s="52"/>
      <c r="E153" s="52"/>
      <c r="F153" s="64" cm="1">
        <f t="array" ref="F153">IF(COUNT(FIND(PurlinsxGirthsxBracings,$C153))&gt;0,0,ROUNDUP(IF(D153=0,0,VLOOKUP(D153,'DATA SHEET'!$B:$D,2,FALSE)),2))</f>
        <v>0</v>
      </c>
      <c r="G153" s="64" cm="1">
        <f t="array" ref="G153">IF(COUNT(FIND(PurlinsxGirthsxBracings,$C153))&gt;0,0,ROUNDUP(IF(D153=0,0,VLOOKUP(D153,'DATA SHEET'!$B:$D,3,FALSE)),2))</f>
        <v>0</v>
      </c>
      <c r="H153" s="53"/>
      <c r="I153" s="66" cm="1">
        <f t="array" ref="I153">IF(AND(ISBLANK(B153),ISBLANK(C153),ISBLANK(E153)),0,IF(COUNT(FIND(PurlinsxGirthsxBracings,$C153))&gt;0,IF(B153=0,CONCATENATE(E153," ",C153),CONCATENATE(B153," - ",E153," ",C153)),IF(B153=0,IF(ISBLANK(C153),E153,CONCATENATE(D153,", ",F153,"kg/m, ",G153,"mm surface perimeter")),IF(AND(ISBLANK(C153),ISTEXT(E153)),CONCATENATE(B153," - ",E153),IF(AND(ISBLANK(C153),ISBLANK(E153)),B153,CONCATENATE(B153," - ",D153,", ",F153,"kg/m, ",G153,"mm surface perimeter"))))&amp;IF(ISBLANK(H153),"",H153)))</f>
        <v>0</v>
      </c>
      <c r="J153" s="53"/>
      <c r="L153" s="4" t="str" cm="1">
        <f t="array" ref="L153">IF(COUNT(FIND({0,1,2,3,4,5,6,7,8,9},B153))&gt;0,COUNT(FIND({0,1,2,3,4,5,6,7,8,9},B153))&gt;0,"")</f>
        <v/>
      </c>
      <c r="M153" s="4" t="str" cm="1">
        <f t="array" aca="1" ref="M153" ca="1">IFERROR(_xlfn.IFS(R153="Count",RANDBETWEEN(1,COUNTIF($R$11:$R$653,"Count")),R153="Length",RANDBETWEEN(1,COUNTIF($R$11:$R$653,"Length"))),"")</f>
        <v/>
      </c>
      <c r="N153" s="4" t="str">
        <f ca="1">IFERROR(_xlfn.RANK.EQ(M153,$M$11:$M$653)+COUNTIF($M$11:M153,M153)-1,"")</f>
        <v/>
      </c>
      <c r="O153" s="86" t="str">
        <f>IF(A153='DATA SHEET'!$L$36,C153,IFERROR(IF(AND(ISTEXT(I153),ISBLANK(C153)),"No details",VLOOKUP(C153,DimFolder,2,FALSE)),""))</f>
        <v/>
      </c>
      <c r="P153" s="4" t="str">
        <f t="shared" si="64"/>
        <v/>
      </c>
      <c r="Q153" s="58" t="str">
        <f t="shared" si="63"/>
        <v/>
      </c>
      <c r="R153" s="4" t="e" cm="1">
        <f t="array" ref="R153">IF(INDEX(Table2[],_xlfn.XMATCH($A153,Table2[Steel Member],0),_xlfn.XMATCH(R$2,Table2[#Headers],0))=0,"",INDEX(Table2[],_xlfn.XMATCH($A153,Table2[Steel Member],0),_xlfn.XMATCH(R$2,Table2[#Headers],0)))</f>
        <v>#N/A</v>
      </c>
      <c r="S153" s="4" t="e" cm="1">
        <f t="array" ref="S153">IF(INDEX(Table2[],_xlfn.XMATCH($A153,Table2[Steel Member],0),_xlfn.XMATCH(S$2,Table2[#Headers],0))=0,"",INDEX(Table2[],_xlfn.XMATCH($A153,Table2[Steel Member],0),_xlfn.XMATCH(S$2,Table2[#Headers],0)))</f>
        <v>#N/A</v>
      </c>
      <c r="T153" s="4" t="str">
        <f t="shared" si="54"/>
        <v/>
      </c>
      <c r="U153" s="4" t="e">
        <f ca="1">VLOOKUP(N153,'COLOR CODE'!$B:$D,2,FALSE)</f>
        <v>#N/A</v>
      </c>
      <c r="V153" s="4" t="str">
        <f t="shared" si="55"/>
        <v/>
      </c>
      <c r="W153" s="4" t="e" cm="1">
        <f t="array" ref="W153">IF(INDEX(Table2[],_xlfn.XMATCH($A153,Table2[Steel Member],0),_xlfn.XMATCH(W$2,Table2[#Headers],0))=0,"",INDEX(Table2[],_xlfn.XMATCH($A153,Table2[Steel Member],0),_xlfn.XMATCH(W$2,Table2[#Headers],0)))</f>
        <v>#N/A</v>
      </c>
      <c r="X153" s="4" t="e">
        <f t="shared" si="65"/>
        <v>#N/A</v>
      </c>
      <c r="Y153" s="4" t="e" cm="1">
        <f t="array" ref="Y153">IF(INDEX(Table2[],_xlfn.XMATCH($A153,Table2[Steel Member],0),_xlfn.XMATCH(Y$2,Table2[#Headers],0))=0,"",INDEX(Table2[],_xlfn.XMATCH($A153,Table2[Steel Member],0),_xlfn.XMATCH(Y$2,Table2[#Headers],0)))</f>
        <v>#N/A</v>
      </c>
      <c r="Z153" s="4" t="e" cm="1">
        <f t="array" ref="Z153">IF(INDEX(Table2[],_xlfn.XMATCH($A153,Table2[Steel Member],0),_xlfn.XMATCH(Z$2,Table2[#Headers],0))=0,"",INDEX(Table2[],_xlfn.XMATCH($A153,Table2[Steel Member],0),_xlfn.XMATCH(Z$2,Table2[#Headers],0)))</f>
        <v>#N/A</v>
      </c>
      <c r="AA153" s="4" t="e" cm="1">
        <f t="array" ref="AA153">IF(INDEX(Table2[],_xlfn.XMATCH($A153,Table2[Steel Member],0),_xlfn.XMATCH(AA$2,Table2[#Headers],0))=0,"",INDEX(Table2[],_xlfn.XMATCH($A153,Table2[Steel Member],0),_xlfn.XMATCH(AA$2,Table2[#Headers],0)))</f>
        <v>#N/A</v>
      </c>
      <c r="AB153" s="4" t="e" cm="1">
        <f t="array" ref="AB153">IF(INDEX(Table2[],_xlfn.XMATCH($A153,Table2[Steel Member],0),_xlfn.XMATCH(AB$2,Table2[#Headers],0))=0,"",INDEX(Table2[],_xlfn.XMATCH($A153,Table2[Steel Member],0),_xlfn.XMATCH(AB$2,Table2[#Headers],0)))</f>
        <v>#N/A</v>
      </c>
      <c r="AC153" s="4" t="str" cm="1">
        <f t="array" ref="AC153">IFERROR(INDEX(Table8[],_xlfn.XMATCH($O153,Table8[Dimension Name Category],0),_xlfn.XMATCH(AC$2&amp;IF($L153," w/ tag"," w/o tag"),Table8[#Headers],0)),"")</f>
        <v/>
      </c>
      <c r="AD153" s="59" t="str">
        <f t="shared" si="56"/>
        <v/>
      </c>
      <c r="AE153" s="4" t="str">
        <f t="shared" si="57"/>
        <v/>
      </c>
      <c r="AF153" s="4" t="str">
        <f t="shared" si="58"/>
        <v/>
      </c>
      <c r="AG153" s="4" t="str" cm="1">
        <f t="array" ref="AG153">IFERROR(INDEX(Table8[],_xlfn.XMATCH($O153,Table8[Dimension Name Category],0),_xlfn.XMATCH(AG$2&amp;IF($L153," w/ tag"," w/o tag"),Table8[#Headers],0)),"")</f>
        <v/>
      </c>
      <c r="AH153" s="59" t="str">
        <f t="shared" si="59"/>
        <v/>
      </c>
      <c r="AI153" s="4"/>
      <c r="AJ153" s="4" t="str">
        <f t="shared" si="60"/>
        <v/>
      </c>
      <c r="AK153" s="4" t="str">
        <f t="shared" si="61"/>
        <v/>
      </c>
      <c r="AL153" s="4" t="e" cm="1">
        <f t="array" ref="AL153">IF(INDEX(Table2[],_xlfn.XMATCH($A153,Table2[Steel Member],0),_xlfn.XMATCH(AL$2,Table2[#Headers],0))=0,"",INDEX(Table2[],_xlfn.XMATCH($A153,Table2[Steel Member],0),_xlfn.XMATCH(AL$2,Table2[#Headers],0)))</f>
        <v>#N/A</v>
      </c>
      <c r="AM153" s="4"/>
      <c r="AN153" s="4" t="str">
        <f t="shared" si="62"/>
        <v/>
      </c>
      <c r="AO153" s="4"/>
      <c r="AP153" s="4" t="e" cm="1">
        <f t="array" ref="AP153">IF(INDEX(Table2[],_xlfn.XMATCH($A153,Table2[Steel Member],0),_xlfn.XMATCH(AP$2,Table2[#Headers],0))=0,"",INDEX(Table2[],_xlfn.XMATCH($A153,Table2[Steel Member],0),_xlfn.XMATCH(AP$2,Table2[#Headers],0)))</f>
        <v>#N/A</v>
      </c>
      <c r="AQ153" s="4"/>
      <c r="AR153" s="4"/>
      <c r="AS153" s="4"/>
      <c r="AT153" s="4"/>
    </row>
    <row r="154" spans="1:46" x14ac:dyDescent="0.25">
      <c r="A154" s="52"/>
      <c r="B154" s="52"/>
      <c r="C154" s="52"/>
      <c r="D154" s="52"/>
      <c r="E154" s="52"/>
      <c r="F154" s="64" cm="1">
        <f t="array" ref="F154">IF(COUNT(FIND(PurlinsxGirthsxBracings,$C154))&gt;0,0,ROUNDUP(IF(D154=0,0,VLOOKUP(D154,'DATA SHEET'!$B:$D,2,FALSE)),2))</f>
        <v>0</v>
      </c>
      <c r="G154" s="64" cm="1">
        <f t="array" ref="G154">IF(COUNT(FIND(PurlinsxGirthsxBracings,$C154))&gt;0,0,ROUNDUP(IF(D154=0,0,VLOOKUP(D154,'DATA SHEET'!$B:$D,3,FALSE)),2))</f>
        <v>0</v>
      </c>
      <c r="H154" s="53"/>
      <c r="I154" s="66" cm="1">
        <f t="array" ref="I154">IF(AND(ISBLANK(B154),ISBLANK(C154),ISBLANK(E154)),0,IF(COUNT(FIND(PurlinsxGirthsxBracings,$C154))&gt;0,IF(B154=0,CONCATENATE(E154," ",C154),CONCATENATE(B154," - ",E154," ",C154)),IF(B154=0,IF(ISBLANK(C154),E154,CONCATENATE(D154,", ",F154,"kg/m, ",G154,"mm surface perimeter")),IF(AND(ISBLANK(C154),ISTEXT(E154)),CONCATENATE(B154," - ",E154),IF(AND(ISBLANK(C154),ISBLANK(E154)),B154,CONCATENATE(B154," - ",D154,", ",F154,"kg/m, ",G154,"mm surface perimeter"))))&amp;IF(ISBLANK(H154),"",H154)))</f>
        <v>0</v>
      </c>
      <c r="J154" s="53"/>
      <c r="L154" s="4" t="str" cm="1">
        <f t="array" ref="L154">IF(COUNT(FIND({0,1,2,3,4,5,6,7,8,9},B154))&gt;0,COUNT(FIND({0,1,2,3,4,5,6,7,8,9},B154))&gt;0,"")</f>
        <v/>
      </c>
      <c r="M154" s="4" t="str" cm="1">
        <f t="array" aca="1" ref="M154" ca="1">IFERROR(_xlfn.IFS(R154="Count",RANDBETWEEN(1,COUNTIF($R$11:$R$653,"Count")),R154="Length",RANDBETWEEN(1,COUNTIF($R$11:$R$653,"Length"))),"")</f>
        <v/>
      </c>
      <c r="N154" s="4" t="str">
        <f ca="1">IFERROR(_xlfn.RANK.EQ(M154,$M$11:$M$653)+COUNTIF($M$11:M154,M154)-1,"")</f>
        <v/>
      </c>
      <c r="O154" s="86" t="str">
        <f>IF(A154='DATA SHEET'!$L$36,C154,IFERROR(IF(AND(ISTEXT(I154),ISBLANK(C154)),"No details",VLOOKUP(C154,DimFolder,2,FALSE)),""))</f>
        <v/>
      </c>
      <c r="P154" s="4" t="str">
        <f t="shared" si="64"/>
        <v/>
      </c>
      <c r="Q154" s="58" t="str">
        <f t="shared" si="63"/>
        <v/>
      </c>
      <c r="R154" s="4" t="e" cm="1">
        <f t="array" ref="R154">IF(INDEX(Table2[],_xlfn.XMATCH($A154,Table2[Steel Member],0),_xlfn.XMATCH(R$2,Table2[#Headers],0))=0,"",INDEX(Table2[],_xlfn.XMATCH($A154,Table2[Steel Member],0),_xlfn.XMATCH(R$2,Table2[#Headers],0)))</f>
        <v>#N/A</v>
      </c>
      <c r="S154" s="4" t="e" cm="1">
        <f t="array" ref="S154">IF(INDEX(Table2[],_xlfn.XMATCH($A154,Table2[Steel Member],0),_xlfn.XMATCH(S$2,Table2[#Headers],0))=0,"",INDEX(Table2[],_xlfn.XMATCH($A154,Table2[Steel Member],0),_xlfn.XMATCH(S$2,Table2[#Headers],0)))</f>
        <v>#N/A</v>
      </c>
      <c r="T154" s="4" t="str">
        <f t="shared" si="54"/>
        <v/>
      </c>
      <c r="U154" s="4" t="e">
        <f ca="1">VLOOKUP(N154,'COLOR CODE'!$B:$D,2,FALSE)</f>
        <v>#N/A</v>
      </c>
      <c r="V154" s="4" t="str">
        <f t="shared" si="55"/>
        <v/>
      </c>
      <c r="W154" s="4" t="e" cm="1">
        <f t="array" ref="W154">IF(INDEX(Table2[],_xlfn.XMATCH($A154,Table2[Steel Member],0),_xlfn.XMATCH(W$2,Table2[#Headers],0))=0,"",INDEX(Table2[],_xlfn.XMATCH($A154,Table2[Steel Member],0),_xlfn.XMATCH(W$2,Table2[#Headers],0)))</f>
        <v>#N/A</v>
      </c>
      <c r="X154" s="4" t="e">
        <f t="shared" si="65"/>
        <v>#N/A</v>
      </c>
      <c r="Y154" s="4" t="e" cm="1">
        <f t="array" ref="Y154">IF(INDEX(Table2[],_xlfn.XMATCH($A154,Table2[Steel Member],0),_xlfn.XMATCH(Y$2,Table2[#Headers],0))=0,"",INDEX(Table2[],_xlfn.XMATCH($A154,Table2[Steel Member],0),_xlfn.XMATCH(Y$2,Table2[#Headers],0)))</f>
        <v>#N/A</v>
      </c>
      <c r="Z154" s="4" t="e" cm="1">
        <f t="array" ref="Z154">IF(INDEX(Table2[],_xlfn.XMATCH($A154,Table2[Steel Member],0),_xlfn.XMATCH(Z$2,Table2[#Headers],0))=0,"",INDEX(Table2[],_xlfn.XMATCH($A154,Table2[Steel Member],0),_xlfn.XMATCH(Z$2,Table2[#Headers],0)))</f>
        <v>#N/A</v>
      </c>
      <c r="AA154" s="4" t="e" cm="1">
        <f t="array" ref="AA154">IF(INDEX(Table2[],_xlfn.XMATCH($A154,Table2[Steel Member],0),_xlfn.XMATCH(AA$2,Table2[#Headers],0))=0,"",INDEX(Table2[],_xlfn.XMATCH($A154,Table2[Steel Member],0),_xlfn.XMATCH(AA$2,Table2[#Headers],0)))</f>
        <v>#N/A</v>
      </c>
      <c r="AB154" s="4" t="e" cm="1">
        <f t="array" ref="AB154">IF(INDEX(Table2[],_xlfn.XMATCH($A154,Table2[Steel Member],0),_xlfn.XMATCH(AB$2,Table2[#Headers],0))=0,"",INDEX(Table2[],_xlfn.XMATCH($A154,Table2[Steel Member],0),_xlfn.XMATCH(AB$2,Table2[#Headers],0)))</f>
        <v>#N/A</v>
      </c>
      <c r="AC154" s="4" t="str" cm="1">
        <f t="array" ref="AC154">IFERROR(INDEX(Table8[],_xlfn.XMATCH($O154,Table8[Dimension Name Category],0),_xlfn.XMATCH(AC$2&amp;IF($L154," w/ tag"," w/o tag"),Table8[#Headers],0)),"")</f>
        <v/>
      </c>
      <c r="AD154" s="59" t="str">
        <f t="shared" si="56"/>
        <v/>
      </c>
      <c r="AE154" s="4" t="str">
        <f t="shared" si="57"/>
        <v/>
      </c>
      <c r="AF154" s="4" t="str">
        <f t="shared" si="58"/>
        <v/>
      </c>
      <c r="AG154" s="4" t="str" cm="1">
        <f t="array" ref="AG154">IFERROR(INDEX(Table8[],_xlfn.XMATCH($O154,Table8[Dimension Name Category],0),_xlfn.XMATCH(AG$2&amp;IF($L154," w/ tag"," w/o tag"),Table8[#Headers],0)),"")</f>
        <v/>
      </c>
      <c r="AH154" s="59" t="str">
        <f t="shared" si="59"/>
        <v/>
      </c>
      <c r="AI154" s="4"/>
      <c r="AJ154" s="4" t="str">
        <f t="shared" si="60"/>
        <v/>
      </c>
      <c r="AK154" s="4" t="str">
        <f t="shared" si="61"/>
        <v/>
      </c>
      <c r="AL154" s="4" t="e" cm="1">
        <f t="array" ref="AL154">IF(INDEX(Table2[],_xlfn.XMATCH($A154,Table2[Steel Member],0),_xlfn.XMATCH(AL$2,Table2[#Headers],0))=0,"",INDEX(Table2[],_xlfn.XMATCH($A154,Table2[Steel Member],0),_xlfn.XMATCH(AL$2,Table2[#Headers],0)))</f>
        <v>#N/A</v>
      </c>
      <c r="AM154" s="4"/>
      <c r="AN154" s="4" t="str">
        <f t="shared" si="62"/>
        <v/>
      </c>
      <c r="AO154" s="4"/>
      <c r="AP154" s="4" t="e" cm="1">
        <f t="array" ref="AP154">IF(INDEX(Table2[],_xlfn.XMATCH($A154,Table2[Steel Member],0),_xlfn.XMATCH(AP$2,Table2[#Headers],0))=0,"",INDEX(Table2[],_xlfn.XMATCH($A154,Table2[Steel Member],0),_xlfn.XMATCH(AP$2,Table2[#Headers],0)))</f>
        <v>#N/A</v>
      </c>
      <c r="AQ154" s="4"/>
      <c r="AR154" s="4"/>
      <c r="AS154" s="4"/>
      <c r="AT154" s="4"/>
    </row>
    <row r="155" spans="1:46" x14ac:dyDescent="0.25">
      <c r="A155" s="52"/>
      <c r="B155" s="52"/>
      <c r="C155" s="52"/>
      <c r="D155" s="52"/>
      <c r="E155" s="52"/>
      <c r="F155" s="64" cm="1">
        <f t="array" ref="F155">IF(COUNT(FIND(PurlinsxGirthsxBracings,$C155))&gt;0,0,ROUNDUP(IF(D155=0,0,VLOOKUP(D155,'DATA SHEET'!$B:$D,2,FALSE)),2))</f>
        <v>0</v>
      </c>
      <c r="G155" s="64" cm="1">
        <f t="array" ref="G155">IF(COUNT(FIND(PurlinsxGirthsxBracings,$C155))&gt;0,0,ROUNDUP(IF(D155=0,0,VLOOKUP(D155,'DATA SHEET'!$B:$D,3,FALSE)),2))</f>
        <v>0</v>
      </c>
      <c r="H155" s="53"/>
      <c r="I155" s="66" cm="1">
        <f t="array" ref="I155">IF(AND(ISBLANK(B155),ISBLANK(C155),ISBLANK(E155)),0,IF(COUNT(FIND(PurlinsxGirthsxBracings,$C155))&gt;0,IF(B155=0,CONCATENATE(E155," ",C155),CONCATENATE(B155," - ",E155," ",C155)),IF(B155=0,IF(ISBLANK(C155),E155,CONCATENATE(D155,", ",F155,"kg/m, ",G155,"mm surface perimeter")),IF(AND(ISBLANK(C155),ISTEXT(E155)),CONCATENATE(B155," - ",E155),IF(AND(ISBLANK(C155),ISBLANK(E155)),B155,CONCATENATE(B155," - ",D155,", ",F155,"kg/m, ",G155,"mm surface perimeter"))))&amp;IF(ISBLANK(H155),"",H155)))</f>
        <v>0</v>
      </c>
      <c r="J155" s="53"/>
      <c r="L155" s="4" t="str" cm="1">
        <f t="array" ref="L155">IF(COUNT(FIND({0,1,2,3,4,5,6,7,8,9},B155))&gt;0,COUNT(FIND({0,1,2,3,4,5,6,7,8,9},B155))&gt;0,"")</f>
        <v/>
      </c>
      <c r="M155" s="4" t="str" cm="1">
        <f t="array" aca="1" ref="M155" ca="1">IFERROR(_xlfn.IFS(R155="Count",RANDBETWEEN(1,COUNTIF($R$11:$R$653,"Count")),R155="Length",RANDBETWEEN(1,COUNTIF($R$11:$R$653,"Length"))),"")</f>
        <v/>
      </c>
      <c r="N155" s="4" t="str">
        <f ca="1">IFERROR(_xlfn.RANK.EQ(M155,$M$11:$M$653)+COUNTIF($M$11:M155,M155)-1,"")</f>
        <v/>
      </c>
      <c r="O155" s="86" t="str">
        <f>IF(A155='DATA SHEET'!$L$36,C155,IFERROR(IF(AND(ISTEXT(I155),ISBLANK(C155)),"No details",VLOOKUP(C155,DimFolder,2,FALSE)),""))</f>
        <v/>
      </c>
      <c r="P155" s="4" t="str">
        <f t="shared" si="64"/>
        <v/>
      </c>
      <c r="Q155" s="58" t="str">
        <f t="shared" si="63"/>
        <v/>
      </c>
      <c r="R155" s="4" t="e" cm="1">
        <f t="array" ref="R155">IF(INDEX(Table2[],_xlfn.XMATCH($A155,Table2[Steel Member],0),_xlfn.XMATCH(R$2,Table2[#Headers],0))=0,"",INDEX(Table2[],_xlfn.XMATCH($A155,Table2[Steel Member],0),_xlfn.XMATCH(R$2,Table2[#Headers],0)))</f>
        <v>#N/A</v>
      </c>
      <c r="S155" s="4" t="e" cm="1">
        <f t="array" ref="S155">IF(INDEX(Table2[],_xlfn.XMATCH($A155,Table2[Steel Member],0),_xlfn.XMATCH(S$2,Table2[#Headers],0))=0,"",INDEX(Table2[],_xlfn.XMATCH($A155,Table2[Steel Member],0),_xlfn.XMATCH(S$2,Table2[#Headers],0)))</f>
        <v>#N/A</v>
      </c>
      <c r="T155" s="4" t="str">
        <f t="shared" si="54"/>
        <v/>
      </c>
      <c r="U155" s="4" t="e">
        <f ca="1">VLOOKUP(N155,'COLOR CODE'!$B:$D,2,FALSE)</f>
        <v>#N/A</v>
      </c>
      <c r="V155" s="4" t="str">
        <f t="shared" si="55"/>
        <v/>
      </c>
      <c r="W155" s="4" t="e" cm="1">
        <f t="array" ref="W155">IF(INDEX(Table2[],_xlfn.XMATCH($A155,Table2[Steel Member],0),_xlfn.XMATCH(W$2,Table2[#Headers],0))=0,"",INDEX(Table2[],_xlfn.XMATCH($A155,Table2[Steel Member],0),_xlfn.XMATCH(W$2,Table2[#Headers],0)))</f>
        <v>#N/A</v>
      </c>
      <c r="X155" s="4" t="e">
        <f t="shared" si="65"/>
        <v>#N/A</v>
      </c>
      <c r="Y155" s="4" t="e" cm="1">
        <f t="array" ref="Y155">IF(INDEX(Table2[],_xlfn.XMATCH($A155,Table2[Steel Member],0),_xlfn.XMATCH(Y$2,Table2[#Headers],0))=0,"",INDEX(Table2[],_xlfn.XMATCH($A155,Table2[Steel Member],0),_xlfn.XMATCH(Y$2,Table2[#Headers],0)))</f>
        <v>#N/A</v>
      </c>
      <c r="Z155" s="4" t="e" cm="1">
        <f t="array" ref="Z155">IF(INDEX(Table2[],_xlfn.XMATCH($A155,Table2[Steel Member],0),_xlfn.XMATCH(Z$2,Table2[#Headers],0))=0,"",INDEX(Table2[],_xlfn.XMATCH($A155,Table2[Steel Member],0),_xlfn.XMATCH(Z$2,Table2[#Headers],0)))</f>
        <v>#N/A</v>
      </c>
      <c r="AA155" s="4" t="e" cm="1">
        <f t="array" ref="AA155">IF(INDEX(Table2[],_xlfn.XMATCH($A155,Table2[Steel Member],0),_xlfn.XMATCH(AA$2,Table2[#Headers],0))=0,"",INDEX(Table2[],_xlfn.XMATCH($A155,Table2[Steel Member],0),_xlfn.XMATCH(AA$2,Table2[#Headers],0)))</f>
        <v>#N/A</v>
      </c>
      <c r="AB155" s="4" t="e" cm="1">
        <f t="array" ref="AB155">IF(INDEX(Table2[],_xlfn.XMATCH($A155,Table2[Steel Member],0),_xlfn.XMATCH(AB$2,Table2[#Headers],0))=0,"",INDEX(Table2[],_xlfn.XMATCH($A155,Table2[Steel Member],0),_xlfn.XMATCH(AB$2,Table2[#Headers],0)))</f>
        <v>#N/A</v>
      </c>
      <c r="AC155" s="4" t="str" cm="1">
        <f t="array" ref="AC155">IFERROR(INDEX(Table8[],_xlfn.XMATCH($O155,Table8[Dimension Name Category],0),_xlfn.XMATCH(AC$2&amp;IF($L155," w/ tag"," w/o tag"),Table8[#Headers],0)),"")</f>
        <v/>
      </c>
      <c r="AD155" s="59" t="str">
        <f t="shared" si="56"/>
        <v/>
      </c>
      <c r="AE155" s="4" t="str">
        <f t="shared" si="57"/>
        <v/>
      </c>
      <c r="AF155" s="4" t="str">
        <f t="shared" si="58"/>
        <v/>
      </c>
      <c r="AG155" s="4" t="str" cm="1">
        <f t="array" ref="AG155">IFERROR(INDEX(Table8[],_xlfn.XMATCH($O155,Table8[Dimension Name Category],0),_xlfn.XMATCH(AG$2&amp;IF($L155," w/ tag"," w/o tag"),Table8[#Headers],0)),"")</f>
        <v/>
      </c>
      <c r="AH155" s="59" t="str">
        <f t="shared" si="59"/>
        <v/>
      </c>
      <c r="AI155" s="4"/>
      <c r="AJ155" s="4" t="str">
        <f t="shared" si="60"/>
        <v/>
      </c>
      <c r="AK155" s="4" t="str">
        <f t="shared" si="61"/>
        <v/>
      </c>
      <c r="AL155" s="4" t="e" cm="1">
        <f t="array" ref="AL155">IF(INDEX(Table2[],_xlfn.XMATCH($A155,Table2[Steel Member],0),_xlfn.XMATCH(AL$2,Table2[#Headers],0))=0,"",INDEX(Table2[],_xlfn.XMATCH($A155,Table2[Steel Member],0),_xlfn.XMATCH(AL$2,Table2[#Headers],0)))</f>
        <v>#N/A</v>
      </c>
      <c r="AM155" s="4"/>
      <c r="AN155" s="4" t="str">
        <f t="shared" si="62"/>
        <v/>
      </c>
      <c r="AO155" s="4"/>
      <c r="AP155" s="4" t="e" cm="1">
        <f t="array" ref="AP155">IF(INDEX(Table2[],_xlfn.XMATCH($A155,Table2[Steel Member],0),_xlfn.XMATCH(AP$2,Table2[#Headers],0))=0,"",INDEX(Table2[],_xlfn.XMATCH($A155,Table2[Steel Member],0),_xlfn.XMATCH(AP$2,Table2[#Headers],0)))</f>
        <v>#N/A</v>
      </c>
      <c r="AQ155" s="4"/>
      <c r="AR155" s="4"/>
      <c r="AS155" s="4"/>
      <c r="AT155" s="4"/>
    </row>
    <row r="156" spans="1:46" x14ac:dyDescent="0.25">
      <c r="A156" s="52"/>
      <c r="B156" s="52"/>
      <c r="C156" s="52"/>
      <c r="D156" s="52"/>
      <c r="E156" s="52"/>
      <c r="F156" s="64" cm="1">
        <f t="array" ref="F156">IF(COUNT(FIND(PurlinsxGirthsxBracings,$C156))&gt;0,0,ROUNDUP(IF(D156=0,0,VLOOKUP(D156,'DATA SHEET'!$B:$D,2,FALSE)),2))</f>
        <v>0</v>
      </c>
      <c r="G156" s="64" cm="1">
        <f t="array" ref="G156">IF(COUNT(FIND(PurlinsxGirthsxBracings,$C156))&gt;0,0,ROUNDUP(IF(D156=0,0,VLOOKUP(D156,'DATA SHEET'!$B:$D,3,FALSE)),2))</f>
        <v>0</v>
      </c>
      <c r="H156" s="53"/>
      <c r="I156" s="66" cm="1">
        <f t="array" ref="I156">IF(AND(ISBLANK(B156),ISBLANK(C156),ISBLANK(E156)),0,IF(COUNT(FIND(PurlinsxGirthsxBracings,$C156))&gt;0,IF(B156=0,CONCATENATE(E156," ",C156),CONCATENATE(B156," - ",E156," ",C156)),IF(B156=0,IF(ISBLANK(C156),E156,CONCATENATE(D156,", ",F156,"kg/m, ",G156,"mm surface perimeter")),IF(AND(ISBLANK(C156),ISTEXT(E156)),CONCATENATE(B156," - ",E156),IF(AND(ISBLANK(C156),ISBLANK(E156)),B156,CONCATENATE(B156," - ",D156,", ",F156,"kg/m, ",G156,"mm surface perimeter"))))&amp;IF(ISBLANK(H156),"",H156)))</f>
        <v>0</v>
      </c>
      <c r="J156" s="53"/>
      <c r="L156" s="4" t="str" cm="1">
        <f t="array" ref="L156">IF(COUNT(FIND({0,1,2,3,4,5,6,7,8,9},B156))&gt;0,COUNT(FIND({0,1,2,3,4,5,6,7,8,9},B156))&gt;0,"")</f>
        <v/>
      </c>
      <c r="M156" s="4" t="str" cm="1">
        <f t="array" aca="1" ref="M156" ca="1">IFERROR(_xlfn.IFS(R156="Count",RANDBETWEEN(1,COUNTIF($R$11:$R$653,"Count")),R156="Length",RANDBETWEEN(1,COUNTIF($R$11:$R$653,"Length"))),"")</f>
        <v/>
      </c>
      <c r="N156" s="4" t="str">
        <f ca="1">IFERROR(_xlfn.RANK.EQ(M156,$M$11:$M$653)+COUNTIF($M$11:M156,M156)-1,"")</f>
        <v/>
      </c>
      <c r="O156" s="86" t="str">
        <f>IF(A156='DATA SHEET'!$L$36,C156,IFERROR(IF(AND(ISTEXT(I156),ISBLANK(C156)),"No details",VLOOKUP(C156,DimFolder,2,FALSE)),""))</f>
        <v/>
      </c>
      <c r="P156" s="4" t="str">
        <f t="shared" si="64"/>
        <v/>
      </c>
      <c r="Q156" s="58" t="str">
        <f t="shared" si="63"/>
        <v/>
      </c>
      <c r="R156" s="4" t="e" cm="1">
        <f t="array" ref="R156">IF(INDEX(Table2[],_xlfn.XMATCH($A156,Table2[Steel Member],0),_xlfn.XMATCH(R$2,Table2[#Headers],0))=0,"",INDEX(Table2[],_xlfn.XMATCH($A156,Table2[Steel Member],0),_xlfn.XMATCH(R$2,Table2[#Headers],0)))</f>
        <v>#N/A</v>
      </c>
      <c r="S156" s="4" t="e" cm="1">
        <f t="array" ref="S156">IF(INDEX(Table2[],_xlfn.XMATCH($A156,Table2[Steel Member],0),_xlfn.XMATCH(S$2,Table2[#Headers],0))=0,"",INDEX(Table2[],_xlfn.XMATCH($A156,Table2[Steel Member],0),_xlfn.XMATCH(S$2,Table2[#Headers],0)))</f>
        <v>#N/A</v>
      </c>
      <c r="T156" s="4" t="str">
        <f t="shared" si="54"/>
        <v/>
      </c>
      <c r="U156" s="4" t="e">
        <f ca="1">VLOOKUP(N156,'COLOR CODE'!$B:$D,2,FALSE)</f>
        <v>#N/A</v>
      </c>
      <c r="V156" s="4" t="str">
        <f t="shared" si="55"/>
        <v/>
      </c>
      <c r="W156" s="4" t="e" cm="1">
        <f t="array" ref="W156">IF(INDEX(Table2[],_xlfn.XMATCH($A156,Table2[Steel Member],0),_xlfn.XMATCH(W$2,Table2[#Headers],0))=0,"",INDEX(Table2[],_xlfn.XMATCH($A156,Table2[Steel Member],0),_xlfn.XMATCH(W$2,Table2[#Headers],0)))</f>
        <v>#N/A</v>
      </c>
      <c r="X156" s="4" t="e">
        <f t="shared" si="65"/>
        <v>#N/A</v>
      </c>
      <c r="Y156" s="4" t="e" cm="1">
        <f t="array" ref="Y156">IF(INDEX(Table2[],_xlfn.XMATCH($A156,Table2[Steel Member],0),_xlfn.XMATCH(Y$2,Table2[#Headers],0))=0,"",INDEX(Table2[],_xlfn.XMATCH($A156,Table2[Steel Member],0),_xlfn.XMATCH(Y$2,Table2[#Headers],0)))</f>
        <v>#N/A</v>
      </c>
      <c r="Z156" s="4" t="e" cm="1">
        <f t="array" ref="Z156">IF(INDEX(Table2[],_xlfn.XMATCH($A156,Table2[Steel Member],0),_xlfn.XMATCH(Z$2,Table2[#Headers],0))=0,"",INDEX(Table2[],_xlfn.XMATCH($A156,Table2[Steel Member],0),_xlfn.XMATCH(Z$2,Table2[#Headers],0)))</f>
        <v>#N/A</v>
      </c>
      <c r="AA156" s="4" t="e" cm="1">
        <f t="array" ref="AA156">IF(INDEX(Table2[],_xlfn.XMATCH($A156,Table2[Steel Member],0),_xlfn.XMATCH(AA$2,Table2[#Headers],0))=0,"",INDEX(Table2[],_xlfn.XMATCH($A156,Table2[Steel Member],0),_xlfn.XMATCH(AA$2,Table2[#Headers],0)))</f>
        <v>#N/A</v>
      </c>
      <c r="AB156" s="4" t="e" cm="1">
        <f t="array" ref="AB156">IF(INDEX(Table2[],_xlfn.XMATCH($A156,Table2[Steel Member],0),_xlfn.XMATCH(AB$2,Table2[#Headers],0))=0,"",INDEX(Table2[],_xlfn.XMATCH($A156,Table2[Steel Member],0),_xlfn.XMATCH(AB$2,Table2[#Headers],0)))</f>
        <v>#N/A</v>
      </c>
      <c r="AC156" s="4" t="str" cm="1">
        <f t="array" ref="AC156">IFERROR(INDEX(Table8[],_xlfn.XMATCH($O156,Table8[Dimension Name Category],0),_xlfn.XMATCH(AC$2&amp;IF($L156," w/ tag"," w/o tag"),Table8[#Headers],0)),"")</f>
        <v/>
      </c>
      <c r="AD156" s="59" t="str">
        <f t="shared" si="56"/>
        <v/>
      </c>
      <c r="AE156" s="4" t="str">
        <f t="shared" si="57"/>
        <v/>
      </c>
      <c r="AF156" s="4" t="str">
        <f t="shared" si="58"/>
        <v/>
      </c>
      <c r="AG156" s="4" t="str" cm="1">
        <f t="array" ref="AG156">IFERROR(INDEX(Table8[],_xlfn.XMATCH($O156,Table8[Dimension Name Category],0),_xlfn.XMATCH(AG$2&amp;IF($L156," w/ tag"," w/o tag"),Table8[#Headers],0)),"")</f>
        <v/>
      </c>
      <c r="AH156" s="59" t="str">
        <f t="shared" si="59"/>
        <v/>
      </c>
      <c r="AI156" s="4"/>
      <c r="AJ156" s="4" t="str">
        <f t="shared" si="60"/>
        <v/>
      </c>
      <c r="AK156" s="4" t="str">
        <f t="shared" si="61"/>
        <v/>
      </c>
      <c r="AL156" s="4" t="e" cm="1">
        <f t="array" ref="AL156">IF(INDEX(Table2[],_xlfn.XMATCH($A156,Table2[Steel Member],0),_xlfn.XMATCH(AL$2,Table2[#Headers],0))=0,"",INDEX(Table2[],_xlfn.XMATCH($A156,Table2[Steel Member],0),_xlfn.XMATCH(AL$2,Table2[#Headers],0)))</f>
        <v>#N/A</v>
      </c>
      <c r="AM156" s="4"/>
      <c r="AN156" s="4" t="str">
        <f t="shared" si="62"/>
        <v/>
      </c>
      <c r="AO156" s="4"/>
      <c r="AP156" s="4" t="e" cm="1">
        <f t="array" ref="AP156">IF(INDEX(Table2[],_xlfn.XMATCH($A156,Table2[Steel Member],0),_xlfn.XMATCH(AP$2,Table2[#Headers],0))=0,"",INDEX(Table2[],_xlfn.XMATCH($A156,Table2[Steel Member],0),_xlfn.XMATCH(AP$2,Table2[#Headers],0)))</f>
        <v>#N/A</v>
      </c>
      <c r="AQ156" s="4"/>
      <c r="AR156" s="4"/>
      <c r="AS156" s="4"/>
      <c r="AT156" s="4"/>
    </row>
    <row r="157" spans="1:46" x14ac:dyDescent="0.25">
      <c r="A157" s="52"/>
      <c r="B157" s="52"/>
      <c r="C157" s="52"/>
      <c r="D157" s="52"/>
      <c r="E157" s="52"/>
      <c r="F157" s="64" cm="1">
        <f t="array" ref="F157">IF(COUNT(FIND(PurlinsxGirthsxBracings,$C157))&gt;0,0,ROUNDUP(IF(D157=0,0,VLOOKUP(D157,'DATA SHEET'!$B:$D,2,FALSE)),2))</f>
        <v>0</v>
      </c>
      <c r="G157" s="64" cm="1">
        <f t="array" ref="G157">IF(COUNT(FIND(PurlinsxGirthsxBracings,$C157))&gt;0,0,ROUNDUP(IF(D157=0,0,VLOOKUP(D157,'DATA SHEET'!$B:$D,3,FALSE)),2))</f>
        <v>0</v>
      </c>
      <c r="H157" s="53"/>
      <c r="I157" s="66" cm="1">
        <f t="array" ref="I157">IF(AND(ISBLANK(B157),ISBLANK(C157),ISBLANK(E157)),0,IF(COUNT(FIND(PurlinsxGirthsxBracings,$C157))&gt;0,IF(B157=0,CONCATENATE(E157," ",C157),CONCATENATE(B157," - ",E157," ",C157)),IF(B157=0,IF(ISBLANK(C157),E157,CONCATENATE(D157,", ",F157,"kg/m, ",G157,"mm surface perimeter")),IF(AND(ISBLANK(C157),ISTEXT(E157)),CONCATENATE(B157," - ",E157),IF(AND(ISBLANK(C157),ISBLANK(E157)),B157,CONCATENATE(B157," - ",D157,", ",F157,"kg/m, ",G157,"mm surface perimeter"))))&amp;IF(ISBLANK(H157),"",H157)))</f>
        <v>0</v>
      </c>
      <c r="J157" s="53"/>
      <c r="L157" s="4" t="str" cm="1">
        <f t="array" ref="L157">IF(COUNT(FIND({0,1,2,3,4,5,6,7,8,9},B157))&gt;0,COUNT(FIND({0,1,2,3,4,5,6,7,8,9},B157))&gt;0,"")</f>
        <v/>
      </c>
      <c r="M157" s="4" t="str" cm="1">
        <f t="array" aca="1" ref="M157" ca="1">IFERROR(_xlfn.IFS(R157="Count",RANDBETWEEN(1,COUNTIF($R$11:$R$653,"Count")),R157="Length",RANDBETWEEN(1,COUNTIF($R$11:$R$653,"Length"))),"")</f>
        <v/>
      </c>
      <c r="N157" s="4" t="str">
        <f ca="1">IFERROR(_xlfn.RANK.EQ(M157,$M$11:$M$653)+COUNTIF($M$11:M157,M157)-1,"")</f>
        <v/>
      </c>
      <c r="O157" s="86" t="str">
        <f>IF(A157='DATA SHEET'!$L$36,C157,IFERROR(IF(AND(ISTEXT(I157),ISBLANK(C157)),"No details",VLOOKUP(C157,DimFolder,2,FALSE)),""))</f>
        <v/>
      </c>
      <c r="P157" s="4" t="str">
        <f t="shared" si="64"/>
        <v/>
      </c>
      <c r="Q157" s="58" t="str">
        <f t="shared" si="63"/>
        <v/>
      </c>
      <c r="R157" s="4" t="e" cm="1">
        <f t="array" ref="R157">IF(INDEX(Table2[],_xlfn.XMATCH($A157,Table2[Steel Member],0),_xlfn.XMATCH(R$2,Table2[#Headers],0))=0,"",INDEX(Table2[],_xlfn.XMATCH($A157,Table2[Steel Member],0),_xlfn.XMATCH(R$2,Table2[#Headers],0)))</f>
        <v>#N/A</v>
      </c>
      <c r="S157" s="4" t="e" cm="1">
        <f t="array" ref="S157">IF(INDEX(Table2[],_xlfn.XMATCH($A157,Table2[Steel Member],0),_xlfn.XMATCH(S$2,Table2[#Headers],0))=0,"",INDEX(Table2[],_xlfn.XMATCH($A157,Table2[Steel Member],0),_xlfn.XMATCH(S$2,Table2[#Headers],0)))</f>
        <v>#N/A</v>
      </c>
      <c r="T157" s="4" t="str">
        <f t="shared" si="54"/>
        <v/>
      </c>
      <c r="U157" s="4" t="e">
        <f ca="1">VLOOKUP(N157,'COLOR CODE'!$B:$D,2,FALSE)</f>
        <v>#N/A</v>
      </c>
      <c r="V157" s="4" t="str">
        <f t="shared" si="55"/>
        <v/>
      </c>
      <c r="W157" s="4" t="e" cm="1">
        <f t="array" ref="W157">IF(INDEX(Table2[],_xlfn.XMATCH($A157,Table2[Steel Member],0),_xlfn.XMATCH(W$2,Table2[#Headers],0))=0,"",INDEX(Table2[],_xlfn.XMATCH($A157,Table2[Steel Member],0),_xlfn.XMATCH(W$2,Table2[#Headers],0)))</f>
        <v>#N/A</v>
      </c>
      <c r="X157" s="4" t="e">
        <f t="shared" si="65"/>
        <v>#N/A</v>
      </c>
      <c r="Y157" s="4" t="e" cm="1">
        <f t="array" ref="Y157">IF(INDEX(Table2[],_xlfn.XMATCH($A157,Table2[Steel Member],0),_xlfn.XMATCH(Y$2,Table2[#Headers],0))=0,"",INDEX(Table2[],_xlfn.XMATCH($A157,Table2[Steel Member],0),_xlfn.XMATCH(Y$2,Table2[#Headers],0)))</f>
        <v>#N/A</v>
      </c>
      <c r="Z157" s="4" t="e" cm="1">
        <f t="array" ref="Z157">IF(INDEX(Table2[],_xlfn.XMATCH($A157,Table2[Steel Member],0),_xlfn.XMATCH(Z$2,Table2[#Headers],0))=0,"",INDEX(Table2[],_xlfn.XMATCH($A157,Table2[Steel Member],0),_xlfn.XMATCH(Z$2,Table2[#Headers],0)))</f>
        <v>#N/A</v>
      </c>
      <c r="AA157" s="4" t="e" cm="1">
        <f t="array" ref="AA157">IF(INDEX(Table2[],_xlfn.XMATCH($A157,Table2[Steel Member],0),_xlfn.XMATCH(AA$2,Table2[#Headers],0))=0,"",INDEX(Table2[],_xlfn.XMATCH($A157,Table2[Steel Member],0),_xlfn.XMATCH(AA$2,Table2[#Headers],0)))</f>
        <v>#N/A</v>
      </c>
      <c r="AB157" s="4" t="e" cm="1">
        <f t="array" ref="AB157">IF(INDEX(Table2[],_xlfn.XMATCH($A157,Table2[Steel Member],0),_xlfn.XMATCH(AB$2,Table2[#Headers],0))=0,"",INDEX(Table2[],_xlfn.XMATCH($A157,Table2[Steel Member],0),_xlfn.XMATCH(AB$2,Table2[#Headers],0)))</f>
        <v>#N/A</v>
      </c>
      <c r="AC157" s="4" t="str" cm="1">
        <f t="array" ref="AC157">IFERROR(INDEX(Table8[],_xlfn.XMATCH($O157,Table8[Dimension Name Category],0),_xlfn.XMATCH(AC$2&amp;IF($L157," w/ tag"," w/o tag"),Table8[#Headers],0)),"")</f>
        <v/>
      </c>
      <c r="AD157" s="59" t="str">
        <f t="shared" si="56"/>
        <v/>
      </c>
      <c r="AE157" s="4" t="str">
        <f t="shared" si="57"/>
        <v/>
      </c>
      <c r="AF157" s="4" t="str">
        <f t="shared" si="58"/>
        <v/>
      </c>
      <c r="AG157" s="4" t="str" cm="1">
        <f t="array" ref="AG157">IFERROR(INDEX(Table8[],_xlfn.XMATCH($O157,Table8[Dimension Name Category],0),_xlfn.XMATCH(AG$2&amp;IF($L157," w/ tag"," w/o tag"),Table8[#Headers],0)),"")</f>
        <v/>
      </c>
      <c r="AH157" s="59" t="str">
        <f t="shared" si="59"/>
        <v/>
      </c>
      <c r="AI157" s="4"/>
      <c r="AJ157" s="4" t="str">
        <f t="shared" si="60"/>
        <v/>
      </c>
      <c r="AK157" s="4" t="str">
        <f t="shared" si="61"/>
        <v/>
      </c>
      <c r="AL157" s="4" t="e" cm="1">
        <f t="array" ref="AL157">IF(INDEX(Table2[],_xlfn.XMATCH($A157,Table2[Steel Member],0),_xlfn.XMATCH(AL$2,Table2[#Headers],0))=0,"",INDEX(Table2[],_xlfn.XMATCH($A157,Table2[Steel Member],0),_xlfn.XMATCH(AL$2,Table2[#Headers],0)))</f>
        <v>#N/A</v>
      </c>
      <c r="AM157" s="4"/>
      <c r="AN157" s="4" t="str">
        <f t="shared" si="62"/>
        <v/>
      </c>
      <c r="AO157" s="4"/>
      <c r="AP157" s="4" t="e" cm="1">
        <f t="array" ref="AP157">IF(INDEX(Table2[],_xlfn.XMATCH($A157,Table2[Steel Member],0),_xlfn.XMATCH(AP$2,Table2[#Headers],0))=0,"",INDEX(Table2[],_xlfn.XMATCH($A157,Table2[Steel Member],0),_xlfn.XMATCH(AP$2,Table2[#Headers],0)))</f>
        <v>#N/A</v>
      </c>
      <c r="AQ157" s="4"/>
      <c r="AR157" s="4"/>
      <c r="AS157" s="4"/>
      <c r="AT157" s="4"/>
    </row>
    <row r="158" spans="1:46" x14ac:dyDescent="0.25">
      <c r="A158" s="52"/>
      <c r="B158" s="52"/>
      <c r="C158" s="52"/>
      <c r="D158" s="52"/>
      <c r="E158" s="52"/>
      <c r="F158" s="64" cm="1">
        <f t="array" ref="F158">IF(COUNT(FIND(PurlinsxGirthsxBracings,$C158))&gt;0,0,ROUNDUP(IF(D158=0,0,VLOOKUP(D158,'DATA SHEET'!$B:$D,2,FALSE)),2))</f>
        <v>0</v>
      </c>
      <c r="G158" s="64" cm="1">
        <f t="array" ref="G158">IF(COUNT(FIND(PurlinsxGirthsxBracings,$C158))&gt;0,0,ROUNDUP(IF(D158=0,0,VLOOKUP(D158,'DATA SHEET'!$B:$D,3,FALSE)),2))</f>
        <v>0</v>
      </c>
      <c r="H158" s="53"/>
      <c r="I158" s="66" cm="1">
        <f t="array" ref="I158">IF(AND(ISBLANK(B158),ISBLANK(C158),ISBLANK(E158)),0,IF(COUNT(FIND(PurlinsxGirthsxBracings,$C158))&gt;0,IF(B158=0,CONCATENATE(E158," ",C158),CONCATENATE(B158," - ",E158," ",C158)),IF(B158=0,IF(ISBLANK(C158),E158,CONCATENATE(D158,", ",F158,"kg/m, ",G158,"mm surface perimeter")),IF(AND(ISBLANK(C158),ISTEXT(E158)),CONCATENATE(B158," - ",E158),IF(AND(ISBLANK(C158),ISBLANK(E158)),B158,CONCATENATE(B158," - ",D158,", ",F158,"kg/m, ",G158,"mm surface perimeter"))))&amp;IF(ISBLANK(H158),"",H158)))</f>
        <v>0</v>
      </c>
      <c r="J158" s="53"/>
      <c r="L158" s="4" t="str" cm="1">
        <f t="array" ref="L158">IF(COUNT(FIND({0,1,2,3,4,5,6,7,8,9},B158))&gt;0,COUNT(FIND({0,1,2,3,4,5,6,7,8,9},B158))&gt;0,"")</f>
        <v/>
      </c>
      <c r="M158" s="4" t="str" cm="1">
        <f t="array" aca="1" ref="M158" ca="1">IFERROR(_xlfn.IFS(R158="Count",RANDBETWEEN(1,COUNTIF($R$11:$R$653,"Count")),R158="Length",RANDBETWEEN(1,COUNTIF($R$11:$R$653,"Length"))),"")</f>
        <v/>
      </c>
      <c r="N158" s="4" t="str">
        <f ca="1">IFERROR(_xlfn.RANK.EQ(M158,$M$11:$M$653)+COUNTIF($M$11:M158,M158)-1,"")</f>
        <v/>
      </c>
      <c r="O158" s="86" t="str">
        <f>IF(A158='DATA SHEET'!$L$36,C158,IFERROR(IF(AND(ISTEXT(I158),ISBLANK(C158)),"No details",VLOOKUP(C158,DimFolder,2,FALSE)),""))</f>
        <v/>
      </c>
      <c r="P158" s="4" t="str">
        <f t="shared" si="64"/>
        <v/>
      </c>
      <c r="Q158" s="58" t="str">
        <f t="shared" si="63"/>
        <v/>
      </c>
      <c r="R158" s="4" t="e" cm="1">
        <f t="array" ref="R158">IF(INDEX(Table2[],_xlfn.XMATCH($A158,Table2[Steel Member],0),_xlfn.XMATCH(R$2,Table2[#Headers],0))=0,"",INDEX(Table2[],_xlfn.XMATCH($A158,Table2[Steel Member],0),_xlfn.XMATCH(R$2,Table2[#Headers],0)))</f>
        <v>#N/A</v>
      </c>
      <c r="S158" s="4" t="e" cm="1">
        <f t="array" ref="S158">IF(INDEX(Table2[],_xlfn.XMATCH($A158,Table2[Steel Member],0),_xlfn.XMATCH(S$2,Table2[#Headers],0))=0,"",INDEX(Table2[],_xlfn.XMATCH($A158,Table2[Steel Member],0),_xlfn.XMATCH(S$2,Table2[#Headers],0)))</f>
        <v>#N/A</v>
      </c>
      <c r="T158" s="4" t="str">
        <f t="shared" si="54"/>
        <v/>
      </c>
      <c r="U158" s="4" t="e">
        <f ca="1">VLOOKUP(N158,'COLOR CODE'!$B:$D,2,FALSE)</f>
        <v>#N/A</v>
      </c>
      <c r="V158" s="4" t="str">
        <f t="shared" si="55"/>
        <v/>
      </c>
      <c r="W158" s="4" t="e" cm="1">
        <f t="array" ref="W158">IF(INDEX(Table2[],_xlfn.XMATCH($A158,Table2[Steel Member],0),_xlfn.XMATCH(W$2,Table2[#Headers],0))=0,"",INDEX(Table2[],_xlfn.XMATCH($A158,Table2[Steel Member],0),_xlfn.XMATCH(W$2,Table2[#Headers],0)))</f>
        <v>#N/A</v>
      </c>
      <c r="X158" s="4" t="e">
        <f t="shared" si="65"/>
        <v>#N/A</v>
      </c>
      <c r="Y158" s="4" t="e" cm="1">
        <f t="array" ref="Y158">IF(INDEX(Table2[],_xlfn.XMATCH($A158,Table2[Steel Member],0),_xlfn.XMATCH(Y$2,Table2[#Headers],0))=0,"",INDEX(Table2[],_xlfn.XMATCH($A158,Table2[Steel Member],0),_xlfn.XMATCH(Y$2,Table2[#Headers],0)))</f>
        <v>#N/A</v>
      </c>
      <c r="Z158" s="4" t="e" cm="1">
        <f t="array" ref="Z158">IF(INDEX(Table2[],_xlfn.XMATCH($A158,Table2[Steel Member],0),_xlfn.XMATCH(Z$2,Table2[#Headers],0))=0,"",INDEX(Table2[],_xlfn.XMATCH($A158,Table2[Steel Member],0),_xlfn.XMATCH(Z$2,Table2[#Headers],0)))</f>
        <v>#N/A</v>
      </c>
      <c r="AA158" s="4" t="e" cm="1">
        <f t="array" ref="AA158">IF(INDEX(Table2[],_xlfn.XMATCH($A158,Table2[Steel Member],0),_xlfn.XMATCH(AA$2,Table2[#Headers],0))=0,"",INDEX(Table2[],_xlfn.XMATCH($A158,Table2[Steel Member],0),_xlfn.XMATCH(AA$2,Table2[#Headers],0)))</f>
        <v>#N/A</v>
      </c>
      <c r="AB158" s="4" t="e" cm="1">
        <f t="array" ref="AB158">IF(INDEX(Table2[],_xlfn.XMATCH($A158,Table2[Steel Member],0),_xlfn.XMATCH(AB$2,Table2[#Headers],0))=0,"",INDEX(Table2[],_xlfn.XMATCH($A158,Table2[Steel Member],0),_xlfn.XMATCH(AB$2,Table2[#Headers],0)))</f>
        <v>#N/A</v>
      </c>
      <c r="AC158" s="4" t="str" cm="1">
        <f t="array" ref="AC158">IFERROR(INDEX(Table8[],_xlfn.XMATCH($O158,Table8[Dimension Name Category],0),_xlfn.XMATCH(AC$2&amp;IF($L158," w/ tag"," w/o tag"),Table8[#Headers],0)),"")</f>
        <v/>
      </c>
      <c r="AD158" s="59" t="str">
        <f t="shared" si="56"/>
        <v/>
      </c>
      <c r="AE158" s="4" t="str">
        <f t="shared" si="57"/>
        <v/>
      </c>
      <c r="AF158" s="4" t="str">
        <f t="shared" si="58"/>
        <v/>
      </c>
      <c r="AG158" s="4" t="str" cm="1">
        <f t="array" ref="AG158">IFERROR(INDEX(Table8[],_xlfn.XMATCH($O158,Table8[Dimension Name Category],0),_xlfn.XMATCH(AG$2&amp;IF($L158," w/ tag"," w/o tag"),Table8[#Headers],0)),"")</f>
        <v/>
      </c>
      <c r="AH158" s="59" t="str">
        <f t="shared" si="59"/>
        <v/>
      </c>
      <c r="AI158" s="4"/>
      <c r="AJ158" s="4" t="str">
        <f t="shared" si="60"/>
        <v/>
      </c>
      <c r="AK158" s="4" t="str">
        <f t="shared" si="61"/>
        <v/>
      </c>
      <c r="AL158" s="4" t="e" cm="1">
        <f t="array" ref="AL158">IF(INDEX(Table2[],_xlfn.XMATCH($A158,Table2[Steel Member],0),_xlfn.XMATCH(AL$2,Table2[#Headers],0))=0,"",INDEX(Table2[],_xlfn.XMATCH($A158,Table2[Steel Member],0),_xlfn.XMATCH(AL$2,Table2[#Headers],0)))</f>
        <v>#N/A</v>
      </c>
      <c r="AM158" s="4"/>
      <c r="AN158" s="4" t="str">
        <f t="shared" si="62"/>
        <v/>
      </c>
      <c r="AO158" s="4"/>
      <c r="AP158" s="4" t="e" cm="1">
        <f t="array" ref="AP158">IF(INDEX(Table2[],_xlfn.XMATCH($A158,Table2[Steel Member],0),_xlfn.XMATCH(AP$2,Table2[#Headers],0))=0,"",INDEX(Table2[],_xlfn.XMATCH($A158,Table2[Steel Member],0),_xlfn.XMATCH(AP$2,Table2[#Headers],0)))</f>
        <v>#N/A</v>
      </c>
      <c r="AQ158" s="4"/>
      <c r="AR158" s="4"/>
      <c r="AS158" s="4"/>
      <c r="AT158" s="4"/>
    </row>
    <row r="159" spans="1:46" x14ac:dyDescent="0.25">
      <c r="A159" s="52"/>
      <c r="B159" s="52"/>
      <c r="C159" s="52"/>
      <c r="D159" s="52"/>
      <c r="E159" s="52"/>
      <c r="F159" s="64" cm="1">
        <f t="array" ref="F159">IF(COUNT(FIND(PurlinsxGirthsxBracings,$C159))&gt;0,0,ROUNDUP(IF(D159=0,0,VLOOKUP(D159,'DATA SHEET'!$B:$D,2,FALSE)),2))</f>
        <v>0</v>
      </c>
      <c r="G159" s="64" cm="1">
        <f t="array" ref="G159">IF(COUNT(FIND(PurlinsxGirthsxBracings,$C159))&gt;0,0,ROUNDUP(IF(D159=0,0,VLOOKUP(D159,'DATA SHEET'!$B:$D,3,FALSE)),2))</f>
        <v>0</v>
      </c>
      <c r="H159" s="53"/>
      <c r="I159" s="66" cm="1">
        <f t="array" ref="I159">IF(AND(ISBLANK(B159),ISBLANK(C159),ISBLANK(E159)),0,IF(COUNT(FIND(PurlinsxGirthsxBracings,$C159))&gt;0,IF(B159=0,CONCATENATE(E159," ",C159),CONCATENATE(B159," - ",E159," ",C159)),IF(B159=0,IF(ISBLANK(C159),E159,CONCATENATE(D159,", ",F159,"kg/m, ",G159,"mm surface perimeter")),IF(AND(ISBLANK(C159),ISTEXT(E159)),CONCATENATE(B159," - ",E159),IF(AND(ISBLANK(C159),ISBLANK(E159)),B159,CONCATENATE(B159," - ",D159,", ",F159,"kg/m, ",G159,"mm surface perimeter"))))&amp;IF(ISBLANK(H159),"",H159)))</f>
        <v>0</v>
      </c>
      <c r="J159" s="53"/>
      <c r="L159" s="4" t="str" cm="1">
        <f t="array" ref="L159">IF(COUNT(FIND({0,1,2,3,4,5,6,7,8,9},B159))&gt;0,COUNT(FIND({0,1,2,3,4,5,6,7,8,9},B159))&gt;0,"")</f>
        <v/>
      </c>
      <c r="M159" s="4" t="str" cm="1">
        <f t="array" aca="1" ref="M159" ca="1">IFERROR(_xlfn.IFS(R159="Count",RANDBETWEEN(1,COUNTIF($R$11:$R$653,"Count")),R159="Length",RANDBETWEEN(1,COUNTIF($R$11:$R$653,"Length"))),"")</f>
        <v/>
      </c>
      <c r="N159" s="4" t="str">
        <f ca="1">IFERROR(_xlfn.RANK.EQ(M159,$M$11:$M$653)+COUNTIF($M$11:M159,M159)-1,"")</f>
        <v/>
      </c>
      <c r="O159" s="86" t="str">
        <f>IF(A159='DATA SHEET'!$L$36,C159,IFERROR(IF(AND(ISTEXT(I159),ISBLANK(C159)),"No details",VLOOKUP(C159,DimFolder,2,FALSE)),""))</f>
        <v/>
      </c>
      <c r="P159" s="4" t="str">
        <f t="shared" si="64"/>
        <v/>
      </c>
      <c r="Q159" s="58" t="str">
        <f t="shared" si="63"/>
        <v/>
      </c>
      <c r="R159" s="4" t="e" cm="1">
        <f t="array" ref="R159">IF(INDEX(Table2[],_xlfn.XMATCH($A159,Table2[Steel Member],0),_xlfn.XMATCH(R$2,Table2[#Headers],0))=0,"",INDEX(Table2[],_xlfn.XMATCH($A159,Table2[Steel Member],0),_xlfn.XMATCH(R$2,Table2[#Headers],0)))</f>
        <v>#N/A</v>
      </c>
      <c r="S159" s="4" t="e" cm="1">
        <f t="array" ref="S159">IF(INDEX(Table2[],_xlfn.XMATCH($A159,Table2[Steel Member],0),_xlfn.XMATCH(S$2,Table2[#Headers],0))=0,"",INDEX(Table2[],_xlfn.XMATCH($A159,Table2[Steel Member],0),_xlfn.XMATCH(S$2,Table2[#Headers],0)))</f>
        <v>#N/A</v>
      </c>
      <c r="T159" s="4" t="str">
        <f t="shared" si="54"/>
        <v/>
      </c>
      <c r="U159" s="4" t="e">
        <f ca="1">VLOOKUP(N159,'COLOR CODE'!$B:$D,2,FALSE)</f>
        <v>#N/A</v>
      </c>
      <c r="V159" s="4" t="str">
        <f t="shared" si="55"/>
        <v/>
      </c>
      <c r="W159" s="4" t="e" cm="1">
        <f t="array" ref="W159">IF(INDEX(Table2[],_xlfn.XMATCH($A159,Table2[Steel Member],0),_xlfn.XMATCH(W$2,Table2[#Headers],0))=0,"",INDEX(Table2[],_xlfn.XMATCH($A159,Table2[Steel Member],0),_xlfn.XMATCH(W$2,Table2[#Headers],0)))</f>
        <v>#N/A</v>
      </c>
      <c r="X159" s="4" t="e">
        <f t="shared" si="65"/>
        <v>#N/A</v>
      </c>
      <c r="Y159" s="4" t="e" cm="1">
        <f t="array" ref="Y159">IF(INDEX(Table2[],_xlfn.XMATCH($A159,Table2[Steel Member],0),_xlfn.XMATCH(Y$2,Table2[#Headers],0))=0,"",INDEX(Table2[],_xlfn.XMATCH($A159,Table2[Steel Member],0),_xlfn.XMATCH(Y$2,Table2[#Headers],0)))</f>
        <v>#N/A</v>
      </c>
      <c r="Z159" s="4" t="e" cm="1">
        <f t="array" ref="Z159">IF(INDEX(Table2[],_xlfn.XMATCH($A159,Table2[Steel Member],0),_xlfn.XMATCH(Z$2,Table2[#Headers],0))=0,"",INDEX(Table2[],_xlfn.XMATCH($A159,Table2[Steel Member],0),_xlfn.XMATCH(Z$2,Table2[#Headers],0)))</f>
        <v>#N/A</v>
      </c>
      <c r="AA159" s="4" t="e" cm="1">
        <f t="array" ref="AA159">IF(INDEX(Table2[],_xlfn.XMATCH($A159,Table2[Steel Member],0),_xlfn.XMATCH(AA$2,Table2[#Headers],0))=0,"",INDEX(Table2[],_xlfn.XMATCH($A159,Table2[Steel Member],0),_xlfn.XMATCH(AA$2,Table2[#Headers],0)))</f>
        <v>#N/A</v>
      </c>
      <c r="AB159" s="4" t="e" cm="1">
        <f t="array" ref="AB159">IF(INDEX(Table2[],_xlfn.XMATCH($A159,Table2[Steel Member],0),_xlfn.XMATCH(AB$2,Table2[#Headers],0))=0,"",INDEX(Table2[],_xlfn.XMATCH($A159,Table2[Steel Member],0),_xlfn.XMATCH(AB$2,Table2[#Headers],0)))</f>
        <v>#N/A</v>
      </c>
      <c r="AC159" s="4" t="str" cm="1">
        <f t="array" ref="AC159">IFERROR(INDEX(Table8[],_xlfn.XMATCH($O159,Table8[Dimension Name Category],0),_xlfn.XMATCH(AC$2&amp;IF($L159," w/ tag"," w/o tag"),Table8[#Headers],0)),"")</f>
        <v/>
      </c>
      <c r="AD159" s="59" t="str">
        <f t="shared" si="56"/>
        <v/>
      </c>
      <c r="AE159" s="4" t="str">
        <f t="shared" si="57"/>
        <v/>
      </c>
      <c r="AF159" s="4" t="str">
        <f t="shared" si="58"/>
        <v/>
      </c>
      <c r="AG159" s="4" t="str" cm="1">
        <f t="array" ref="AG159">IFERROR(INDEX(Table8[],_xlfn.XMATCH($O159,Table8[Dimension Name Category],0),_xlfn.XMATCH(AG$2&amp;IF($L159," w/ tag"," w/o tag"),Table8[#Headers],0)),"")</f>
        <v/>
      </c>
      <c r="AH159" s="59" t="str">
        <f t="shared" si="59"/>
        <v/>
      </c>
      <c r="AI159" s="4"/>
      <c r="AJ159" s="4" t="str">
        <f t="shared" si="60"/>
        <v/>
      </c>
      <c r="AK159" s="4" t="str">
        <f t="shared" si="61"/>
        <v/>
      </c>
      <c r="AL159" s="4" t="e" cm="1">
        <f t="array" ref="AL159">IF(INDEX(Table2[],_xlfn.XMATCH($A159,Table2[Steel Member],0),_xlfn.XMATCH(AL$2,Table2[#Headers],0))=0,"",INDEX(Table2[],_xlfn.XMATCH($A159,Table2[Steel Member],0),_xlfn.XMATCH(AL$2,Table2[#Headers],0)))</f>
        <v>#N/A</v>
      </c>
      <c r="AM159" s="4"/>
      <c r="AN159" s="4" t="str">
        <f t="shared" si="62"/>
        <v/>
      </c>
      <c r="AO159" s="4"/>
      <c r="AP159" s="4" t="e" cm="1">
        <f t="array" ref="AP159">IF(INDEX(Table2[],_xlfn.XMATCH($A159,Table2[Steel Member],0),_xlfn.XMATCH(AP$2,Table2[#Headers],0))=0,"",INDEX(Table2[],_xlfn.XMATCH($A159,Table2[Steel Member],0),_xlfn.XMATCH(AP$2,Table2[#Headers],0)))</f>
        <v>#N/A</v>
      </c>
      <c r="AQ159" s="4"/>
      <c r="AR159" s="4"/>
      <c r="AS159" s="4"/>
      <c r="AT159" s="4"/>
    </row>
    <row r="160" spans="1:46" x14ac:dyDescent="0.25">
      <c r="A160" s="52"/>
      <c r="B160" s="52"/>
      <c r="C160" s="52"/>
      <c r="D160" s="52"/>
      <c r="E160" s="52"/>
      <c r="F160" s="64" cm="1">
        <f t="array" ref="F160">IF(COUNT(FIND(PurlinsxGirthsxBracings,$C160))&gt;0,0,ROUNDUP(IF(D160=0,0,VLOOKUP(D160,'DATA SHEET'!$B:$D,2,FALSE)),2))</f>
        <v>0</v>
      </c>
      <c r="G160" s="64" cm="1">
        <f t="array" ref="G160">IF(COUNT(FIND(PurlinsxGirthsxBracings,$C160))&gt;0,0,ROUNDUP(IF(D160=0,0,VLOOKUP(D160,'DATA SHEET'!$B:$D,3,FALSE)),2))</f>
        <v>0</v>
      </c>
      <c r="H160" s="53"/>
      <c r="I160" s="66" cm="1">
        <f t="array" ref="I160">IF(AND(ISBLANK(B160),ISBLANK(C160),ISBLANK(E160)),0,IF(COUNT(FIND(PurlinsxGirthsxBracings,$C160))&gt;0,IF(B160=0,CONCATENATE(E160," ",C160),CONCATENATE(B160," - ",E160," ",C160)),IF(B160=0,IF(ISBLANK(C160),E160,CONCATENATE(D160,", ",F160,"kg/m, ",G160,"mm surface perimeter")),IF(AND(ISBLANK(C160),ISTEXT(E160)),CONCATENATE(B160," - ",E160),IF(AND(ISBLANK(C160),ISBLANK(E160)),B160,CONCATENATE(B160," - ",D160,", ",F160,"kg/m, ",G160,"mm surface perimeter"))))&amp;IF(ISBLANK(H160),"",H160)))</f>
        <v>0</v>
      </c>
      <c r="J160" s="53"/>
      <c r="L160" s="4" t="str" cm="1">
        <f t="array" ref="L160">IF(COUNT(FIND({0,1,2,3,4,5,6,7,8,9},B160))&gt;0,COUNT(FIND({0,1,2,3,4,5,6,7,8,9},B160))&gt;0,"")</f>
        <v/>
      </c>
      <c r="M160" s="4" t="str" cm="1">
        <f t="array" aca="1" ref="M160" ca="1">IFERROR(_xlfn.IFS(R160="Count",RANDBETWEEN(1,COUNTIF($R$11:$R$653,"Count")),R160="Length",RANDBETWEEN(1,COUNTIF($R$11:$R$653,"Length"))),"")</f>
        <v/>
      </c>
      <c r="N160" s="4" t="str">
        <f ca="1">IFERROR(_xlfn.RANK.EQ(M160,$M$11:$M$653)+COUNTIF($M$11:M160,M160)-1,"")</f>
        <v/>
      </c>
      <c r="O160" s="86" t="str">
        <f>IF(A160='DATA SHEET'!$L$36,C160,IFERROR(IF(AND(ISTEXT(I160),ISBLANK(C160)),"No details",VLOOKUP(C160,DimFolder,2,FALSE)),""))</f>
        <v/>
      </c>
      <c r="P160" s="4" t="str">
        <f t="shared" si="64"/>
        <v/>
      </c>
      <c r="Q160" s="58" t="str">
        <f t="shared" si="63"/>
        <v/>
      </c>
      <c r="R160" s="4" t="e" cm="1">
        <f t="array" ref="R160">IF(INDEX(Table2[],_xlfn.XMATCH($A160,Table2[Steel Member],0),_xlfn.XMATCH(R$2,Table2[#Headers],0))=0,"",INDEX(Table2[],_xlfn.XMATCH($A160,Table2[Steel Member],0),_xlfn.XMATCH(R$2,Table2[#Headers],0)))</f>
        <v>#N/A</v>
      </c>
      <c r="S160" s="4" t="e" cm="1">
        <f t="array" ref="S160">IF(INDEX(Table2[],_xlfn.XMATCH($A160,Table2[Steel Member],0),_xlfn.XMATCH(S$2,Table2[#Headers],0))=0,"",INDEX(Table2[],_xlfn.XMATCH($A160,Table2[Steel Member],0),_xlfn.XMATCH(S$2,Table2[#Headers],0)))</f>
        <v>#N/A</v>
      </c>
      <c r="T160" s="4" t="str">
        <f t="shared" si="54"/>
        <v/>
      </c>
      <c r="U160" s="4" t="e">
        <f ca="1">VLOOKUP(N160,'COLOR CODE'!$B:$D,2,FALSE)</f>
        <v>#N/A</v>
      </c>
      <c r="V160" s="4" t="str">
        <f t="shared" si="55"/>
        <v/>
      </c>
      <c r="W160" s="4" t="e" cm="1">
        <f t="array" ref="W160">IF(INDEX(Table2[],_xlfn.XMATCH($A160,Table2[Steel Member],0),_xlfn.XMATCH(W$2,Table2[#Headers],0))=0,"",INDEX(Table2[],_xlfn.XMATCH($A160,Table2[Steel Member],0),_xlfn.XMATCH(W$2,Table2[#Headers],0)))</f>
        <v>#N/A</v>
      </c>
      <c r="X160" s="4" t="e">
        <f t="shared" si="65"/>
        <v>#N/A</v>
      </c>
      <c r="Y160" s="4" t="e" cm="1">
        <f t="array" ref="Y160">IF(INDEX(Table2[],_xlfn.XMATCH($A160,Table2[Steel Member],0),_xlfn.XMATCH(Y$2,Table2[#Headers],0))=0,"",INDEX(Table2[],_xlfn.XMATCH($A160,Table2[Steel Member],0),_xlfn.XMATCH(Y$2,Table2[#Headers],0)))</f>
        <v>#N/A</v>
      </c>
      <c r="Z160" s="4" t="e" cm="1">
        <f t="array" ref="Z160">IF(INDEX(Table2[],_xlfn.XMATCH($A160,Table2[Steel Member],0),_xlfn.XMATCH(Z$2,Table2[#Headers],0))=0,"",INDEX(Table2[],_xlfn.XMATCH($A160,Table2[Steel Member],0),_xlfn.XMATCH(Z$2,Table2[#Headers],0)))</f>
        <v>#N/A</v>
      </c>
      <c r="AA160" s="4" t="e" cm="1">
        <f t="array" ref="AA160">IF(INDEX(Table2[],_xlfn.XMATCH($A160,Table2[Steel Member],0),_xlfn.XMATCH(AA$2,Table2[#Headers],0))=0,"",INDEX(Table2[],_xlfn.XMATCH($A160,Table2[Steel Member],0),_xlfn.XMATCH(AA$2,Table2[#Headers],0)))</f>
        <v>#N/A</v>
      </c>
      <c r="AB160" s="4" t="e" cm="1">
        <f t="array" ref="AB160">IF(INDEX(Table2[],_xlfn.XMATCH($A160,Table2[Steel Member],0),_xlfn.XMATCH(AB$2,Table2[#Headers],0))=0,"",INDEX(Table2[],_xlfn.XMATCH($A160,Table2[Steel Member],0),_xlfn.XMATCH(AB$2,Table2[#Headers],0)))</f>
        <v>#N/A</v>
      </c>
      <c r="AC160" s="4" t="str" cm="1">
        <f t="array" ref="AC160">IFERROR(INDEX(Table8[],_xlfn.XMATCH($O160,Table8[Dimension Name Category],0),_xlfn.XMATCH(AC$2&amp;IF($L160," w/ tag"," w/o tag"),Table8[#Headers],0)),"")</f>
        <v/>
      </c>
      <c r="AD160" s="59" t="str">
        <f t="shared" si="56"/>
        <v/>
      </c>
      <c r="AE160" s="4" t="str">
        <f t="shared" si="57"/>
        <v/>
      </c>
      <c r="AF160" s="4" t="str">
        <f t="shared" si="58"/>
        <v/>
      </c>
      <c r="AG160" s="4" t="str" cm="1">
        <f t="array" ref="AG160">IFERROR(INDEX(Table8[],_xlfn.XMATCH($O160,Table8[Dimension Name Category],0),_xlfn.XMATCH(AG$2&amp;IF($L160," w/ tag"," w/o tag"),Table8[#Headers],0)),"")</f>
        <v/>
      </c>
      <c r="AH160" s="59" t="str">
        <f t="shared" si="59"/>
        <v/>
      </c>
      <c r="AI160" s="4"/>
      <c r="AJ160" s="4" t="str">
        <f t="shared" si="60"/>
        <v/>
      </c>
      <c r="AK160" s="4" t="str">
        <f t="shared" si="61"/>
        <v/>
      </c>
      <c r="AL160" s="4" t="e" cm="1">
        <f t="array" ref="AL160">IF(INDEX(Table2[],_xlfn.XMATCH($A160,Table2[Steel Member],0),_xlfn.XMATCH(AL$2,Table2[#Headers],0))=0,"",INDEX(Table2[],_xlfn.XMATCH($A160,Table2[Steel Member],0),_xlfn.XMATCH(AL$2,Table2[#Headers],0)))</f>
        <v>#N/A</v>
      </c>
      <c r="AM160" s="4"/>
      <c r="AN160" s="4" t="str">
        <f t="shared" si="62"/>
        <v/>
      </c>
      <c r="AO160" s="4"/>
      <c r="AP160" s="4" t="e" cm="1">
        <f t="array" ref="AP160">IF(INDEX(Table2[],_xlfn.XMATCH($A160,Table2[Steel Member],0),_xlfn.XMATCH(AP$2,Table2[#Headers],0))=0,"",INDEX(Table2[],_xlfn.XMATCH($A160,Table2[Steel Member],0),_xlfn.XMATCH(AP$2,Table2[#Headers],0)))</f>
        <v>#N/A</v>
      </c>
      <c r="AQ160" s="4"/>
      <c r="AR160" s="4"/>
      <c r="AS160" s="4"/>
      <c r="AT160" s="4"/>
    </row>
    <row r="161" spans="1:46" x14ac:dyDescent="0.25">
      <c r="A161" s="52"/>
      <c r="B161" s="52"/>
      <c r="C161" s="52"/>
      <c r="D161" s="52"/>
      <c r="E161" s="52"/>
      <c r="F161" s="64" cm="1">
        <f t="array" ref="F161">IF(COUNT(FIND(PurlinsxGirthsxBracings,$C161))&gt;0,0,ROUNDUP(IF(D161=0,0,VLOOKUP(D161,'DATA SHEET'!$B:$D,2,FALSE)),2))</f>
        <v>0</v>
      </c>
      <c r="G161" s="64" cm="1">
        <f t="array" ref="G161">IF(COUNT(FIND(PurlinsxGirthsxBracings,$C161))&gt;0,0,ROUNDUP(IF(D161=0,0,VLOOKUP(D161,'DATA SHEET'!$B:$D,3,FALSE)),2))</f>
        <v>0</v>
      </c>
      <c r="H161" s="53"/>
      <c r="I161" s="66" cm="1">
        <f t="array" ref="I161">IF(AND(ISBLANK(B161),ISBLANK(C161),ISBLANK(E161)),0,IF(COUNT(FIND(PurlinsxGirthsxBracings,$C161))&gt;0,IF(B161=0,CONCATENATE(E161," ",C161),CONCATENATE(B161," - ",E161," ",C161)),IF(B161=0,IF(ISBLANK(C161),E161,CONCATENATE(D161,", ",F161,"kg/m, ",G161,"mm surface perimeter")),IF(AND(ISBLANK(C161),ISTEXT(E161)),CONCATENATE(B161," - ",E161),IF(AND(ISBLANK(C161),ISBLANK(E161)),B161,CONCATENATE(B161," - ",D161,", ",F161,"kg/m, ",G161,"mm surface perimeter"))))&amp;IF(ISBLANK(H161),"",H161)))</f>
        <v>0</v>
      </c>
      <c r="J161" s="53"/>
      <c r="L161" s="4" t="str" cm="1">
        <f t="array" ref="L161">IF(COUNT(FIND({0,1,2,3,4,5,6,7,8,9},B161))&gt;0,COUNT(FIND({0,1,2,3,4,5,6,7,8,9},B161))&gt;0,"")</f>
        <v/>
      </c>
      <c r="M161" s="4" t="str" cm="1">
        <f t="array" aca="1" ref="M161" ca="1">IFERROR(_xlfn.IFS(R161="Count",RANDBETWEEN(1,COUNTIF($R$11:$R$653,"Count")),R161="Length",RANDBETWEEN(1,COUNTIF($R$11:$R$653,"Length"))),"")</f>
        <v/>
      </c>
      <c r="N161" s="4" t="str">
        <f ca="1">IFERROR(_xlfn.RANK.EQ(M161,$M$11:$M$653)+COUNTIF($M$11:M161,M161)-1,"")</f>
        <v/>
      </c>
      <c r="O161" s="86" t="str">
        <f>IF(A161='DATA SHEET'!$L$36,C161,IFERROR(IF(AND(ISTEXT(I161),ISBLANK(C161)),"No details",VLOOKUP(C161,DimFolder,2,FALSE)),""))</f>
        <v/>
      </c>
      <c r="P161" s="4" t="str">
        <f t="shared" si="64"/>
        <v/>
      </c>
      <c r="Q161" s="58" t="str">
        <f t="shared" si="63"/>
        <v/>
      </c>
      <c r="R161" s="4" t="e" cm="1">
        <f t="array" ref="R161">IF(INDEX(Table2[],_xlfn.XMATCH($A161,Table2[Steel Member],0),_xlfn.XMATCH(R$2,Table2[#Headers],0))=0,"",INDEX(Table2[],_xlfn.XMATCH($A161,Table2[Steel Member],0),_xlfn.XMATCH(R$2,Table2[#Headers],0)))</f>
        <v>#N/A</v>
      </c>
      <c r="S161" s="4" t="e" cm="1">
        <f t="array" ref="S161">IF(INDEX(Table2[],_xlfn.XMATCH($A161,Table2[Steel Member],0),_xlfn.XMATCH(S$2,Table2[#Headers],0))=0,"",INDEX(Table2[],_xlfn.XMATCH($A161,Table2[Steel Member],0),_xlfn.XMATCH(S$2,Table2[#Headers],0)))</f>
        <v>#N/A</v>
      </c>
      <c r="T161" s="4" t="str">
        <f t="shared" si="54"/>
        <v/>
      </c>
      <c r="U161" s="4" t="e">
        <f ca="1">VLOOKUP(N161,'COLOR CODE'!$B:$D,2,FALSE)</f>
        <v>#N/A</v>
      </c>
      <c r="V161" s="4" t="str">
        <f t="shared" si="55"/>
        <v/>
      </c>
      <c r="W161" s="4" t="e" cm="1">
        <f t="array" ref="W161">IF(INDEX(Table2[],_xlfn.XMATCH($A161,Table2[Steel Member],0),_xlfn.XMATCH(W$2,Table2[#Headers],0))=0,"",INDEX(Table2[],_xlfn.XMATCH($A161,Table2[Steel Member],0),_xlfn.XMATCH(W$2,Table2[#Headers],0)))</f>
        <v>#N/A</v>
      </c>
      <c r="X161" s="4" t="e">
        <f t="shared" si="65"/>
        <v>#N/A</v>
      </c>
      <c r="Y161" s="4" t="e" cm="1">
        <f t="array" ref="Y161">IF(INDEX(Table2[],_xlfn.XMATCH($A161,Table2[Steel Member],0),_xlfn.XMATCH(Y$2,Table2[#Headers],0))=0,"",INDEX(Table2[],_xlfn.XMATCH($A161,Table2[Steel Member],0),_xlfn.XMATCH(Y$2,Table2[#Headers],0)))</f>
        <v>#N/A</v>
      </c>
      <c r="Z161" s="4" t="e" cm="1">
        <f t="array" ref="Z161">IF(INDEX(Table2[],_xlfn.XMATCH($A161,Table2[Steel Member],0),_xlfn.XMATCH(Z$2,Table2[#Headers],0))=0,"",INDEX(Table2[],_xlfn.XMATCH($A161,Table2[Steel Member],0),_xlfn.XMATCH(Z$2,Table2[#Headers],0)))</f>
        <v>#N/A</v>
      </c>
      <c r="AA161" s="4" t="e" cm="1">
        <f t="array" ref="AA161">IF(INDEX(Table2[],_xlfn.XMATCH($A161,Table2[Steel Member],0),_xlfn.XMATCH(AA$2,Table2[#Headers],0))=0,"",INDEX(Table2[],_xlfn.XMATCH($A161,Table2[Steel Member],0),_xlfn.XMATCH(AA$2,Table2[#Headers],0)))</f>
        <v>#N/A</v>
      </c>
      <c r="AB161" s="4" t="e" cm="1">
        <f t="array" ref="AB161">IF(INDEX(Table2[],_xlfn.XMATCH($A161,Table2[Steel Member],0),_xlfn.XMATCH(AB$2,Table2[#Headers],0))=0,"",INDEX(Table2[],_xlfn.XMATCH($A161,Table2[Steel Member],0),_xlfn.XMATCH(AB$2,Table2[#Headers],0)))</f>
        <v>#N/A</v>
      </c>
      <c r="AC161" s="4" t="str" cm="1">
        <f t="array" ref="AC161">IFERROR(INDEX(Table8[],_xlfn.XMATCH($O161,Table8[Dimension Name Category],0),_xlfn.XMATCH(AC$2&amp;IF($L161," w/ tag"," w/o tag"),Table8[#Headers],0)),"")</f>
        <v/>
      </c>
      <c r="AD161" s="59" t="str">
        <f t="shared" si="56"/>
        <v/>
      </c>
      <c r="AE161" s="4" t="str">
        <f t="shared" si="57"/>
        <v/>
      </c>
      <c r="AF161" s="4" t="str">
        <f t="shared" si="58"/>
        <v/>
      </c>
      <c r="AG161" s="4" t="str" cm="1">
        <f t="array" ref="AG161">IFERROR(INDEX(Table8[],_xlfn.XMATCH($O161,Table8[Dimension Name Category],0),_xlfn.XMATCH(AG$2&amp;IF($L161," w/ tag"," w/o tag"),Table8[#Headers],0)),"")</f>
        <v/>
      </c>
      <c r="AH161" s="59" t="str">
        <f t="shared" si="59"/>
        <v/>
      </c>
      <c r="AI161" s="4"/>
      <c r="AJ161" s="4" t="str">
        <f t="shared" si="60"/>
        <v/>
      </c>
      <c r="AK161" s="4" t="str">
        <f t="shared" si="61"/>
        <v/>
      </c>
      <c r="AL161" s="4" t="e" cm="1">
        <f t="array" ref="AL161">IF(INDEX(Table2[],_xlfn.XMATCH($A161,Table2[Steel Member],0),_xlfn.XMATCH(AL$2,Table2[#Headers],0))=0,"",INDEX(Table2[],_xlfn.XMATCH($A161,Table2[Steel Member],0),_xlfn.XMATCH(AL$2,Table2[#Headers],0)))</f>
        <v>#N/A</v>
      </c>
      <c r="AM161" s="4"/>
      <c r="AN161" s="4" t="str">
        <f t="shared" si="62"/>
        <v/>
      </c>
      <c r="AO161" s="4"/>
      <c r="AP161" s="4" t="e" cm="1">
        <f t="array" ref="AP161">IF(INDEX(Table2[],_xlfn.XMATCH($A161,Table2[Steel Member],0),_xlfn.XMATCH(AP$2,Table2[#Headers],0))=0,"",INDEX(Table2[],_xlfn.XMATCH($A161,Table2[Steel Member],0),_xlfn.XMATCH(AP$2,Table2[#Headers],0)))</f>
        <v>#N/A</v>
      </c>
      <c r="AQ161" s="4"/>
      <c r="AR161" s="4"/>
      <c r="AS161" s="4"/>
      <c r="AT161" s="4"/>
    </row>
    <row r="162" spans="1:46" x14ac:dyDescent="0.25">
      <c r="A162" s="52"/>
      <c r="B162" s="52"/>
      <c r="C162" s="52"/>
      <c r="D162" s="52"/>
      <c r="E162" s="52"/>
      <c r="F162" s="64" cm="1">
        <f t="array" ref="F162">IF(COUNT(FIND(PurlinsxGirthsxBracings,$C162))&gt;0,0,ROUNDUP(IF(D162=0,0,VLOOKUP(D162,'DATA SHEET'!$B:$D,2,FALSE)),2))</f>
        <v>0</v>
      </c>
      <c r="G162" s="64" cm="1">
        <f t="array" ref="G162">IF(COUNT(FIND(PurlinsxGirthsxBracings,$C162))&gt;0,0,ROUNDUP(IF(D162=0,0,VLOOKUP(D162,'DATA SHEET'!$B:$D,3,FALSE)),2))</f>
        <v>0</v>
      </c>
      <c r="H162" s="53"/>
      <c r="I162" s="66" cm="1">
        <f t="array" ref="I162">IF(AND(ISBLANK(B162),ISBLANK(C162),ISBLANK(E162)),0,IF(COUNT(FIND(PurlinsxGirthsxBracings,$C162))&gt;0,IF(B162=0,CONCATENATE(E162," ",C162),CONCATENATE(B162," - ",E162," ",C162)),IF(B162=0,IF(ISBLANK(C162),E162,CONCATENATE(D162,", ",F162,"kg/m, ",G162,"mm surface perimeter")),IF(AND(ISBLANK(C162),ISTEXT(E162)),CONCATENATE(B162," - ",E162),IF(AND(ISBLANK(C162),ISBLANK(E162)),B162,CONCATENATE(B162," - ",D162,", ",F162,"kg/m, ",G162,"mm surface perimeter"))))&amp;IF(ISBLANK(H162),"",H162)))</f>
        <v>0</v>
      </c>
      <c r="J162" s="53"/>
      <c r="L162" s="4" t="str" cm="1">
        <f t="array" ref="L162">IF(COUNT(FIND({0,1,2,3,4,5,6,7,8,9},B162))&gt;0,COUNT(FIND({0,1,2,3,4,5,6,7,8,9},B162))&gt;0,"")</f>
        <v/>
      </c>
      <c r="M162" s="4" t="str" cm="1">
        <f t="array" aca="1" ref="M162" ca="1">IFERROR(_xlfn.IFS(R162="Count",RANDBETWEEN(1,COUNTIF($R$11:$R$653,"Count")),R162="Length",RANDBETWEEN(1,COUNTIF($R$11:$R$653,"Length"))),"")</f>
        <v/>
      </c>
      <c r="N162" s="4" t="str">
        <f ca="1">IFERROR(_xlfn.RANK.EQ(M162,$M$11:$M$653)+COUNTIF($M$11:M162,M162)-1,"")</f>
        <v/>
      </c>
      <c r="O162" s="86" t="str">
        <f>IF(A162='DATA SHEET'!$L$36,C162,IFERROR(IF(AND(ISTEXT(I162),ISBLANK(C162)),"No details",VLOOKUP(C162,DimFolder,2,FALSE)),""))</f>
        <v/>
      </c>
      <c r="P162" s="4" t="str">
        <f t="shared" si="64"/>
        <v/>
      </c>
      <c r="Q162" s="58" t="str">
        <f t="shared" si="63"/>
        <v/>
      </c>
      <c r="R162" s="4" t="e" cm="1">
        <f t="array" ref="R162">IF(INDEX(Table2[],_xlfn.XMATCH($A162,Table2[Steel Member],0),_xlfn.XMATCH(R$2,Table2[#Headers],0))=0,"",INDEX(Table2[],_xlfn.XMATCH($A162,Table2[Steel Member],0),_xlfn.XMATCH(R$2,Table2[#Headers],0)))</f>
        <v>#N/A</v>
      </c>
      <c r="S162" s="4" t="e" cm="1">
        <f t="array" ref="S162">IF(INDEX(Table2[],_xlfn.XMATCH($A162,Table2[Steel Member],0),_xlfn.XMATCH(S$2,Table2[#Headers],0))=0,"",INDEX(Table2[],_xlfn.XMATCH($A162,Table2[Steel Member],0),_xlfn.XMATCH(S$2,Table2[#Headers],0)))</f>
        <v>#N/A</v>
      </c>
      <c r="T162" s="4" t="str">
        <f t="shared" si="54"/>
        <v/>
      </c>
      <c r="U162" s="4" t="e">
        <f ca="1">VLOOKUP(N162,'COLOR CODE'!$B:$D,2,FALSE)</f>
        <v>#N/A</v>
      </c>
      <c r="V162" s="4" t="str">
        <f t="shared" si="55"/>
        <v/>
      </c>
      <c r="W162" s="4" t="e" cm="1">
        <f t="array" ref="W162">IF(INDEX(Table2[],_xlfn.XMATCH($A162,Table2[Steel Member],0),_xlfn.XMATCH(W$2,Table2[#Headers],0))=0,"",INDEX(Table2[],_xlfn.XMATCH($A162,Table2[Steel Member],0),_xlfn.XMATCH(W$2,Table2[#Headers],0)))</f>
        <v>#N/A</v>
      </c>
      <c r="X162" s="4" t="e">
        <f t="shared" si="65"/>
        <v>#N/A</v>
      </c>
      <c r="Y162" s="4" t="e" cm="1">
        <f t="array" ref="Y162">IF(INDEX(Table2[],_xlfn.XMATCH($A162,Table2[Steel Member],0),_xlfn.XMATCH(Y$2,Table2[#Headers],0))=0,"",INDEX(Table2[],_xlfn.XMATCH($A162,Table2[Steel Member],0),_xlfn.XMATCH(Y$2,Table2[#Headers],0)))</f>
        <v>#N/A</v>
      </c>
      <c r="Z162" s="4" t="e" cm="1">
        <f t="array" ref="Z162">IF(INDEX(Table2[],_xlfn.XMATCH($A162,Table2[Steel Member],0),_xlfn.XMATCH(Z$2,Table2[#Headers],0))=0,"",INDEX(Table2[],_xlfn.XMATCH($A162,Table2[Steel Member],0),_xlfn.XMATCH(Z$2,Table2[#Headers],0)))</f>
        <v>#N/A</v>
      </c>
      <c r="AA162" s="4" t="e" cm="1">
        <f t="array" ref="AA162">IF(INDEX(Table2[],_xlfn.XMATCH($A162,Table2[Steel Member],0),_xlfn.XMATCH(AA$2,Table2[#Headers],0))=0,"",INDEX(Table2[],_xlfn.XMATCH($A162,Table2[Steel Member],0),_xlfn.XMATCH(AA$2,Table2[#Headers],0)))</f>
        <v>#N/A</v>
      </c>
      <c r="AB162" s="4" t="e" cm="1">
        <f t="array" ref="AB162">IF(INDEX(Table2[],_xlfn.XMATCH($A162,Table2[Steel Member],0),_xlfn.XMATCH(AB$2,Table2[#Headers],0))=0,"",INDEX(Table2[],_xlfn.XMATCH($A162,Table2[Steel Member],0),_xlfn.XMATCH(AB$2,Table2[#Headers],0)))</f>
        <v>#N/A</v>
      </c>
      <c r="AC162" s="4" t="str" cm="1">
        <f t="array" ref="AC162">IFERROR(INDEX(Table8[],_xlfn.XMATCH($O162,Table8[Dimension Name Category],0),_xlfn.XMATCH(AC$2&amp;IF($L162," w/ tag"," w/o tag"),Table8[#Headers],0)),"")</f>
        <v/>
      </c>
      <c r="AD162" s="59" t="str">
        <f t="shared" si="56"/>
        <v/>
      </c>
      <c r="AE162" s="4" t="str">
        <f t="shared" si="57"/>
        <v/>
      </c>
      <c r="AF162" s="4" t="str">
        <f t="shared" si="58"/>
        <v/>
      </c>
      <c r="AG162" s="4" t="str" cm="1">
        <f t="array" ref="AG162">IFERROR(INDEX(Table8[],_xlfn.XMATCH($O162,Table8[Dimension Name Category],0),_xlfn.XMATCH(AG$2&amp;IF($L162," w/ tag"," w/o tag"),Table8[#Headers],0)),"")</f>
        <v/>
      </c>
      <c r="AH162" s="59" t="str">
        <f t="shared" si="59"/>
        <v/>
      </c>
      <c r="AI162" s="4"/>
      <c r="AJ162" s="4" t="str">
        <f t="shared" si="60"/>
        <v/>
      </c>
      <c r="AK162" s="4" t="str">
        <f t="shared" si="61"/>
        <v/>
      </c>
      <c r="AL162" s="4" t="e" cm="1">
        <f t="array" ref="AL162">IF(INDEX(Table2[],_xlfn.XMATCH($A162,Table2[Steel Member],0),_xlfn.XMATCH(AL$2,Table2[#Headers],0))=0,"",INDEX(Table2[],_xlfn.XMATCH($A162,Table2[Steel Member],0),_xlfn.XMATCH(AL$2,Table2[#Headers],0)))</f>
        <v>#N/A</v>
      </c>
      <c r="AM162" s="4"/>
      <c r="AN162" s="4" t="str">
        <f t="shared" si="62"/>
        <v/>
      </c>
      <c r="AO162" s="4"/>
      <c r="AP162" s="4" t="e" cm="1">
        <f t="array" ref="AP162">IF(INDEX(Table2[],_xlfn.XMATCH($A162,Table2[Steel Member],0),_xlfn.XMATCH(AP$2,Table2[#Headers],0))=0,"",INDEX(Table2[],_xlfn.XMATCH($A162,Table2[Steel Member],0),_xlfn.XMATCH(AP$2,Table2[#Headers],0)))</f>
        <v>#N/A</v>
      </c>
      <c r="AQ162" s="4"/>
      <c r="AR162" s="4"/>
      <c r="AS162" s="4"/>
      <c r="AT162" s="4"/>
    </row>
    <row r="163" spans="1:46" x14ac:dyDescent="0.25">
      <c r="A163" s="52"/>
      <c r="B163" s="52"/>
      <c r="C163" s="52"/>
      <c r="D163" s="52"/>
      <c r="E163" s="52"/>
      <c r="F163" s="64" cm="1">
        <f t="array" ref="F163">IF(COUNT(FIND(PurlinsxGirthsxBracings,$C163))&gt;0,0,ROUNDUP(IF(D163=0,0,VLOOKUP(D163,'DATA SHEET'!$B:$D,2,FALSE)),2))</f>
        <v>0</v>
      </c>
      <c r="G163" s="64" cm="1">
        <f t="array" ref="G163">IF(COUNT(FIND(PurlinsxGirthsxBracings,$C163))&gt;0,0,ROUNDUP(IF(D163=0,0,VLOOKUP(D163,'DATA SHEET'!$B:$D,3,FALSE)),2))</f>
        <v>0</v>
      </c>
      <c r="H163" s="53"/>
      <c r="I163" s="66" cm="1">
        <f t="array" ref="I163">IF(AND(ISBLANK(B163),ISBLANK(C163),ISBLANK(E163)),0,IF(COUNT(FIND(PurlinsxGirthsxBracings,$C163))&gt;0,IF(B163=0,CONCATENATE(E163," ",C163),CONCATENATE(B163," - ",E163," ",C163)),IF(B163=0,IF(ISBLANK(C163),E163,CONCATENATE(D163,", ",F163,"kg/m, ",G163,"mm surface perimeter")),IF(AND(ISBLANK(C163),ISTEXT(E163)),CONCATENATE(B163," - ",E163),IF(AND(ISBLANK(C163),ISBLANK(E163)),B163,CONCATENATE(B163," - ",D163,", ",F163,"kg/m, ",G163,"mm surface perimeter"))))&amp;IF(ISBLANK(H163),"",H163)))</f>
        <v>0</v>
      </c>
      <c r="J163" s="53"/>
      <c r="L163" s="4" t="str" cm="1">
        <f t="array" ref="L163">IF(COUNT(FIND({0,1,2,3,4,5,6,7,8,9},B163))&gt;0,COUNT(FIND({0,1,2,3,4,5,6,7,8,9},B163))&gt;0,"")</f>
        <v/>
      </c>
      <c r="M163" s="4" t="str" cm="1">
        <f t="array" aca="1" ref="M163" ca="1">IFERROR(_xlfn.IFS(R163="Count",RANDBETWEEN(1,COUNTIF($R$11:$R$653,"Count")),R163="Length",RANDBETWEEN(1,COUNTIF($R$11:$R$653,"Length"))),"")</f>
        <v/>
      </c>
      <c r="N163" s="4" t="str">
        <f ca="1">IFERROR(_xlfn.RANK.EQ(M163,$M$11:$M$653)+COUNTIF($M$11:M163,M163)-1,"")</f>
        <v/>
      </c>
      <c r="O163" s="86" t="str">
        <f>IF(A163='DATA SHEET'!$L$36,C163,IFERROR(IF(AND(ISTEXT(I163),ISBLANK(C163)),"No details",VLOOKUP(C163,DimFolder,2,FALSE)),""))</f>
        <v/>
      </c>
      <c r="P163" s="4" t="str">
        <f t="shared" si="64"/>
        <v/>
      </c>
      <c r="Q163" s="58" t="str">
        <f t="shared" si="63"/>
        <v/>
      </c>
      <c r="R163" s="4" t="e" cm="1">
        <f t="array" ref="R163">IF(INDEX(Table2[],_xlfn.XMATCH($A163,Table2[Steel Member],0),_xlfn.XMATCH(R$2,Table2[#Headers],0))=0,"",INDEX(Table2[],_xlfn.XMATCH($A163,Table2[Steel Member],0),_xlfn.XMATCH(R$2,Table2[#Headers],0)))</f>
        <v>#N/A</v>
      </c>
      <c r="S163" s="4" t="e" cm="1">
        <f t="array" ref="S163">IF(INDEX(Table2[],_xlfn.XMATCH($A163,Table2[Steel Member],0),_xlfn.XMATCH(S$2,Table2[#Headers],0))=0,"",INDEX(Table2[],_xlfn.XMATCH($A163,Table2[Steel Member],0),_xlfn.XMATCH(S$2,Table2[#Headers],0)))</f>
        <v>#N/A</v>
      </c>
      <c r="T163" s="4" t="str">
        <f t="shared" si="54"/>
        <v/>
      </c>
      <c r="U163" s="4" t="e">
        <f ca="1">VLOOKUP(N163,'COLOR CODE'!$B:$D,2,FALSE)</f>
        <v>#N/A</v>
      </c>
      <c r="V163" s="4" t="str">
        <f t="shared" si="55"/>
        <v/>
      </c>
      <c r="W163" s="4" t="e" cm="1">
        <f t="array" ref="W163">IF(INDEX(Table2[],_xlfn.XMATCH($A163,Table2[Steel Member],0),_xlfn.XMATCH(W$2,Table2[#Headers],0))=0,"",INDEX(Table2[],_xlfn.XMATCH($A163,Table2[Steel Member],0),_xlfn.XMATCH(W$2,Table2[#Headers],0)))</f>
        <v>#N/A</v>
      </c>
      <c r="X163" s="4" t="e">
        <f t="shared" si="65"/>
        <v>#N/A</v>
      </c>
      <c r="Y163" s="4" t="e" cm="1">
        <f t="array" ref="Y163">IF(INDEX(Table2[],_xlfn.XMATCH($A163,Table2[Steel Member],0),_xlfn.XMATCH(Y$2,Table2[#Headers],0))=0,"",INDEX(Table2[],_xlfn.XMATCH($A163,Table2[Steel Member],0),_xlfn.XMATCH(Y$2,Table2[#Headers],0)))</f>
        <v>#N/A</v>
      </c>
      <c r="Z163" s="4" t="e" cm="1">
        <f t="array" ref="Z163">IF(INDEX(Table2[],_xlfn.XMATCH($A163,Table2[Steel Member],0),_xlfn.XMATCH(Z$2,Table2[#Headers],0))=0,"",INDEX(Table2[],_xlfn.XMATCH($A163,Table2[Steel Member],0),_xlfn.XMATCH(Z$2,Table2[#Headers],0)))</f>
        <v>#N/A</v>
      </c>
      <c r="AA163" s="4" t="e" cm="1">
        <f t="array" ref="AA163">IF(INDEX(Table2[],_xlfn.XMATCH($A163,Table2[Steel Member],0),_xlfn.XMATCH(AA$2,Table2[#Headers],0))=0,"",INDEX(Table2[],_xlfn.XMATCH($A163,Table2[Steel Member],0),_xlfn.XMATCH(AA$2,Table2[#Headers],0)))</f>
        <v>#N/A</v>
      </c>
      <c r="AB163" s="4" t="e" cm="1">
        <f t="array" ref="AB163">IF(INDEX(Table2[],_xlfn.XMATCH($A163,Table2[Steel Member],0),_xlfn.XMATCH(AB$2,Table2[#Headers],0))=0,"",INDEX(Table2[],_xlfn.XMATCH($A163,Table2[Steel Member],0),_xlfn.XMATCH(AB$2,Table2[#Headers],0)))</f>
        <v>#N/A</v>
      </c>
      <c r="AC163" s="4" t="str" cm="1">
        <f t="array" ref="AC163">IFERROR(INDEX(Table8[],_xlfn.XMATCH($O163,Table8[Dimension Name Category],0),_xlfn.XMATCH(AC$2&amp;IF($L163," w/ tag"," w/o tag"),Table8[#Headers],0)),"")</f>
        <v/>
      </c>
      <c r="AD163" s="59" t="str">
        <f t="shared" si="56"/>
        <v/>
      </c>
      <c r="AE163" s="4" t="str">
        <f t="shared" si="57"/>
        <v/>
      </c>
      <c r="AF163" s="4" t="str">
        <f t="shared" si="58"/>
        <v/>
      </c>
      <c r="AG163" s="4" t="str" cm="1">
        <f t="array" ref="AG163">IFERROR(INDEX(Table8[],_xlfn.XMATCH($O163,Table8[Dimension Name Category],0),_xlfn.XMATCH(AG$2&amp;IF($L163," w/ tag"," w/o tag"),Table8[#Headers],0)),"")</f>
        <v/>
      </c>
      <c r="AH163" s="59" t="str">
        <f t="shared" si="59"/>
        <v/>
      </c>
      <c r="AI163" s="4"/>
      <c r="AJ163" s="4" t="str">
        <f t="shared" si="60"/>
        <v/>
      </c>
      <c r="AK163" s="4" t="str">
        <f t="shared" si="61"/>
        <v/>
      </c>
      <c r="AL163" s="4" t="e" cm="1">
        <f t="array" ref="AL163">IF(INDEX(Table2[],_xlfn.XMATCH($A163,Table2[Steel Member],0),_xlfn.XMATCH(AL$2,Table2[#Headers],0))=0,"",INDEX(Table2[],_xlfn.XMATCH($A163,Table2[Steel Member],0),_xlfn.XMATCH(AL$2,Table2[#Headers],0)))</f>
        <v>#N/A</v>
      </c>
      <c r="AM163" s="4"/>
      <c r="AN163" s="4" t="str">
        <f t="shared" si="62"/>
        <v/>
      </c>
      <c r="AO163" s="4"/>
      <c r="AP163" s="4" t="e" cm="1">
        <f t="array" ref="AP163">IF(INDEX(Table2[],_xlfn.XMATCH($A163,Table2[Steel Member],0),_xlfn.XMATCH(AP$2,Table2[#Headers],0))=0,"",INDEX(Table2[],_xlfn.XMATCH($A163,Table2[Steel Member],0),_xlfn.XMATCH(AP$2,Table2[#Headers],0)))</f>
        <v>#N/A</v>
      </c>
      <c r="AQ163" s="4"/>
      <c r="AR163" s="4"/>
      <c r="AS163" s="4"/>
      <c r="AT163" s="4"/>
    </row>
    <row r="164" spans="1:46" x14ac:dyDescent="0.25">
      <c r="A164" s="52"/>
      <c r="B164" s="52"/>
      <c r="C164" s="52"/>
      <c r="D164" s="52"/>
      <c r="E164" s="52"/>
      <c r="F164" s="64" cm="1">
        <f t="array" ref="F164">IF(COUNT(FIND(PurlinsxGirthsxBracings,$C164))&gt;0,0,ROUNDUP(IF(D164=0,0,VLOOKUP(D164,'DATA SHEET'!$B:$D,2,FALSE)),2))</f>
        <v>0</v>
      </c>
      <c r="G164" s="64" cm="1">
        <f t="array" ref="G164">IF(COUNT(FIND(PurlinsxGirthsxBracings,$C164))&gt;0,0,ROUNDUP(IF(D164=0,0,VLOOKUP(D164,'DATA SHEET'!$B:$D,3,FALSE)),2))</f>
        <v>0</v>
      </c>
      <c r="H164" s="53"/>
      <c r="I164" s="66" cm="1">
        <f t="array" ref="I164">IF(AND(ISBLANK(B164),ISBLANK(C164),ISBLANK(E164)),0,IF(COUNT(FIND(PurlinsxGirthsxBracings,$C164))&gt;0,IF(B164=0,CONCATENATE(E164," ",C164),CONCATENATE(B164," - ",E164," ",C164)),IF(B164=0,IF(ISBLANK(C164),E164,CONCATENATE(D164,", ",F164,"kg/m, ",G164,"mm surface perimeter")),IF(AND(ISBLANK(C164),ISTEXT(E164)),CONCATENATE(B164," - ",E164),IF(AND(ISBLANK(C164),ISBLANK(E164)),B164,CONCATENATE(B164," - ",D164,", ",F164,"kg/m, ",G164,"mm surface perimeter"))))&amp;IF(ISBLANK(H164),"",H164)))</f>
        <v>0</v>
      </c>
      <c r="J164" s="53"/>
      <c r="L164" s="4" t="str" cm="1">
        <f t="array" ref="L164">IF(COUNT(FIND({0,1,2,3,4,5,6,7,8,9},B164))&gt;0,COUNT(FIND({0,1,2,3,4,5,6,7,8,9},B164))&gt;0,"")</f>
        <v/>
      </c>
      <c r="M164" s="4" t="str" cm="1">
        <f t="array" aca="1" ref="M164" ca="1">IFERROR(_xlfn.IFS(R164="Count",RANDBETWEEN(1,COUNTIF($R$11:$R$653,"Count")),R164="Length",RANDBETWEEN(1,COUNTIF($R$11:$R$653,"Length"))),"")</f>
        <v/>
      </c>
      <c r="N164" s="4" t="str">
        <f ca="1">IFERROR(_xlfn.RANK.EQ(M164,$M$11:$M$653)+COUNTIF($M$11:M164,M164)-1,"")</f>
        <v/>
      </c>
      <c r="O164" s="86" t="str">
        <f>IF(A164='DATA SHEET'!$L$36,C164,IFERROR(IF(AND(ISTEXT(I164),ISBLANK(C164)),"No details",VLOOKUP(C164,DimFolder,2,FALSE)),""))</f>
        <v/>
      </c>
      <c r="P164" s="4" t="str">
        <f t="shared" si="64"/>
        <v/>
      </c>
      <c r="Q164" s="58" t="str">
        <f t="shared" si="63"/>
        <v/>
      </c>
      <c r="R164" s="4" t="e" cm="1">
        <f t="array" ref="R164">IF(INDEX(Table2[],_xlfn.XMATCH($A164,Table2[Steel Member],0),_xlfn.XMATCH(R$2,Table2[#Headers],0))=0,"",INDEX(Table2[],_xlfn.XMATCH($A164,Table2[Steel Member],0),_xlfn.XMATCH(R$2,Table2[#Headers],0)))</f>
        <v>#N/A</v>
      </c>
      <c r="S164" s="4" t="e" cm="1">
        <f t="array" ref="S164">IF(INDEX(Table2[],_xlfn.XMATCH($A164,Table2[Steel Member],0),_xlfn.XMATCH(S$2,Table2[#Headers],0))=0,"",INDEX(Table2[],_xlfn.XMATCH($A164,Table2[Steel Member],0),_xlfn.XMATCH(S$2,Table2[#Headers],0)))</f>
        <v>#N/A</v>
      </c>
      <c r="T164" s="4" t="str">
        <f t="shared" si="54"/>
        <v/>
      </c>
      <c r="U164" s="4" t="e">
        <f ca="1">VLOOKUP(N164,'COLOR CODE'!$B:$D,2,FALSE)</f>
        <v>#N/A</v>
      </c>
      <c r="V164" s="4" t="str">
        <f t="shared" si="55"/>
        <v/>
      </c>
      <c r="W164" s="4" t="e" cm="1">
        <f t="array" ref="W164">IF(INDEX(Table2[],_xlfn.XMATCH($A164,Table2[Steel Member],0),_xlfn.XMATCH(W$2,Table2[#Headers],0))=0,"",INDEX(Table2[],_xlfn.XMATCH($A164,Table2[Steel Member],0),_xlfn.XMATCH(W$2,Table2[#Headers],0)))</f>
        <v>#N/A</v>
      </c>
      <c r="X164" s="4" t="e">
        <f t="shared" si="65"/>
        <v>#N/A</v>
      </c>
      <c r="Y164" s="4" t="e" cm="1">
        <f t="array" ref="Y164">IF(INDEX(Table2[],_xlfn.XMATCH($A164,Table2[Steel Member],0),_xlfn.XMATCH(Y$2,Table2[#Headers],0))=0,"",INDEX(Table2[],_xlfn.XMATCH($A164,Table2[Steel Member],0),_xlfn.XMATCH(Y$2,Table2[#Headers],0)))</f>
        <v>#N/A</v>
      </c>
      <c r="Z164" s="4" t="e" cm="1">
        <f t="array" ref="Z164">IF(INDEX(Table2[],_xlfn.XMATCH($A164,Table2[Steel Member],0),_xlfn.XMATCH(Z$2,Table2[#Headers],0))=0,"",INDEX(Table2[],_xlfn.XMATCH($A164,Table2[Steel Member],0),_xlfn.XMATCH(Z$2,Table2[#Headers],0)))</f>
        <v>#N/A</v>
      </c>
      <c r="AA164" s="4" t="e" cm="1">
        <f t="array" ref="AA164">IF(INDEX(Table2[],_xlfn.XMATCH($A164,Table2[Steel Member],0),_xlfn.XMATCH(AA$2,Table2[#Headers],0))=0,"",INDEX(Table2[],_xlfn.XMATCH($A164,Table2[Steel Member],0),_xlfn.XMATCH(AA$2,Table2[#Headers],0)))</f>
        <v>#N/A</v>
      </c>
      <c r="AB164" s="4" t="e" cm="1">
        <f t="array" ref="AB164">IF(INDEX(Table2[],_xlfn.XMATCH($A164,Table2[Steel Member],0),_xlfn.XMATCH(AB$2,Table2[#Headers],0))=0,"",INDEX(Table2[],_xlfn.XMATCH($A164,Table2[Steel Member],0),_xlfn.XMATCH(AB$2,Table2[#Headers],0)))</f>
        <v>#N/A</v>
      </c>
      <c r="AC164" s="4" t="str" cm="1">
        <f t="array" ref="AC164">IFERROR(INDEX(Table8[],_xlfn.XMATCH($O164,Table8[Dimension Name Category],0),_xlfn.XMATCH(AC$2&amp;IF($L164," w/ tag"," w/o tag"),Table8[#Headers],0)),"")</f>
        <v/>
      </c>
      <c r="AD164" s="59" t="str">
        <f t="shared" si="56"/>
        <v/>
      </c>
      <c r="AE164" s="4" t="str">
        <f t="shared" si="57"/>
        <v/>
      </c>
      <c r="AF164" s="4" t="str">
        <f t="shared" si="58"/>
        <v/>
      </c>
      <c r="AG164" s="4" t="str" cm="1">
        <f t="array" ref="AG164">IFERROR(INDEX(Table8[],_xlfn.XMATCH($O164,Table8[Dimension Name Category],0),_xlfn.XMATCH(AG$2&amp;IF($L164," w/ tag"," w/o tag"),Table8[#Headers],0)),"")</f>
        <v/>
      </c>
      <c r="AH164" s="59" t="str">
        <f t="shared" si="59"/>
        <v/>
      </c>
      <c r="AI164" s="4"/>
      <c r="AJ164" s="4" t="str">
        <f t="shared" si="60"/>
        <v/>
      </c>
      <c r="AK164" s="4" t="str">
        <f t="shared" si="61"/>
        <v/>
      </c>
      <c r="AL164" s="4" t="e" cm="1">
        <f t="array" ref="AL164">IF(INDEX(Table2[],_xlfn.XMATCH($A164,Table2[Steel Member],0),_xlfn.XMATCH(AL$2,Table2[#Headers],0))=0,"",INDEX(Table2[],_xlfn.XMATCH($A164,Table2[Steel Member],0),_xlfn.XMATCH(AL$2,Table2[#Headers],0)))</f>
        <v>#N/A</v>
      </c>
      <c r="AM164" s="4"/>
      <c r="AN164" s="4" t="str">
        <f t="shared" si="62"/>
        <v/>
      </c>
      <c r="AO164" s="4"/>
      <c r="AP164" s="4" t="e" cm="1">
        <f t="array" ref="AP164">IF(INDEX(Table2[],_xlfn.XMATCH($A164,Table2[Steel Member],0),_xlfn.XMATCH(AP$2,Table2[#Headers],0))=0,"",INDEX(Table2[],_xlfn.XMATCH($A164,Table2[Steel Member],0),_xlfn.XMATCH(AP$2,Table2[#Headers],0)))</f>
        <v>#N/A</v>
      </c>
      <c r="AQ164" s="4"/>
      <c r="AR164" s="4"/>
      <c r="AS164" s="4"/>
      <c r="AT164" s="4"/>
    </row>
    <row r="165" spans="1:46" x14ac:dyDescent="0.25">
      <c r="A165" s="52"/>
      <c r="B165" s="52"/>
      <c r="C165" s="52"/>
      <c r="D165" s="52"/>
      <c r="E165" s="52"/>
      <c r="F165" s="64" cm="1">
        <f t="array" ref="F165">IF(COUNT(FIND(PurlinsxGirthsxBracings,$C165))&gt;0,0,ROUNDUP(IF(D165=0,0,VLOOKUP(D165,'DATA SHEET'!$B:$D,2,FALSE)),2))</f>
        <v>0</v>
      </c>
      <c r="G165" s="64" cm="1">
        <f t="array" ref="G165">IF(COUNT(FIND(PurlinsxGirthsxBracings,$C165))&gt;0,0,ROUNDUP(IF(D165=0,0,VLOOKUP(D165,'DATA SHEET'!$B:$D,3,FALSE)),2))</f>
        <v>0</v>
      </c>
      <c r="H165" s="53"/>
      <c r="I165" s="66" cm="1">
        <f t="array" ref="I165">IF(AND(ISBLANK(B165),ISBLANK(C165),ISBLANK(E165)),0,IF(COUNT(FIND(PurlinsxGirthsxBracings,$C165))&gt;0,IF(B165=0,CONCATENATE(E165," ",C165),CONCATENATE(B165," - ",E165," ",C165)),IF(B165=0,IF(ISBLANK(C165),E165,CONCATENATE(D165,", ",F165,"kg/m, ",G165,"mm surface perimeter")),IF(AND(ISBLANK(C165),ISTEXT(E165)),CONCATENATE(B165," - ",E165),IF(AND(ISBLANK(C165),ISBLANK(E165)),B165,CONCATENATE(B165," - ",D165,", ",F165,"kg/m, ",G165,"mm surface perimeter"))))&amp;IF(ISBLANK(H165),"",H165)))</f>
        <v>0</v>
      </c>
      <c r="J165" s="53"/>
      <c r="L165" s="4" t="str" cm="1">
        <f t="array" ref="L165">IF(COUNT(FIND({0,1,2,3,4,5,6,7,8,9},B165))&gt;0,COUNT(FIND({0,1,2,3,4,5,6,7,8,9},B165))&gt;0,"")</f>
        <v/>
      </c>
      <c r="M165" s="4" t="str" cm="1">
        <f t="array" aca="1" ref="M165" ca="1">IFERROR(_xlfn.IFS(R165="Count",RANDBETWEEN(1,COUNTIF($R$11:$R$653,"Count")),R165="Length",RANDBETWEEN(1,COUNTIF($R$11:$R$653,"Length"))),"")</f>
        <v/>
      </c>
      <c r="N165" s="4" t="str">
        <f ca="1">IFERROR(_xlfn.RANK.EQ(M165,$M$11:$M$653)+COUNTIF($M$11:M165,M165)-1,"")</f>
        <v/>
      </c>
      <c r="O165" s="86" t="str">
        <f>IF(A165='DATA SHEET'!$L$36,C165,IFERROR(IF(AND(ISTEXT(I165),ISBLANK(C165)),"No details",VLOOKUP(C165,DimFolder,2,FALSE)),""))</f>
        <v/>
      </c>
      <c r="P165" s="4" t="str">
        <f t="shared" si="64"/>
        <v/>
      </c>
      <c r="Q165" s="58" t="str">
        <f t="shared" si="63"/>
        <v/>
      </c>
      <c r="R165" s="4" t="e" cm="1">
        <f t="array" ref="R165">IF(INDEX(Table2[],_xlfn.XMATCH($A165,Table2[Steel Member],0),_xlfn.XMATCH(R$2,Table2[#Headers],0))=0,"",INDEX(Table2[],_xlfn.XMATCH($A165,Table2[Steel Member],0),_xlfn.XMATCH(R$2,Table2[#Headers],0)))</f>
        <v>#N/A</v>
      </c>
      <c r="S165" s="4" t="e" cm="1">
        <f t="array" ref="S165">IF(INDEX(Table2[],_xlfn.XMATCH($A165,Table2[Steel Member],0),_xlfn.XMATCH(S$2,Table2[#Headers],0))=0,"",INDEX(Table2[],_xlfn.XMATCH($A165,Table2[Steel Member],0),_xlfn.XMATCH(S$2,Table2[#Headers],0)))</f>
        <v>#N/A</v>
      </c>
      <c r="T165" s="4" t="str">
        <f t="shared" si="54"/>
        <v/>
      </c>
      <c r="U165" s="4" t="e">
        <f ca="1">VLOOKUP(N165,'COLOR CODE'!$B:$D,2,FALSE)</f>
        <v>#N/A</v>
      </c>
      <c r="V165" s="4" t="str">
        <f t="shared" si="55"/>
        <v/>
      </c>
      <c r="W165" s="4" t="e" cm="1">
        <f t="array" ref="W165">IF(INDEX(Table2[],_xlfn.XMATCH($A165,Table2[Steel Member],0),_xlfn.XMATCH(W$2,Table2[#Headers],0))=0,"",INDEX(Table2[],_xlfn.XMATCH($A165,Table2[Steel Member],0),_xlfn.XMATCH(W$2,Table2[#Headers],0)))</f>
        <v>#N/A</v>
      </c>
      <c r="X165" s="4" t="e">
        <f t="shared" si="65"/>
        <v>#N/A</v>
      </c>
      <c r="Y165" s="4" t="e" cm="1">
        <f t="array" ref="Y165">IF(INDEX(Table2[],_xlfn.XMATCH($A165,Table2[Steel Member],0),_xlfn.XMATCH(Y$2,Table2[#Headers],0))=0,"",INDEX(Table2[],_xlfn.XMATCH($A165,Table2[Steel Member],0),_xlfn.XMATCH(Y$2,Table2[#Headers],0)))</f>
        <v>#N/A</v>
      </c>
      <c r="Z165" s="4" t="e" cm="1">
        <f t="array" ref="Z165">IF(INDEX(Table2[],_xlfn.XMATCH($A165,Table2[Steel Member],0),_xlfn.XMATCH(Z$2,Table2[#Headers],0))=0,"",INDEX(Table2[],_xlfn.XMATCH($A165,Table2[Steel Member],0),_xlfn.XMATCH(Z$2,Table2[#Headers],0)))</f>
        <v>#N/A</v>
      </c>
      <c r="AA165" s="4" t="e" cm="1">
        <f t="array" ref="AA165">IF(INDEX(Table2[],_xlfn.XMATCH($A165,Table2[Steel Member],0),_xlfn.XMATCH(AA$2,Table2[#Headers],0))=0,"",INDEX(Table2[],_xlfn.XMATCH($A165,Table2[Steel Member],0),_xlfn.XMATCH(AA$2,Table2[#Headers],0)))</f>
        <v>#N/A</v>
      </c>
      <c r="AB165" s="4" t="e" cm="1">
        <f t="array" ref="AB165">IF(INDEX(Table2[],_xlfn.XMATCH($A165,Table2[Steel Member],0),_xlfn.XMATCH(AB$2,Table2[#Headers],0))=0,"",INDEX(Table2[],_xlfn.XMATCH($A165,Table2[Steel Member],0),_xlfn.XMATCH(AB$2,Table2[#Headers],0)))</f>
        <v>#N/A</v>
      </c>
      <c r="AC165" s="4" t="str" cm="1">
        <f t="array" ref="AC165">IFERROR(INDEX(Table8[],_xlfn.XMATCH($O165,Table8[Dimension Name Category],0),_xlfn.XMATCH(AC$2&amp;IF($L165," w/ tag"," w/o tag"),Table8[#Headers],0)),"")</f>
        <v/>
      </c>
      <c r="AD165" s="59" t="str">
        <f t="shared" si="56"/>
        <v/>
      </c>
      <c r="AE165" s="4" t="str">
        <f t="shared" si="57"/>
        <v/>
      </c>
      <c r="AF165" s="4" t="str">
        <f t="shared" si="58"/>
        <v/>
      </c>
      <c r="AG165" s="4" t="str" cm="1">
        <f t="array" ref="AG165">IFERROR(INDEX(Table8[],_xlfn.XMATCH($O165,Table8[Dimension Name Category],0),_xlfn.XMATCH(AG$2&amp;IF($L165," w/ tag"," w/o tag"),Table8[#Headers],0)),"")</f>
        <v/>
      </c>
      <c r="AH165" s="59" t="str">
        <f t="shared" si="59"/>
        <v/>
      </c>
      <c r="AI165" s="4"/>
      <c r="AJ165" s="4" t="str">
        <f t="shared" si="60"/>
        <v/>
      </c>
      <c r="AK165" s="4" t="str">
        <f t="shared" si="61"/>
        <v/>
      </c>
      <c r="AL165" s="4" t="e" cm="1">
        <f t="array" ref="AL165">IF(INDEX(Table2[],_xlfn.XMATCH($A165,Table2[Steel Member],0),_xlfn.XMATCH(AL$2,Table2[#Headers],0))=0,"",INDEX(Table2[],_xlfn.XMATCH($A165,Table2[Steel Member],0),_xlfn.XMATCH(AL$2,Table2[#Headers],0)))</f>
        <v>#N/A</v>
      </c>
      <c r="AM165" s="4"/>
      <c r="AN165" s="4" t="str">
        <f t="shared" si="62"/>
        <v/>
      </c>
      <c r="AO165" s="4"/>
      <c r="AP165" s="4" t="e" cm="1">
        <f t="array" ref="AP165">IF(INDEX(Table2[],_xlfn.XMATCH($A165,Table2[Steel Member],0),_xlfn.XMATCH(AP$2,Table2[#Headers],0))=0,"",INDEX(Table2[],_xlfn.XMATCH($A165,Table2[Steel Member],0),_xlfn.XMATCH(AP$2,Table2[#Headers],0)))</f>
        <v>#N/A</v>
      </c>
      <c r="AQ165" s="4"/>
      <c r="AR165" s="4"/>
      <c r="AS165" s="4"/>
      <c r="AT165" s="4"/>
    </row>
    <row r="166" spans="1:46" x14ac:dyDescent="0.25">
      <c r="A166" s="52"/>
      <c r="B166" s="52"/>
      <c r="C166" s="52"/>
      <c r="D166" s="52"/>
      <c r="E166" s="52"/>
      <c r="F166" s="64" cm="1">
        <f t="array" ref="F166">IF(COUNT(FIND(PurlinsxGirthsxBracings,$C166))&gt;0,0,ROUNDUP(IF(D166=0,0,VLOOKUP(D166,'DATA SHEET'!$B:$D,2,FALSE)),2))</f>
        <v>0</v>
      </c>
      <c r="G166" s="64" cm="1">
        <f t="array" ref="G166">IF(COUNT(FIND(PurlinsxGirthsxBracings,$C166))&gt;0,0,ROUNDUP(IF(D166=0,0,VLOOKUP(D166,'DATA SHEET'!$B:$D,3,FALSE)),2))</f>
        <v>0</v>
      </c>
      <c r="H166" s="53"/>
      <c r="I166" s="66" cm="1">
        <f t="array" ref="I166">IF(AND(ISBLANK(B166),ISBLANK(C166),ISBLANK(E166)),0,IF(COUNT(FIND(PurlinsxGirthsxBracings,$C166))&gt;0,IF(B166=0,CONCATENATE(E166," ",C166),CONCATENATE(B166," - ",E166," ",C166)),IF(B166=0,IF(ISBLANK(C166),E166,CONCATENATE(D166,", ",F166,"kg/m, ",G166,"mm surface perimeter")),IF(AND(ISBLANK(C166),ISTEXT(E166)),CONCATENATE(B166," - ",E166),IF(AND(ISBLANK(C166),ISBLANK(E166)),B166,CONCATENATE(B166," - ",D166,", ",F166,"kg/m, ",G166,"mm surface perimeter"))))&amp;IF(ISBLANK(H166),"",H166)))</f>
        <v>0</v>
      </c>
      <c r="J166" s="53"/>
      <c r="L166" s="4" t="str" cm="1">
        <f t="array" ref="L166">IF(COUNT(FIND({0,1,2,3,4,5,6,7,8,9},B166))&gt;0,COUNT(FIND({0,1,2,3,4,5,6,7,8,9},B166))&gt;0,"")</f>
        <v/>
      </c>
      <c r="M166" s="4" t="str" cm="1">
        <f t="array" aca="1" ref="M166" ca="1">IFERROR(_xlfn.IFS(R166="Count",RANDBETWEEN(1,COUNTIF($R$11:$R$653,"Count")),R166="Length",RANDBETWEEN(1,COUNTIF($R$11:$R$653,"Length"))),"")</f>
        <v/>
      </c>
      <c r="N166" s="4" t="str">
        <f ca="1">IFERROR(_xlfn.RANK.EQ(M166,$M$11:$M$653)+COUNTIF($M$11:M166,M166)-1,"")</f>
        <v/>
      </c>
      <c r="O166" s="86" t="str">
        <f>IF(A166='DATA SHEET'!$L$36,C166,IFERROR(IF(AND(ISTEXT(I166),ISBLANK(C166)),"No details",VLOOKUP(C166,DimFolder,2,FALSE)),""))</f>
        <v/>
      </c>
      <c r="P166" s="4" t="str">
        <f t="shared" si="64"/>
        <v/>
      </c>
      <c r="Q166" s="58" t="str">
        <f t="shared" si="63"/>
        <v/>
      </c>
      <c r="R166" s="4" t="e" cm="1">
        <f t="array" ref="R166">IF(INDEX(Table2[],_xlfn.XMATCH($A166,Table2[Steel Member],0),_xlfn.XMATCH(R$2,Table2[#Headers],0))=0,"",INDEX(Table2[],_xlfn.XMATCH($A166,Table2[Steel Member],0),_xlfn.XMATCH(R$2,Table2[#Headers],0)))</f>
        <v>#N/A</v>
      </c>
      <c r="S166" s="4" t="e" cm="1">
        <f t="array" ref="S166">IF(INDEX(Table2[],_xlfn.XMATCH($A166,Table2[Steel Member],0),_xlfn.XMATCH(S$2,Table2[#Headers],0))=0,"",INDEX(Table2[],_xlfn.XMATCH($A166,Table2[Steel Member],0),_xlfn.XMATCH(S$2,Table2[#Headers],0)))</f>
        <v>#N/A</v>
      </c>
      <c r="T166" s="4" t="str">
        <f t="shared" si="54"/>
        <v/>
      </c>
      <c r="U166" s="4" t="e">
        <f ca="1">VLOOKUP(N166,'COLOR CODE'!$B:$D,2,FALSE)</f>
        <v>#N/A</v>
      </c>
      <c r="V166" s="4" t="str">
        <f t="shared" si="55"/>
        <v/>
      </c>
      <c r="W166" s="4" t="e" cm="1">
        <f t="array" ref="W166">IF(INDEX(Table2[],_xlfn.XMATCH($A166,Table2[Steel Member],0),_xlfn.XMATCH(W$2,Table2[#Headers],0))=0,"",INDEX(Table2[],_xlfn.XMATCH($A166,Table2[Steel Member],0),_xlfn.XMATCH(W$2,Table2[#Headers],0)))</f>
        <v>#N/A</v>
      </c>
      <c r="X166" s="4" t="e">
        <f t="shared" si="65"/>
        <v>#N/A</v>
      </c>
      <c r="Y166" s="4" t="e" cm="1">
        <f t="array" ref="Y166">IF(INDEX(Table2[],_xlfn.XMATCH($A166,Table2[Steel Member],0),_xlfn.XMATCH(Y$2,Table2[#Headers],0))=0,"",INDEX(Table2[],_xlfn.XMATCH($A166,Table2[Steel Member],0),_xlfn.XMATCH(Y$2,Table2[#Headers],0)))</f>
        <v>#N/A</v>
      </c>
      <c r="Z166" s="4" t="e" cm="1">
        <f t="array" ref="Z166">IF(INDEX(Table2[],_xlfn.XMATCH($A166,Table2[Steel Member],0),_xlfn.XMATCH(Z$2,Table2[#Headers],0))=0,"",INDEX(Table2[],_xlfn.XMATCH($A166,Table2[Steel Member],0),_xlfn.XMATCH(Z$2,Table2[#Headers],0)))</f>
        <v>#N/A</v>
      </c>
      <c r="AA166" s="4" t="e" cm="1">
        <f t="array" ref="AA166">IF(INDEX(Table2[],_xlfn.XMATCH($A166,Table2[Steel Member],0),_xlfn.XMATCH(AA$2,Table2[#Headers],0))=0,"",INDEX(Table2[],_xlfn.XMATCH($A166,Table2[Steel Member],0),_xlfn.XMATCH(AA$2,Table2[#Headers],0)))</f>
        <v>#N/A</v>
      </c>
      <c r="AB166" s="4" t="e" cm="1">
        <f t="array" ref="AB166">IF(INDEX(Table2[],_xlfn.XMATCH($A166,Table2[Steel Member],0),_xlfn.XMATCH(AB$2,Table2[#Headers],0))=0,"",INDEX(Table2[],_xlfn.XMATCH($A166,Table2[Steel Member],0),_xlfn.XMATCH(AB$2,Table2[#Headers],0)))</f>
        <v>#N/A</v>
      </c>
      <c r="AC166" s="4" t="str" cm="1">
        <f t="array" ref="AC166">IFERROR(INDEX(Table8[],_xlfn.XMATCH($O166,Table8[Dimension Name Category],0),_xlfn.XMATCH(AC$2&amp;IF($L166," w/ tag"," w/o tag"),Table8[#Headers],0)),"")</f>
        <v/>
      </c>
      <c r="AD166" s="59" t="str">
        <f t="shared" si="56"/>
        <v/>
      </c>
      <c r="AE166" s="4" t="str">
        <f t="shared" si="57"/>
        <v/>
      </c>
      <c r="AF166" s="4" t="str">
        <f t="shared" si="58"/>
        <v/>
      </c>
      <c r="AG166" s="4" t="str" cm="1">
        <f t="array" ref="AG166">IFERROR(INDEX(Table8[],_xlfn.XMATCH($O166,Table8[Dimension Name Category],0),_xlfn.XMATCH(AG$2&amp;IF($L166," w/ tag"," w/o tag"),Table8[#Headers],0)),"")</f>
        <v/>
      </c>
      <c r="AH166" s="59" t="str">
        <f t="shared" si="59"/>
        <v/>
      </c>
      <c r="AI166" s="4"/>
      <c r="AJ166" s="4" t="str">
        <f t="shared" si="60"/>
        <v/>
      </c>
      <c r="AK166" s="4" t="str">
        <f t="shared" si="61"/>
        <v/>
      </c>
      <c r="AL166" s="4" t="e" cm="1">
        <f t="array" ref="AL166">IF(INDEX(Table2[],_xlfn.XMATCH($A166,Table2[Steel Member],0),_xlfn.XMATCH(AL$2,Table2[#Headers],0))=0,"",INDEX(Table2[],_xlfn.XMATCH($A166,Table2[Steel Member],0),_xlfn.XMATCH(AL$2,Table2[#Headers],0)))</f>
        <v>#N/A</v>
      </c>
      <c r="AM166" s="4"/>
      <c r="AN166" s="4" t="str">
        <f t="shared" si="62"/>
        <v/>
      </c>
      <c r="AO166" s="4"/>
      <c r="AP166" s="4" t="e" cm="1">
        <f t="array" ref="AP166">IF(INDEX(Table2[],_xlfn.XMATCH($A166,Table2[Steel Member],0),_xlfn.XMATCH(AP$2,Table2[#Headers],0))=0,"",INDEX(Table2[],_xlfn.XMATCH($A166,Table2[Steel Member],0),_xlfn.XMATCH(AP$2,Table2[#Headers],0)))</f>
        <v>#N/A</v>
      </c>
      <c r="AQ166" s="4"/>
      <c r="AR166" s="4"/>
      <c r="AS166" s="4"/>
      <c r="AT166" s="4"/>
    </row>
    <row r="167" spans="1:46" x14ac:dyDescent="0.25">
      <c r="A167" s="52"/>
      <c r="B167" s="52"/>
      <c r="C167" s="52"/>
      <c r="D167" s="52"/>
      <c r="E167" s="52"/>
      <c r="F167" s="64" cm="1">
        <f t="array" ref="F167">IF(COUNT(FIND(PurlinsxGirthsxBracings,$C167))&gt;0,0,ROUNDUP(IF(D167=0,0,VLOOKUP(D167,'DATA SHEET'!$B:$D,2,FALSE)),2))</f>
        <v>0</v>
      </c>
      <c r="G167" s="64" cm="1">
        <f t="array" ref="G167">IF(COUNT(FIND(PurlinsxGirthsxBracings,$C167))&gt;0,0,ROUNDUP(IF(D167=0,0,VLOOKUP(D167,'DATA SHEET'!$B:$D,3,FALSE)),2))</f>
        <v>0</v>
      </c>
      <c r="H167" s="53"/>
      <c r="I167" s="66" cm="1">
        <f t="array" ref="I167">IF(AND(ISBLANK(B167),ISBLANK(C167),ISBLANK(E167)),0,IF(COUNT(FIND(PurlinsxGirthsxBracings,$C167))&gt;0,IF(B167=0,CONCATENATE(E167," ",C167),CONCATENATE(B167," - ",E167," ",C167)),IF(B167=0,IF(ISBLANK(C167),E167,CONCATENATE(D167,", ",F167,"kg/m, ",G167,"mm surface perimeter")),IF(AND(ISBLANK(C167),ISTEXT(E167)),CONCATENATE(B167," - ",E167),IF(AND(ISBLANK(C167),ISBLANK(E167)),B167,CONCATENATE(B167," - ",D167,", ",F167,"kg/m, ",G167,"mm surface perimeter"))))&amp;IF(ISBLANK(H167),"",H167)))</f>
        <v>0</v>
      </c>
      <c r="J167" s="53"/>
      <c r="L167" s="4" t="str" cm="1">
        <f t="array" ref="L167">IF(COUNT(FIND({0,1,2,3,4,5,6,7,8,9},B167))&gt;0,COUNT(FIND({0,1,2,3,4,5,6,7,8,9},B167))&gt;0,"")</f>
        <v/>
      </c>
      <c r="M167" s="4" t="str" cm="1">
        <f t="array" aca="1" ref="M167" ca="1">IFERROR(_xlfn.IFS(R167="Count",RANDBETWEEN(1,COUNTIF($R$11:$R$653,"Count")),R167="Length",RANDBETWEEN(1,COUNTIF($R$11:$R$653,"Length"))),"")</f>
        <v/>
      </c>
      <c r="N167" s="4" t="str">
        <f ca="1">IFERROR(_xlfn.RANK.EQ(M167,$M$11:$M$653)+COUNTIF($M$11:M167,M167)-1,"")</f>
        <v/>
      </c>
      <c r="O167" s="86" t="str">
        <f>IF(A167='DATA SHEET'!$L$36,C167,IFERROR(IF(AND(ISTEXT(I167),ISBLANK(C167)),"No details",VLOOKUP(C167,DimFolder,2,FALSE)),""))</f>
        <v/>
      </c>
      <c r="P167" s="4" t="str">
        <f t="shared" si="64"/>
        <v/>
      </c>
      <c r="Q167" s="58" t="str">
        <f t="shared" si="63"/>
        <v/>
      </c>
      <c r="R167" s="4" t="e" cm="1">
        <f t="array" ref="R167">IF(INDEX(Table2[],_xlfn.XMATCH($A167,Table2[Steel Member],0),_xlfn.XMATCH(R$2,Table2[#Headers],0))=0,"",INDEX(Table2[],_xlfn.XMATCH($A167,Table2[Steel Member],0),_xlfn.XMATCH(R$2,Table2[#Headers],0)))</f>
        <v>#N/A</v>
      </c>
      <c r="S167" s="4" t="e" cm="1">
        <f t="array" ref="S167">IF(INDEX(Table2[],_xlfn.XMATCH($A167,Table2[Steel Member],0),_xlfn.XMATCH(S$2,Table2[#Headers],0))=0,"",INDEX(Table2[],_xlfn.XMATCH($A167,Table2[Steel Member],0),_xlfn.XMATCH(S$2,Table2[#Headers],0)))</f>
        <v>#N/A</v>
      </c>
      <c r="T167" s="4" t="str">
        <f t="shared" si="54"/>
        <v/>
      </c>
      <c r="U167" s="4" t="e">
        <f ca="1">VLOOKUP(N167,'COLOR CODE'!$B:$D,2,FALSE)</f>
        <v>#N/A</v>
      </c>
      <c r="V167" s="4" t="str">
        <f t="shared" si="55"/>
        <v/>
      </c>
      <c r="W167" s="4" t="e" cm="1">
        <f t="array" ref="W167">IF(INDEX(Table2[],_xlfn.XMATCH($A167,Table2[Steel Member],0),_xlfn.XMATCH(W$2,Table2[#Headers],0))=0,"",INDEX(Table2[],_xlfn.XMATCH($A167,Table2[Steel Member],0),_xlfn.XMATCH(W$2,Table2[#Headers],0)))</f>
        <v>#N/A</v>
      </c>
      <c r="X167" s="4" t="e">
        <f t="shared" si="65"/>
        <v>#N/A</v>
      </c>
      <c r="Y167" s="4" t="e" cm="1">
        <f t="array" ref="Y167">IF(INDEX(Table2[],_xlfn.XMATCH($A167,Table2[Steel Member],0),_xlfn.XMATCH(Y$2,Table2[#Headers],0))=0,"",INDEX(Table2[],_xlfn.XMATCH($A167,Table2[Steel Member],0),_xlfn.XMATCH(Y$2,Table2[#Headers],0)))</f>
        <v>#N/A</v>
      </c>
      <c r="Z167" s="4" t="e" cm="1">
        <f t="array" ref="Z167">IF(INDEX(Table2[],_xlfn.XMATCH($A167,Table2[Steel Member],0),_xlfn.XMATCH(Z$2,Table2[#Headers],0))=0,"",INDEX(Table2[],_xlfn.XMATCH($A167,Table2[Steel Member],0),_xlfn.XMATCH(Z$2,Table2[#Headers],0)))</f>
        <v>#N/A</v>
      </c>
      <c r="AA167" s="4" t="e" cm="1">
        <f t="array" ref="AA167">IF(INDEX(Table2[],_xlfn.XMATCH($A167,Table2[Steel Member],0),_xlfn.XMATCH(AA$2,Table2[#Headers],0))=0,"",INDEX(Table2[],_xlfn.XMATCH($A167,Table2[Steel Member],0),_xlfn.XMATCH(AA$2,Table2[#Headers],0)))</f>
        <v>#N/A</v>
      </c>
      <c r="AB167" s="4" t="e" cm="1">
        <f t="array" ref="AB167">IF(INDEX(Table2[],_xlfn.XMATCH($A167,Table2[Steel Member],0),_xlfn.XMATCH(AB$2,Table2[#Headers],0))=0,"",INDEX(Table2[],_xlfn.XMATCH($A167,Table2[Steel Member],0),_xlfn.XMATCH(AB$2,Table2[#Headers],0)))</f>
        <v>#N/A</v>
      </c>
      <c r="AC167" s="4" t="str" cm="1">
        <f t="array" ref="AC167">IFERROR(INDEX(Table8[],_xlfn.XMATCH($O167,Table8[Dimension Name Category],0),_xlfn.XMATCH(AC$2&amp;IF($L167," w/ tag"," w/o tag"),Table8[#Headers],0)),"")</f>
        <v/>
      </c>
      <c r="AD167" s="59" t="str">
        <f t="shared" si="56"/>
        <v/>
      </c>
      <c r="AE167" s="4" t="str">
        <f t="shared" si="57"/>
        <v/>
      </c>
      <c r="AF167" s="4" t="str">
        <f t="shared" si="58"/>
        <v/>
      </c>
      <c r="AG167" s="4" t="str" cm="1">
        <f t="array" ref="AG167">IFERROR(INDEX(Table8[],_xlfn.XMATCH($O167,Table8[Dimension Name Category],0),_xlfn.XMATCH(AG$2&amp;IF($L167," w/ tag"," w/o tag"),Table8[#Headers],0)),"")</f>
        <v/>
      </c>
      <c r="AH167" s="59" t="str">
        <f t="shared" si="59"/>
        <v/>
      </c>
      <c r="AI167" s="4"/>
      <c r="AJ167" s="4" t="str">
        <f t="shared" si="60"/>
        <v/>
      </c>
      <c r="AK167" s="4" t="str">
        <f t="shared" si="61"/>
        <v/>
      </c>
      <c r="AL167" s="4" t="e" cm="1">
        <f t="array" ref="AL167">IF(INDEX(Table2[],_xlfn.XMATCH($A167,Table2[Steel Member],0),_xlfn.XMATCH(AL$2,Table2[#Headers],0))=0,"",INDEX(Table2[],_xlfn.XMATCH($A167,Table2[Steel Member],0),_xlfn.XMATCH(AL$2,Table2[#Headers],0)))</f>
        <v>#N/A</v>
      </c>
      <c r="AM167" s="4"/>
      <c r="AN167" s="4" t="str">
        <f t="shared" si="62"/>
        <v/>
      </c>
      <c r="AO167" s="4"/>
      <c r="AP167" s="4" t="e" cm="1">
        <f t="array" ref="AP167">IF(INDEX(Table2[],_xlfn.XMATCH($A167,Table2[Steel Member],0),_xlfn.XMATCH(AP$2,Table2[#Headers],0))=0,"",INDEX(Table2[],_xlfn.XMATCH($A167,Table2[Steel Member],0),_xlfn.XMATCH(AP$2,Table2[#Headers],0)))</f>
        <v>#N/A</v>
      </c>
      <c r="AQ167" s="4"/>
      <c r="AR167" s="4"/>
      <c r="AS167" s="4"/>
      <c r="AT167" s="4"/>
    </row>
    <row r="168" spans="1:46" x14ac:dyDescent="0.25">
      <c r="A168" s="52"/>
      <c r="B168" s="52"/>
      <c r="C168" s="52"/>
      <c r="D168" s="52"/>
      <c r="E168" s="52"/>
      <c r="F168" s="64" cm="1">
        <f t="array" ref="F168">IF(COUNT(FIND(PurlinsxGirthsxBracings,$C168))&gt;0,0,ROUNDUP(IF(D168=0,0,VLOOKUP(D168,'DATA SHEET'!$B:$D,2,FALSE)),2))</f>
        <v>0</v>
      </c>
      <c r="G168" s="64" cm="1">
        <f t="array" ref="G168">IF(COUNT(FIND(PurlinsxGirthsxBracings,$C168))&gt;0,0,ROUNDUP(IF(D168=0,0,VLOOKUP(D168,'DATA SHEET'!$B:$D,3,FALSE)),2))</f>
        <v>0</v>
      </c>
      <c r="H168" s="53"/>
      <c r="I168" s="66" cm="1">
        <f t="array" ref="I168">IF(AND(ISBLANK(B168),ISBLANK(C168),ISBLANK(E168)),0,IF(COUNT(FIND(PurlinsxGirthsxBracings,$C168))&gt;0,IF(B168=0,CONCATENATE(E168," ",C168),CONCATENATE(B168," - ",E168," ",C168)),IF(B168=0,IF(ISBLANK(C168),E168,CONCATENATE(D168,", ",F168,"kg/m, ",G168,"mm surface perimeter")),IF(AND(ISBLANK(C168),ISTEXT(E168)),CONCATENATE(B168," - ",E168),IF(AND(ISBLANK(C168),ISBLANK(E168)),B168,CONCATENATE(B168," - ",D168,", ",F168,"kg/m, ",G168,"mm surface perimeter"))))&amp;IF(ISBLANK(H168),"",H168)))</f>
        <v>0</v>
      </c>
      <c r="J168" s="53"/>
      <c r="L168" s="4" t="str" cm="1">
        <f t="array" ref="L168">IF(COUNT(FIND({0,1,2,3,4,5,6,7,8,9},B168))&gt;0,COUNT(FIND({0,1,2,3,4,5,6,7,8,9},B168))&gt;0,"")</f>
        <v/>
      </c>
      <c r="M168" s="4" t="str" cm="1">
        <f t="array" aca="1" ref="M168" ca="1">IFERROR(_xlfn.IFS(R168="Count",RANDBETWEEN(1,COUNTIF($R$11:$R$653,"Count")),R168="Length",RANDBETWEEN(1,COUNTIF($R$11:$R$653,"Length"))),"")</f>
        <v/>
      </c>
      <c r="N168" s="4" t="str">
        <f ca="1">IFERROR(_xlfn.RANK.EQ(M168,$M$11:$M$653)+COUNTIF($M$11:M168,M168)-1,"")</f>
        <v/>
      </c>
      <c r="O168" s="86" t="str">
        <f>IF(A168='DATA SHEET'!$L$36,C168,IFERROR(IF(AND(ISTEXT(I168),ISBLANK(C168)),"No details",VLOOKUP(C168,DimFolder,2,FALSE)),""))</f>
        <v/>
      </c>
      <c r="P168" s="4" t="str">
        <f t="shared" si="64"/>
        <v/>
      </c>
      <c r="Q168" s="58" t="str">
        <f t="shared" si="63"/>
        <v/>
      </c>
      <c r="R168" s="4" t="e" cm="1">
        <f t="array" ref="R168">IF(INDEX(Table2[],_xlfn.XMATCH($A168,Table2[Steel Member],0),_xlfn.XMATCH(R$2,Table2[#Headers],0))=0,"",INDEX(Table2[],_xlfn.XMATCH($A168,Table2[Steel Member],0),_xlfn.XMATCH(R$2,Table2[#Headers],0)))</f>
        <v>#N/A</v>
      </c>
      <c r="S168" s="4" t="e" cm="1">
        <f t="array" ref="S168">IF(INDEX(Table2[],_xlfn.XMATCH($A168,Table2[Steel Member],0),_xlfn.XMATCH(S$2,Table2[#Headers],0))=0,"",INDEX(Table2[],_xlfn.XMATCH($A168,Table2[Steel Member],0),_xlfn.XMATCH(S$2,Table2[#Headers],0)))</f>
        <v>#N/A</v>
      </c>
      <c r="T168" s="4" t="str">
        <f t="shared" si="54"/>
        <v/>
      </c>
      <c r="U168" s="4" t="e">
        <f ca="1">VLOOKUP(N168,'COLOR CODE'!$B:$D,2,FALSE)</f>
        <v>#N/A</v>
      </c>
      <c r="V168" s="4" t="str">
        <f t="shared" si="55"/>
        <v/>
      </c>
      <c r="W168" s="4" t="e" cm="1">
        <f t="array" ref="W168">IF(INDEX(Table2[],_xlfn.XMATCH($A168,Table2[Steel Member],0),_xlfn.XMATCH(W$2,Table2[#Headers],0))=0,"",INDEX(Table2[],_xlfn.XMATCH($A168,Table2[Steel Member],0),_xlfn.XMATCH(W$2,Table2[#Headers],0)))</f>
        <v>#N/A</v>
      </c>
      <c r="X168" s="4" t="e">
        <f t="shared" si="65"/>
        <v>#N/A</v>
      </c>
      <c r="Y168" s="4" t="e" cm="1">
        <f t="array" ref="Y168">IF(INDEX(Table2[],_xlfn.XMATCH($A168,Table2[Steel Member],0),_xlfn.XMATCH(Y$2,Table2[#Headers],0))=0,"",INDEX(Table2[],_xlfn.XMATCH($A168,Table2[Steel Member],0),_xlfn.XMATCH(Y$2,Table2[#Headers],0)))</f>
        <v>#N/A</v>
      </c>
      <c r="Z168" s="4" t="e" cm="1">
        <f t="array" ref="Z168">IF(INDEX(Table2[],_xlfn.XMATCH($A168,Table2[Steel Member],0),_xlfn.XMATCH(Z$2,Table2[#Headers],0))=0,"",INDEX(Table2[],_xlfn.XMATCH($A168,Table2[Steel Member],0),_xlfn.XMATCH(Z$2,Table2[#Headers],0)))</f>
        <v>#N/A</v>
      </c>
      <c r="AA168" s="4" t="e" cm="1">
        <f t="array" ref="AA168">IF(INDEX(Table2[],_xlfn.XMATCH($A168,Table2[Steel Member],0),_xlfn.XMATCH(AA$2,Table2[#Headers],0))=0,"",INDEX(Table2[],_xlfn.XMATCH($A168,Table2[Steel Member],0),_xlfn.XMATCH(AA$2,Table2[#Headers],0)))</f>
        <v>#N/A</v>
      </c>
      <c r="AB168" s="4" t="e" cm="1">
        <f t="array" ref="AB168">IF(INDEX(Table2[],_xlfn.XMATCH($A168,Table2[Steel Member],0),_xlfn.XMATCH(AB$2,Table2[#Headers],0))=0,"",INDEX(Table2[],_xlfn.XMATCH($A168,Table2[Steel Member],0),_xlfn.XMATCH(AB$2,Table2[#Headers],0)))</f>
        <v>#N/A</v>
      </c>
      <c r="AC168" s="4" t="str" cm="1">
        <f t="array" ref="AC168">IFERROR(INDEX(Table8[],_xlfn.XMATCH($O168,Table8[Dimension Name Category],0),_xlfn.XMATCH(AC$2&amp;IF($L168," w/ tag"," w/o tag"),Table8[#Headers],0)),"")</f>
        <v/>
      </c>
      <c r="AD168" s="59" t="str">
        <f t="shared" si="56"/>
        <v/>
      </c>
      <c r="AE168" s="4" t="str">
        <f t="shared" si="57"/>
        <v/>
      </c>
      <c r="AF168" s="4" t="str">
        <f t="shared" si="58"/>
        <v/>
      </c>
      <c r="AG168" s="4" t="str" cm="1">
        <f t="array" ref="AG168">IFERROR(INDEX(Table8[],_xlfn.XMATCH($O168,Table8[Dimension Name Category],0),_xlfn.XMATCH(AG$2&amp;IF($L168," w/ tag"," w/o tag"),Table8[#Headers],0)),"")</f>
        <v/>
      </c>
      <c r="AH168" s="59" t="str">
        <f t="shared" si="59"/>
        <v/>
      </c>
      <c r="AI168" s="4"/>
      <c r="AJ168" s="4" t="str">
        <f t="shared" si="60"/>
        <v/>
      </c>
      <c r="AK168" s="4" t="str">
        <f t="shared" si="61"/>
        <v/>
      </c>
      <c r="AL168" s="4" t="e" cm="1">
        <f t="array" ref="AL168">IF(INDEX(Table2[],_xlfn.XMATCH($A168,Table2[Steel Member],0),_xlfn.XMATCH(AL$2,Table2[#Headers],0))=0,"",INDEX(Table2[],_xlfn.XMATCH($A168,Table2[Steel Member],0),_xlfn.XMATCH(AL$2,Table2[#Headers],0)))</f>
        <v>#N/A</v>
      </c>
      <c r="AM168" s="4"/>
      <c r="AN168" s="4" t="str">
        <f t="shared" si="62"/>
        <v/>
      </c>
      <c r="AO168" s="4"/>
      <c r="AP168" s="4" t="e" cm="1">
        <f t="array" ref="AP168">IF(INDEX(Table2[],_xlfn.XMATCH($A168,Table2[Steel Member],0),_xlfn.XMATCH(AP$2,Table2[#Headers],0))=0,"",INDEX(Table2[],_xlfn.XMATCH($A168,Table2[Steel Member],0),_xlfn.XMATCH(AP$2,Table2[#Headers],0)))</f>
        <v>#N/A</v>
      </c>
      <c r="AQ168" s="4"/>
      <c r="AR168" s="4"/>
      <c r="AS168" s="4"/>
      <c r="AT168" s="4"/>
    </row>
    <row r="169" spans="1:46" x14ac:dyDescent="0.25">
      <c r="A169" s="52"/>
      <c r="B169" s="52"/>
      <c r="C169" s="52"/>
      <c r="D169" s="52"/>
      <c r="E169" s="52"/>
      <c r="F169" s="64" cm="1">
        <f t="array" ref="F169">IF(COUNT(FIND(PurlinsxGirthsxBracings,$C169))&gt;0,0,ROUNDUP(IF(D169=0,0,VLOOKUP(D169,'DATA SHEET'!$B:$D,2,FALSE)),2))</f>
        <v>0</v>
      </c>
      <c r="G169" s="64" cm="1">
        <f t="array" ref="G169">IF(COUNT(FIND(PurlinsxGirthsxBracings,$C169))&gt;0,0,ROUNDUP(IF(D169=0,0,VLOOKUP(D169,'DATA SHEET'!$B:$D,3,FALSE)),2))</f>
        <v>0</v>
      </c>
      <c r="H169" s="53"/>
      <c r="I169" s="66" cm="1">
        <f t="array" ref="I169">IF(AND(ISBLANK(B169),ISBLANK(C169),ISBLANK(E169)),0,IF(COUNT(FIND(PurlinsxGirthsxBracings,$C169))&gt;0,IF(B169=0,CONCATENATE(E169," ",C169),CONCATENATE(B169," - ",E169," ",C169)),IF(B169=0,IF(ISBLANK(C169),E169,CONCATENATE(D169,", ",F169,"kg/m, ",G169,"mm surface perimeter")),IF(AND(ISBLANK(C169),ISTEXT(E169)),CONCATENATE(B169," - ",E169),IF(AND(ISBLANK(C169),ISBLANK(E169)),B169,CONCATENATE(B169," - ",D169,", ",F169,"kg/m, ",G169,"mm surface perimeter"))))&amp;IF(ISBLANK(H169),"",H169)))</f>
        <v>0</v>
      </c>
      <c r="J169" s="53"/>
      <c r="L169" s="4" t="str" cm="1">
        <f t="array" ref="L169">IF(COUNT(FIND({0,1,2,3,4,5,6,7,8,9},B169))&gt;0,COUNT(FIND({0,1,2,3,4,5,6,7,8,9},B169))&gt;0,"")</f>
        <v/>
      </c>
      <c r="M169" s="4" t="str" cm="1">
        <f t="array" aca="1" ref="M169" ca="1">IFERROR(_xlfn.IFS(R169="Count",RANDBETWEEN(1,COUNTIF($R$11:$R$653,"Count")),R169="Length",RANDBETWEEN(1,COUNTIF($R$11:$R$653,"Length"))),"")</f>
        <v/>
      </c>
      <c r="N169" s="4" t="str">
        <f ca="1">IFERROR(_xlfn.RANK.EQ(M169,$M$11:$M$653)+COUNTIF($M$11:M169,M169)-1,"")</f>
        <v/>
      </c>
      <c r="O169" s="86" t="str">
        <f>IF(A169='DATA SHEET'!$L$36,C169,IFERROR(IF(AND(ISTEXT(I169),ISBLANK(C169)),"No details",VLOOKUP(C169,DimFolder,2,FALSE)),""))</f>
        <v/>
      </c>
      <c r="P169" s="4" t="str">
        <f t="shared" si="64"/>
        <v/>
      </c>
      <c r="Q169" s="58" t="str">
        <f t="shared" si="63"/>
        <v/>
      </c>
      <c r="R169" s="4" t="e" cm="1">
        <f t="array" ref="R169">IF(INDEX(Table2[],_xlfn.XMATCH($A169,Table2[Steel Member],0),_xlfn.XMATCH(R$2,Table2[#Headers],0))=0,"",INDEX(Table2[],_xlfn.XMATCH($A169,Table2[Steel Member],0),_xlfn.XMATCH(R$2,Table2[#Headers],0)))</f>
        <v>#N/A</v>
      </c>
      <c r="S169" s="4" t="e" cm="1">
        <f t="array" ref="S169">IF(INDEX(Table2[],_xlfn.XMATCH($A169,Table2[Steel Member],0),_xlfn.XMATCH(S$2,Table2[#Headers],0))=0,"",INDEX(Table2[],_xlfn.XMATCH($A169,Table2[Steel Member],0),_xlfn.XMATCH(S$2,Table2[#Headers],0)))</f>
        <v>#N/A</v>
      </c>
      <c r="T169" s="4" t="str">
        <f t="shared" si="54"/>
        <v/>
      </c>
      <c r="U169" s="4" t="e">
        <f ca="1">VLOOKUP(N169,'COLOR CODE'!$B:$D,2,FALSE)</f>
        <v>#N/A</v>
      </c>
      <c r="V169" s="4" t="str">
        <f t="shared" si="55"/>
        <v/>
      </c>
      <c r="W169" s="4" t="e" cm="1">
        <f t="array" ref="W169">IF(INDEX(Table2[],_xlfn.XMATCH($A169,Table2[Steel Member],0),_xlfn.XMATCH(W$2,Table2[#Headers],0))=0,"",INDEX(Table2[],_xlfn.XMATCH($A169,Table2[Steel Member],0),_xlfn.XMATCH(W$2,Table2[#Headers],0)))</f>
        <v>#N/A</v>
      </c>
      <c r="X169" s="4" t="e">
        <f t="shared" si="65"/>
        <v>#N/A</v>
      </c>
      <c r="Y169" s="4" t="e" cm="1">
        <f t="array" ref="Y169">IF(INDEX(Table2[],_xlfn.XMATCH($A169,Table2[Steel Member],0),_xlfn.XMATCH(Y$2,Table2[#Headers],0))=0,"",INDEX(Table2[],_xlfn.XMATCH($A169,Table2[Steel Member],0),_xlfn.XMATCH(Y$2,Table2[#Headers],0)))</f>
        <v>#N/A</v>
      </c>
      <c r="Z169" s="4" t="e" cm="1">
        <f t="array" ref="Z169">IF(INDEX(Table2[],_xlfn.XMATCH($A169,Table2[Steel Member],0),_xlfn.XMATCH(Z$2,Table2[#Headers],0))=0,"",INDEX(Table2[],_xlfn.XMATCH($A169,Table2[Steel Member],0),_xlfn.XMATCH(Z$2,Table2[#Headers],0)))</f>
        <v>#N/A</v>
      </c>
      <c r="AA169" s="4" t="e" cm="1">
        <f t="array" ref="AA169">IF(INDEX(Table2[],_xlfn.XMATCH($A169,Table2[Steel Member],0),_xlfn.XMATCH(AA$2,Table2[#Headers],0))=0,"",INDEX(Table2[],_xlfn.XMATCH($A169,Table2[Steel Member],0),_xlfn.XMATCH(AA$2,Table2[#Headers],0)))</f>
        <v>#N/A</v>
      </c>
      <c r="AB169" s="4" t="e" cm="1">
        <f t="array" ref="AB169">IF(INDEX(Table2[],_xlfn.XMATCH($A169,Table2[Steel Member],0),_xlfn.XMATCH(AB$2,Table2[#Headers],0))=0,"",INDEX(Table2[],_xlfn.XMATCH($A169,Table2[Steel Member],0),_xlfn.XMATCH(AB$2,Table2[#Headers],0)))</f>
        <v>#N/A</v>
      </c>
      <c r="AC169" s="4" t="str" cm="1">
        <f t="array" ref="AC169">IFERROR(INDEX(Table8[],_xlfn.XMATCH($O169,Table8[Dimension Name Category],0),_xlfn.XMATCH(AC$2&amp;IF($L169," w/ tag"," w/o tag"),Table8[#Headers],0)),"")</f>
        <v/>
      </c>
      <c r="AD169" s="59" t="str">
        <f t="shared" si="56"/>
        <v/>
      </c>
      <c r="AE169" s="4" t="str">
        <f t="shared" si="57"/>
        <v/>
      </c>
      <c r="AF169" s="4" t="str">
        <f t="shared" si="58"/>
        <v/>
      </c>
      <c r="AG169" s="4" t="str" cm="1">
        <f t="array" ref="AG169">IFERROR(INDEX(Table8[],_xlfn.XMATCH($O169,Table8[Dimension Name Category],0),_xlfn.XMATCH(AG$2&amp;IF($L169," w/ tag"," w/o tag"),Table8[#Headers],0)),"")</f>
        <v/>
      </c>
      <c r="AH169" s="59" t="str">
        <f t="shared" si="59"/>
        <v/>
      </c>
      <c r="AI169" s="4"/>
      <c r="AJ169" s="4" t="str">
        <f t="shared" si="60"/>
        <v/>
      </c>
      <c r="AK169" s="4" t="str">
        <f t="shared" si="61"/>
        <v/>
      </c>
      <c r="AL169" s="4" t="e" cm="1">
        <f t="array" ref="AL169">IF(INDEX(Table2[],_xlfn.XMATCH($A169,Table2[Steel Member],0),_xlfn.XMATCH(AL$2,Table2[#Headers],0))=0,"",INDEX(Table2[],_xlfn.XMATCH($A169,Table2[Steel Member],0),_xlfn.XMATCH(AL$2,Table2[#Headers],0)))</f>
        <v>#N/A</v>
      </c>
      <c r="AM169" s="4"/>
      <c r="AN169" s="4" t="str">
        <f t="shared" si="62"/>
        <v/>
      </c>
      <c r="AO169" s="4"/>
      <c r="AP169" s="4" t="e" cm="1">
        <f t="array" ref="AP169">IF(INDEX(Table2[],_xlfn.XMATCH($A169,Table2[Steel Member],0),_xlfn.XMATCH(AP$2,Table2[#Headers],0))=0,"",INDEX(Table2[],_xlfn.XMATCH($A169,Table2[Steel Member],0),_xlfn.XMATCH(AP$2,Table2[#Headers],0)))</f>
        <v>#N/A</v>
      </c>
      <c r="AQ169" s="4"/>
      <c r="AR169" s="4"/>
      <c r="AS169" s="4"/>
      <c r="AT169" s="4"/>
    </row>
    <row r="170" spans="1:46" x14ac:dyDescent="0.25">
      <c r="A170" s="52"/>
      <c r="B170" s="52"/>
      <c r="C170" s="52"/>
      <c r="D170" s="52"/>
      <c r="E170" s="52"/>
      <c r="F170" s="64" cm="1">
        <f t="array" ref="F170">IF(COUNT(FIND(PurlinsxGirthsxBracings,$C170))&gt;0,0,ROUNDUP(IF(D170=0,0,VLOOKUP(D170,'DATA SHEET'!$B:$D,2,FALSE)),2))</f>
        <v>0</v>
      </c>
      <c r="G170" s="64" cm="1">
        <f t="array" ref="G170">IF(COUNT(FIND(PurlinsxGirthsxBracings,$C170))&gt;0,0,ROUNDUP(IF(D170=0,0,VLOOKUP(D170,'DATA SHEET'!$B:$D,3,FALSE)),2))</f>
        <v>0</v>
      </c>
      <c r="H170" s="53"/>
      <c r="I170" s="66" cm="1">
        <f t="array" ref="I170">IF(AND(ISBLANK(B170),ISBLANK(C170),ISBLANK(E170)),0,IF(COUNT(FIND(PurlinsxGirthsxBracings,$C170))&gt;0,IF(B170=0,CONCATENATE(E170," ",C170),CONCATENATE(B170," - ",E170," ",C170)),IF(B170=0,IF(ISBLANK(C170),E170,CONCATENATE(D170,", ",F170,"kg/m, ",G170,"mm surface perimeter")),IF(AND(ISBLANK(C170),ISTEXT(E170)),CONCATENATE(B170," - ",E170),IF(AND(ISBLANK(C170),ISBLANK(E170)),B170,CONCATENATE(B170," - ",D170,", ",F170,"kg/m, ",G170,"mm surface perimeter"))))&amp;IF(ISBLANK(H170),"",H170)))</f>
        <v>0</v>
      </c>
      <c r="J170" s="53"/>
      <c r="L170" s="4" t="str" cm="1">
        <f t="array" ref="L170">IF(COUNT(FIND({0,1,2,3,4,5,6,7,8,9},B170))&gt;0,COUNT(FIND({0,1,2,3,4,5,6,7,8,9},B170))&gt;0,"")</f>
        <v/>
      </c>
      <c r="M170" s="4" t="str" cm="1">
        <f t="array" aca="1" ref="M170" ca="1">IFERROR(_xlfn.IFS(R170="Count",RANDBETWEEN(1,COUNTIF($R$11:$R$653,"Count")),R170="Length",RANDBETWEEN(1,COUNTIF($R$11:$R$653,"Length"))),"")</f>
        <v/>
      </c>
      <c r="N170" s="4" t="str">
        <f ca="1">IFERROR(_xlfn.RANK.EQ(M170,$M$11:$M$653)+COUNTIF($M$11:M170,M170)-1,"")</f>
        <v/>
      </c>
      <c r="O170" s="86" t="str">
        <f>IF(A170='DATA SHEET'!$L$36,C170,IFERROR(IF(AND(ISTEXT(I170),ISBLANK(C170)),"No details",VLOOKUP(C170,DimFolder,2,FALSE)),""))</f>
        <v/>
      </c>
      <c r="P170" s="4" t="str">
        <f t="shared" si="64"/>
        <v/>
      </c>
      <c r="Q170" s="58" t="str">
        <f t="shared" si="63"/>
        <v/>
      </c>
      <c r="R170" s="4" t="e" cm="1">
        <f t="array" ref="R170">IF(INDEX(Table2[],_xlfn.XMATCH($A170,Table2[Steel Member],0),_xlfn.XMATCH(R$2,Table2[#Headers],0))=0,"",INDEX(Table2[],_xlfn.XMATCH($A170,Table2[Steel Member],0),_xlfn.XMATCH(R$2,Table2[#Headers],0)))</f>
        <v>#N/A</v>
      </c>
      <c r="S170" s="4" t="e" cm="1">
        <f t="array" ref="S170">IF(INDEX(Table2[],_xlfn.XMATCH($A170,Table2[Steel Member],0),_xlfn.XMATCH(S$2,Table2[#Headers],0))=0,"",INDEX(Table2[],_xlfn.XMATCH($A170,Table2[Steel Member],0),_xlfn.XMATCH(S$2,Table2[#Headers],0)))</f>
        <v>#N/A</v>
      </c>
      <c r="T170" s="4" t="str">
        <f t="shared" si="54"/>
        <v/>
      </c>
      <c r="U170" s="4" t="e">
        <f ca="1">VLOOKUP(N170,'COLOR CODE'!$B:$D,2,FALSE)</f>
        <v>#N/A</v>
      </c>
      <c r="V170" s="4" t="str">
        <f t="shared" si="55"/>
        <v/>
      </c>
      <c r="W170" s="4" t="e" cm="1">
        <f t="array" ref="W170">IF(INDEX(Table2[],_xlfn.XMATCH($A170,Table2[Steel Member],0),_xlfn.XMATCH(W$2,Table2[#Headers],0))=0,"",INDEX(Table2[],_xlfn.XMATCH($A170,Table2[Steel Member],0),_xlfn.XMATCH(W$2,Table2[#Headers],0)))</f>
        <v>#N/A</v>
      </c>
      <c r="X170" s="4" t="e">
        <f t="shared" si="65"/>
        <v>#N/A</v>
      </c>
      <c r="Y170" s="4" t="e" cm="1">
        <f t="array" ref="Y170">IF(INDEX(Table2[],_xlfn.XMATCH($A170,Table2[Steel Member],0),_xlfn.XMATCH(Y$2,Table2[#Headers],0))=0,"",INDEX(Table2[],_xlfn.XMATCH($A170,Table2[Steel Member],0),_xlfn.XMATCH(Y$2,Table2[#Headers],0)))</f>
        <v>#N/A</v>
      </c>
      <c r="Z170" s="4" t="e" cm="1">
        <f t="array" ref="Z170">IF(INDEX(Table2[],_xlfn.XMATCH($A170,Table2[Steel Member],0),_xlfn.XMATCH(Z$2,Table2[#Headers],0))=0,"",INDEX(Table2[],_xlfn.XMATCH($A170,Table2[Steel Member],0),_xlfn.XMATCH(Z$2,Table2[#Headers],0)))</f>
        <v>#N/A</v>
      </c>
      <c r="AA170" s="4" t="e" cm="1">
        <f t="array" ref="AA170">IF(INDEX(Table2[],_xlfn.XMATCH($A170,Table2[Steel Member],0),_xlfn.XMATCH(AA$2,Table2[#Headers],0))=0,"",INDEX(Table2[],_xlfn.XMATCH($A170,Table2[Steel Member],0),_xlfn.XMATCH(AA$2,Table2[#Headers],0)))</f>
        <v>#N/A</v>
      </c>
      <c r="AB170" s="4" t="e" cm="1">
        <f t="array" ref="AB170">IF(INDEX(Table2[],_xlfn.XMATCH($A170,Table2[Steel Member],0),_xlfn.XMATCH(AB$2,Table2[#Headers],0))=0,"",INDEX(Table2[],_xlfn.XMATCH($A170,Table2[Steel Member],0),_xlfn.XMATCH(AB$2,Table2[#Headers],0)))</f>
        <v>#N/A</v>
      </c>
      <c r="AC170" s="4" t="str" cm="1">
        <f t="array" ref="AC170">IFERROR(INDEX(Table8[],_xlfn.XMATCH($O170,Table8[Dimension Name Category],0),_xlfn.XMATCH(AC$2&amp;IF($L170," w/ tag"," w/o tag"),Table8[#Headers],0)),"")</f>
        <v/>
      </c>
      <c r="AD170" s="59" t="str">
        <f t="shared" si="56"/>
        <v/>
      </c>
      <c r="AE170" s="4" t="str">
        <f t="shared" si="57"/>
        <v/>
      </c>
      <c r="AF170" s="4" t="str">
        <f t="shared" si="58"/>
        <v/>
      </c>
      <c r="AG170" s="4" t="str" cm="1">
        <f t="array" ref="AG170">IFERROR(INDEX(Table8[],_xlfn.XMATCH($O170,Table8[Dimension Name Category],0),_xlfn.XMATCH(AG$2&amp;IF($L170," w/ tag"," w/o tag"),Table8[#Headers],0)),"")</f>
        <v/>
      </c>
      <c r="AH170" s="59" t="str">
        <f t="shared" si="59"/>
        <v/>
      </c>
      <c r="AI170" s="4"/>
      <c r="AJ170" s="4" t="str">
        <f t="shared" si="60"/>
        <v/>
      </c>
      <c r="AK170" s="4" t="str">
        <f t="shared" si="61"/>
        <v/>
      </c>
      <c r="AL170" s="4" t="e" cm="1">
        <f t="array" ref="AL170">IF(INDEX(Table2[],_xlfn.XMATCH($A170,Table2[Steel Member],0),_xlfn.XMATCH(AL$2,Table2[#Headers],0))=0,"",INDEX(Table2[],_xlfn.XMATCH($A170,Table2[Steel Member],0),_xlfn.XMATCH(AL$2,Table2[#Headers],0)))</f>
        <v>#N/A</v>
      </c>
      <c r="AM170" s="4"/>
      <c r="AN170" s="4" t="str">
        <f t="shared" si="62"/>
        <v/>
      </c>
      <c r="AO170" s="4"/>
      <c r="AP170" s="4" t="e" cm="1">
        <f t="array" ref="AP170">IF(INDEX(Table2[],_xlfn.XMATCH($A170,Table2[Steel Member],0),_xlfn.XMATCH(AP$2,Table2[#Headers],0))=0,"",INDEX(Table2[],_xlfn.XMATCH($A170,Table2[Steel Member],0),_xlfn.XMATCH(AP$2,Table2[#Headers],0)))</f>
        <v>#N/A</v>
      </c>
      <c r="AQ170" s="4"/>
      <c r="AR170" s="4"/>
      <c r="AS170" s="4"/>
      <c r="AT170" s="4"/>
    </row>
    <row r="171" spans="1:46" x14ac:dyDescent="0.25">
      <c r="A171" s="52"/>
      <c r="B171" s="52"/>
      <c r="C171" s="52"/>
      <c r="D171" s="52"/>
      <c r="E171" s="52"/>
      <c r="F171" s="64" cm="1">
        <f t="array" ref="F171">IF(COUNT(FIND(PurlinsxGirthsxBracings,$C171))&gt;0,0,ROUNDUP(IF(D171=0,0,VLOOKUP(D171,'DATA SHEET'!$B:$D,2,FALSE)),2))</f>
        <v>0</v>
      </c>
      <c r="G171" s="64" cm="1">
        <f t="array" ref="G171">IF(COUNT(FIND(PurlinsxGirthsxBracings,$C171))&gt;0,0,ROUNDUP(IF(D171=0,0,VLOOKUP(D171,'DATA SHEET'!$B:$D,3,FALSE)),2))</f>
        <v>0</v>
      </c>
      <c r="H171" s="53"/>
      <c r="I171" s="66" cm="1">
        <f t="array" ref="I171">IF(AND(ISBLANK(B171),ISBLANK(C171),ISBLANK(E171)),0,IF(COUNT(FIND(PurlinsxGirthsxBracings,$C171))&gt;0,IF(B171=0,CONCATENATE(E171," ",C171),CONCATENATE(B171," - ",E171," ",C171)),IF(B171=0,IF(ISBLANK(C171),E171,CONCATENATE(D171,", ",F171,"kg/m, ",G171,"mm surface perimeter")),IF(AND(ISBLANK(C171),ISTEXT(E171)),CONCATENATE(B171," - ",E171),IF(AND(ISBLANK(C171),ISBLANK(E171)),B171,CONCATENATE(B171," - ",D171,", ",F171,"kg/m, ",G171,"mm surface perimeter"))))&amp;IF(ISBLANK(H171),"",H171)))</f>
        <v>0</v>
      </c>
      <c r="J171" s="53"/>
      <c r="L171" s="4" t="str" cm="1">
        <f t="array" ref="L171">IF(COUNT(FIND({0,1,2,3,4,5,6,7,8,9},B171))&gt;0,COUNT(FIND({0,1,2,3,4,5,6,7,8,9},B171))&gt;0,"")</f>
        <v/>
      </c>
      <c r="M171" s="4" t="str" cm="1">
        <f t="array" aca="1" ref="M171" ca="1">IFERROR(_xlfn.IFS(R171="Count",RANDBETWEEN(1,COUNTIF($R$11:$R$653,"Count")),R171="Length",RANDBETWEEN(1,COUNTIF($R$11:$R$653,"Length"))),"")</f>
        <v/>
      </c>
      <c r="N171" s="4" t="str">
        <f ca="1">IFERROR(_xlfn.RANK.EQ(M171,$M$11:$M$653)+COUNTIF($M$11:M171,M171)-1,"")</f>
        <v/>
      </c>
      <c r="O171" s="86" t="str">
        <f>IF(A171='DATA SHEET'!$L$36,C171,IFERROR(IF(AND(ISTEXT(I171),ISBLANK(C171)),"No details",VLOOKUP(C171,DimFolder,2,FALSE)),""))</f>
        <v/>
      </c>
      <c r="P171" s="4" t="str">
        <f t="shared" si="64"/>
        <v/>
      </c>
      <c r="Q171" s="58" t="str">
        <f t="shared" si="63"/>
        <v/>
      </c>
      <c r="R171" s="4" t="e" cm="1">
        <f t="array" ref="R171">IF(INDEX(Table2[],_xlfn.XMATCH($A171,Table2[Steel Member],0),_xlfn.XMATCH(R$2,Table2[#Headers],0))=0,"",INDEX(Table2[],_xlfn.XMATCH($A171,Table2[Steel Member],0),_xlfn.XMATCH(R$2,Table2[#Headers],0)))</f>
        <v>#N/A</v>
      </c>
      <c r="S171" s="4" t="e" cm="1">
        <f t="array" ref="S171">IF(INDEX(Table2[],_xlfn.XMATCH($A171,Table2[Steel Member],0),_xlfn.XMATCH(S$2,Table2[#Headers],0))=0,"",INDEX(Table2[],_xlfn.XMATCH($A171,Table2[Steel Member],0),_xlfn.XMATCH(S$2,Table2[#Headers],0)))</f>
        <v>#N/A</v>
      </c>
      <c r="T171" s="4" t="str">
        <f t="shared" si="54"/>
        <v/>
      </c>
      <c r="U171" s="4" t="e">
        <f ca="1">VLOOKUP(N171,'COLOR CODE'!$B:$D,2,FALSE)</f>
        <v>#N/A</v>
      </c>
      <c r="V171" s="4" t="str">
        <f t="shared" si="55"/>
        <v/>
      </c>
      <c r="W171" s="4" t="e" cm="1">
        <f t="array" ref="W171">IF(INDEX(Table2[],_xlfn.XMATCH($A171,Table2[Steel Member],0),_xlfn.XMATCH(W$2,Table2[#Headers],0))=0,"",INDEX(Table2[],_xlfn.XMATCH($A171,Table2[Steel Member],0),_xlfn.XMATCH(W$2,Table2[#Headers],0)))</f>
        <v>#N/A</v>
      </c>
      <c r="X171" s="4" t="e">
        <f t="shared" si="65"/>
        <v>#N/A</v>
      </c>
      <c r="Y171" s="4" t="e" cm="1">
        <f t="array" ref="Y171">IF(INDEX(Table2[],_xlfn.XMATCH($A171,Table2[Steel Member],0),_xlfn.XMATCH(Y$2,Table2[#Headers],0))=0,"",INDEX(Table2[],_xlfn.XMATCH($A171,Table2[Steel Member],0),_xlfn.XMATCH(Y$2,Table2[#Headers],0)))</f>
        <v>#N/A</v>
      </c>
      <c r="Z171" s="4" t="e" cm="1">
        <f t="array" ref="Z171">IF(INDEX(Table2[],_xlfn.XMATCH($A171,Table2[Steel Member],0),_xlfn.XMATCH(Z$2,Table2[#Headers],0))=0,"",INDEX(Table2[],_xlfn.XMATCH($A171,Table2[Steel Member],0),_xlfn.XMATCH(Z$2,Table2[#Headers],0)))</f>
        <v>#N/A</v>
      </c>
      <c r="AA171" s="4" t="e" cm="1">
        <f t="array" ref="AA171">IF(INDEX(Table2[],_xlfn.XMATCH($A171,Table2[Steel Member],0),_xlfn.XMATCH(AA$2,Table2[#Headers],0))=0,"",INDEX(Table2[],_xlfn.XMATCH($A171,Table2[Steel Member],0),_xlfn.XMATCH(AA$2,Table2[#Headers],0)))</f>
        <v>#N/A</v>
      </c>
      <c r="AB171" s="4" t="e" cm="1">
        <f t="array" ref="AB171">IF(INDEX(Table2[],_xlfn.XMATCH($A171,Table2[Steel Member],0),_xlfn.XMATCH(AB$2,Table2[#Headers],0))=0,"",INDEX(Table2[],_xlfn.XMATCH($A171,Table2[Steel Member],0),_xlfn.XMATCH(AB$2,Table2[#Headers],0)))</f>
        <v>#N/A</v>
      </c>
      <c r="AC171" s="4" t="str" cm="1">
        <f t="array" ref="AC171">IFERROR(INDEX(Table8[],_xlfn.XMATCH($O171,Table8[Dimension Name Category],0),_xlfn.XMATCH(AC$2&amp;IF($L171," w/ tag"," w/o tag"),Table8[#Headers],0)),"")</f>
        <v/>
      </c>
      <c r="AD171" s="59" t="str">
        <f t="shared" si="56"/>
        <v/>
      </c>
      <c r="AE171" s="4" t="str">
        <f t="shared" si="57"/>
        <v/>
      </c>
      <c r="AF171" s="4" t="str">
        <f t="shared" si="58"/>
        <v/>
      </c>
      <c r="AG171" s="4" t="str" cm="1">
        <f t="array" ref="AG171">IFERROR(INDEX(Table8[],_xlfn.XMATCH($O171,Table8[Dimension Name Category],0),_xlfn.XMATCH(AG$2&amp;IF($L171," w/ tag"," w/o tag"),Table8[#Headers],0)),"")</f>
        <v/>
      </c>
      <c r="AH171" s="59" t="str">
        <f t="shared" si="59"/>
        <v/>
      </c>
      <c r="AI171" s="4"/>
      <c r="AJ171" s="4" t="str">
        <f t="shared" si="60"/>
        <v/>
      </c>
      <c r="AK171" s="4" t="str">
        <f t="shared" si="61"/>
        <v/>
      </c>
      <c r="AL171" s="4" t="e" cm="1">
        <f t="array" ref="AL171">IF(INDEX(Table2[],_xlfn.XMATCH($A171,Table2[Steel Member],0),_xlfn.XMATCH(AL$2,Table2[#Headers],0))=0,"",INDEX(Table2[],_xlfn.XMATCH($A171,Table2[Steel Member],0),_xlfn.XMATCH(AL$2,Table2[#Headers],0)))</f>
        <v>#N/A</v>
      </c>
      <c r="AM171" s="4"/>
      <c r="AN171" s="4" t="str">
        <f t="shared" si="62"/>
        <v/>
      </c>
      <c r="AO171" s="4"/>
      <c r="AP171" s="4" t="e" cm="1">
        <f t="array" ref="AP171">IF(INDEX(Table2[],_xlfn.XMATCH($A171,Table2[Steel Member],0),_xlfn.XMATCH(AP$2,Table2[#Headers],0))=0,"",INDEX(Table2[],_xlfn.XMATCH($A171,Table2[Steel Member],0),_xlfn.XMATCH(AP$2,Table2[#Headers],0)))</f>
        <v>#N/A</v>
      </c>
      <c r="AQ171" s="4"/>
      <c r="AR171" s="4"/>
      <c r="AS171" s="4"/>
      <c r="AT171" s="4"/>
    </row>
    <row r="172" spans="1:46" x14ac:dyDescent="0.25">
      <c r="A172" s="52"/>
      <c r="B172" s="52"/>
      <c r="C172" s="52"/>
      <c r="D172" s="52"/>
      <c r="E172" s="52"/>
      <c r="F172" s="64" cm="1">
        <f t="array" ref="F172">IF(COUNT(FIND(PurlinsxGirthsxBracings,$C172))&gt;0,0,ROUNDUP(IF(D172=0,0,VLOOKUP(D172,'DATA SHEET'!$B:$D,2,FALSE)),2))</f>
        <v>0</v>
      </c>
      <c r="G172" s="64" cm="1">
        <f t="array" ref="G172">IF(COUNT(FIND(PurlinsxGirthsxBracings,$C172))&gt;0,0,ROUNDUP(IF(D172=0,0,VLOOKUP(D172,'DATA SHEET'!$B:$D,3,FALSE)),2))</f>
        <v>0</v>
      </c>
      <c r="H172" s="53"/>
      <c r="I172" s="66" cm="1">
        <f t="array" ref="I172">IF(AND(ISBLANK(B172),ISBLANK(C172),ISBLANK(E172)),0,IF(COUNT(FIND(PurlinsxGirthsxBracings,$C172))&gt;0,IF(B172=0,CONCATENATE(E172," ",C172),CONCATENATE(B172," - ",E172," ",C172)),IF(B172=0,IF(ISBLANK(C172),E172,CONCATENATE(D172,", ",F172,"kg/m, ",G172,"mm surface perimeter")),IF(AND(ISBLANK(C172),ISTEXT(E172)),CONCATENATE(B172," - ",E172),IF(AND(ISBLANK(C172),ISBLANK(E172)),B172,CONCATENATE(B172," - ",D172,", ",F172,"kg/m, ",G172,"mm surface perimeter"))))&amp;IF(ISBLANK(H172),"",H172)))</f>
        <v>0</v>
      </c>
      <c r="J172" s="53"/>
      <c r="L172" s="4" t="str" cm="1">
        <f t="array" ref="L172">IF(COUNT(FIND({0,1,2,3,4,5,6,7,8,9},B172))&gt;0,COUNT(FIND({0,1,2,3,4,5,6,7,8,9},B172))&gt;0,"")</f>
        <v/>
      </c>
      <c r="M172" s="4" t="str" cm="1">
        <f t="array" aca="1" ref="M172" ca="1">IFERROR(_xlfn.IFS(R172="Count",RANDBETWEEN(1,COUNTIF($R$11:$R$653,"Count")),R172="Length",RANDBETWEEN(1,COUNTIF($R$11:$R$653,"Length"))),"")</f>
        <v/>
      </c>
      <c r="N172" s="4" t="str">
        <f ca="1">IFERROR(_xlfn.RANK.EQ(M172,$M$11:$M$653)+COUNTIF($M$11:M172,M172)-1,"")</f>
        <v/>
      </c>
      <c r="O172" s="86" t="str">
        <f>IF(A172='DATA SHEET'!$L$36,C172,IFERROR(IF(AND(ISTEXT(I172),ISBLANK(C172)),"No details",VLOOKUP(C172,DimFolder,2,FALSE)),""))</f>
        <v/>
      </c>
      <c r="P172" s="4" t="str">
        <f t="shared" si="64"/>
        <v/>
      </c>
      <c r="Q172" s="58" t="str">
        <f t="shared" si="63"/>
        <v/>
      </c>
      <c r="R172" s="4" t="e" cm="1">
        <f t="array" ref="R172">IF(INDEX(Table2[],_xlfn.XMATCH($A172,Table2[Steel Member],0),_xlfn.XMATCH(R$2,Table2[#Headers],0))=0,"",INDEX(Table2[],_xlfn.XMATCH($A172,Table2[Steel Member],0),_xlfn.XMATCH(R$2,Table2[#Headers],0)))</f>
        <v>#N/A</v>
      </c>
      <c r="S172" s="4" t="e" cm="1">
        <f t="array" ref="S172">IF(INDEX(Table2[],_xlfn.XMATCH($A172,Table2[Steel Member],0),_xlfn.XMATCH(S$2,Table2[#Headers],0))=0,"",INDEX(Table2[],_xlfn.XMATCH($A172,Table2[Steel Member],0),_xlfn.XMATCH(S$2,Table2[#Headers],0)))</f>
        <v>#N/A</v>
      </c>
      <c r="T172" s="4" t="str">
        <f t="shared" si="54"/>
        <v/>
      </c>
      <c r="U172" s="4" t="e">
        <f ca="1">VLOOKUP(N172,'COLOR CODE'!$B:$D,2,FALSE)</f>
        <v>#N/A</v>
      </c>
      <c r="V172" s="4" t="str">
        <f t="shared" si="55"/>
        <v/>
      </c>
      <c r="W172" s="4" t="e" cm="1">
        <f t="array" ref="W172">IF(INDEX(Table2[],_xlfn.XMATCH($A172,Table2[Steel Member],0),_xlfn.XMATCH(W$2,Table2[#Headers],0))=0,"",INDEX(Table2[],_xlfn.XMATCH($A172,Table2[Steel Member],0),_xlfn.XMATCH(W$2,Table2[#Headers],0)))</f>
        <v>#N/A</v>
      </c>
      <c r="X172" s="4" t="e">
        <f t="shared" si="65"/>
        <v>#N/A</v>
      </c>
      <c r="Y172" s="4" t="e" cm="1">
        <f t="array" ref="Y172">IF(INDEX(Table2[],_xlfn.XMATCH($A172,Table2[Steel Member],0),_xlfn.XMATCH(Y$2,Table2[#Headers],0))=0,"",INDEX(Table2[],_xlfn.XMATCH($A172,Table2[Steel Member],0),_xlfn.XMATCH(Y$2,Table2[#Headers],0)))</f>
        <v>#N/A</v>
      </c>
      <c r="Z172" s="4" t="e" cm="1">
        <f t="array" ref="Z172">IF(INDEX(Table2[],_xlfn.XMATCH($A172,Table2[Steel Member],0),_xlfn.XMATCH(Z$2,Table2[#Headers],0))=0,"",INDEX(Table2[],_xlfn.XMATCH($A172,Table2[Steel Member],0),_xlfn.XMATCH(Z$2,Table2[#Headers],0)))</f>
        <v>#N/A</v>
      </c>
      <c r="AA172" s="4" t="e" cm="1">
        <f t="array" ref="AA172">IF(INDEX(Table2[],_xlfn.XMATCH($A172,Table2[Steel Member],0),_xlfn.XMATCH(AA$2,Table2[#Headers],0))=0,"",INDEX(Table2[],_xlfn.XMATCH($A172,Table2[Steel Member],0),_xlfn.XMATCH(AA$2,Table2[#Headers],0)))</f>
        <v>#N/A</v>
      </c>
      <c r="AB172" s="4" t="e" cm="1">
        <f t="array" ref="AB172">IF(INDEX(Table2[],_xlfn.XMATCH($A172,Table2[Steel Member],0),_xlfn.XMATCH(AB$2,Table2[#Headers],0))=0,"",INDEX(Table2[],_xlfn.XMATCH($A172,Table2[Steel Member],0),_xlfn.XMATCH(AB$2,Table2[#Headers],0)))</f>
        <v>#N/A</v>
      </c>
      <c r="AC172" s="4" t="str" cm="1">
        <f t="array" ref="AC172">IFERROR(INDEX(Table8[],_xlfn.XMATCH($O172,Table8[Dimension Name Category],0),_xlfn.XMATCH(AC$2&amp;IF($L172," w/ tag"," w/o tag"),Table8[#Headers],0)),"")</f>
        <v/>
      </c>
      <c r="AD172" s="59" t="str">
        <f t="shared" si="56"/>
        <v/>
      </c>
      <c r="AE172" s="4" t="str">
        <f t="shared" si="57"/>
        <v/>
      </c>
      <c r="AF172" s="4" t="str">
        <f t="shared" si="58"/>
        <v/>
      </c>
      <c r="AG172" s="4" t="str" cm="1">
        <f t="array" ref="AG172">IFERROR(INDEX(Table8[],_xlfn.XMATCH($O172,Table8[Dimension Name Category],0),_xlfn.XMATCH(AG$2&amp;IF($L172," w/ tag"," w/o tag"),Table8[#Headers],0)),"")</f>
        <v/>
      </c>
      <c r="AH172" s="59" t="str">
        <f t="shared" si="59"/>
        <v/>
      </c>
      <c r="AI172" s="4"/>
      <c r="AJ172" s="4" t="str">
        <f t="shared" si="60"/>
        <v/>
      </c>
      <c r="AK172" s="4" t="str">
        <f t="shared" si="61"/>
        <v/>
      </c>
      <c r="AL172" s="4" t="e" cm="1">
        <f t="array" ref="AL172">IF(INDEX(Table2[],_xlfn.XMATCH($A172,Table2[Steel Member],0),_xlfn.XMATCH(AL$2,Table2[#Headers],0))=0,"",INDEX(Table2[],_xlfn.XMATCH($A172,Table2[Steel Member],0),_xlfn.XMATCH(AL$2,Table2[#Headers],0)))</f>
        <v>#N/A</v>
      </c>
      <c r="AM172" s="4"/>
      <c r="AN172" s="4" t="str">
        <f t="shared" si="62"/>
        <v/>
      </c>
      <c r="AO172" s="4"/>
      <c r="AP172" s="4" t="e" cm="1">
        <f t="array" ref="AP172">IF(INDEX(Table2[],_xlfn.XMATCH($A172,Table2[Steel Member],0),_xlfn.XMATCH(AP$2,Table2[#Headers],0))=0,"",INDEX(Table2[],_xlfn.XMATCH($A172,Table2[Steel Member],0),_xlfn.XMATCH(AP$2,Table2[#Headers],0)))</f>
        <v>#N/A</v>
      </c>
      <c r="AQ172" s="4"/>
      <c r="AR172" s="4"/>
      <c r="AS172" s="4"/>
      <c r="AT172" s="4"/>
    </row>
    <row r="173" spans="1:46" x14ac:dyDescent="0.25">
      <c r="A173" s="52"/>
      <c r="B173" s="52"/>
      <c r="C173" s="52"/>
      <c r="D173" s="52"/>
      <c r="E173" s="52"/>
      <c r="F173" s="64" cm="1">
        <f t="array" ref="F173">IF(COUNT(FIND(PurlinsxGirthsxBracings,$C173))&gt;0,0,ROUNDUP(IF(D173=0,0,VLOOKUP(D173,'DATA SHEET'!$B:$D,2,FALSE)),2))</f>
        <v>0</v>
      </c>
      <c r="G173" s="64" cm="1">
        <f t="array" ref="G173">IF(COUNT(FIND(PurlinsxGirthsxBracings,$C173))&gt;0,0,ROUNDUP(IF(D173=0,0,VLOOKUP(D173,'DATA SHEET'!$B:$D,3,FALSE)),2))</f>
        <v>0</v>
      </c>
      <c r="H173" s="53"/>
      <c r="I173" s="66" cm="1">
        <f t="array" ref="I173">IF(AND(ISBLANK(B173),ISBLANK(C173),ISBLANK(E173)),0,IF(COUNT(FIND(PurlinsxGirthsxBracings,$C173))&gt;0,IF(B173=0,CONCATENATE(E173," ",C173),CONCATENATE(B173," - ",E173," ",C173)),IF(B173=0,IF(ISBLANK(C173),E173,CONCATENATE(D173,", ",F173,"kg/m, ",G173,"mm surface perimeter")),IF(AND(ISBLANK(C173),ISTEXT(E173)),CONCATENATE(B173," - ",E173),IF(AND(ISBLANK(C173),ISBLANK(E173)),B173,CONCATENATE(B173," - ",D173,", ",F173,"kg/m, ",G173,"mm surface perimeter"))))&amp;IF(ISBLANK(H173),"",H173)))</f>
        <v>0</v>
      </c>
      <c r="J173" s="53"/>
      <c r="L173" s="4" t="str" cm="1">
        <f t="array" ref="L173">IF(COUNT(FIND({0,1,2,3,4,5,6,7,8,9},B173))&gt;0,COUNT(FIND({0,1,2,3,4,5,6,7,8,9},B173))&gt;0,"")</f>
        <v/>
      </c>
      <c r="M173" s="4" t="str" cm="1">
        <f t="array" aca="1" ref="M173" ca="1">IFERROR(_xlfn.IFS(R173="Count",RANDBETWEEN(1,COUNTIF($R$11:$R$653,"Count")),R173="Length",RANDBETWEEN(1,COUNTIF($R$11:$R$653,"Length"))),"")</f>
        <v/>
      </c>
      <c r="N173" s="4" t="str">
        <f ca="1">IFERROR(_xlfn.RANK.EQ(M173,$M$11:$M$653)+COUNTIF($M$11:M173,M173)-1,"")</f>
        <v/>
      </c>
      <c r="O173" s="86" t="str">
        <f>IF(A173='DATA SHEET'!$L$36,C173,IFERROR(IF(AND(ISTEXT(I173),ISBLANK(C173)),"No details",VLOOKUP(C173,DimFolder,2,FALSE)),""))</f>
        <v/>
      </c>
      <c r="P173" s="4" t="str">
        <f t="shared" si="64"/>
        <v/>
      </c>
      <c r="Q173" s="58" t="str">
        <f t="shared" si="63"/>
        <v/>
      </c>
      <c r="R173" s="4" t="e" cm="1">
        <f t="array" ref="R173">IF(INDEX(Table2[],_xlfn.XMATCH($A173,Table2[Steel Member],0),_xlfn.XMATCH(R$2,Table2[#Headers],0))=0,"",INDEX(Table2[],_xlfn.XMATCH($A173,Table2[Steel Member],0),_xlfn.XMATCH(R$2,Table2[#Headers],0)))</f>
        <v>#N/A</v>
      </c>
      <c r="S173" s="4" t="e" cm="1">
        <f t="array" ref="S173">IF(INDEX(Table2[],_xlfn.XMATCH($A173,Table2[Steel Member],0),_xlfn.XMATCH(S$2,Table2[#Headers],0))=0,"",INDEX(Table2[],_xlfn.XMATCH($A173,Table2[Steel Member],0),_xlfn.XMATCH(S$2,Table2[#Headers],0)))</f>
        <v>#N/A</v>
      </c>
      <c r="T173" s="4" t="str">
        <f t="shared" si="54"/>
        <v/>
      </c>
      <c r="U173" s="4" t="e">
        <f ca="1">VLOOKUP(N173,'COLOR CODE'!$B:$D,2,FALSE)</f>
        <v>#N/A</v>
      </c>
      <c r="V173" s="4" t="str">
        <f t="shared" si="55"/>
        <v/>
      </c>
      <c r="W173" s="4" t="e" cm="1">
        <f t="array" ref="W173">IF(INDEX(Table2[],_xlfn.XMATCH($A173,Table2[Steel Member],0),_xlfn.XMATCH(W$2,Table2[#Headers],0))=0,"",INDEX(Table2[],_xlfn.XMATCH($A173,Table2[Steel Member],0),_xlfn.XMATCH(W$2,Table2[#Headers],0)))</f>
        <v>#N/A</v>
      </c>
      <c r="X173" s="4" t="e">
        <f t="shared" si="65"/>
        <v>#N/A</v>
      </c>
      <c r="Y173" s="4" t="e" cm="1">
        <f t="array" ref="Y173">IF(INDEX(Table2[],_xlfn.XMATCH($A173,Table2[Steel Member],0),_xlfn.XMATCH(Y$2,Table2[#Headers],0))=0,"",INDEX(Table2[],_xlfn.XMATCH($A173,Table2[Steel Member],0),_xlfn.XMATCH(Y$2,Table2[#Headers],0)))</f>
        <v>#N/A</v>
      </c>
      <c r="Z173" s="4" t="e" cm="1">
        <f t="array" ref="Z173">IF(INDEX(Table2[],_xlfn.XMATCH($A173,Table2[Steel Member],0),_xlfn.XMATCH(Z$2,Table2[#Headers],0))=0,"",INDEX(Table2[],_xlfn.XMATCH($A173,Table2[Steel Member],0),_xlfn.XMATCH(Z$2,Table2[#Headers],0)))</f>
        <v>#N/A</v>
      </c>
      <c r="AA173" s="4" t="e" cm="1">
        <f t="array" ref="AA173">IF(INDEX(Table2[],_xlfn.XMATCH($A173,Table2[Steel Member],0),_xlfn.XMATCH(AA$2,Table2[#Headers],0))=0,"",INDEX(Table2[],_xlfn.XMATCH($A173,Table2[Steel Member],0),_xlfn.XMATCH(AA$2,Table2[#Headers],0)))</f>
        <v>#N/A</v>
      </c>
      <c r="AB173" s="4" t="e" cm="1">
        <f t="array" ref="AB173">IF(INDEX(Table2[],_xlfn.XMATCH($A173,Table2[Steel Member],0),_xlfn.XMATCH(AB$2,Table2[#Headers],0))=0,"",INDEX(Table2[],_xlfn.XMATCH($A173,Table2[Steel Member],0),_xlfn.XMATCH(AB$2,Table2[#Headers],0)))</f>
        <v>#N/A</v>
      </c>
      <c r="AC173" s="4" t="str" cm="1">
        <f t="array" ref="AC173">IFERROR(INDEX(Table8[],_xlfn.XMATCH($O173,Table8[Dimension Name Category],0),_xlfn.XMATCH(AC$2&amp;IF($L173," w/ tag"," w/o tag"),Table8[#Headers],0)),"")</f>
        <v/>
      </c>
      <c r="AD173" s="59" t="str">
        <f t="shared" si="56"/>
        <v/>
      </c>
      <c r="AE173" s="4" t="str">
        <f t="shared" si="57"/>
        <v/>
      </c>
      <c r="AF173" s="4" t="str">
        <f t="shared" si="58"/>
        <v/>
      </c>
      <c r="AG173" s="4" t="str" cm="1">
        <f t="array" ref="AG173">IFERROR(INDEX(Table8[],_xlfn.XMATCH($O173,Table8[Dimension Name Category],0),_xlfn.XMATCH(AG$2&amp;IF($L173," w/ tag"," w/o tag"),Table8[#Headers],0)),"")</f>
        <v/>
      </c>
      <c r="AH173" s="59" t="str">
        <f t="shared" si="59"/>
        <v/>
      </c>
      <c r="AI173" s="4"/>
      <c r="AJ173" s="4" t="str">
        <f t="shared" si="60"/>
        <v/>
      </c>
      <c r="AK173" s="4" t="str">
        <f t="shared" si="61"/>
        <v/>
      </c>
      <c r="AL173" s="4" t="e" cm="1">
        <f t="array" ref="AL173">IF(INDEX(Table2[],_xlfn.XMATCH($A173,Table2[Steel Member],0),_xlfn.XMATCH(AL$2,Table2[#Headers],0))=0,"",INDEX(Table2[],_xlfn.XMATCH($A173,Table2[Steel Member],0),_xlfn.XMATCH(AL$2,Table2[#Headers],0)))</f>
        <v>#N/A</v>
      </c>
      <c r="AM173" s="4"/>
      <c r="AN173" s="4" t="str">
        <f t="shared" si="62"/>
        <v/>
      </c>
      <c r="AO173" s="4"/>
      <c r="AP173" s="4" t="e" cm="1">
        <f t="array" ref="AP173">IF(INDEX(Table2[],_xlfn.XMATCH($A173,Table2[Steel Member],0),_xlfn.XMATCH(AP$2,Table2[#Headers],0))=0,"",INDEX(Table2[],_xlfn.XMATCH($A173,Table2[Steel Member],0),_xlfn.XMATCH(AP$2,Table2[#Headers],0)))</f>
        <v>#N/A</v>
      </c>
      <c r="AQ173" s="4"/>
      <c r="AR173" s="4"/>
      <c r="AS173" s="4"/>
      <c r="AT173" s="4"/>
    </row>
    <row r="174" spans="1:46" x14ac:dyDescent="0.25">
      <c r="A174" s="52"/>
      <c r="B174" s="52"/>
      <c r="C174" s="52"/>
      <c r="D174" s="52"/>
      <c r="E174" s="52"/>
      <c r="F174" s="64" cm="1">
        <f t="array" ref="F174">IF(COUNT(FIND(PurlinsxGirthsxBracings,$C174))&gt;0,0,ROUNDUP(IF(D174=0,0,VLOOKUP(D174,'DATA SHEET'!$B:$D,2,FALSE)),2))</f>
        <v>0</v>
      </c>
      <c r="G174" s="64" cm="1">
        <f t="array" ref="G174">IF(COUNT(FIND(PurlinsxGirthsxBracings,$C174))&gt;0,0,ROUNDUP(IF(D174=0,0,VLOOKUP(D174,'DATA SHEET'!$B:$D,3,FALSE)),2))</f>
        <v>0</v>
      </c>
      <c r="H174" s="53"/>
      <c r="I174" s="66" cm="1">
        <f t="array" ref="I174">IF(AND(ISBLANK(B174),ISBLANK(C174),ISBLANK(E174)),0,IF(COUNT(FIND(PurlinsxGirthsxBracings,$C174))&gt;0,IF(B174=0,CONCATENATE(E174," ",C174),CONCATENATE(B174," - ",E174," ",C174)),IF(B174=0,IF(ISBLANK(C174),E174,CONCATENATE(D174,", ",F174,"kg/m, ",G174,"mm surface perimeter")),IF(AND(ISBLANK(C174),ISTEXT(E174)),CONCATENATE(B174," - ",E174),IF(AND(ISBLANK(C174),ISBLANK(E174)),B174,CONCATENATE(B174," - ",D174,", ",F174,"kg/m, ",G174,"mm surface perimeter"))))&amp;IF(ISBLANK(H174),"",H174)))</f>
        <v>0</v>
      </c>
      <c r="J174" s="53"/>
      <c r="L174" s="4" t="str" cm="1">
        <f t="array" ref="L174">IF(COUNT(FIND({0,1,2,3,4,5,6,7,8,9},B174))&gt;0,COUNT(FIND({0,1,2,3,4,5,6,7,8,9},B174))&gt;0,"")</f>
        <v/>
      </c>
      <c r="M174" s="4" t="str" cm="1">
        <f t="array" aca="1" ref="M174" ca="1">IFERROR(_xlfn.IFS(R174="Count",RANDBETWEEN(1,COUNTIF($R$11:$R$653,"Count")),R174="Length",RANDBETWEEN(1,COUNTIF($R$11:$R$653,"Length"))),"")</f>
        <v/>
      </c>
      <c r="N174" s="4" t="str">
        <f ca="1">IFERROR(_xlfn.RANK.EQ(M174,$M$11:$M$653)+COUNTIF($M$11:M174,M174)-1,"")</f>
        <v/>
      </c>
      <c r="O174" s="86" t="str">
        <f>IF(A174='DATA SHEET'!$L$36,C174,IFERROR(IF(AND(ISTEXT(I174),ISBLANK(C174)),"No details",VLOOKUP(C174,DimFolder,2,FALSE)),""))</f>
        <v/>
      </c>
      <c r="P174" s="4" t="str">
        <f t="shared" si="64"/>
        <v/>
      </c>
      <c r="Q174" s="58" t="str">
        <f t="shared" si="63"/>
        <v/>
      </c>
      <c r="R174" s="4" t="e" cm="1">
        <f t="array" ref="R174">IF(INDEX(Table2[],_xlfn.XMATCH($A174,Table2[Steel Member],0),_xlfn.XMATCH(R$2,Table2[#Headers],0))=0,"",INDEX(Table2[],_xlfn.XMATCH($A174,Table2[Steel Member],0),_xlfn.XMATCH(R$2,Table2[#Headers],0)))</f>
        <v>#N/A</v>
      </c>
      <c r="S174" s="4" t="e" cm="1">
        <f t="array" ref="S174">IF(INDEX(Table2[],_xlfn.XMATCH($A174,Table2[Steel Member],0),_xlfn.XMATCH(S$2,Table2[#Headers],0))=0,"",INDEX(Table2[],_xlfn.XMATCH($A174,Table2[Steel Member],0),_xlfn.XMATCH(S$2,Table2[#Headers],0)))</f>
        <v>#N/A</v>
      </c>
      <c r="T174" s="4" t="str">
        <f t="shared" si="54"/>
        <v/>
      </c>
      <c r="U174" s="4" t="e">
        <f ca="1">VLOOKUP(N174,'COLOR CODE'!$B:$D,2,FALSE)</f>
        <v>#N/A</v>
      </c>
      <c r="V174" s="4" t="str">
        <f t="shared" si="55"/>
        <v/>
      </c>
      <c r="W174" s="4" t="e" cm="1">
        <f t="array" ref="W174">IF(INDEX(Table2[],_xlfn.XMATCH($A174,Table2[Steel Member],0),_xlfn.XMATCH(W$2,Table2[#Headers],0))=0,"",INDEX(Table2[],_xlfn.XMATCH($A174,Table2[Steel Member],0),_xlfn.XMATCH(W$2,Table2[#Headers],0)))</f>
        <v>#N/A</v>
      </c>
      <c r="X174" s="4" t="e">
        <f t="shared" si="65"/>
        <v>#N/A</v>
      </c>
      <c r="Y174" s="4" t="e" cm="1">
        <f t="array" ref="Y174">IF(INDEX(Table2[],_xlfn.XMATCH($A174,Table2[Steel Member],0),_xlfn.XMATCH(Y$2,Table2[#Headers],0))=0,"",INDEX(Table2[],_xlfn.XMATCH($A174,Table2[Steel Member],0),_xlfn.XMATCH(Y$2,Table2[#Headers],0)))</f>
        <v>#N/A</v>
      </c>
      <c r="Z174" s="4" t="e" cm="1">
        <f t="array" ref="Z174">IF(INDEX(Table2[],_xlfn.XMATCH($A174,Table2[Steel Member],0),_xlfn.XMATCH(Z$2,Table2[#Headers],0))=0,"",INDEX(Table2[],_xlfn.XMATCH($A174,Table2[Steel Member],0),_xlfn.XMATCH(Z$2,Table2[#Headers],0)))</f>
        <v>#N/A</v>
      </c>
      <c r="AA174" s="4" t="e" cm="1">
        <f t="array" ref="AA174">IF(INDEX(Table2[],_xlfn.XMATCH($A174,Table2[Steel Member],0),_xlfn.XMATCH(AA$2,Table2[#Headers],0))=0,"",INDEX(Table2[],_xlfn.XMATCH($A174,Table2[Steel Member],0),_xlfn.XMATCH(AA$2,Table2[#Headers],0)))</f>
        <v>#N/A</v>
      </c>
      <c r="AB174" s="4" t="e" cm="1">
        <f t="array" ref="AB174">IF(INDEX(Table2[],_xlfn.XMATCH($A174,Table2[Steel Member],0),_xlfn.XMATCH(AB$2,Table2[#Headers],0))=0,"",INDEX(Table2[],_xlfn.XMATCH($A174,Table2[Steel Member],0),_xlfn.XMATCH(AB$2,Table2[#Headers],0)))</f>
        <v>#N/A</v>
      </c>
      <c r="AC174" s="4" t="str" cm="1">
        <f t="array" ref="AC174">IFERROR(INDEX(Table8[],_xlfn.XMATCH($O174,Table8[Dimension Name Category],0),_xlfn.XMATCH(AC$2&amp;IF($L174," w/ tag"," w/o tag"),Table8[#Headers],0)),"")</f>
        <v/>
      </c>
      <c r="AD174" s="59" t="str">
        <f t="shared" si="56"/>
        <v/>
      </c>
      <c r="AE174" s="4" t="str">
        <f t="shared" si="57"/>
        <v/>
      </c>
      <c r="AF174" s="4" t="str">
        <f t="shared" si="58"/>
        <v/>
      </c>
      <c r="AG174" s="4" t="str" cm="1">
        <f t="array" ref="AG174">IFERROR(INDEX(Table8[],_xlfn.XMATCH($O174,Table8[Dimension Name Category],0),_xlfn.XMATCH(AG$2&amp;IF($L174," w/ tag"," w/o tag"),Table8[#Headers],0)),"")</f>
        <v/>
      </c>
      <c r="AH174" s="59" t="str">
        <f t="shared" si="59"/>
        <v/>
      </c>
      <c r="AI174" s="4"/>
      <c r="AJ174" s="4" t="str">
        <f t="shared" si="60"/>
        <v/>
      </c>
      <c r="AK174" s="4" t="str">
        <f t="shared" si="61"/>
        <v/>
      </c>
      <c r="AL174" s="4" t="e" cm="1">
        <f t="array" ref="AL174">IF(INDEX(Table2[],_xlfn.XMATCH($A174,Table2[Steel Member],0),_xlfn.XMATCH(AL$2,Table2[#Headers],0))=0,"",INDEX(Table2[],_xlfn.XMATCH($A174,Table2[Steel Member],0),_xlfn.XMATCH(AL$2,Table2[#Headers],0)))</f>
        <v>#N/A</v>
      </c>
      <c r="AM174" s="4"/>
      <c r="AN174" s="4" t="str">
        <f t="shared" si="62"/>
        <v/>
      </c>
      <c r="AO174" s="4"/>
      <c r="AP174" s="4" t="e" cm="1">
        <f t="array" ref="AP174">IF(INDEX(Table2[],_xlfn.XMATCH($A174,Table2[Steel Member],0),_xlfn.XMATCH(AP$2,Table2[#Headers],0))=0,"",INDEX(Table2[],_xlfn.XMATCH($A174,Table2[Steel Member],0),_xlfn.XMATCH(AP$2,Table2[#Headers],0)))</f>
        <v>#N/A</v>
      </c>
      <c r="AQ174" s="4"/>
      <c r="AR174" s="4"/>
      <c r="AS174" s="4"/>
      <c r="AT174" s="4"/>
    </row>
    <row r="175" spans="1:46" x14ac:dyDescent="0.25">
      <c r="A175" s="52"/>
      <c r="B175" s="52"/>
      <c r="C175" s="52"/>
      <c r="D175" s="52"/>
      <c r="E175" s="52"/>
      <c r="F175" s="64" cm="1">
        <f t="array" ref="F175">IF(COUNT(FIND(PurlinsxGirthsxBracings,$C175))&gt;0,0,ROUNDUP(IF(D175=0,0,VLOOKUP(D175,'DATA SHEET'!$B:$D,2,FALSE)),2))</f>
        <v>0</v>
      </c>
      <c r="G175" s="64" cm="1">
        <f t="array" ref="G175">IF(COUNT(FIND(PurlinsxGirthsxBracings,$C175))&gt;0,0,ROUNDUP(IF(D175=0,0,VLOOKUP(D175,'DATA SHEET'!$B:$D,3,FALSE)),2))</f>
        <v>0</v>
      </c>
      <c r="H175" s="53"/>
      <c r="I175" s="66" cm="1">
        <f t="array" ref="I175">IF(AND(ISBLANK(B175),ISBLANK(C175),ISBLANK(E175)),0,IF(COUNT(FIND(PurlinsxGirthsxBracings,$C175))&gt;0,IF(B175=0,CONCATENATE(E175," ",C175),CONCATENATE(B175," - ",E175," ",C175)),IF(B175=0,IF(ISBLANK(C175),E175,CONCATENATE(D175,", ",F175,"kg/m, ",G175,"mm surface perimeter")),IF(AND(ISBLANK(C175),ISTEXT(E175)),CONCATENATE(B175," - ",E175),IF(AND(ISBLANK(C175),ISBLANK(E175)),B175,CONCATENATE(B175," - ",D175,", ",F175,"kg/m, ",G175,"mm surface perimeter"))))&amp;IF(ISBLANK(H175),"",H175)))</f>
        <v>0</v>
      </c>
      <c r="J175" s="53"/>
      <c r="L175" s="4" t="str" cm="1">
        <f t="array" ref="L175">IF(COUNT(FIND({0,1,2,3,4,5,6,7,8,9},B175))&gt;0,COUNT(FIND({0,1,2,3,4,5,6,7,8,9},B175))&gt;0,"")</f>
        <v/>
      </c>
      <c r="M175" s="4" t="str" cm="1">
        <f t="array" aca="1" ref="M175" ca="1">IFERROR(_xlfn.IFS(R175="Count",RANDBETWEEN(1,COUNTIF($R$11:$R$653,"Count")),R175="Length",RANDBETWEEN(1,COUNTIF($R$11:$R$653,"Length"))),"")</f>
        <v/>
      </c>
      <c r="N175" s="4" t="str">
        <f ca="1">IFERROR(_xlfn.RANK.EQ(M175,$M$11:$M$653)+COUNTIF($M$11:M175,M175)-1,"")</f>
        <v/>
      </c>
      <c r="O175" s="86" t="str">
        <f>IF(A175='DATA SHEET'!$L$36,C175,IFERROR(IF(AND(ISTEXT(I175),ISBLANK(C175)),"No details",VLOOKUP(C175,DimFolder,2,FALSE)),""))</f>
        <v/>
      </c>
      <c r="P175" s="4" t="str">
        <f t="shared" si="64"/>
        <v/>
      </c>
      <c r="Q175" s="58" t="str">
        <f t="shared" si="63"/>
        <v/>
      </c>
      <c r="R175" s="4" t="e" cm="1">
        <f t="array" ref="R175">IF(INDEX(Table2[],_xlfn.XMATCH($A175,Table2[Steel Member],0),_xlfn.XMATCH(R$2,Table2[#Headers],0))=0,"",INDEX(Table2[],_xlfn.XMATCH($A175,Table2[Steel Member],0),_xlfn.XMATCH(R$2,Table2[#Headers],0)))</f>
        <v>#N/A</v>
      </c>
      <c r="S175" s="4" t="e" cm="1">
        <f t="array" ref="S175">IF(INDEX(Table2[],_xlfn.XMATCH($A175,Table2[Steel Member],0),_xlfn.XMATCH(S$2,Table2[#Headers],0))=0,"",INDEX(Table2[],_xlfn.XMATCH($A175,Table2[Steel Member],0),_xlfn.XMATCH(S$2,Table2[#Headers],0)))</f>
        <v>#N/A</v>
      </c>
      <c r="T175" s="4" t="str">
        <f t="shared" si="54"/>
        <v/>
      </c>
      <c r="U175" s="4" t="e">
        <f ca="1">VLOOKUP(N175,'COLOR CODE'!$B:$D,2,FALSE)</f>
        <v>#N/A</v>
      </c>
      <c r="V175" s="4" t="str">
        <f t="shared" si="55"/>
        <v/>
      </c>
      <c r="W175" s="4" t="e" cm="1">
        <f t="array" ref="W175">IF(INDEX(Table2[],_xlfn.XMATCH($A175,Table2[Steel Member],0),_xlfn.XMATCH(W$2,Table2[#Headers],0))=0,"",INDEX(Table2[],_xlfn.XMATCH($A175,Table2[Steel Member],0),_xlfn.XMATCH(W$2,Table2[#Headers],0)))</f>
        <v>#N/A</v>
      </c>
      <c r="X175" s="4" t="e">
        <f t="shared" si="65"/>
        <v>#N/A</v>
      </c>
      <c r="Y175" s="4" t="e" cm="1">
        <f t="array" ref="Y175">IF(INDEX(Table2[],_xlfn.XMATCH($A175,Table2[Steel Member],0),_xlfn.XMATCH(Y$2,Table2[#Headers],0))=0,"",INDEX(Table2[],_xlfn.XMATCH($A175,Table2[Steel Member],0),_xlfn.XMATCH(Y$2,Table2[#Headers],0)))</f>
        <v>#N/A</v>
      </c>
      <c r="Z175" s="4" t="e" cm="1">
        <f t="array" ref="Z175">IF(INDEX(Table2[],_xlfn.XMATCH($A175,Table2[Steel Member],0),_xlfn.XMATCH(Z$2,Table2[#Headers],0))=0,"",INDEX(Table2[],_xlfn.XMATCH($A175,Table2[Steel Member],0),_xlfn.XMATCH(Z$2,Table2[#Headers],0)))</f>
        <v>#N/A</v>
      </c>
      <c r="AA175" s="4" t="e" cm="1">
        <f t="array" ref="AA175">IF(INDEX(Table2[],_xlfn.XMATCH($A175,Table2[Steel Member],0),_xlfn.XMATCH(AA$2,Table2[#Headers],0))=0,"",INDEX(Table2[],_xlfn.XMATCH($A175,Table2[Steel Member],0),_xlfn.XMATCH(AA$2,Table2[#Headers],0)))</f>
        <v>#N/A</v>
      </c>
      <c r="AB175" s="4" t="e" cm="1">
        <f t="array" ref="AB175">IF(INDEX(Table2[],_xlfn.XMATCH($A175,Table2[Steel Member],0),_xlfn.XMATCH(AB$2,Table2[#Headers],0))=0,"",INDEX(Table2[],_xlfn.XMATCH($A175,Table2[Steel Member],0),_xlfn.XMATCH(AB$2,Table2[#Headers],0)))</f>
        <v>#N/A</v>
      </c>
      <c r="AC175" s="4" t="str" cm="1">
        <f t="array" ref="AC175">IFERROR(INDEX(Table8[],_xlfn.XMATCH($O175,Table8[Dimension Name Category],0),_xlfn.XMATCH(AC$2&amp;IF($L175," w/ tag"," w/o tag"),Table8[#Headers],0)),"")</f>
        <v/>
      </c>
      <c r="AD175" s="59" t="str">
        <f t="shared" si="56"/>
        <v/>
      </c>
      <c r="AE175" s="4" t="str">
        <f t="shared" si="57"/>
        <v/>
      </c>
      <c r="AF175" s="4" t="str">
        <f t="shared" si="58"/>
        <v/>
      </c>
      <c r="AG175" s="4" t="str" cm="1">
        <f t="array" ref="AG175">IFERROR(INDEX(Table8[],_xlfn.XMATCH($O175,Table8[Dimension Name Category],0),_xlfn.XMATCH(AG$2&amp;IF($L175," w/ tag"," w/o tag"),Table8[#Headers],0)),"")</f>
        <v/>
      </c>
      <c r="AH175" s="59" t="str">
        <f t="shared" si="59"/>
        <v/>
      </c>
      <c r="AI175" s="4"/>
      <c r="AJ175" s="4" t="str">
        <f t="shared" si="60"/>
        <v/>
      </c>
      <c r="AK175" s="4" t="str">
        <f t="shared" si="61"/>
        <v/>
      </c>
      <c r="AL175" s="4" t="e" cm="1">
        <f t="array" ref="AL175">IF(INDEX(Table2[],_xlfn.XMATCH($A175,Table2[Steel Member],0),_xlfn.XMATCH(AL$2,Table2[#Headers],0))=0,"",INDEX(Table2[],_xlfn.XMATCH($A175,Table2[Steel Member],0),_xlfn.XMATCH(AL$2,Table2[#Headers],0)))</f>
        <v>#N/A</v>
      </c>
      <c r="AM175" s="4"/>
      <c r="AN175" s="4" t="str">
        <f t="shared" si="62"/>
        <v/>
      </c>
      <c r="AO175" s="4"/>
      <c r="AP175" s="4" t="e" cm="1">
        <f t="array" ref="AP175">IF(INDEX(Table2[],_xlfn.XMATCH($A175,Table2[Steel Member],0),_xlfn.XMATCH(AP$2,Table2[#Headers],0))=0,"",INDEX(Table2[],_xlfn.XMATCH($A175,Table2[Steel Member],0),_xlfn.XMATCH(AP$2,Table2[#Headers],0)))</f>
        <v>#N/A</v>
      </c>
      <c r="AQ175" s="4"/>
      <c r="AR175" s="4"/>
      <c r="AS175" s="4"/>
      <c r="AT175" s="4"/>
    </row>
    <row r="176" spans="1:46" x14ac:dyDescent="0.25">
      <c r="A176" s="52"/>
      <c r="B176" s="52"/>
      <c r="C176" s="52"/>
      <c r="D176" s="52"/>
      <c r="E176" s="52"/>
      <c r="F176" s="64" cm="1">
        <f t="array" ref="F176">IF(COUNT(FIND(PurlinsxGirthsxBracings,$C176))&gt;0,0,ROUNDUP(IF(D176=0,0,VLOOKUP(D176,'DATA SHEET'!$B:$D,2,FALSE)),2))</f>
        <v>0</v>
      </c>
      <c r="G176" s="64" cm="1">
        <f t="array" ref="G176">IF(COUNT(FIND(PurlinsxGirthsxBracings,$C176))&gt;0,0,ROUNDUP(IF(D176=0,0,VLOOKUP(D176,'DATA SHEET'!$B:$D,3,FALSE)),2))</f>
        <v>0</v>
      </c>
      <c r="H176" s="53"/>
      <c r="I176" s="66" cm="1">
        <f t="array" ref="I176">IF(AND(ISBLANK(B176),ISBLANK(C176),ISBLANK(E176)),0,IF(COUNT(FIND(PurlinsxGirthsxBracings,$C176))&gt;0,IF(B176=0,CONCATENATE(E176," ",C176),CONCATENATE(B176," - ",E176," ",C176)),IF(B176=0,IF(ISBLANK(C176),E176,CONCATENATE(D176,", ",F176,"kg/m, ",G176,"mm surface perimeter")),IF(AND(ISBLANK(C176),ISTEXT(E176)),CONCATENATE(B176," - ",E176),IF(AND(ISBLANK(C176),ISBLANK(E176)),B176,CONCATENATE(B176," - ",D176,", ",F176,"kg/m, ",G176,"mm surface perimeter"))))&amp;IF(ISBLANK(H176),"",H176)))</f>
        <v>0</v>
      </c>
      <c r="J176" s="53"/>
      <c r="L176" s="4" t="str" cm="1">
        <f t="array" ref="L176">IF(COUNT(FIND({0,1,2,3,4,5,6,7,8,9},B176))&gt;0,COUNT(FIND({0,1,2,3,4,5,6,7,8,9},B176))&gt;0,"")</f>
        <v/>
      </c>
      <c r="M176" s="4" t="str" cm="1">
        <f t="array" aca="1" ref="M176" ca="1">IFERROR(_xlfn.IFS(R176="Count",RANDBETWEEN(1,COUNTIF($R$11:$R$653,"Count")),R176="Length",RANDBETWEEN(1,COUNTIF($R$11:$R$653,"Length"))),"")</f>
        <v/>
      </c>
      <c r="N176" s="4" t="str">
        <f ca="1">IFERROR(_xlfn.RANK.EQ(M176,$M$11:$M$653)+COUNTIF($M$11:M176,M176)-1,"")</f>
        <v/>
      </c>
      <c r="O176" s="86" t="str">
        <f>IF(A176='DATA SHEET'!$L$36,C176,IFERROR(IF(AND(ISTEXT(I176),ISBLANK(C176)),"No details",VLOOKUP(C176,DimFolder,2,FALSE)),""))</f>
        <v/>
      </c>
      <c r="P176" s="4" t="str">
        <f t="shared" si="64"/>
        <v/>
      </c>
      <c r="Q176" s="58" t="str">
        <f t="shared" si="63"/>
        <v/>
      </c>
      <c r="R176" s="4" t="e" cm="1">
        <f t="array" ref="R176">IF(INDEX(Table2[],_xlfn.XMATCH($A176,Table2[Steel Member],0),_xlfn.XMATCH(R$2,Table2[#Headers],0))=0,"",INDEX(Table2[],_xlfn.XMATCH($A176,Table2[Steel Member],0),_xlfn.XMATCH(R$2,Table2[#Headers],0)))</f>
        <v>#N/A</v>
      </c>
      <c r="S176" s="4" t="e" cm="1">
        <f t="array" ref="S176">IF(INDEX(Table2[],_xlfn.XMATCH($A176,Table2[Steel Member],0),_xlfn.XMATCH(S$2,Table2[#Headers],0))=0,"",INDEX(Table2[],_xlfn.XMATCH($A176,Table2[Steel Member],0),_xlfn.XMATCH(S$2,Table2[#Headers],0)))</f>
        <v>#N/A</v>
      </c>
      <c r="T176" s="4" t="str">
        <f t="shared" si="54"/>
        <v/>
      </c>
      <c r="U176" s="4" t="e">
        <f ca="1">VLOOKUP(N176,'COLOR CODE'!$B:$D,2,FALSE)</f>
        <v>#N/A</v>
      </c>
      <c r="V176" s="4" t="str">
        <f t="shared" si="55"/>
        <v/>
      </c>
      <c r="W176" s="4" t="e" cm="1">
        <f t="array" ref="W176">IF(INDEX(Table2[],_xlfn.XMATCH($A176,Table2[Steel Member],0),_xlfn.XMATCH(W$2,Table2[#Headers],0))=0,"",INDEX(Table2[],_xlfn.XMATCH($A176,Table2[Steel Member],0),_xlfn.XMATCH(W$2,Table2[#Headers],0)))</f>
        <v>#N/A</v>
      </c>
      <c r="X176" s="4" t="e">
        <f t="shared" ref="X176:X204" si="66">W176</f>
        <v>#N/A</v>
      </c>
      <c r="Y176" s="4" t="e" cm="1">
        <f t="array" ref="Y176">IF(INDEX(Table2[],_xlfn.XMATCH($A176,Table2[Steel Member],0),_xlfn.XMATCH(Y$2,Table2[#Headers],0))=0,"",INDEX(Table2[],_xlfn.XMATCH($A176,Table2[Steel Member],0),_xlfn.XMATCH(Y$2,Table2[#Headers],0)))</f>
        <v>#N/A</v>
      </c>
      <c r="Z176" s="4" t="e" cm="1">
        <f t="array" ref="Z176">IF(INDEX(Table2[],_xlfn.XMATCH($A176,Table2[Steel Member],0),_xlfn.XMATCH(Z$2,Table2[#Headers],0))=0,"",INDEX(Table2[],_xlfn.XMATCH($A176,Table2[Steel Member],0),_xlfn.XMATCH(Z$2,Table2[#Headers],0)))</f>
        <v>#N/A</v>
      </c>
      <c r="AA176" s="4" t="e" cm="1">
        <f t="array" ref="AA176">IF(INDEX(Table2[],_xlfn.XMATCH($A176,Table2[Steel Member],0),_xlfn.XMATCH(AA$2,Table2[#Headers],0))=0,"",INDEX(Table2[],_xlfn.XMATCH($A176,Table2[Steel Member],0),_xlfn.XMATCH(AA$2,Table2[#Headers],0)))</f>
        <v>#N/A</v>
      </c>
      <c r="AB176" s="4" t="e" cm="1">
        <f t="array" ref="AB176">IF(INDEX(Table2[],_xlfn.XMATCH($A176,Table2[Steel Member],0),_xlfn.XMATCH(AB$2,Table2[#Headers],0))=0,"",INDEX(Table2[],_xlfn.XMATCH($A176,Table2[Steel Member],0),_xlfn.XMATCH(AB$2,Table2[#Headers],0)))</f>
        <v>#N/A</v>
      </c>
      <c r="AC176" s="4" t="str" cm="1">
        <f t="array" ref="AC176">IFERROR(INDEX(Table8[],_xlfn.XMATCH($O176,Table8[Dimension Name Category],0),_xlfn.XMATCH(AC$2&amp;IF($L176," w/ tag"," w/o tag"),Table8[#Headers],0)),"")</f>
        <v/>
      </c>
      <c r="AD176" s="59" t="str">
        <f t="shared" si="56"/>
        <v/>
      </c>
      <c r="AE176" s="4" t="str">
        <f t="shared" si="57"/>
        <v/>
      </c>
      <c r="AF176" s="4" t="str">
        <f t="shared" si="58"/>
        <v/>
      </c>
      <c r="AG176" s="4" t="str" cm="1">
        <f t="array" ref="AG176">IFERROR(INDEX(Table8[],_xlfn.XMATCH($O176,Table8[Dimension Name Category],0),_xlfn.XMATCH(AG$2&amp;IF($L176," w/ tag"," w/o tag"),Table8[#Headers],0)),"")</f>
        <v/>
      </c>
      <c r="AH176" s="59" t="str">
        <f t="shared" si="59"/>
        <v/>
      </c>
      <c r="AI176" s="4"/>
      <c r="AJ176" s="4" t="str">
        <f t="shared" si="60"/>
        <v/>
      </c>
      <c r="AK176" s="4" t="str">
        <f t="shared" si="61"/>
        <v/>
      </c>
      <c r="AL176" s="4" t="e" cm="1">
        <f t="array" ref="AL176">IF(INDEX(Table2[],_xlfn.XMATCH($A176,Table2[Steel Member],0),_xlfn.XMATCH(AL$2,Table2[#Headers],0))=0,"",INDEX(Table2[],_xlfn.XMATCH($A176,Table2[Steel Member],0),_xlfn.XMATCH(AL$2,Table2[#Headers],0)))</f>
        <v>#N/A</v>
      </c>
      <c r="AM176" s="4"/>
      <c r="AN176" s="4" t="str">
        <f t="shared" si="62"/>
        <v/>
      </c>
      <c r="AO176" s="4"/>
      <c r="AP176" s="4" t="e" cm="1">
        <f t="array" ref="AP176">IF(INDEX(Table2[],_xlfn.XMATCH($A176,Table2[Steel Member],0),_xlfn.XMATCH(AP$2,Table2[#Headers],0))=0,"",INDEX(Table2[],_xlfn.XMATCH($A176,Table2[Steel Member],0),_xlfn.XMATCH(AP$2,Table2[#Headers],0)))</f>
        <v>#N/A</v>
      </c>
      <c r="AQ176" s="4"/>
      <c r="AR176" s="4"/>
      <c r="AS176" s="4"/>
      <c r="AT176" s="4"/>
    </row>
    <row r="177" spans="1:46" x14ac:dyDescent="0.25">
      <c r="A177" s="52"/>
      <c r="B177" s="52"/>
      <c r="C177" s="52"/>
      <c r="D177" s="52"/>
      <c r="E177" s="52"/>
      <c r="F177" s="64" cm="1">
        <f t="array" ref="F177">IF(COUNT(FIND(PurlinsxGirthsxBracings,$C177))&gt;0,0,ROUNDUP(IF(D177=0,0,VLOOKUP(D177,'DATA SHEET'!$B:$D,2,FALSE)),2))</f>
        <v>0</v>
      </c>
      <c r="G177" s="64" cm="1">
        <f t="array" ref="G177">IF(COUNT(FIND(PurlinsxGirthsxBracings,$C177))&gt;0,0,ROUNDUP(IF(D177=0,0,VLOOKUP(D177,'DATA SHEET'!$B:$D,3,FALSE)),2))</f>
        <v>0</v>
      </c>
      <c r="H177" s="53"/>
      <c r="I177" s="66" cm="1">
        <f t="array" ref="I177">IF(AND(ISBLANK(B177),ISBLANK(C177),ISBLANK(E177)),0,IF(COUNT(FIND(PurlinsxGirthsxBracings,$C177))&gt;0,IF(B177=0,CONCATENATE(E177," ",C177),CONCATENATE(B177," - ",E177," ",C177)),IF(B177=0,IF(ISBLANK(C177),E177,CONCATENATE(D177,", ",F177,"kg/m, ",G177,"mm surface perimeter")),IF(AND(ISBLANK(C177),ISTEXT(E177)),CONCATENATE(B177," - ",E177),IF(AND(ISBLANK(C177),ISBLANK(E177)),B177,CONCATENATE(B177," - ",D177,", ",F177,"kg/m, ",G177,"mm surface perimeter"))))&amp;IF(ISBLANK(H177),"",H177)))</f>
        <v>0</v>
      </c>
      <c r="J177" s="53"/>
      <c r="L177" s="4" t="str" cm="1">
        <f t="array" ref="L177">IF(COUNT(FIND({0,1,2,3,4,5,6,7,8,9},B177))&gt;0,COUNT(FIND({0,1,2,3,4,5,6,7,8,9},B177))&gt;0,"")</f>
        <v/>
      </c>
      <c r="M177" s="4" t="str" cm="1">
        <f t="array" aca="1" ref="M177" ca="1">IFERROR(_xlfn.IFS(R177="Count",RANDBETWEEN(1,COUNTIF($R$11:$R$653,"Count")),R177="Length",RANDBETWEEN(1,COUNTIF($R$11:$R$653,"Length"))),"")</f>
        <v/>
      </c>
      <c r="N177" s="4" t="str">
        <f ca="1">IFERROR(_xlfn.RANK.EQ(M177,$M$11:$M$653)+COUNTIF($M$11:M177,M177)-1,"")</f>
        <v/>
      </c>
      <c r="O177" s="86" t="str">
        <f>IF(A177='DATA SHEET'!$L$36,C177,IFERROR(IF(AND(ISTEXT(I177),ISBLANK(C177)),"No details",VLOOKUP(C177,DimFolder,2,FALSE)),""))</f>
        <v/>
      </c>
      <c r="P177" s="4" t="str">
        <f t="shared" si="64"/>
        <v/>
      </c>
      <c r="Q177" s="58" t="str">
        <f t="shared" si="63"/>
        <v/>
      </c>
      <c r="R177" s="4" t="e" cm="1">
        <f t="array" ref="R177">IF(INDEX(Table2[],_xlfn.XMATCH($A177,Table2[Steel Member],0),_xlfn.XMATCH(R$2,Table2[#Headers],0))=0,"",INDEX(Table2[],_xlfn.XMATCH($A177,Table2[Steel Member],0),_xlfn.XMATCH(R$2,Table2[#Headers],0)))</f>
        <v>#N/A</v>
      </c>
      <c r="S177" s="4" t="e" cm="1">
        <f t="array" ref="S177">IF(INDEX(Table2[],_xlfn.XMATCH($A177,Table2[Steel Member],0),_xlfn.XMATCH(S$2,Table2[#Headers],0))=0,"",INDEX(Table2[],_xlfn.XMATCH($A177,Table2[Steel Member],0),_xlfn.XMATCH(S$2,Table2[#Headers],0)))</f>
        <v>#N/A</v>
      </c>
      <c r="T177" s="4" t="str">
        <f t="shared" si="54"/>
        <v/>
      </c>
      <c r="U177" s="4" t="e">
        <f ca="1">VLOOKUP(N177,'COLOR CODE'!$B:$D,2,FALSE)</f>
        <v>#N/A</v>
      </c>
      <c r="V177" s="4" t="str">
        <f t="shared" si="55"/>
        <v/>
      </c>
      <c r="W177" s="4" t="e" cm="1">
        <f t="array" ref="W177">IF(INDEX(Table2[],_xlfn.XMATCH($A177,Table2[Steel Member],0),_xlfn.XMATCH(W$2,Table2[#Headers],0))=0,"",INDEX(Table2[],_xlfn.XMATCH($A177,Table2[Steel Member],0),_xlfn.XMATCH(W$2,Table2[#Headers],0)))</f>
        <v>#N/A</v>
      </c>
      <c r="X177" s="4" t="e">
        <f t="shared" si="66"/>
        <v>#N/A</v>
      </c>
      <c r="Y177" s="4" t="e" cm="1">
        <f t="array" ref="Y177">IF(INDEX(Table2[],_xlfn.XMATCH($A177,Table2[Steel Member],0),_xlfn.XMATCH(Y$2,Table2[#Headers],0))=0,"",INDEX(Table2[],_xlfn.XMATCH($A177,Table2[Steel Member],0),_xlfn.XMATCH(Y$2,Table2[#Headers],0)))</f>
        <v>#N/A</v>
      </c>
      <c r="Z177" s="4" t="e" cm="1">
        <f t="array" ref="Z177">IF(INDEX(Table2[],_xlfn.XMATCH($A177,Table2[Steel Member],0),_xlfn.XMATCH(Z$2,Table2[#Headers],0))=0,"",INDEX(Table2[],_xlfn.XMATCH($A177,Table2[Steel Member],0),_xlfn.XMATCH(Z$2,Table2[#Headers],0)))</f>
        <v>#N/A</v>
      </c>
      <c r="AA177" s="4" t="e" cm="1">
        <f t="array" ref="AA177">IF(INDEX(Table2[],_xlfn.XMATCH($A177,Table2[Steel Member],0),_xlfn.XMATCH(AA$2,Table2[#Headers],0))=0,"",INDEX(Table2[],_xlfn.XMATCH($A177,Table2[Steel Member],0),_xlfn.XMATCH(AA$2,Table2[#Headers],0)))</f>
        <v>#N/A</v>
      </c>
      <c r="AB177" s="4" t="e" cm="1">
        <f t="array" ref="AB177">IF(INDEX(Table2[],_xlfn.XMATCH($A177,Table2[Steel Member],0),_xlfn.XMATCH(AB$2,Table2[#Headers],0))=0,"",INDEX(Table2[],_xlfn.XMATCH($A177,Table2[Steel Member],0),_xlfn.XMATCH(AB$2,Table2[#Headers],0)))</f>
        <v>#N/A</v>
      </c>
      <c r="AC177" s="4" t="str" cm="1">
        <f t="array" ref="AC177">IFERROR(INDEX(Table8[],_xlfn.XMATCH($O177,Table8[Dimension Name Category],0),_xlfn.XMATCH(AC$2&amp;IF($L177," w/ tag"," w/o tag"),Table8[#Headers],0)),"")</f>
        <v/>
      </c>
      <c r="AD177" s="59" t="str">
        <f t="shared" si="56"/>
        <v/>
      </c>
      <c r="AE177" s="4" t="str">
        <f t="shared" si="57"/>
        <v/>
      </c>
      <c r="AF177" s="4" t="str">
        <f t="shared" si="58"/>
        <v/>
      </c>
      <c r="AG177" s="4" t="str" cm="1">
        <f t="array" ref="AG177">IFERROR(INDEX(Table8[],_xlfn.XMATCH($O177,Table8[Dimension Name Category],0),_xlfn.XMATCH(AG$2&amp;IF($L177," w/ tag"," w/o tag"),Table8[#Headers],0)),"")</f>
        <v/>
      </c>
      <c r="AH177" s="59" t="str">
        <f t="shared" si="59"/>
        <v/>
      </c>
      <c r="AI177" s="4"/>
      <c r="AJ177" s="4" t="str">
        <f t="shared" si="60"/>
        <v/>
      </c>
      <c r="AK177" s="4" t="str">
        <f t="shared" si="61"/>
        <v/>
      </c>
      <c r="AL177" s="4" t="e" cm="1">
        <f t="array" ref="AL177">IF(INDEX(Table2[],_xlfn.XMATCH($A177,Table2[Steel Member],0),_xlfn.XMATCH(AL$2,Table2[#Headers],0))=0,"",INDEX(Table2[],_xlfn.XMATCH($A177,Table2[Steel Member],0),_xlfn.XMATCH(AL$2,Table2[#Headers],0)))</f>
        <v>#N/A</v>
      </c>
      <c r="AM177" s="4"/>
      <c r="AN177" s="4" t="str">
        <f t="shared" si="62"/>
        <v/>
      </c>
      <c r="AO177" s="4"/>
      <c r="AP177" s="4" t="e" cm="1">
        <f t="array" ref="AP177">IF(INDEX(Table2[],_xlfn.XMATCH($A177,Table2[Steel Member],0),_xlfn.XMATCH(AP$2,Table2[#Headers],0))=0,"",INDEX(Table2[],_xlfn.XMATCH($A177,Table2[Steel Member],0),_xlfn.XMATCH(AP$2,Table2[#Headers],0)))</f>
        <v>#N/A</v>
      </c>
      <c r="AQ177" s="4"/>
      <c r="AR177" s="4"/>
      <c r="AS177" s="4"/>
      <c r="AT177" s="4"/>
    </row>
    <row r="178" spans="1:46" x14ac:dyDescent="0.25">
      <c r="A178" s="52"/>
      <c r="B178" s="52"/>
      <c r="C178" s="52"/>
      <c r="D178" s="52"/>
      <c r="E178" s="52"/>
      <c r="F178" s="64" cm="1">
        <f t="array" ref="F178">IF(COUNT(FIND(PurlinsxGirthsxBracings,$C178))&gt;0,0,ROUNDUP(IF(D178=0,0,VLOOKUP(D178,'DATA SHEET'!$B:$D,2,FALSE)),2))</f>
        <v>0</v>
      </c>
      <c r="G178" s="64" cm="1">
        <f t="array" ref="G178">IF(COUNT(FIND(PurlinsxGirthsxBracings,$C178))&gt;0,0,ROUNDUP(IF(D178=0,0,VLOOKUP(D178,'DATA SHEET'!$B:$D,3,FALSE)),2))</f>
        <v>0</v>
      </c>
      <c r="H178" s="53"/>
      <c r="I178" s="66" cm="1">
        <f t="array" ref="I178">IF(AND(ISBLANK(B178),ISBLANK(C178),ISBLANK(E178)),0,IF(COUNT(FIND(PurlinsxGirthsxBracings,$C178))&gt;0,IF(B178=0,CONCATENATE(E178," ",C178),CONCATENATE(B178," - ",E178," ",C178)),IF(B178=0,IF(ISBLANK(C178),E178,CONCATENATE(D178,", ",F178,"kg/m, ",G178,"mm surface perimeter")),IF(AND(ISBLANK(C178),ISTEXT(E178)),CONCATENATE(B178," - ",E178),IF(AND(ISBLANK(C178),ISBLANK(E178)),B178,CONCATENATE(B178," - ",D178,", ",F178,"kg/m, ",G178,"mm surface perimeter"))))&amp;IF(ISBLANK(H178),"",H178)))</f>
        <v>0</v>
      </c>
      <c r="J178" s="53"/>
      <c r="L178" s="4" t="str" cm="1">
        <f t="array" ref="L178">IF(COUNT(FIND({0,1,2,3,4,5,6,7,8,9},B178))&gt;0,COUNT(FIND({0,1,2,3,4,5,6,7,8,9},B178))&gt;0,"")</f>
        <v/>
      </c>
      <c r="M178" s="4" t="str" cm="1">
        <f t="array" aca="1" ref="M178" ca="1">IFERROR(_xlfn.IFS(R178="Count",RANDBETWEEN(1,COUNTIF($R$11:$R$653,"Count")),R178="Length",RANDBETWEEN(1,COUNTIF($R$11:$R$653,"Length"))),"")</f>
        <v/>
      </c>
      <c r="N178" s="4" t="str">
        <f ca="1">IFERROR(_xlfn.RANK.EQ(M178,$M$11:$M$653)+COUNTIF($M$11:M178,M178)-1,"")</f>
        <v/>
      </c>
      <c r="O178" s="86" t="str">
        <f>IF(A178='DATA SHEET'!$L$36,C178,IFERROR(IF(AND(ISTEXT(I178),ISBLANK(C178)),"No details",VLOOKUP(C178,DimFolder,2,FALSE)),""))</f>
        <v/>
      </c>
      <c r="P178" s="4" t="str">
        <f t="shared" si="64"/>
        <v/>
      </c>
      <c r="Q178" s="58" t="str">
        <f t="shared" si="63"/>
        <v/>
      </c>
      <c r="R178" s="4" t="e" cm="1">
        <f t="array" ref="R178">IF(INDEX(Table2[],_xlfn.XMATCH($A178,Table2[Steel Member],0),_xlfn.XMATCH(R$2,Table2[#Headers],0))=0,"",INDEX(Table2[],_xlfn.XMATCH($A178,Table2[Steel Member],0),_xlfn.XMATCH(R$2,Table2[#Headers],0)))</f>
        <v>#N/A</v>
      </c>
      <c r="S178" s="4" t="e" cm="1">
        <f t="array" ref="S178">IF(INDEX(Table2[],_xlfn.XMATCH($A178,Table2[Steel Member],0),_xlfn.XMATCH(S$2,Table2[#Headers],0))=0,"",INDEX(Table2[],_xlfn.XMATCH($A178,Table2[Steel Member],0),_xlfn.XMATCH(S$2,Table2[#Headers],0)))</f>
        <v>#N/A</v>
      </c>
      <c r="T178" s="4" t="str">
        <f t="shared" si="54"/>
        <v/>
      </c>
      <c r="U178" s="4" t="e">
        <f ca="1">VLOOKUP(N178,'COLOR CODE'!$B:$D,2,FALSE)</f>
        <v>#N/A</v>
      </c>
      <c r="V178" s="4" t="str">
        <f t="shared" si="55"/>
        <v/>
      </c>
      <c r="W178" s="4" t="e" cm="1">
        <f t="array" ref="W178">IF(INDEX(Table2[],_xlfn.XMATCH($A178,Table2[Steel Member],0),_xlfn.XMATCH(W$2,Table2[#Headers],0))=0,"",INDEX(Table2[],_xlfn.XMATCH($A178,Table2[Steel Member],0),_xlfn.XMATCH(W$2,Table2[#Headers],0)))</f>
        <v>#N/A</v>
      </c>
      <c r="X178" s="4" t="e">
        <f t="shared" si="66"/>
        <v>#N/A</v>
      </c>
      <c r="Y178" s="4" t="e" cm="1">
        <f t="array" ref="Y178">IF(INDEX(Table2[],_xlfn.XMATCH($A178,Table2[Steel Member],0),_xlfn.XMATCH(Y$2,Table2[#Headers],0))=0,"",INDEX(Table2[],_xlfn.XMATCH($A178,Table2[Steel Member],0),_xlfn.XMATCH(Y$2,Table2[#Headers],0)))</f>
        <v>#N/A</v>
      </c>
      <c r="Z178" s="4" t="e" cm="1">
        <f t="array" ref="Z178">IF(INDEX(Table2[],_xlfn.XMATCH($A178,Table2[Steel Member],0),_xlfn.XMATCH(Z$2,Table2[#Headers],0))=0,"",INDEX(Table2[],_xlfn.XMATCH($A178,Table2[Steel Member],0),_xlfn.XMATCH(Z$2,Table2[#Headers],0)))</f>
        <v>#N/A</v>
      </c>
      <c r="AA178" s="4" t="e" cm="1">
        <f t="array" ref="AA178">IF(INDEX(Table2[],_xlfn.XMATCH($A178,Table2[Steel Member],0),_xlfn.XMATCH(AA$2,Table2[#Headers],0))=0,"",INDEX(Table2[],_xlfn.XMATCH($A178,Table2[Steel Member],0),_xlfn.XMATCH(AA$2,Table2[#Headers],0)))</f>
        <v>#N/A</v>
      </c>
      <c r="AB178" s="4" t="e" cm="1">
        <f t="array" ref="AB178">IF(INDEX(Table2[],_xlfn.XMATCH($A178,Table2[Steel Member],0),_xlfn.XMATCH(AB$2,Table2[#Headers],0))=0,"",INDEX(Table2[],_xlfn.XMATCH($A178,Table2[Steel Member],0),_xlfn.XMATCH(AB$2,Table2[#Headers],0)))</f>
        <v>#N/A</v>
      </c>
      <c r="AC178" s="4" t="str" cm="1">
        <f t="array" ref="AC178">IFERROR(INDEX(Table8[],_xlfn.XMATCH($O178,Table8[Dimension Name Category],0),_xlfn.XMATCH(AC$2&amp;IF($L178," w/ tag"," w/o tag"),Table8[#Headers],0)),"")</f>
        <v/>
      </c>
      <c r="AD178" s="59" t="str">
        <f t="shared" si="56"/>
        <v/>
      </c>
      <c r="AE178" s="4" t="str">
        <f t="shared" si="57"/>
        <v/>
      </c>
      <c r="AF178" s="4" t="str">
        <f t="shared" si="58"/>
        <v/>
      </c>
      <c r="AG178" s="4" t="str" cm="1">
        <f t="array" ref="AG178">IFERROR(INDEX(Table8[],_xlfn.XMATCH($O178,Table8[Dimension Name Category],0),_xlfn.XMATCH(AG$2&amp;IF($L178," w/ tag"," w/o tag"),Table8[#Headers],0)),"")</f>
        <v/>
      </c>
      <c r="AH178" s="59" t="str">
        <f t="shared" si="59"/>
        <v/>
      </c>
      <c r="AI178" s="4"/>
      <c r="AJ178" s="4" t="str">
        <f t="shared" si="60"/>
        <v/>
      </c>
      <c r="AK178" s="4" t="str">
        <f t="shared" si="61"/>
        <v/>
      </c>
      <c r="AL178" s="4" t="e" cm="1">
        <f t="array" ref="AL178">IF(INDEX(Table2[],_xlfn.XMATCH($A178,Table2[Steel Member],0),_xlfn.XMATCH(AL$2,Table2[#Headers],0))=0,"",INDEX(Table2[],_xlfn.XMATCH($A178,Table2[Steel Member],0),_xlfn.XMATCH(AL$2,Table2[#Headers],0)))</f>
        <v>#N/A</v>
      </c>
      <c r="AM178" s="4"/>
      <c r="AN178" s="4" t="str">
        <f t="shared" si="62"/>
        <v/>
      </c>
      <c r="AO178" s="4"/>
      <c r="AP178" s="4" t="e" cm="1">
        <f t="array" ref="AP178">IF(INDEX(Table2[],_xlfn.XMATCH($A178,Table2[Steel Member],0),_xlfn.XMATCH(AP$2,Table2[#Headers],0))=0,"",INDEX(Table2[],_xlfn.XMATCH($A178,Table2[Steel Member],0),_xlfn.XMATCH(AP$2,Table2[#Headers],0)))</f>
        <v>#N/A</v>
      </c>
      <c r="AQ178" s="4"/>
      <c r="AR178" s="4"/>
      <c r="AS178" s="4"/>
      <c r="AT178" s="4"/>
    </row>
    <row r="179" spans="1:46" x14ac:dyDescent="0.25">
      <c r="A179" s="52"/>
      <c r="B179" s="52"/>
      <c r="C179" s="52"/>
      <c r="D179" s="52"/>
      <c r="E179" s="52"/>
      <c r="F179" s="64" cm="1">
        <f t="array" ref="F179">IF(COUNT(FIND(PurlinsxGirthsxBracings,$C179))&gt;0,0,ROUNDUP(IF(D179=0,0,VLOOKUP(D179,'DATA SHEET'!$B:$D,2,FALSE)),2))</f>
        <v>0</v>
      </c>
      <c r="G179" s="64" cm="1">
        <f t="array" ref="G179">IF(COUNT(FIND(PurlinsxGirthsxBracings,$C179))&gt;0,0,ROUNDUP(IF(D179=0,0,VLOOKUP(D179,'DATA SHEET'!$B:$D,3,FALSE)),2))</f>
        <v>0</v>
      </c>
      <c r="H179" s="53"/>
      <c r="I179" s="66" cm="1">
        <f t="array" ref="I179">IF(AND(ISBLANK(B179),ISBLANK(C179),ISBLANK(E179)),0,IF(COUNT(FIND(PurlinsxGirthsxBracings,$C179))&gt;0,IF(B179=0,CONCATENATE(E179," ",C179),CONCATENATE(B179," - ",E179," ",C179)),IF(B179=0,IF(ISBLANK(C179),E179,CONCATENATE(D179,", ",F179,"kg/m, ",G179,"mm surface perimeter")),IF(AND(ISBLANK(C179),ISTEXT(E179)),CONCATENATE(B179," - ",E179),IF(AND(ISBLANK(C179),ISBLANK(E179)),B179,CONCATENATE(B179," - ",D179,", ",F179,"kg/m, ",G179,"mm surface perimeter"))))&amp;IF(ISBLANK(H179),"",H179)))</f>
        <v>0</v>
      </c>
      <c r="J179" s="53"/>
      <c r="L179" s="4" t="str" cm="1">
        <f t="array" ref="L179">IF(COUNT(FIND({0,1,2,3,4,5,6,7,8,9},B179))&gt;0,COUNT(FIND({0,1,2,3,4,5,6,7,8,9},B179))&gt;0,"")</f>
        <v/>
      </c>
      <c r="M179" s="4" t="str" cm="1">
        <f t="array" aca="1" ref="M179" ca="1">IFERROR(_xlfn.IFS(R179="Count",RANDBETWEEN(1,COUNTIF($R$11:$R$653,"Count")),R179="Length",RANDBETWEEN(1,COUNTIF($R$11:$R$653,"Length"))),"")</f>
        <v/>
      </c>
      <c r="N179" s="4" t="str">
        <f ca="1">IFERROR(_xlfn.RANK.EQ(M179,$M$11:$M$653)+COUNTIF($M$11:M179,M179)-1,"")</f>
        <v/>
      </c>
      <c r="O179" s="86" t="str">
        <f>IF(A179='DATA SHEET'!$L$36,C179,IFERROR(IF(AND(ISTEXT(I179),ISBLANK(C179)),"No details",VLOOKUP(C179,DimFolder,2,FALSE)),""))</f>
        <v/>
      </c>
      <c r="P179" s="4" t="str">
        <f t="shared" si="64"/>
        <v/>
      </c>
      <c r="Q179" s="58" t="str">
        <f t="shared" si="63"/>
        <v/>
      </c>
      <c r="R179" s="4" t="e" cm="1">
        <f t="array" ref="R179">IF(INDEX(Table2[],_xlfn.XMATCH($A179,Table2[Steel Member],0),_xlfn.XMATCH(R$2,Table2[#Headers],0))=0,"",INDEX(Table2[],_xlfn.XMATCH($A179,Table2[Steel Member],0),_xlfn.XMATCH(R$2,Table2[#Headers],0)))</f>
        <v>#N/A</v>
      </c>
      <c r="S179" s="4" t="e" cm="1">
        <f t="array" ref="S179">IF(INDEX(Table2[],_xlfn.XMATCH($A179,Table2[Steel Member],0),_xlfn.XMATCH(S$2,Table2[#Headers],0))=0,"",INDEX(Table2[],_xlfn.XMATCH($A179,Table2[Steel Member],0),_xlfn.XMATCH(S$2,Table2[#Headers],0)))</f>
        <v>#N/A</v>
      </c>
      <c r="T179" s="4" t="str">
        <f t="shared" si="54"/>
        <v/>
      </c>
      <c r="U179" s="4" t="e">
        <f ca="1">VLOOKUP(N179,'COLOR CODE'!$B:$D,2,FALSE)</f>
        <v>#N/A</v>
      </c>
      <c r="V179" s="4" t="str">
        <f t="shared" si="55"/>
        <v/>
      </c>
      <c r="W179" s="4" t="e" cm="1">
        <f t="array" ref="W179">IF(INDEX(Table2[],_xlfn.XMATCH($A179,Table2[Steel Member],0),_xlfn.XMATCH(W$2,Table2[#Headers],0))=0,"",INDEX(Table2[],_xlfn.XMATCH($A179,Table2[Steel Member],0),_xlfn.XMATCH(W$2,Table2[#Headers],0)))</f>
        <v>#N/A</v>
      </c>
      <c r="X179" s="4" t="e">
        <f t="shared" si="66"/>
        <v>#N/A</v>
      </c>
      <c r="Y179" s="4" t="e" cm="1">
        <f t="array" ref="Y179">IF(INDEX(Table2[],_xlfn.XMATCH($A179,Table2[Steel Member],0),_xlfn.XMATCH(Y$2,Table2[#Headers],0))=0,"",INDEX(Table2[],_xlfn.XMATCH($A179,Table2[Steel Member],0),_xlfn.XMATCH(Y$2,Table2[#Headers],0)))</f>
        <v>#N/A</v>
      </c>
      <c r="Z179" s="4" t="e" cm="1">
        <f t="array" ref="Z179">IF(INDEX(Table2[],_xlfn.XMATCH($A179,Table2[Steel Member],0),_xlfn.XMATCH(Z$2,Table2[#Headers],0))=0,"",INDEX(Table2[],_xlfn.XMATCH($A179,Table2[Steel Member],0),_xlfn.XMATCH(Z$2,Table2[#Headers],0)))</f>
        <v>#N/A</v>
      </c>
      <c r="AA179" s="4" t="e" cm="1">
        <f t="array" ref="AA179">IF(INDEX(Table2[],_xlfn.XMATCH($A179,Table2[Steel Member],0),_xlfn.XMATCH(AA$2,Table2[#Headers],0))=0,"",INDEX(Table2[],_xlfn.XMATCH($A179,Table2[Steel Member],0),_xlfn.XMATCH(AA$2,Table2[#Headers],0)))</f>
        <v>#N/A</v>
      </c>
      <c r="AB179" s="4" t="e" cm="1">
        <f t="array" ref="AB179">IF(INDEX(Table2[],_xlfn.XMATCH($A179,Table2[Steel Member],0),_xlfn.XMATCH(AB$2,Table2[#Headers],0))=0,"",INDEX(Table2[],_xlfn.XMATCH($A179,Table2[Steel Member],0),_xlfn.XMATCH(AB$2,Table2[#Headers],0)))</f>
        <v>#N/A</v>
      </c>
      <c r="AC179" s="4" t="str" cm="1">
        <f t="array" ref="AC179">IFERROR(INDEX(Table8[],_xlfn.XMATCH($O179,Table8[Dimension Name Category],0),_xlfn.XMATCH(AC$2&amp;IF($L179," w/ tag"," w/o tag"),Table8[#Headers],0)),"")</f>
        <v/>
      </c>
      <c r="AD179" s="59" t="str">
        <f t="shared" si="56"/>
        <v/>
      </c>
      <c r="AE179" s="4" t="str">
        <f t="shared" si="57"/>
        <v/>
      </c>
      <c r="AF179" s="4" t="str">
        <f t="shared" si="58"/>
        <v/>
      </c>
      <c r="AG179" s="4" t="str" cm="1">
        <f t="array" ref="AG179">IFERROR(INDEX(Table8[],_xlfn.XMATCH($O179,Table8[Dimension Name Category],0),_xlfn.XMATCH(AG$2&amp;IF($L179," w/ tag"," w/o tag"),Table8[#Headers],0)),"")</f>
        <v/>
      </c>
      <c r="AH179" s="59" t="str">
        <f t="shared" si="59"/>
        <v/>
      </c>
      <c r="AI179" s="4"/>
      <c r="AJ179" s="4" t="str">
        <f t="shared" si="60"/>
        <v/>
      </c>
      <c r="AK179" s="4" t="str">
        <f t="shared" si="61"/>
        <v/>
      </c>
      <c r="AL179" s="4" t="e" cm="1">
        <f t="array" ref="AL179">IF(INDEX(Table2[],_xlfn.XMATCH($A179,Table2[Steel Member],0),_xlfn.XMATCH(AL$2,Table2[#Headers],0))=0,"",INDEX(Table2[],_xlfn.XMATCH($A179,Table2[Steel Member],0),_xlfn.XMATCH(AL$2,Table2[#Headers],0)))</f>
        <v>#N/A</v>
      </c>
      <c r="AM179" s="4"/>
      <c r="AN179" s="4" t="str">
        <f t="shared" si="62"/>
        <v/>
      </c>
      <c r="AO179" s="4"/>
      <c r="AP179" s="4" t="e" cm="1">
        <f t="array" ref="AP179">IF(INDEX(Table2[],_xlfn.XMATCH($A179,Table2[Steel Member],0),_xlfn.XMATCH(AP$2,Table2[#Headers],0))=0,"",INDEX(Table2[],_xlfn.XMATCH($A179,Table2[Steel Member],0),_xlfn.XMATCH(AP$2,Table2[#Headers],0)))</f>
        <v>#N/A</v>
      </c>
      <c r="AQ179" s="4"/>
      <c r="AR179" s="4"/>
      <c r="AS179" s="4"/>
      <c r="AT179" s="4"/>
    </row>
    <row r="180" spans="1:46" x14ac:dyDescent="0.25">
      <c r="A180" s="52"/>
      <c r="B180" s="52"/>
      <c r="C180" s="52"/>
      <c r="D180" s="52"/>
      <c r="E180" s="52"/>
      <c r="F180" s="64" cm="1">
        <f t="array" ref="F180">IF(COUNT(FIND(PurlinsxGirthsxBracings,$C180))&gt;0,0,ROUNDUP(IF(D180=0,0,VLOOKUP(D180,'DATA SHEET'!$B:$D,2,FALSE)),2))</f>
        <v>0</v>
      </c>
      <c r="G180" s="64" cm="1">
        <f t="array" ref="G180">IF(COUNT(FIND(PurlinsxGirthsxBracings,$C180))&gt;0,0,ROUNDUP(IF(D180=0,0,VLOOKUP(D180,'DATA SHEET'!$B:$D,3,FALSE)),2))</f>
        <v>0</v>
      </c>
      <c r="H180" s="53"/>
      <c r="I180" s="66" cm="1">
        <f t="array" ref="I180">IF(AND(ISBLANK(B180),ISBLANK(C180),ISBLANK(E180)),0,IF(COUNT(FIND(PurlinsxGirthsxBracings,$C180))&gt;0,IF(B180=0,CONCATENATE(E180," ",C180),CONCATENATE(B180," - ",E180," ",C180)),IF(B180=0,IF(ISBLANK(C180),E180,CONCATENATE(D180,", ",F180,"kg/m, ",G180,"mm surface perimeter")),IF(AND(ISBLANK(C180),ISTEXT(E180)),CONCATENATE(B180," - ",E180),IF(AND(ISBLANK(C180),ISBLANK(E180)),B180,CONCATENATE(B180," - ",D180,", ",F180,"kg/m, ",G180,"mm surface perimeter"))))&amp;IF(ISBLANK(H180),"",H180)))</f>
        <v>0</v>
      </c>
      <c r="J180" s="53"/>
      <c r="L180" s="4" t="str" cm="1">
        <f t="array" ref="L180">IF(COUNT(FIND({0,1,2,3,4,5,6,7,8,9},B180))&gt;0,COUNT(FIND({0,1,2,3,4,5,6,7,8,9},B180))&gt;0,"")</f>
        <v/>
      </c>
      <c r="M180" s="4" t="str" cm="1">
        <f t="array" aca="1" ref="M180" ca="1">IFERROR(_xlfn.IFS(R180="Count",RANDBETWEEN(1,COUNTIF($R$11:$R$653,"Count")),R180="Length",RANDBETWEEN(1,COUNTIF($R$11:$R$653,"Length"))),"")</f>
        <v/>
      </c>
      <c r="N180" s="4" t="str">
        <f ca="1">IFERROR(_xlfn.RANK.EQ(M180,$M$11:$M$653)+COUNTIF($M$11:M180,M180)-1,"")</f>
        <v/>
      </c>
      <c r="O180" s="86" t="str">
        <f>IF(A180='DATA SHEET'!$L$36,C180,IFERROR(IF(AND(ISTEXT(I180),ISBLANK(C180)),"No details",VLOOKUP(C180,DimFolder,2,FALSE)),""))</f>
        <v/>
      </c>
      <c r="P180" s="4" t="str">
        <f t="shared" si="64"/>
        <v/>
      </c>
      <c r="Q180" s="58" t="str">
        <f t="shared" si="63"/>
        <v/>
      </c>
      <c r="R180" s="4" t="e" cm="1">
        <f t="array" ref="R180">IF(INDEX(Table2[],_xlfn.XMATCH($A180,Table2[Steel Member],0),_xlfn.XMATCH(R$2,Table2[#Headers],0))=0,"",INDEX(Table2[],_xlfn.XMATCH($A180,Table2[Steel Member],0),_xlfn.XMATCH(R$2,Table2[#Headers],0)))</f>
        <v>#N/A</v>
      </c>
      <c r="S180" s="4" t="e" cm="1">
        <f t="array" ref="S180">IF(INDEX(Table2[],_xlfn.XMATCH($A180,Table2[Steel Member],0),_xlfn.XMATCH(S$2,Table2[#Headers],0))=0,"",INDEX(Table2[],_xlfn.XMATCH($A180,Table2[Steel Member],0),_xlfn.XMATCH(S$2,Table2[#Headers],0)))</f>
        <v>#N/A</v>
      </c>
      <c r="T180" s="4" t="str">
        <f t="shared" si="54"/>
        <v/>
      </c>
      <c r="U180" s="4" t="e">
        <f ca="1">VLOOKUP(N180,'COLOR CODE'!$B:$D,2,FALSE)</f>
        <v>#N/A</v>
      </c>
      <c r="V180" s="4" t="str">
        <f t="shared" si="55"/>
        <v/>
      </c>
      <c r="W180" s="4" t="e" cm="1">
        <f t="array" ref="W180">IF(INDEX(Table2[],_xlfn.XMATCH($A180,Table2[Steel Member],0),_xlfn.XMATCH(W$2,Table2[#Headers],0))=0,"",INDEX(Table2[],_xlfn.XMATCH($A180,Table2[Steel Member],0),_xlfn.XMATCH(W$2,Table2[#Headers],0)))</f>
        <v>#N/A</v>
      </c>
      <c r="X180" s="4" t="e">
        <f t="shared" si="66"/>
        <v>#N/A</v>
      </c>
      <c r="Y180" s="4" t="e" cm="1">
        <f t="array" ref="Y180">IF(INDEX(Table2[],_xlfn.XMATCH($A180,Table2[Steel Member],0),_xlfn.XMATCH(Y$2,Table2[#Headers],0))=0,"",INDEX(Table2[],_xlfn.XMATCH($A180,Table2[Steel Member],0),_xlfn.XMATCH(Y$2,Table2[#Headers],0)))</f>
        <v>#N/A</v>
      </c>
      <c r="Z180" s="4" t="e" cm="1">
        <f t="array" ref="Z180">IF(INDEX(Table2[],_xlfn.XMATCH($A180,Table2[Steel Member],0),_xlfn.XMATCH(Z$2,Table2[#Headers],0))=0,"",INDEX(Table2[],_xlfn.XMATCH($A180,Table2[Steel Member],0),_xlfn.XMATCH(Z$2,Table2[#Headers],0)))</f>
        <v>#N/A</v>
      </c>
      <c r="AA180" s="4" t="e" cm="1">
        <f t="array" ref="AA180">IF(INDEX(Table2[],_xlfn.XMATCH($A180,Table2[Steel Member],0),_xlfn.XMATCH(AA$2,Table2[#Headers],0))=0,"",INDEX(Table2[],_xlfn.XMATCH($A180,Table2[Steel Member],0),_xlfn.XMATCH(AA$2,Table2[#Headers],0)))</f>
        <v>#N/A</v>
      </c>
      <c r="AB180" s="4" t="e" cm="1">
        <f t="array" ref="AB180">IF(INDEX(Table2[],_xlfn.XMATCH($A180,Table2[Steel Member],0),_xlfn.XMATCH(AB$2,Table2[#Headers],0))=0,"",INDEX(Table2[],_xlfn.XMATCH($A180,Table2[Steel Member],0),_xlfn.XMATCH(AB$2,Table2[#Headers],0)))</f>
        <v>#N/A</v>
      </c>
      <c r="AC180" s="4" t="str" cm="1">
        <f t="array" ref="AC180">IFERROR(INDEX(Table8[],_xlfn.XMATCH($O180,Table8[Dimension Name Category],0),_xlfn.XMATCH(AC$2&amp;IF($L180," w/ tag"," w/o tag"),Table8[#Headers],0)),"")</f>
        <v/>
      </c>
      <c r="AD180" s="59" t="str">
        <f t="shared" si="56"/>
        <v/>
      </c>
      <c r="AE180" s="4" t="str">
        <f t="shared" si="57"/>
        <v/>
      </c>
      <c r="AF180" s="4" t="str">
        <f t="shared" si="58"/>
        <v/>
      </c>
      <c r="AG180" s="4" t="str" cm="1">
        <f t="array" ref="AG180">IFERROR(INDEX(Table8[],_xlfn.XMATCH($O180,Table8[Dimension Name Category],0),_xlfn.XMATCH(AG$2&amp;IF($L180," w/ tag"," w/o tag"),Table8[#Headers],0)),"")</f>
        <v/>
      </c>
      <c r="AH180" s="59" t="str">
        <f t="shared" si="59"/>
        <v/>
      </c>
      <c r="AI180" s="4"/>
      <c r="AJ180" s="4" t="str">
        <f t="shared" si="60"/>
        <v/>
      </c>
      <c r="AK180" s="4" t="str">
        <f t="shared" si="61"/>
        <v/>
      </c>
      <c r="AL180" s="4" t="e" cm="1">
        <f t="array" ref="AL180">IF(INDEX(Table2[],_xlfn.XMATCH($A180,Table2[Steel Member],0),_xlfn.XMATCH(AL$2,Table2[#Headers],0))=0,"",INDEX(Table2[],_xlfn.XMATCH($A180,Table2[Steel Member],0),_xlfn.XMATCH(AL$2,Table2[#Headers],0)))</f>
        <v>#N/A</v>
      </c>
      <c r="AM180" s="4"/>
      <c r="AN180" s="4" t="str">
        <f t="shared" si="62"/>
        <v/>
      </c>
      <c r="AO180" s="4"/>
      <c r="AP180" s="4" t="e" cm="1">
        <f t="array" ref="AP180">IF(INDEX(Table2[],_xlfn.XMATCH($A180,Table2[Steel Member],0),_xlfn.XMATCH(AP$2,Table2[#Headers],0))=0,"",INDEX(Table2[],_xlfn.XMATCH($A180,Table2[Steel Member],0),_xlfn.XMATCH(AP$2,Table2[#Headers],0)))</f>
        <v>#N/A</v>
      </c>
      <c r="AQ180" s="4"/>
      <c r="AR180" s="4"/>
      <c r="AS180" s="4"/>
      <c r="AT180" s="4"/>
    </row>
    <row r="181" spans="1:46" x14ac:dyDescent="0.25">
      <c r="A181" s="52"/>
      <c r="B181" s="52"/>
      <c r="C181" s="52"/>
      <c r="D181" s="52"/>
      <c r="E181" s="52"/>
      <c r="F181" s="64" cm="1">
        <f t="array" ref="F181">IF(COUNT(FIND(PurlinsxGirthsxBracings,$C181))&gt;0,0,ROUNDUP(IF(D181=0,0,VLOOKUP(D181,'DATA SHEET'!$B:$D,2,FALSE)),2))</f>
        <v>0</v>
      </c>
      <c r="G181" s="64" cm="1">
        <f t="array" ref="G181">IF(COUNT(FIND(PurlinsxGirthsxBracings,$C181))&gt;0,0,ROUNDUP(IF(D181=0,0,VLOOKUP(D181,'DATA SHEET'!$B:$D,3,FALSE)),2))</f>
        <v>0</v>
      </c>
      <c r="H181" s="53"/>
      <c r="I181" s="66" cm="1">
        <f t="array" ref="I181">IF(AND(ISBLANK(B181),ISBLANK(C181),ISBLANK(E181)),0,IF(COUNT(FIND(PurlinsxGirthsxBracings,$C181))&gt;0,IF(B181=0,CONCATENATE(E181," ",C181),CONCATENATE(B181," - ",E181," ",C181)),IF(B181=0,IF(ISBLANK(C181),E181,CONCATENATE(D181,", ",F181,"kg/m, ",G181,"mm surface perimeter")),IF(AND(ISBLANK(C181),ISTEXT(E181)),CONCATENATE(B181," - ",E181),IF(AND(ISBLANK(C181),ISBLANK(E181)),B181,CONCATENATE(B181," - ",D181,", ",F181,"kg/m, ",G181,"mm surface perimeter"))))&amp;IF(ISBLANK(H181),"",H181)))</f>
        <v>0</v>
      </c>
      <c r="J181" s="53"/>
      <c r="L181" s="4" t="str" cm="1">
        <f t="array" ref="L181">IF(COUNT(FIND({0,1,2,3,4,5,6,7,8,9},B181))&gt;0,COUNT(FIND({0,1,2,3,4,5,6,7,8,9},B181))&gt;0,"")</f>
        <v/>
      </c>
      <c r="M181" s="4" t="str" cm="1">
        <f t="array" aca="1" ref="M181" ca="1">IFERROR(_xlfn.IFS(R181="Count",RANDBETWEEN(1,COUNTIF($R$11:$R$653,"Count")),R181="Length",RANDBETWEEN(1,COUNTIF($R$11:$R$653,"Length"))),"")</f>
        <v/>
      </c>
      <c r="N181" s="4" t="str">
        <f ca="1">IFERROR(_xlfn.RANK.EQ(M181,$M$11:$M$653)+COUNTIF($M$11:M181,M181)-1,"")</f>
        <v/>
      </c>
      <c r="O181" s="86" t="str">
        <f>IF(A181='DATA SHEET'!$L$36,C181,IFERROR(IF(AND(ISTEXT(I181),ISBLANK(C181)),"No details",VLOOKUP(C181,DimFolder,2,FALSE)),""))</f>
        <v/>
      </c>
      <c r="P181" s="4" t="str">
        <f t="shared" si="64"/>
        <v/>
      </c>
      <c r="Q181" s="58" t="str">
        <f t="shared" si="63"/>
        <v/>
      </c>
      <c r="R181" s="4" t="e" cm="1">
        <f t="array" ref="R181">IF(INDEX(Table2[],_xlfn.XMATCH($A181,Table2[Steel Member],0),_xlfn.XMATCH(R$2,Table2[#Headers],0))=0,"",INDEX(Table2[],_xlfn.XMATCH($A181,Table2[Steel Member],0),_xlfn.XMATCH(R$2,Table2[#Headers],0)))</f>
        <v>#N/A</v>
      </c>
      <c r="S181" s="4" t="e" cm="1">
        <f t="array" ref="S181">IF(INDEX(Table2[],_xlfn.XMATCH($A181,Table2[Steel Member],0),_xlfn.XMATCH(S$2,Table2[#Headers],0))=0,"",INDEX(Table2[],_xlfn.XMATCH($A181,Table2[Steel Member],0),_xlfn.XMATCH(S$2,Table2[#Headers],0)))</f>
        <v>#N/A</v>
      </c>
      <c r="T181" s="4" t="str">
        <f t="shared" ref="T181:T244" si="67">IF(AND(ISBLANK(B181),ISBLANK(C181)),"","t")</f>
        <v/>
      </c>
      <c r="U181" s="4" t="e">
        <f ca="1">VLOOKUP(N181,'COLOR CODE'!$B:$D,2,FALSE)</f>
        <v>#N/A</v>
      </c>
      <c r="V181" s="4" t="str">
        <f t="shared" ref="V181:V244" si="68">IF(AND(ISBLANK(B181),ISBLANK(C181)),"","Red")</f>
        <v/>
      </c>
      <c r="W181" s="4" t="e" cm="1">
        <f t="array" ref="W181">IF(INDEX(Table2[],_xlfn.XMATCH($A181,Table2[Steel Member],0),_xlfn.XMATCH(W$2,Table2[#Headers],0))=0,"",INDEX(Table2[],_xlfn.XMATCH($A181,Table2[Steel Member],0),_xlfn.XMATCH(W$2,Table2[#Headers],0)))</f>
        <v>#N/A</v>
      </c>
      <c r="X181" s="4" t="e">
        <f t="shared" si="66"/>
        <v>#N/A</v>
      </c>
      <c r="Y181" s="4" t="e" cm="1">
        <f t="array" ref="Y181">IF(INDEX(Table2[],_xlfn.XMATCH($A181,Table2[Steel Member],0),_xlfn.XMATCH(Y$2,Table2[#Headers],0))=0,"",INDEX(Table2[],_xlfn.XMATCH($A181,Table2[Steel Member],0),_xlfn.XMATCH(Y$2,Table2[#Headers],0)))</f>
        <v>#N/A</v>
      </c>
      <c r="Z181" s="4" t="e" cm="1">
        <f t="array" ref="Z181">IF(INDEX(Table2[],_xlfn.XMATCH($A181,Table2[Steel Member],0),_xlfn.XMATCH(Z$2,Table2[#Headers],0))=0,"",INDEX(Table2[],_xlfn.XMATCH($A181,Table2[Steel Member],0),_xlfn.XMATCH(Z$2,Table2[#Headers],0)))</f>
        <v>#N/A</v>
      </c>
      <c r="AA181" s="4" t="e" cm="1">
        <f t="array" ref="AA181">IF(INDEX(Table2[],_xlfn.XMATCH($A181,Table2[Steel Member],0),_xlfn.XMATCH(AA$2,Table2[#Headers],0))=0,"",INDEX(Table2[],_xlfn.XMATCH($A181,Table2[Steel Member],0),_xlfn.XMATCH(AA$2,Table2[#Headers],0)))</f>
        <v>#N/A</v>
      </c>
      <c r="AB181" s="4" t="e" cm="1">
        <f t="array" ref="AB181">IF(INDEX(Table2[],_xlfn.XMATCH($A181,Table2[Steel Member],0),_xlfn.XMATCH(AB$2,Table2[#Headers],0))=0,"",INDEX(Table2[],_xlfn.XMATCH($A181,Table2[Steel Member],0),_xlfn.XMATCH(AB$2,Table2[#Headers],0)))</f>
        <v>#N/A</v>
      </c>
      <c r="AC181" s="4" t="str" cm="1">
        <f t="array" ref="AC181">IFERROR(INDEX(Table8[],_xlfn.XMATCH($O181,Table8[Dimension Name Category],0),_xlfn.XMATCH(AC$2&amp;IF($L181," w/ tag"," w/o tag"),Table8[#Headers],0)),"")</f>
        <v/>
      </c>
      <c r="AD181" s="59" t="str">
        <f t="shared" ref="AD181:AD244" si="69">IF(OR($AC181="",$AC181=0),"",IF($A181=Column,"{Length}*XNUMBER({Dimension Group Name},"&amp;$AC181&amp;")/1000","{Length}*XNUMBER({Dimension Group Name},"&amp;$AC181&amp;")/1000*{Slope Factor}"))</f>
        <v/>
      </c>
      <c r="AE181" s="4" t="str">
        <f t="shared" ref="AE181:AE244" si="70">IF(AND(ISBLANK(B181),ISBLANK(C181)),"",IF($A181=Purlins_Girths_Bracings,"","Steel Surface Area"))</f>
        <v/>
      </c>
      <c r="AF181" s="4" t="str">
        <f t="shared" ref="AF181:AF244" si="71">IF(AND(ISBLANK(B181),ISBLANK(C181)),"",IF($A181=Purlins_Girths_Bracings,"","m2"))</f>
        <v/>
      </c>
      <c r="AG181" s="4" t="str" cm="1">
        <f t="array" ref="AG181">IFERROR(INDEX(Table8[],_xlfn.XMATCH($O181,Table8[Dimension Name Category],0),_xlfn.XMATCH(AG$2&amp;IF($L181," w/ tag"," w/o tag"),Table8[#Headers],0)),"")</f>
        <v/>
      </c>
      <c r="AH181" s="59" t="str">
        <f t="shared" ref="AH181:AH244" si="72">IF(OR($AG181="",$AG181=0),"",IF($A181=Column,"{Length}*XNUMBER({Dimension Group Name},"&amp;$AG181&amp;")/1000","{Length}*XNUMBER({Dimension Group Name},"&amp;$AG181&amp;")/1000*{Slope Factor}"))</f>
        <v/>
      </c>
      <c r="AI181" s="4"/>
      <c r="AJ181" s="4" t="str">
        <f t="shared" ref="AJ181:AJ244" si="73">IF(OR($A181=Column,$A181=""),"","Slope Length")</f>
        <v/>
      </c>
      <c r="AK181" s="4" t="str">
        <f t="shared" ref="AK181:AK244" si="74">IF(OR($A181=Column,$A181=""),"","m")</f>
        <v/>
      </c>
      <c r="AL181" s="4" t="e" cm="1">
        <f t="array" ref="AL181">IF(INDEX(Table2[],_xlfn.XMATCH($A181,Table2[Steel Member],0),_xlfn.XMATCH(AL$2,Table2[#Headers],0))=0,"",INDEX(Table2[],_xlfn.XMATCH($A181,Table2[Steel Member],0),_xlfn.XMATCH(AL$2,Table2[#Headers],0)))</f>
        <v>#N/A</v>
      </c>
      <c r="AM181" s="4"/>
      <c r="AN181" s="4" t="str">
        <f t="shared" ref="AN181:AN244" si="75">IF(OR($A181=Column,$A181=""),"","Slope Factor")</f>
        <v/>
      </c>
      <c r="AO181" s="4"/>
      <c r="AP181" s="4" t="e" cm="1">
        <f t="array" ref="AP181">IF(INDEX(Table2[],_xlfn.XMATCH($A181,Table2[Steel Member],0),_xlfn.XMATCH(AP$2,Table2[#Headers],0))=0,"",INDEX(Table2[],_xlfn.XMATCH($A181,Table2[Steel Member],0),_xlfn.XMATCH(AP$2,Table2[#Headers],0)))</f>
        <v>#N/A</v>
      </c>
      <c r="AQ181" s="4"/>
      <c r="AR181" s="4"/>
      <c r="AS181" s="4"/>
      <c r="AT181" s="4"/>
    </row>
    <row r="182" spans="1:46" x14ac:dyDescent="0.25">
      <c r="A182" s="52"/>
      <c r="B182" s="52"/>
      <c r="C182" s="52"/>
      <c r="D182" s="52"/>
      <c r="E182" s="52"/>
      <c r="F182" s="64" cm="1">
        <f t="array" ref="F182">IF(COUNT(FIND(PurlinsxGirthsxBracings,$C182))&gt;0,0,ROUNDUP(IF(D182=0,0,VLOOKUP(D182,'DATA SHEET'!$B:$D,2,FALSE)),2))</f>
        <v>0</v>
      </c>
      <c r="G182" s="64" cm="1">
        <f t="array" ref="G182">IF(COUNT(FIND(PurlinsxGirthsxBracings,$C182))&gt;0,0,ROUNDUP(IF(D182=0,0,VLOOKUP(D182,'DATA SHEET'!$B:$D,3,FALSE)),2))</f>
        <v>0</v>
      </c>
      <c r="H182" s="53"/>
      <c r="I182" s="66" cm="1">
        <f t="array" ref="I182">IF(AND(ISBLANK(B182),ISBLANK(C182),ISBLANK(E182)),0,IF(COUNT(FIND(PurlinsxGirthsxBracings,$C182))&gt;0,IF(B182=0,CONCATENATE(E182," ",C182),CONCATENATE(B182," - ",E182," ",C182)),IF(B182=0,IF(ISBLANK(C182),E182,CONCATENATE(D182,", ",F182,"kg/m, ",G182,"mm surface perimeter")),IF(AND(ISBLANK(C182),ISTEXT(E182)),CONCATENATE(B182," - ",E182),IF(AND(ISBLANK(C182),ISBLANK(E182)),B182,CONCATENATE(B182," - ",D182,", ",F182,"kg/m, ",G182,"mm surface perimeter"))))&amp;IF(ISBLANK(H182),"",H182)))</f>
        <v>0</v>
      </c>
      <c r="J182" s="53"/>
      <c r="L182" s="4" t="str" cm="1">
        <f t="array" ref="L182">IF(COUNT(FIND({0,1,2,3,4,5,6,7,8,9},B182))&gt;0,COUNT(FIND({0,1,2,3,4,5,6,7,8,9},B182))&gt;0,"")</f>
        <v/>
      </c>
      <c r="M182" s="4" t="str" cm="1">
        <f t="array" aca="1" ref="M182" ca="1">IFERROR(_xlfn.IFS(R182="Count",RANDBETWEEN(1,COUNTIF($R$11:$R$653,"Count")),R182="Length",RANDBETWEEN(1,COUNTIF($R$11:$R$653,"Length"))),"")</f>
        <v/>
      </c>
      <c r="N182" s="4" t="str">
        <f ca="1">IFERROR(_xlfn.RANK.EQ(M182,$M$11:$M$653)+COUNTIF($M$11:M182,M182)-1,"")</f>
        <v/>
      </c>
      <c r="O182" s="86" t="str">
        <f>IF(A182='DATA SHEET'!$L$36,C182,IFERROR(IF(AND(ISTEXT(I182),ISBLANK(C182)),"No details",VLOOKUP(C182,DimFolder,2,FALSE)),""))</f>
        <v/>
      </c>
      <c r="P182" s="4" t="str">
        <f t="shared" si="64"/>
        <v/>
      </c>
      <c r="Q182" s="58" t="str">
        <f t="shared" ref="Q182:Q245" si="76">IF(AND(ISBLANK(B182),ISBLANK(C182)),"",I182)</f>
        <v/>
      </c>
      <c r="R182" s="4" t="e" cm="1">
        <f t="array" ref="R182">IF(INDEX(Table2[],_xlfn.XMATCH($A182,Table2[Steel Member],0),_xlfn.XMATCH(R$2,Table2[#Headers],0))=0,"",INDEX(Table2[],_xlfn.XMATCH($A182,Table2[Steel Member],0),_xlfn.XMATCH(R$2,Table2[#Headers],0)))</f>
        <v>#N/A</v>
      </c>
      <c r="S182" s="4" t="e" cm="1">
        <f t="array" ref="S182">IF(INDEX(Table2[],_xlfn.XMATCH($A182,Table2[Steel Member],0),_xlfn.XMATCH(S$2,Table2[#Headers],0))=0,"",INDEX(Table2[],_xlfn.XMATCH($A182,Table2[Steel Member],0),_xlfn.XMATCH(S$2,Table2[#Headers],0)))</f>
        <v>#N/A</v>
      </c>
      <c r="T182" s="4" t="str">
        <f t="shared" si="67"/>
        <v/>
      </c>
      <c r="U182" s="4" t="e">
        <f ca="1">VLOOKUP(N182,'COLOR CODE'!$B:$D,2,FALSE)</f>
        <v>#N/A</v>
      </c>
      <c r="V182" s="4" t="str">
        <f t="shared" si="68"/>
        <v/>
      </c>
      <c r="W182" s="4" t="e" cm="1">
        <f t="array" ref="W182">IF(INDEX(Table2[],_xlfn.XMATCH($A182,Table2[Steel Member],0),_xlfn.XMATCH(W$2,Table2[#Headers],0))=0,"",INDEX(Table2[],_xlfn.XMATCH($A182,Table2[Steel Member],0),_xlfn.XMATCH(W$2,Table2[#Headers],0)))</f>
        <v>#N/A</v>
      </c>
      <c r="X182" s="4" t="e">
        <f t="shared" si="66"/>
        <v>#N/A</v>
      </c>
      <c r="Y182" s="4" t="e" cm="1">
        <f t="array" ref="Y182">IF(INDEX(Table2[],_xlfn.XMATCH($A182,Table2[Steel Member],0),_xlfn.XMATCH(Y$2,Table2[#Headers],0))=0,"",INDEX(Table2[],_xlfn.XMATCH($A182,Table2[Steel Member],0),_xlfn.XMATCH(Y$2,Table2[#Headers],0)))</f>
        <v>#N/A</v>
      </c>
      <c r="Z182" s="4" t="e" cm="1">
        <f t="array" ref="Z182">IF(INDEX(Table2[],_xlfn.XMATCH($A182,Table2[Steel Member],0),_xlfn.XMATCH(Z$2,Table2[#Headers],0))=0,"",INDEX(Table2[],_xlfn.XMATCH($A182,Table2[Steel Member],0),_xlfn.XMATCH(Z$2,Table2[#Headers],0)))</f>
        <v>#N/A</v>
      </c>
      <c r="AA182" s="4" t="e" cm="1">
        <f t="array" ref="AA182">IF(INDEX(Table2[],_xlfn.XMATCH($A182,Table2[Steel Member],0),_xlfn.XMATCH(AA$2,Table2[#Headers],0))=0,"",INDEX(Table2[],_xlfn.XMATCH($A182,Table2[Steel Member],0),_xlfn.XMATCH(AA$2,Table2[#Headers],0)))</f>
        <v>#N/A</v>
      </c>
      <c r="AB182" s="4" t="e" cm="1">
        <f t="array" ref="AB182">IF(INDEX(Table2[],_xlfn.XMATCH($A182,Table2[Steel Member],0),_xlfn.XMATCH(AB$2,Table2[#Headers],0))=0,"",INDEX(Table2[],_xlfn.XMATCH($A182,Table2[Steel Member],0),_xlfn.XMATCH(AB$2,Table2[#Headers],0)))</f>
        <v>#N/A</v>
      </c>
      <c r="AC182" s="4" t="str" cm="1">
        <f t="array" ref="AC182">IFERROR(INDEX(Table8[],_xlfn.XMATCH($O182,Table8[Dimension Name Category],0),_xlfn.XMATCH(AC$2&amp;IF($L182," w/ tag"," w/o tag"),Table8[#Headers],0)),"")</f>
        <v/>
      </c>
      <c r="AD182" s="59" t="str">
        <f t="shared" si="69"/>
        <v/>
      </c>
      <c r="AE182" s="4" t="str">
        <f t="shared" si="70"/>
        <v/>
      </c>
      <c r="AF182" s="4" t="str">
        <f t="shared" si="71"/>
        <v/>
      </c>
      <c r="AG182" s="4" t="str" cm="1">
        <f t="array" ref="AG182">IFERROR(INDEX(Table8[],_xlfn.XMATCH($O182,Table8[Dimension Name Category],0),_xlfn.XMATCH(AG$2&amp;IF($L182," w/ tag"," w/o tag"),Table8[#Headers],0)),"")</f>
        <v/>
      </c>
      <c r="AH182" s="59" t="str">
        <f t="shared" si="72"/>
        <v/>
      </c>
      <c r="AI182" s="4"/>
      <c r="AJ182" s="4" t="str">
        <f t="shared" si="73"/>
        <v/>
      </c>
      <c r="AK182" s="4" t="str">
        <f t="shared" si="74"/>
        <v/>
      </c>
      <c r="AL182" s="4" t="e" cm="1">
        <f t="array" ref="AL182">IF(INDEX(Table2[],_xlfn.XMATCH($A182,Table2[Steel Member],0),_xlfn.XMATCH(AL$2,Table2[#Headers],0))=0,"",INDEX(Table2[],_xlfn.XMATCH($A182,Table2[Steel Member],0),_xlfn.XMATCH(AL$2,Table2[#Headers],0)))</f>
        <v>#N/A</v>
      </c>
      <c r="AM182" s="4"/>
      <c r="AN182" s="4" t="str">
        <f t="shared" si="75"/>
        <v/>
      </c>
      <c r="AO182" s="4"/>
      <c r="AP182" s="4" t="e" cm="1">
        <f t="array" ref="AP182">IF(INDEX(Table2[],_xlfn.XMATCH($A182,Table2[Steel Member],0),_xlfn.XMATCH(AP$2,Table2[#Headers],0))=0,"",INDEX(Table2[],_xlfn.XMATCH($A182,Table2[Steel Member],0),_xlfn.XMATCH(AP$2,Table2[#Headers],0)))</f>
        <v>#N/A</v>
      </c>
      <c r="AQ182" s="4"/>
      <c r="AR182" s="4"/>
      <c r="AS182" s="4"/>
      <c r="AT182" s="4"/>
    </row>
    <row r="183" spans="1:46" x14ac:dyDescent="0.25">
      <c r="A183" s="52"/>
      <c r="B183" s="52"/>
      <c r="C183" s="52"/>
      <c r="D183" s="52"/>
      <c r="E183" s="52"/>
      <c r="F183" s="64" cm="1">
        <f t="array" ref="F183">IF(COUNT(FIND(PurlinsxGirthsxBracings,$C183))&gt;0,0,ROUNDUP(IF(D183=0,0,VLOOKUP(D183,'DATA SHEET'!$B:$D,2,FALSE)),2))</f>
        <v>0</v>
      </c>
      <c r="G183" s="64" cm="1">
        <f t="array" ref="G183">IF(COUNT(FIND(PurlinsxGirthsxBracings,$C183))&gt;0,0,ROUNDUP(IF(D183=0,0,VLOOKUP(D183,'DATA SHEET'!$B:$D,3,FALSE)),2))</f>
        <v>0</v>
      </c>
      <c r="H183" s="53"/>
      <c r="I183" s="66" cm="1">
        <f t="array" ref="I183">IF(AND(ISBLANK(B183),ISBLANK(C183),ISBLANK(E183)),0,IF(COUNT(FIND(PurlinsxGirthsxBracings,$C183))&gt;0,IF(B183=0,CONCATENATE(E183," ",C183),CONCATENATE(B183," - ",E183," ",C183)),IF(B183=0,IF(ISBLANK(C183),E183,CONCATENATE(D183,", ",F183,"kg/m, ",G183,"mm surface perimeter")),IF(AND(ISBLANK(C183),ISTEXT(E183)),CONCATENATE(B183," - ",E183),IF(AND(ISBLANK(C183),ISBLANK(E183)),B183,CONCATENATE(B183," - ",D183,", ",F183,"kg/m, ",G183,"mm surface perimeter"))))&amp;IF(ISBLANK(H183),"",H183)))</f>
        <v>0</v>
      </c>
      <c r="J183" s="53"/>
      <c r="L183" s="4" t="str" cm="1">
        <f t="array" ref="L183">IF(COUNT(FIND({0,1,2,3,4,5,6,7,8,9},B183))&gt;0,COUNT(FIND({0,1,2,3,4,5,6,7,8,9},B183))&gt;0,"")</f>
        <v/>
      </c>
      <c r="M183" s="4" t="str" cm="1">
        <f t="array" aca="1" ref="M183" ca="1">IFERROR(_xlfn.IFS(R183="Count",RANDBETWEEN(1,COUNTIF($R$11:$R$653,"Count")),R183="Length",RANDBETWEEN(1,COUNTIF($R$11:$R$653,"Length"))),"")</f>
        <v/>
      </c>
      <c r="N183" s="4" t="str">
        <f ca="1">IFERROR(_xlfn.RANK.EQ(M183,$M$11:$M$653)+COUNTIF($M$11:M183,M183)-1,"")</f>
        <v/>
      </c>
      <c r="O183" s="86" t="str">
        <f>IF(A183='DATA SHEET'!$L$36,C183,IFERROR(IF(AND(ISTEXT(I183),ISBLANK(C183)),"No details",VLOOKUP(C183,DimFolder,2,FALSE)),""))</f>
        <v/>
      </c>
      <c r="P183" s="4" t="str">
        <f t="shared" si="64"/>
        <v/>
      </c>
      <c r="Q183" s="58" t="str">
        <f t="shared" si="76"/>
        <v/>
      </c>
      <c r="R183" s="4" t="e" cm="1">
        <f t="array" ref="R183">IF(INDEX(Table2[],_xlfn.XMATCH($A183,Table2[Steel Member],0),_xlfn.XMATCH(R$2,Table2[#Headers],0))=0,"",INDEX(Table2[],_xlfn.XMATCH($A183,Table2[Steel Member],0),_xlfn.XMATCH(R$2,Table2[#Headers],0)))</f>
        <v>#N/A</v>
      </c>
      <c r="S183" s="4" t="e" cm="1">
        <f t="array" ref="S183">IF(INDEX(Table2[],_xlfn.XMATCH($A183,Table2[Steel Member],0),_xlfn.XMATCH(S$2,Table2[#Headers],0))=0,"",INDEX(Table2[],_xlfn.XMATCH($A183,Table2[Steel Member],0),_xlfn.XMATCH(S$2,Table2[#Headers],0)))</f>
        <v>#N/A</v>
      </c>
      <c r="T183" s="4" t="str">
        <f t="shared" si="67"/>
        <v/>
      </c>
      <c r="U183" s="4" t="e">
        <f ca="1">VLOOKUP(N183,'COLOR CODE'!$B:$D,2,FALSE)</f>
        <v>#N/A</v>
      </c>
      <c r="V183" s="4" t="str">
        <f t="shared" si="68"/>
        <v/>
      </c>
      <c r="W183" s="4" t="e" cm="1">
        <f t="array" ref="W183">IF(INDEX(Table2[],_xlfn.XMATCH($A183,Table2[Steel Member],0),_xlfn.XMATCH(W$2,Table2[#Headers],0))=0,"",INDEX(Table2[],_xlfn.XMATCH($A183,Table2[Steel Member],0),_xlfn.XMATCH(W$2,Table2[#Headers],0)))</f>
        <v>#N/A</v>
      </c>
      <c r="X183" s="4" t="e">
        <f t="shared" si="66"/>
        <v>#N/A</v>
      </c>
      <c r="Y183" s="4" t="e" cm="1">
        <f t="array" ref="Y183">IF(INDEX(Table2[],_xlfn.XMATCH($A183,Table2[Steel Member],0),_xlfn.XMATCH(Y$2,Table2[#Headers],0))=0,"",INDEX(Table2[],_xlfn.XMATCH($A183,Table2[Steel Member],0),_xlfn.XMATCH(Y$2,Table2[#Headers],0)))</f>
        <v>#N/A</v>
      </c>
      <c r="Z183" s="4" t="e" cm="1">
        <f t="array" ref="Z183">IF(INDEX(Table2[],_xlfn.XMATCH($A183,Table2[Steel Member],0),_xlfn.XMATCH(Z$2,Table2[#Headers],0))=0,"",INDEX(Table2[],_xlfn.XMATCH($A183,Table2[Steel Member],0),_xlfn.XMATCH(Z$2,Table2[#Headers],0)))</f>
        <v>#N/A</v>
      </c>
      <c r="AA183" s="4" t="e" cm="1">
        <f t="array" ref="AA183">IF(INDEX(Table2[],_xlfn.XMATCH($A183,Table2[Steel Member],0),_xlfn.XMATCH(AA$2,Table2[#Headers],0))=0,"",INDEX(Table2[],_xlfn.XMATCH($A183,Table2[Steel Member],0),_xlfn.XMATCH(AA$2,Table2[#Headers],0)))</f>
        <v>#N/A</v>
      </c>
      <c r="AB183" s="4" t="e" cm="1">
        <f t="array" ref="AB183">IF(INDEX(Table2[],_xlfn.XMATCH($A183,Table2[Steel Member],0),_xlfn.XMATCH(AB$2,Table2[#Headers],0))=0,"",INDEX(Table2[],_xlfn.XMATCH($A183,Table2[Steel Member],0),_xlfn.XMATCH(AB$2,Table2[#Headers],0)))</f>
        <v>#N/A</v>
      </c>
      <c r="AC183" s="4" t="str" cm="1">
        <f t="array" ref="AC183">IFERROR(INDEX(Table8[],_xlfn.XMATCH($O183,Table8[Dimension Name Category],0),_xlfn.XMATCH(AC$2&amp;IF($L183," w/ tag"," w/o tag"),Table8[#Headers],0)),"")</f>
        <v/>
      </c>
      <c r="AD183" s="59" t="str">
        <f t="shared" si="69"/>
        <v/>
      </c>
      <c r="AE183" s="4" t="str">
        <f t="shared" si="70"/>
        <v/>
      </c>
      <c r="AF183" s="4" t="str">
        <f t="shared" si="71"/>
        <v/>
      </c>
      <c r="AG183" s="4" t="str" cm="1">
        <f t="array" ref="AG183">IFERROR(INDEX(Table8[],_xlfn.XMATCH($O183,Table8[Dimension Name Category],0),_xlfn.XMATCH(AG$2&amp;IF($L183," w/ tag"," w/o tag"),Table8[#Headers],0)),"")</f>
        <v/>
      </c>
      <c r="AH183" s="59" t="str">
        <f t="shared" si="72"/>
        <v/>
      </c>
      <c r="AI183" s="4"/>
      <c r="AJ183" s="4" t="str">
        <f t="shared" si="73"/>
        <v/>
      </c>
      <c r="AK183" s="4" t="str">
        <f t="shared" si="74"/>
        <v/>
      </c>
      <c r="AL183" s="4" t="e" cm="1">
        <f t="array" ref="AL183">IF(INDEX(Table2[],_xlfn.XMATCH($A183,Table2[Steel Member],0),_xlfn.XMATCH(AL$2,Table2[#Headers],0))=0,"",INDEX(Table2[],_xlfn.XMATCH($A183,Table2[Steel Member],0),_xlfn.XMATCH(AL$2,Table2[#Headers],0)))</f>
        <v>#N/A</v>
      </c>
      <c r="AM183" s="4"/>
      <c r="AN183" s="4" t="str">
        <f t="shared" si="75"/>
        <v/>
      </c>
      <c r="AO183" s="4"/>
      <c r="AP183" s="4" t="e" cm="1">
        <f t="array" ref="AP183">IF(INDEX(Table2[],_xlfn.XMATCH($A183,Table2[Steel Member],0),_xlfn.XMATCH(AP$2,Table2[#Headers],0))=0,"",INDEX(Table2[],_xlfn.XMATCH($A183,Table2[Steel Member],0),_xlfn.XMATCH(AP$2,Table2[#Headers],0)))</f>
        <v>#N/A</v>
      </c>
      <c r="AQ183" s="4"/>
      <c r="AR183" s="4"/>
      <c r="AS183" s="4"/>
      <c r="AT183" s="4"/>
    </row>
    <row r="184" spans="1:46" x14ac:dyDescent="0.25">
      <c r="A184" s="52"/>
      <c r="B184" s="53"/>
      <c r="C184" s="52"/>
      <c r="D184" s="52"/>
      <c r="E184" s="52"/>
      <c r="F184" s="64" cm="1">
        <f t="array" ref="F184">IF(COUNT(FIND(PurlinsxGirthsxBracings,$C184))&gt;0,0,ROUNDUP(IF(D184=0,0,VLOOKUP(D184,'DATA SHEET'!$B:$D,2,FALSE)),2))</f>
        <v>0</v>
      </c>
      <c r="G184" s="64" cm="1">
        <f t="array" ref="G184">IF(COUNT(FIND(PurlinsxGirthsxBracings,$C184))&gt;0,0,ROUNDUP(IF(D184=0,0,VLOOKUP(D184,'DATA SHEET'!$B:$D,3,FALSE)),2))</f>
        <v>0</v>
      </c>
      <c r="H184" s="53"/>
      <c r="I184" s="66" cm="1">
        <f t="array" ref="I184">IF(AND(ISBLANK(B184),ISBLANK(C184),ISBLANK(E184)),0,IF(COUNT(FIND(PurlinsxGirthsxBracings,$C184))&gt;0,IF(B184=0,CONCATENATE(E184," ",C184),CONCATENATE(B184," - ",E184," ",C184)),IF(B184=0,IF(ISBLANK(C184),E184,CONCATENATE(D184,", ",F184,"kg/m, ",G184,"mm surface perimeter")),IF(AND(ISBLANK(C184),ISTEXT(E184)),CONCATENATE(B184," - ",E184),IF(AND(ISBLANK(C184),ISBLANK(E184)),B184,CONCATENATE(B184," - ",D184,", ",F184,"kg/m, ",G184,"mm surface perimeter"))))&amp;IF(ISBLANK(H184),"",H184)))</f>
        <v>0</v>
      </c>
      <c r="J184" s="53"/>
      <c r="L184" s="4" t="str" cm="1">
        <f t="array" ref="L184">IF(COUNT(FIND({0,1,2,3,4,5,6,7,8,9},B184))&gt;0,COUNT(FIND({0,1,2,3,4,5,6,7,8,9},B184))&gt;0,"")</f>
        <v/>
      </c>
      <c r="M184" s="4" t="str" cm="1">
        <f t="array" aca="1" ref="M184" ca="1">IFERROR(_xlfn.IFS(R184="Count",RANDBETWEEN(1,COUNTIF($R$11:$R$653,"Count")),R184="Length",RANDBETWEEN(1,COUNTIF($R$11:$R$653,"Length"))),"")</f>
        <v/>
      </c>
      <c r="N184" s="4" t="str">
        <f ca="1">IFERROR(_xlfn.RANK.EQ(M184,$M$11:$M$653)+COUNTIF($M$11:M184,M184)-1,"")</f>
        <v/>
      </c>
      <c r="O184" s="86" t="str">
        <f>IF(A184='DATA SHEET'!$L$36,C184,IFERROR(IF(AND(ISTEXT(I184),ISBLANK(C184)),"No details",VLOOKUP(C184,DimFolder,2,FALSE)),""))</f>
        <v/>
      </c>
      <c r="P184" s="4" t="str">
        <f t="shared" si="64"/>
        <v/>
      </c>
      <c r="Q184" s="58" t="str">
        <f t="shared" si="76"/>
        <v/>
      </c>
      <c r="R184" s="4" t="e" cm="1">
        <f t="array" ref="R184">IF(INDEX(Table2[],_xlfn.XMATCH($A184,Table2[Steel Member],0),_xlfn.XMATCH(R$2,Table2[#Headers],0))=0,"",INDEX(Table2[],_xlfn.XMATCH($A184,Table2[Steel Member],0),_xlfn.XMATCH(R$2,Table2[#Headers],0)))</f>
        <v>#N/A</v>
      </c>
      <c r="S184" s="4" t="e" cm="1">
        <f t="array" ref="S184">IF(INDEX(Table2[],_xlfn.XMATCH($A184,Table2[Steel Member],0),_xlfn.XMATCH(S$2,Table2[#Headers],0))=0,"",INDEX(Table2[],_xlfn.XMATCH($A184,Table2[Steel Member],0),_xlfn.XMATCH(S$2,Table2[#Headers],0)))</f>
        <v>#N/A</v>
      </c>
      <c r="T184" s="4" t="str">
        <f t="shared" si="67"/>
        <v/>
      </c>
      <c r="U184" s="4" t="e">
        <f ca="1">VLOOKUP(N184,'COLOR CODE'!$B:$D,2,FALSE)</f>
        <v>#N/A</v>
      </c>
      <c r="V184" s="4" t="str">
        <f t="shared" si="68"/>
        <v/>
      </c>
      <c r="W184" s="4" t="e" cm="1">
        <f t="array" ref="W184">IF(INDEX(Table2[],_xlfn.XMATCH($A184,Table2[Steel Member],0),_xlfn.XMATCH(W$2,Table2[#Headers],0))=0,"",INDEX(Table2[],_xlfn.XMATCH($A184,Table2[Steel Member],0),_xlfn.XMATCH(W$2,Table2[#Headers],0)))</f>
        <v>#N/A</v>
      </c>
      <c r="X184" s="4" t="e">
        <f t="shared" si="66"/>
        <v>#N/A</v>
      </c>
      <c r="Y184" s="4" t="e" cm="1">
        <f t="array" ref="Y184">IF(INDEX(Table2[],_xlfn.XMATCH($A184,Table2[Steel Member],0),_xlfn.XMATCH(Y$2,Table2[#Headers],0))=0,"",INDEX(Table2[],_xlfn.XMATCH($A184,Table2[Steel Member],0),_xlfn.XMATCH(Y$2,Table2[#Headers],0)))</f>
        <v>#N/A</v>
      </c>
      <c r="Z184" s="4" t="e" cm="1">
        <f t="array" ref="Z184">IF(INDEX(Table2[],_xlfn.XMATCH($A184,Table2[Steel Member],0),_xlfn.XMATCH(Z$2,Table2[#Headers],0))=0,"",INDEX(Table2[],_xlfn.XMATCH($A184,Table2[Steel Member],0),_xlfn.XMATCH(Z$2,Table2[#Headers],0)))</f>
        <v>#N/A</v>
      </c>
      <c r="AA184" s="4" t="e" cm="1">
        <f t="array" ref="AA184">IF(INDEX(Table2[],_xlfn.XMATCH($A184,Table2[Steel Member],0),_xlfn.XMATCH(AA$2,Table2[#Headers],0))=0,"",INDEX(Table2[],_xlfn.XMATCH($A184,Table2[Steel Member],0),_xlfn.XMATCH(AA$2,Table2[#Headers],0)))</f>
        <v>#N/A</v>
      </c>
      <c r="AB184" s="4" t="e" cm="1">
        <f t="array" ref="AB184">IF(INDEX(Table2[],_xlfn.XMATCH($A184,Table2[Steel Member],0),_xlfn.XMATCH(AB$2,Table2[#Headers],0))=0,"",INDEX(Table2[],_xlfn.XMATCH($A184,Table2[Steel Member],0),_xlfn.XMATCH(AB$2,Table2[#Headers],0)))</f>
        <v>#N/A</v>
      </c>
      <c r="AC184" s="4" t="str" cm="1">
        <f t="array" ref="AC184">IFERROR(INDEX(Table8[],_xlfn.XMATCH($O184,Table8[Dimension Name Category],0),_xlfn.XMATCH(AC$2&amp;IF($L184," w/ tag"," w/o tag"),Table8[#Headers],0)),"")</f>
        <v/>
      </c>
      <c r="AD184" s="59" t="str">
        <f t="shared" si="69"/>
        <v/>
      </c>
      <c r="AE184" s="4" t="str">
        <f t="shared" si="70"/>
        <v/>
      </c>
      <c r="AF184" s="4" t="str">
        <f t="shared" si="71"/>
        <v/>
      </c>
      <c r="AG184" s="4" t="str" cm="1">
        <f t="array" ref="AG184">IFERROR(INDEX(Table8[],_xlfn.XMATCH($O184,Table8[Dimension Name Category],0),_xlfn.XMATCH(AG$2&amp;IF($L184," w/ tag"," w/o tag"),Table8[#Headers],0)),"")</f>
        <v/>
      </c>
      <c r="AH184" s="59" t="str">
        <f t="shared" si="72"/>
        <v/>
      </c>
      <c r="AI184" s="4"/>
      <c r="AJ184" s="4" t="str">
        <f t="shared" si="73"/>
        <v/>
      </c>
      <c r="AK184" s="4" t="str">
        <f t="shared" si="74"/>
        <v/>
      </c>
      <c r="AL184" s="4" t="e" cm="1">
        <f t="array" ref="AL184">IF(INDEX(Table2[],_xlfn.XMATCH($A184,Table2[Steel Member],0),_xlfn.XMATCH(AL$2,Table2[#Headers],0))=0,"",INDEX(Table2[],_xlfn.XMATCH($A184,Table2[Steel Member],0),_xlfn.XMATCH(AL$2,Table2[#Headers],0)))</f>
        <v>#N/A</v>
      </c>
      <c r="AM184" s="4"/>
      <c r="AN184" s="4" t="str">
        <f t="shared" si="75"/>
        <v/>
      </c>
      <c r="AO184" s="4"/>
      <c r="AP184" s="4" t="e" cm="1">
        <f t="array" ref="AP184">IF(INDEX(Table2[],_xlfn.XMATCH($A184,Table2[Steel Member],0),_xlfn.XMATCH(AP$2,Table2[#Headers],0))=0,"",INDEX(Table2[],_xlfn.XMATCH($A184,Table2[Steel Member],0),_xlfn.XMATCH(AP$2,Table2[#Headers],0)))</f>
        <v>#N/A</v>
      </c>
      <c r="AQ184" s="4"/>
      <c r="AR184" s="4"/>
      <c r="AS184" s="4"/>
      <c r="AT184" s="4"/>
    </row>
    <row r="185" spans="1:46" x14ac:dyDescent="0.25">
      <c r="A185" s="52"/>
      <c r="B185" s="52"/>
      <c r="C185" s="52"/>
      <c r="D185" s="52"/>
      <c r="E185" s="52"/>
      <c r="F185" s="64" cm="1">
        <f t="array" ref="F185">IF(COUNT(FIND(PurlinsxGirthsxBracings,$C185))&gt;0,0,ROUNDUP(IF(D185=0,0,VLOOKUP(D185,'DATA SHEET'!$B:$D,2,FALSE)),2))</f>
        <v>0</v>
      </c>
      <c r="G185" s="64" cm="1">
        <f t="array" ref="G185">IF(COUNT(FIND(PurlinsxGirthsxBracings,$C185))&gt;0,0,ROUNDUP(IF(D185=0,0,VLOOKUP(D185,'DATA SHEET'!$B:$D,3,FALSE)),2))</f>
        <v>0</v>
      </c>
      <c r="H185" s="53"/>
      <c r="I185" s="66" cm="1">
        <f t="array" ref="I185">IF(AND(ISBLANK(B185),ISBLANK(C185),ISBLANK(E185)),0,IF(COUNT(FIND(PurlinsxGirthsxBracings,$C185))&gt;0,IF(B185=0,CONCATENATE(E185," ",C185),CONCATENATE(B185," - ",E185," ",C185)),IF(B185=0,IF(ISBLANK(C185),E185,CONCATENATE(D185,", ",F185,"kg/m, ",G185,"mm surface perimeter")),IF(AND(ISBLANK(C185),ISTEXT(E185)),CONCATENATE(B185," - ",E185),IF(AND(ISBLANK(C185),ISBLANK(E185)),B185,CONCATENATE(B185," - ",D185,", ",F185,"kg/m, ",G185,"mm surface perimeter"))))&amp;IF(ISBLANK(H185),"",H185)))</f>
        <v>0</v>
      </c>
      <c r="J185" s="53"/>
      <c r="L185" s="4" t="str" cm="1">
        <f t="array" ref="L185">IF(COUNT(FIND({0,1,2,3,4,5,6,7,8,9},B185))&gt;0,COUNT(FIND({0,1,2,3,4,5,6,7,8,9},B185))&gt;0,"")</f>
        <v/>
      </c>
      <c r="M185" s="4" t="str" cm="1">
        <f t="array" aca="1" ref="M185" ca="1">IFERROR(_xlfn.IFS(R185="Count",RANDBETWEEN(1,COUNTIF($R$11:$R$653,"Count")),R185="Length",RANDBETWEEN(1,COUNTIF($R$11:$R$653,"Length"))),"")</f>
        <v/>
      </c>
      <c r="N185" s="4" t="str">
        <f ca="1">IFERROR(_xlfn.RANK.EQ(M185,$M$11:$M$653)+COUNTIF($M$11:M185,M185)-1,"")</f>
        <v/>
      </c>
      <c r="O185" s="86" t="str">
        <f>IF(A185='DATA SHEET'!$L$36,C185,IFERROR(IF(AND(ISTEXT(I185),ISBLANK(C185)),"No details",VLOOKUP(C185,DimFolder,2,FALSE)),""))</f>
        <v/>
      </c>
      <c r="P185" s="4" t="str">
        <f t="shared" si="64"/>
        <v/>
      </c>
      <c r="Q185" s="58" t="str">
        <f t="shared" si="76"/>
        <v/>
      </c>
      <c r="R185" s="4" t="e" cm="1">
        <f t="array" ref="R185">IF(INDEX(Table2[],_xlfn.XMATCH($A185,Table2[Steel Member],0),_xlfn.XMATCH(R$2,Table2[#Headers],0))=0,"",INDEX(Table2[],_xlfn.XMATCH($A185,Table2[Steel Member],0),_xlfn.XMATCH(R$2,Table2[#Headers],0)))</f>
        <v>#N/A</v>
      </c>
      <c r="S185" s="4" t="e" cm="1">
        <f t="array" ref="S185">IF(INDEX(Table2[],_xlfn.XMATCH($A185,Table2[Steel Member],0),_xlfn.XMATCH(S$2,Table2[#Headers],0))=0,"",INDEX(Table2[],_xlfn.XMATCH($A185,Table2[Steel Member],0),_xlfn.XMATCH(S$2,Table2[#Headers],0)))</f>
        <v>#N/A</v>
      </c>
      <c r="T185" s="4" t="str">
        <f t="shared" si="67"/>
        <v/>
      </c>
      <c r="U185" s="4" t="e">
        <f ca="1">VLOOKUP(N185,'COLOR CODE'!$B:$D,2,FALSE)</f>
        <v>#N/A</v>
      </c>
      <c r="V185" s="4" t="str">
        <f t="shared" si="68"/>
        <v/>
      </c>
      <c r="W185" s="4" t="e" cm="1">
        <f t="array" ref="W185">IF(INDEX(Table2[],_xlfn.XMATCH($A185,Table2[Steel Member],0),_xlfn.XMATCH(W$2,Table2[#Headers],0))=0,"",INDEX(Table2[],_xlfn.XMATCH($A185,Table2[Steel Member],0),_xlfn.XMATCH(W$2,Table2[#Headers],0)))</f>
        <v>#N/A</v>
      </c>
      <c r="X185" s="4" t="e">
        <f t="shared" si="66"/>
        <v>#N/A</v>
      </c>
      <c r="Y185" s="4" t="e" cm="1">
        <f t="array" ref="Y185">IF(INDEX(Table2[],_xlfn.XMATCH($A185,Table2[Steel Member],0),_xlfn.XMATCH(Y$2,Table2[#Headers],0))=0,"",INDEX(Table2[],_xlfn.XMATCH($A185,Table2[Steel Member],0),_xlfn.XMATCH(Y$2,Table2[#Headers],0)))</f>
        <v>#N/A</v>
      </c>
      <c r="Z185" s="4" t="e" cm="1">
        <f t="array" ref="Z185">IF(INDEX(Table2[],_xlfn.XMATCH($A185,Table2[Steel Member],0),_xlfn.XMATCH(Z$2,Table2[#Headers],0))=0,"",INDEX(Table2[],_xlfn.XMATCH($A185,Table2[Steel Member],0),_xlfn.XMATCH(Z$2,Table2[#Headers],0)))</f>
        <v>#N/A</v>
      </c>
      <c r="AA185" s="4" t="e" cm="1">
        <f t="array" ref="AA185">IF(INDEX(Table2[],_xlfn.XMATCH($A185,Table2[Steel Member],0),_xlfn.XMATCH(AA$2,Table2[#Headers],0))=0,"",INDEX(Table2[],_xlfn.XMATCH($A185,Table2[Steel Member],0),_xlfn.XMATCH(AA$2,Table2[#Headers],0)))</f>
        <v>#N/A</v>
      </c>
      <c r="AB185" s="4" t="e" cm="1">
        <f t="array" ref="AB185">IF(INDEX(Table2[],_xlfn.XMATCH($A185,Table2[Steel Member],0),_xlfn.XMATCH(AB$2,Table2[#Headers],0))=0,"",INDEX(Table2[],_xlfn.XMATCH($A185,Table2[Steel Member],0),_xlfn.XMATCH(AB$2,Table2[#Headers],0)))</f>
        <v>#N/A</v>
      </c>
      <c r="AC185" s="4" t="str" cm="1">
        <f t="array" ref="AC185">IFERROR(INDEX(Table8[],_xlfn.XMATCH($O185,Table8[Dimension Name Category],0),_xlfn.XMATCH(AC$2&amp;IF($L185," w/ tag"," w/o tag"),Table8[#Headers],0)),"")</f>
        <v/>
      </c>
      <c r="AD185" s="59" t="str">
        <f t="shared" si="69"/>
        <v/>
      </c>
      <c r="AE185" s="4" t="str">
        <f t="shared" si="70"/>
        <v/>
      </c>
      <c r="AF185" s="4" t="str">
        <f t="shared" si="71"/>
        <v/>
      </c>
      <c r="AG185" s="4" t="str" cm="1">
        <f t="array" ref="AG185">IFERROR(INDEX(Table8[],_xlfn.XMATCH($O185,Table8[Dimension Name Category],0),_xlfn.XMATCH(AG$2&amp;IF($L185," w/ tag"," w/o tag"),Table8[#Headers],0)),"")</f>
        <v/>
      </c>
      <c r="AH185" s="59" t="str">
        <f t="shared" si="72"/>
        <v/>
      </c>
      <c r="AI185" s="4"/>
      <c r="AJ185" s="4" t="str">
        <f t="shared" si="73"/>
        <v/>
      </c>
      <c r="AK185" s="4" t="str">
        <f t="shared" si="74"/>
        <v/>
      </c>
      <c r="AL185" s="4" t="e" cm="1">
        <f t="array" ref="AL185">IF(INDEX(Table2[],_xlfn.XMATCH($A185,Table2[Steel Member],0),_xlfn.XMATCH(AL$2,Table2[#Headers],0))=0,"",INDEX(Table2[],_xlfn.XMATCH($A185,Table2[Steel Member],0),_xlfn.XMATCH(AL$2,Table2[#Headers],0)))</f>
        <v>#N/A</v>
      </c>
      <c r="AM185" s="4"/>
      <c r="AN185" s="4" t="str">
        <f t="shared" si="75"/>
        <v/>
      </c>
      <c r="AO185" s="4"/>
      <c r="AP185" s="4" t="e" cm="1">
        <f t="array" ref="AP185">IF(INDEX(Table2[],_xlfn.XMATCH($A185,Table2[Steel Member],0),_xlfn.XMATCH(AP$2,Table2[#Headers],0))=0,"",INDEX(Table2[],_xlfn.XMATCH($A185,Table2[Steel Member],0),_xlfn.XMATCH(AP$2,Table2[#Headers],0)))</f>
        <v>#N/A</v>
      </c>
      <c r="AQ185" s="4"/>
      <c r="AR185" s="4"/>
      <c r="AS185" s="4"/>
      <c r="AT185" s="4"/>
    </row>
    <row r="186" spans="1:46" x14ac:dyDescent="0.25">
      <c r="A186" s="52"/>
      <c r="B186" s="52"/>
      <c r="C186" s="52"/>
      <c r="D186" s="52"/>
      <c r="E186" s="52"/>
      <c r="F186" s="64" cm="1">
        <f t="array" ref="F186">IF(COUNT(FIND(PurlinsxGirthsxBracings,$C186))&gt;0,0,ROUNDUP(IF(D186=0,0,VLOOKUP(D186,'DATA SHEET'!$B:$D,2,FALSE)),2))</f>
        <v>0</v>
      </c>
      <c r="G186" s="64" cm="1">
        <f t="array" ref="G186">IF(COUNT(FIND(PurlinsxGirthsxBracings,$C186))&gt;0,0,ROUNDUP(IF(D186=0,0,VLOOKUP(D186,'DATA SHEET'!$B:$D,3,FALSE)),2))</f>
        <v>0</v>
      </c>
      <c r="H186" s="53"/>
      <c r="I186" s="66" cm="1">
        <f t="array" ref="I186">IF(AND(ISBLANK(B186),ISBLANK(C186),ISBLANK(E186)),0,IF(COUNT(FIND(PurlinsxGirthsxBracings,$C186))&gt;0,IF(B186=0,CONCATENATE(E186," ",C186),CONCATENATE(B186," - ",E186," ",C186)),IF(B186=0,IF(ISBLANK(C186),E186,CONCATENATE(D186,", ",F186,"kg/m, ",G186,"mm surface perimeter")),IF(AND(ISBLANK(C186),ISTEXT(E186)),CONCATENATE(B186," - ",E186),IF(AND(ISBLANK(C186),ISBLANK(E186)),B186,CONCATENATE(B186," - ",D186,", ",F186,"kg/m, ",G186,"mm surface perimeter"))))&amp;IF(ISBLANK(H186),"",H186)))</f>
        <v>0</v>
      </c>
      <c r="J186" s="53"/>
      <c r="L186" s="4" t="str" cm="1">
        <f t="array" ref="L186">IF(COUNT(FIND({0,1,2,3,4,5,6,7,8,9},B186))&gt;0,COUNT(FIND({0,1,2,3,4,5,6,7,8,9},B186))&gt;0,"")</f>
        <v/>
      </c>
      <c r="M186" s="4" t="str" cm="1">
        <f t="array" aca="1" ref="M186" ca="1">IFERROR(_xlfn.IFS(R186="Count",RANDBETWEEN(1,COUNTIF($R$11:$R$653,"Count")),R186="Length",RANDBETWEEN(1,COUNTIF($R$11:$R$653,"Length"))),"")</f>
        <v/>
      </c>
      <c r="N186" s="4" t="str">
        <f ca="1">IFERROR(_xlfn.RANK.EQ(M186,$M$11:$M$653)+COUNTIF($M$11:M186,M186)-1,"")</f>
        <v/>
      </c>
      <c r="O186" s="86" t="str">
        <f>IF(A186='DATA SHEET'!$L$36,C186,IFERROR(IF(AND(ISTEXT(I186),ISBLANK(C186)),"No details",VLOOKUP(C186,DimFolder,2,FALSE)),""))</f>
        <v/>
      </c>
      <c r="P186" s="4" t="str">
        <f t="shared" si="64"/>
        <v/>
      </c>
      <c r="Q186" s="58" t="str">
        <f t="shared" si="76"/>
        <v/>
      </c>
      <c r="R186" s="4" t="e" cm="1">
        <f t="array" ref="R186">IF(INDEX(Table2[],_xlfn.XMATCH($A186,Table2[Steel Member],0),_xlfn.XMATCH(R$2,Table2[#Headers],0))=0,"",INDEX(Table2[],_xlfn.XMATCH($A186,Table2[Steel Member],0),_xlfn.XMATCH(R$2,Table2[#Headers],0)))</f>
        <v>#N/A</v>
      </c>
      <c r="S186" s="4" t="e" cm="1">
        <f t="array" ref="S186">IF(INDEX(Table2[],_xlfn.XMATCH($A186,Table2[Steel Member],0),_xlfn.XMATCH(S$2,Table2[#Headers],0))=0,"",INDEX(Table2[],_xlfn.XMATCH($A186,Table2[Steel Member],0),_xlfn.XMATCH(S$2,Table2[#Headers],0)))</f>
        <v>#N/A</v>
      </c>
      <c r="T186" s="4" t="str">
        <f t="shared" si="67"/>
        <v/>
      </c>
      <c r="U186" s="4" t="e">
        <f ca="1">VLOOKUP(N186,'COLOR CODE'!$B:$D,2,FALSE)</f>
        <v>#N/A</v>
      </c>
      <c r="V186" s="4" t="str">
        <f t="shared" si="68"/>
        <v/>
      </c>
      <c r="W186" s="4" t="e" cm="1">
        <f t="array" ref="W186">IF(INDEX(Table2[],_xlfn.XMATCH($A186,Table2[Steel Member],0),_xlfn.XMATCH(W$2,Table2[#Headers],0))=0,"",INDEX(Table2[],_xlfn.XMATCH($A186,Table2[Steel Member],0),_xlfn.XMATCH(W$2,Table2[#Headers],0)))</f>
        <v>#N/A</v>
      </c>
      <c r="X186" s="4" t="e">
        <f t="shared" si="66"/>
        <v>#N/A</v>
      </c>
      <c r="Y186" s="4" t="e" cm="1">
        <f t="array" ref="Y186">IF(INDEX(Table2[],_xlfn.XMATCH($A186,Table2[Steel Member],0),_xlfn.XMATCH(Y$2,Table2[#Headers],0))=0,"",INDEX(Table2[],_xlfn.XMATCH($A186,Table2[Steel Member],0),_xlfn.XMATCH(Y$2,Table2[#Headers],0)))</f>
        <v>#N/A</v>
      </c>
      <c r="Z186" s="4" t="e" cm="1">
        <f t="array" ref="Z186">IF(INDEX(Table2[],_xlfn.XMATCH($A186,Table2[Steel Member],0),_xlfn.XMATCH(Z$2,Table2[#Headers],0))=0,"",INDEX(Table2[],_xlfn.XMATCH($A186,Table2[Steel Member],0),_xlfn.XMATCH(Z$2,Table2[#Headers],0)))</f>
        <v>#N/A</v>
      </c>
      <c r="AA186" s="4" t="e" cm="1">
        <f t="array" ref="AA186">IF(INDEX(Table2[],_xlfn.XMATCH($A186,Table2[Steel Member],0),_xlfn.XMATCH(AA$2,Table2[#Headers],0))=0,"",INDEX(Table2[],_xlfn.XMATCH($A186,Table2[Steel Member],0),_xlfn.XMATCH(AA$2,Table2[#Headers],0)))</f>
        <v>#N/A</v>
      </c>
      <c r="AB186" s="4" t="e" cm="1">
        <f t="array" ref="AB186">IF(INDEX(Table2[],_xlfn.XMATCH($A186,Table2[Steel Member],0),_xlfn.XMATCH(AB$2,Table2[#Headers],0))=0,"",INDEX(Table2[],_xlfn.XMATCH($A186,Table2[Steel Member],0),_xlfn.XMATCH(AB$2,Table2[#Headers],0)))</f>
        <v>#N/A</v>
      </c>
      <c r="AC186" s="4" t="str" cm="1">
        <f t="array" ref="AC186">IFERROR(INDEX(Table8[],_xlfn.XMATCH($O186,Table8[Dimension Name Category],0),_xlfn.XMATCH(AC$2&amp;IF($L186," w/ tag"," w/o tag"),Table8[#Headers],0)),"")</f>
        <v/>
      </c>
      <c r="AD186" s="59" t="str">
        <f t="shared" si="69"/>
        <v/>
      </c>
      <c r="AE186" s="4" t="str">
        <f t="shared" si="70"/>
        <v/>
      </c>
      <c r="AF186" s="4" t="str">
        <f t="shared" si="71"/>
        <v/>
      </c>
      <c r="AG186" s="4" t="str" cm="1">
        <f t="array" ref="AG186">IFERROR(INDEX(Table8[],_xlfn.XMATCH($O186,Table8[Dimension Name Category],0),_xlfn.XMATCH(AG$2&amp;IF($L186," w/ tag"," w/o tag"),Table8[#Headers],0)),"")</f>
        <v/>
      </c>
      <c r="AH186" s="59" t="str">
        <f t="shared" si="72"/>
        <v/>
      </c>
      <c r="AI186" s="4"/>
      <c r="AJ186" s="4" t="str">
        <f t="shared" si="73"/>
        <v/>
      </c>
      <c r="AK186" s="4" t="str">
        <f t="shared" si="74"/>
        <v/>
      </c>
      <c r="AL186" s="4" t="e" cm="1">
        <f t="array" ref="AL186">IF(INDEX(Table2[],_xlfn.XMATCH($A186,Table2[Steel Member],0),_xlfn.XMATCH(AL$2,Table2[#Headers],0))=0,"",INDEX(Table2[],_xlfn.XMATCH($A186,Table2[Steel Member],0),_xlfn.XMATCH(AL$2,Table2[#Headers],0)))</f>
        <v>#N/A</v>
      </c>
      <c r="AM186" s="4"/>
      <c r="AN186" s="4" t="str">
        <f t="shared" si="75"/>
        <v/>
      </c>
      <c r="AO186" s="4"/>
      <c r="AP186" s="4" t="e" cm="1">
        <f t="array" ref="AP186">IF(INDEX(Table2[],_xlfn.XMATCH($A186,Table2[Steel Member],0),_xlfn.XMATCH(AP$2,Table2[#Headers],0))=0,"",INDEX(Table2[],_xlfn.XMATCH($A186,Table2[Steel Member],0),_xlfn.XMATCH(AP$2,Table2[#Headers],0)))</f>
        <v>#N/A</v>
      </c>
      <c r="AQ186" s="4"/>
      <c r="AR186" s="4"/>
      <c r="AS186" s="4"/>
      <c r="AT186" s="4"/>
    </row>
    <row r="187" spans="1:46" x14ac:dyDescent="0.25">
      <c r="A187" s="52"/>
      <c r="B187" s="52"/>
      <c r="C187" s="52"/>
      <c r="D187" s="52"/>
      <c r="E187" s="52"/>
      <c r="F187" s="64" cm="1">
        <f t="array" ref="F187">IF(COUNT(FIND(PurlinsxGirthsxBracings,$C187))&gt;0,0,ROUNDUP(IF(D187=0,0,VLOOKUP(D187,'DATA SHEET'!$B:$D,2,FALSE)),2))</f>
        <v>0</v>
      </c>
      <c r="G187" s="64" cm="1">
        <f t="array" ref="G187">IF(COUNT(FIND(PurlinsxGirthsxBracings,$C187))&gt;0,0,ROUNDUP(IF(D187=0,0,VLOOKUP(D187,'DATA SHEET'!$B:$D,3,FALSE)),2))</f>
        <v>0</v>
      </c>
      <c r="H187" s="53"/>
      <c r="I187" s="66" cm="1">
        <f t="array" ref="I187">IF(AND(ISBLANK(B187),ISBLANK(C187),ISBLANK(E187)),0,IF(COUNT(FIND(PurlinsxGirthsxBracings,$C187))&gt;0,IF(B187=0,CONCATENATE(E187," ",C187),CONCATENATE(B187," - ",E187," ",C187)),IF(B187=0,IF(ISBLANK(C187),E187,CONCATENATE(D187,", ",F187,"kg/m, ",G187,"mm surface perimeter")),IF(AND(ISBLANK(C187),ISTEXT(E187)),CONCATENATE(B187," - ",E187),IF(AND(ISBLANK(C187),ISBLANK(E187)),B187,CONCATENATE(B187," - ",D187,", ",F187,"kg/m, ",G187,"mm surface perimeter"))))&amp;IF(ISBLANK(H187),"",H187)))</f>
        <v>0</v>
      </c>
      <c r="J187" s="53"/>
      <c r="L187" s="4" t="str" cm="1">
        <f t="array" ref="L187">IF(COUNT(FIND({0,1,2,3,4,5,6,7,8,9},B187))&gt;0,COUNT(FIND({0,1,2,3,4,5,6,7,8,9},B187))&gt;0,"")</f>
        <v/>
      </c>
      <c r="M187" s="4" t="str" cm="1">
        <f t="array" aca="1" ref="M187" ca="1">IFERROR(_xlfn.IFS(R187="Count",RANDBETWEEN(1,COUNTIF($R$11:$R$653,"Count")),R187="Length",RANDBETWEEN(1,COUNTIF($R$11:$R$653,"Length"))),"")</f>
        <v/>
      </c>
      <c r="N187" s="4" t="str">
        <f ca="1">IFERROR(_xlfn.RANK.EQ(M187,$M$11:$M$653)+COUNTIF($M$11:M187,M187)-1,"")</f>
        <v/>
      </c>
      <c r="O187" s="86" t="str">
        <f>IF(A187='DATA SHEET'!$L$36,C187,IFERROR(IF(AND(ISTEXT(I187),ISBLANK(C187)),"No details",VLOOKUP(C187,DimFolder,2,FALSE)),""))</f>
        <v/>
      </c>
      <c r="P187" s="4" t="str">
        <f t="shared" si="64"/>
        <v/>
      </c>
      <c r="Q187" s="58" t="str">
        <f t="shared" si="76"/>
        <v/>
      </c>
      <c r="R187" s="4" t="e" cm="1">
        <f t="array" ref="R187">IF(INDEX(Table2[],_xlfn.XMATCH($A187,Table2[Steel Member],0),_xlfn.XMATCH(R$2,Table2[#Headers],0))=0,"",INDEX(Table2[],_xlfn.XMATCH($A187,Table2[Steel Member],0),_xlfn.XMATCH(R$2,Table2[#Headers],0)))</f>
        <v>#N/A</v>
      </c>
      <c r="S187" s="4" t="e" cm="1">
        <f t="array" ref="S187">IF(INDEX(Table2[],_xlfn.XMATCH($A187,Table2[Steel Member],0),_xlfn.XMATCH(S$2,Table2[#Headers],0))=0,"",INDEX(Table2[],_xlfn.XMATCH($A187,Table2[Steel Member],0),_xlfn.XMATCH(S$2,Table2[#Headers],0)))</f>
        <v>#N/A</v>
      </c>
      <c r="T187" s="4" t="str">
        <f t="shared" si="67"/>
        <v/>
      </c>
      <c r="U187" s="4" t="e">
        <f ca="1">VLOOKUP(N187,'COLOR CODE'!$B:$D,2,FALSE)</f>
        <v>#N/A</v>
      </c>
      <c r="V187" s="4" t="str">
        <f t="shared" si="68"/>
        <v/>
      </c>
      <c r="W187" s="4" t="e" cm="1">
        <f t="array" ref="W187">IF(INDEX(Table2[],_xlfn.XMATCH($A187,Table2[Steel Member],0),_xlfn.XMATCH(W$2,Table2[#Headers],0))=0,"",INDEX(Table2[],_xlfn.XMATCH($A187,Table2[Steel Member],0),_xlfn.XMATCH(W$2,Table2[#Headers],0)))</f>
        <v>#N/A</v>
      </c>
      <c r="X187" s="4" t="e">
        <f t="shared" si="66"/>
        <v>#N/A</v>
      </c>
      <c r="Y187" s="4" t="e" cm="1">
        <f t="array" ref="Y187">IF(INDEX(Table2[],_xlfn.XMATCH($A187,Table2[Steel Member],0),_xlfn.XMATCH(Y$2,Table2[#Headers],0))=0,"",INDEX(Table2[],_xlfn.XMATCH($A187,Table2[Steel Member],0),_xlfn.XMATCH(Y$2,Table2[#Headers],0)))</f>
        <v>#N/A</v>
      </c>
      <c r="Z187" s="4" t="e" cm="1">
        <f t="array" ref="Z187">IF(INDEX(Table2[],_xlfn.XMATCH($A187,Table2[Steel Member],0),_xlfn.XMATCH(Z$2,Table2[#Headers],0))=0,"",INDEX(Table2[],_xlfn.XMATCH($A187,Table2[Steel Member],0),_xlfn.XMATCH(Z$2,Table2[#Headers],0)))</f>
        <v>#N/A</v>
      </c>
      <c r="AA187" s="4" t="e" cm="1">
        <f t="array" ref="AA187">IF(INDEX(Table2[],_xlfn.XMATCH($A187,Table2[Steel Member],0),_xlfn.XMATCH(AA$2,Table2[#Headers],0))=0,"",INDEX(Table2[],_xlfn.XMATCH($A187,Table2[Steel Member],0),_xlfn.XMATCH(AA$2,Table2[#Headers],0)))</f>
        <v>#N/A</v>
      </c>
      <c r="AB187" s="4" t="e" cm="1">
        <f t="array" ref="AB187">IF(INDEX(Table2[],_xlfn.XMATCH($A187,Table2[Steel Member],0),_xlfn.XMATCH(AB$2,Table2[#Headers],0))=0,"",INDEX(Table2[],_xlfn.XMATCH($A187,Table2[Steel Member],0),_xlfn.XMATCH(AB$2,Table2[#Headers],0)))</f>
        <v>#N/A</v>
      </c>
      <c r="AC187" s="4" t="str" cm="1">
        <f t="array" ref="AC187">IFERROR(INDEX(Table8[],_xlfn.XMATCH($O187,Table8[Dimension Name Category],0),_xlfn.XMATCH(AC$2&amp;IF($L187," w/ tag"," w/o tag"),Table8[#Headers],0)),"")</f>
        <v/>
      </c>
      <c r="AD187" s="59" t="str">
        <f t="shared" si="69"/>
        <v/>
      </c>
      <c r="AE187" s="4" t="str">
        <f t="shared" si="70"/>
        <v/>
      </c>
      <c r="AF187" s="4" t="str">
        <f t="shared" si="71"/>
        <v/>
      </c>
      <c r="AG187" s="4" t="str" cm="1">
        <f t="array" ref="AG187">IFERROR(INDEX(Table8[],_xlfn.XMATCH($O187,Table8[Dimension Name Category],0),_xlfn.XMATCH(AG$2&amp;IF($L187," w/ tag"," w/o tag"),Table8[#Headers],0)),"")</f>
        <v/>
      </c>
      <c r="AH187" s="59" t="str">
        <f t="shared" si="72"/>
        <v/>
      </c>
      <c r="AI187" s="4"/>
      <c r="AJ187" s="4" t="str">
        <f t="shared" si="73"/>
        <v/>
      </c>
      <c r="AK187" s="4" t="str">
        <f t="shared" si="74"/>
        <v/>
      </c>
      <c r="AL187" s="4" t="e" cm="1">
        <f t="array" ref="AL187">IF(INDEX(Table2[],_xlfn.XMATCH($A187,Table2[Steel Member],0),_xlfn.XMATCH(AL$2,Table2[#Headers],0))=0,"",INDEX(Table2[],_xlfn.XMATCH($A187,Table2[Steel Member],0),_xlfn.XMATCH(AL$2,Table2[#Headers],0)))</f>
        <v>#N/A</v>
      </c>
      <c r="AM187" s="4"/>
      <c r="AN187" s="4" t="str">
        <f t="shared" si="75"/>
        <v/>
      </c>
      <c r="AO187" s="4"/>
      <c r="AP187" s="4" t="e" cm="1">
        <f t="array" ref="AP187">IF(INDEX(Table2[],_xlfn.XMATCH($A187,Table2[Steel Member],0),_xlfn.XMATCH(AP$2,Table2[#Headers],0))=0,"",INDEX(Table2[],_xlfn.XMATCH($A187,Table2[Steel Member],0),_xlfn.XMATCH(AP$2,Table2[#Headers],0)))</f>
        <v>#N/A</v>
      </c>
      <c r="AQ187" s="4"/>
      <c r="AR187" s="4"/>
      <c r="AS187" s="4"/>
      <c r="AT187" s="4"/>
    </row>
    <row r="188" spans="1:46" x14ac:dyDescent="0.25">
      <c r="A188" s="52"/>
      <c r="B188" s="52"/>
      <c r="C188" s="52"/>
      <c r="D188" s="52"/>
      <c r="E188" s="52"/>
      <c r="F188" s="64" cm="1">
        <f t="array" ref="F188">IF(COUNT(FIND(PurlinsxGirthsxBracings,$C188))&gt;0,0,ROUNDUP(IF(D188=0,0,VLOOKUP(D188,'DATA SHEET'!$B:$D,2,FALSE)),2))</f>
        <v>0</v>
      </c>
      <c r="G188" s="64" cm="1">
        <f t="array" ref="G188">IF(COUNT(FIND(PurlinsxGirthsxBracings,$C188))&gt;0,0,ROUNDUP(IF(D188=0,0,VLOOKUP(D188,'DATA SHEET'!$B:$D,3,FALSE)),2))</f>
        <v>0</v>
      </c>
      <c r="H188" s="53"/>
      <c r="I188" s="66" cm="1">
        <f t="array" ref="I188">IF(AND(ISBLANK(B188),ISBLANK(C188),ISBLANK(E188)),0,IF(COUNT(FIND(PurlinsxGirthsxBracings,$C188))&gt;0,IF(B188=0,CONCATENATE(E188," ",C188),CONCATENATE(B188," - ",E188," ",C188)),IF(B188=0,IF(ISBLANK(C188),E188,CONCATENATE(D188,", ",F188,"kg/m, ",G188,"mm surface perimeter")),IF(AND(ISBLANK(C188),ISTEXT(E188)),CONCATENATE(B188," - ",E188),IF(AND(ISBLANK(C188),ISBLANK(E188)),B188,CONCATENATE(B188," - ",D188,", ",F188,"kg/m, ",G188,"mm surface perimeter"))))&amp;IF(ISBLANK(H188),"",H188)))</f>
        <v>0</v>
      </c>
      <c r="J188" s="53"/>
      <c r="L188" s="4" t="str" cm="1">
        <f t="array" ref="L188">IF(COUNT(FIND({0,1,2,3,4,5,6,7,8,9},B188))&gt;0,COUNT(FIND({0,1,2,3,4,5,6,7,8,9},B188))&gt;0,"")</f>
        <v/>
      </c>
      <c r="M188" s="4" t="str" cm="1">
        <f t="array" aca="1" ref="M188" ca="1">IFERROR(_xlfn.IFS(R188="Count",RANDBETWEEN(1,COUNTIF($R$11:$R$653,"Count")),R188="Length",RANDBETWEEN(1,COUNTIF($R$11:$R$653,"Length"))),"")</f>
        <v/>
      </c>
      <c r="N188" s="4" t="str">
        <f ca="1">IFERROR(_xlfn.RANK.EQ(M188,$M$11:$M$653)+COUNTIF($M$11:M188,M188)-1,"")</f>
        <v/>
      </c>
      <c r="O188" s="86" t="str">
        <f>IF(A188='DATA SHEET'!$L$36,C188,IFERROR(IF(AND(ISTEXT(I188),ISBLANK(C188)),"No details",VLOOKUP(C188,DimFolder,2,FALSE)),""))</f>
        <v/>
      </c>
      <c r="P188" s="4" t="str">
        <f t="shared" si="64"/>
        <v/>
      </c>
      <c r="Q188" s="58" t="str">
        <f t="shared" si="76"/>
        <v/>
      </c>
      <c r="R188" s="4" t="e" cm="1">
        <f t="array" ref="R188">IF(INDEX(Table2[],_xlfn.XMATCH($A188,Table2[Steel Member],0),_xlfn.XMATCH(R$2,Table2[#Headers],0))=0,"",INDEX(Table2[],_xlfn.XMATCH($A188,Table2[Steel Member],0),_xlfn.XMATCH(R$2,Table2[#Headers],0)))</f>
        <v>#N/A</v>
      </c>
      <c r="S188" s="4" t="e" cm="1">
        <f t="array" ref="S188">IF(INDEX(Table2[],_xlfn.XMATCH($A188,Table2[Steel Member],0),_xlfn.XMATCH(S$2,Table2[#Headers],0))=0,"",INDEX(Table2[],_xlfn.XMATCH($A188,Table2[Steel Member],0),_xlfn.XMATCH(S$2,Table2[#Headers],0)))</f>
        <v>#N/A</v>
      </c>
      <c r="T188" s="4" t="str">
        <f t="shared" si="67"/>
        <v/>
      </c>
      <c r="U188" s="4" t="e">
        <f ca="1">VLOOKUP(N188,'COLOR CODE'!$B:$D,2,FALSE)</f>
        <v>#N/A</v>
      </c>
      <c r="V188" s="4" t="str">
        <f t="shared" si="68"/>
        <v/>
      </c>
      <c r="W188" s="4" t="e" cm="1">
        <f t="array" ref="W188">IF(INDEX(Table2[],_xlfn.XMATCH($A188,Table2[Steel Member],0),_xlfn.XMATCH(W$2,Table2[#Headers],0))=0,"",INDEX(Table2[],_xlfn.XMATCH($A188,Table2[Steel Member],0),_xlfn.XMATCH(W$2,Table2[#Headers],0)))</f>
        <v>#N/A</v>
      </c>
      <c r="X188" s="4" t="e">
        <f t="shared" si="66"/>
        <v>#N/A</v>
      </c>
      <c r="Y188" s="4" t="e" cm="1">
        <f t="array" ref="Y188">IF(INDEX(Table2[],_xlfn.XMATCH($A188,Table2[Steel Member],0),_xlfn.XMATCH(Y$2,Table2[#Headers],0))=0,"",INDEX(Table2[],_xlfn.XMATCH($A188,Table2[Steel Member],0),_xlfn.XMATCH(Y$2,Table2[#Headers],0)))</f>
        <v>#N/A</v>
      </c>
      <c r="Z188" s="4" t="e" cm="1">
        <f t="array" ref="Z188">IF(INDEX(Table2[],_xlfn.XMATCH($A188,Table2[Steel Member],0),_xlfn.XMATCH(Z$2,Table2[#Headers],0))=0,"",INDEX(Table2[],_xlfn.XMATCH($A188,Table2[Steel Member],0),_xlfn.XMATCH(Z$2,Table2[#Headers],0)))</f>
        <v>#N/A</v>
      </c>
      <c r="AA188" s="4" t="e" cm="1">
        <f t="array" ref="AA188">IF(INDEX(Table2[],_xlfn.XMATCH($A188,Table2[Steel Member],0),_xlfn.XMATCH(AA$2,Table2[#Headers],0))=0,"",INDEX(Table2[],_xlfn.XMATCH($A188,Table2[Steel Member],0),_xlfn.XMATCH(AA$2,Table2[#Headers],0)))</f>
        <v>#N/A</v>
      </c>
      <c r="AB188" s="4" t="e" cm="1">
        <f t="array" ref="AB188">IF(INDEX(Table2[],_xlfn.XMATCH($A188,Table2[Steel Member],0),_xlfn.XMATCH(AB$2,Table2[#Headers],0))=0,"",INDEX(Table2[],_xlfn.XMATCH($A188,Table2[Steel Member],0),_xlfn.XMATCH(AB$2,Table2[#Headers],0)))</f>
        <v>#N/A</v>
      </c>
      <c r="AC188" s="4" t="str" cm="1">
        <f t="array" ref="AC188">IFERROR(INDEX(Table8[],_xlfn.XMATCH($O188,Table8[Dimension Name Category],0),_xlfn.XMATCH(AC$2&amp;IF($L188," w/ tag"," w/o tag"),Table8[#Headers],0)),"")</f>
        <v/>
      </c>
      <c r="AD188" s="59" t="str">
        <f t="shared" si="69"/>
        <v/>
      </c>
      <c r="AE188" s="4" t="str">
        <f t="shared" si="70"/>
        <v/>
      </c>
      <c r="AF188" s="4" t="str">
        <f t="shared" si="71"/>
        <v/>
      </c>
      <c r="AG188" s="4" t="str" cm="1">
        <f t="array" ref="AG188">IFERROR(INDEX(Table8[],_xlfn.XMATCH($O188,Table8[Dimension Name Category],0),_xlfn.XMATCH(AG$2&amp;IF($L188," w/ tag"," w/o tag"),Table8[#Headers],0)),"")</f>
        <v/>
      </c>
      <c r="AH188" s="59" t="str">
        <f t="shared" si="72"/>
        <v/>
      </c>
      <c r="AI188" s="4"/>
      <c r="AJ188" s="4" t="str">
        <f t="shared" si="73"/>
        <v/>
      </c>
      <c r="AK188" s="4" t="str">
        <f t="shared" si="74"/>
        <v/>
      </c>
      <c r="AL188" s="4" t="e" cm="1">
        <f t="array" ref="AL188">IF(INDEX(Table2[],_xlfn.XMATCH($A188,Table2[Steel Member],0),_xlfn.XMATCH(AL$2,Table2[#Headers],0))=0,"",INDEX(Table2[],_xlfn.XMATCH($A188,Table2[Steel Member],0),_xlfn.XMATCH(AL$2,Table2[#Headers],0)))</f>
        <v>#N/A</v>
      </c>
      <c r="AM188" s="4"/>
      <c r="AN188" s="4" t="str">
        <f t="shared" si="75"/>
        <v/>
      </c>
      <c r="AO188" s="4"/>
      <c r="AP188" s="4" t="e" cm="1">
        <f t="array" ref="AP188">IF(INDEX(Table2[],_xlfn.XMATCH($A188,Table2[Steel Member],0),_xlfn.XMATCH(AP$2,Table2[#Headers],0))=0,"",INDEX(Table2[],_xlfn.XMATCH($A188,Table2[Steel Member],0),_xlfn.XMATCH(AP$2,Table2[#Headers],0)))</f>
        <v>#N/A</v>
      </c>
      <c r="AQ188" s="4"/>
      <c r="AR188" s="4"/>
      <c r="AS188" s="4"/>
      <c r="AT188" s="4"/>
    </row>
    <row r="189" spans="1:46" x14ac:dyDescent="0.25">
      <c r="A189" s="52"/>
      <c r="B189" s="52"/>
      <c r="C189" s="52"/>
      <c r="D189" s="52"/>
      <c r="E189" s="52"/>
      <c r="F189" s="64" cm="1">
        <f t="array" ref="F189">IF(COUNT(FIND(PurlinsxGirthsxBracings,$C189))&gt;0,0,ROUNDUP(IF(D189=0,0,VLOOKUP(D189,'DATA SHEET'!$B:$D,2,FALSE)),2))</f>
        <v>0</v>
      </c>
      <c r="G189" s="64" cm="1">
        <f t="array" ref="G189">IF(COUNT(FIND(PurlinsxGirthsxBracings,$C189))&gt;0,0,ROUNDUP(IF(D189=0,0,VLOOKUP(D189,'DATA SHEET'!$B:$D,3,FALSE)),2))</f>
        <v>0</v>
      </c>
      <c r="H189" s="53"/>
      <c r="I189" s="66" cm="1">
        <f t="array" ref="I189">IF(AND(ISBLANK(B189),ISBLANK(C189),ISBLANK(E189)),0,IF(COUNT(FIND(PurlinsxGirthsxBracings,$C189))&gt;0,IF(B189=0,CONCATENATE(E189," ",C189),CONCATENATE(B189," - ",E189," ",C189)),IF(B189=0,IF(ISBLANK(C189),E189,CONCATENATE(D189,", ",F189,"kg/m, ",G189,"mm surface perimeter")),IF(AND(ISBLANK(C189),ISTEXT(E189)),CONCATENATE(B189," - ",E189),IF(AND(ISBLANK(C189),ISBLANK(E189)),B189,CONCATENATE(B189," - ",D189,", ",F189,"kg/m, ",G189,"mm surface perimeter"))))&amp;IF(ISBLANK(H189),"",H189)))</f>
        <v>0</v>
      </c>
      <c r="J189" s="53"/>
      <c r="L189" s="4" t="str" cm="1">
        <f t="array" ref="L189">IF(COUNT(FIND({0,1,2,3,4,5,6,7,8,9},B189))&gt;0,COUNT(FIND({0,1,2,3,4,5,6,7,8,9},B189))&gt;0,"")</f>
        <v/>
      </c>
      <c r="M189" s="4" t="str" cm="1">
        <f t="array" aca="1" ref="M189" ca="1">IFERROR(_xlfn.IFS(R189="Count",RANDBETWEEN(1,COUNTIF($R$11:$R$653,"Count")),R189="Length",RANDBETWEEN(1,COUNTIF($R$11:$R$653,"Length"))),"")</f>
        <v/>
      </c>
      <c r="N189" s="4" t="str">
        <f ca="1">IFERROR(_xlfn.RANK.EQ(M189,$M$11:$M$653)+COUNTIF($M$11:M189,M189)-1,"")</f>
        <v/>
      </c>
      <c r="O189" s="86" t="str">
        <f>IF(A189='DATA SHEET'!$L$36,C189,IFERROR(IF(AND(ISTEXT(I189),ISBLANK(C189)),"No details",VLOOKUP(C189,DimFolder,2,FALSE)),""))</f>
        <v/>
      </c>
      <c r="P189" s="4" t="str">
        <f t="shared" si="64"/>
        <v/>
      </c>
      <c r="Q189" s="58" t="str">
        <f t="shared" si="76"/>
        <v/>
      </c>
      <c r="R189" s="4" t="e" cm="1">
        <f t="array" ref="R189">IF(INDEX(Table2[],_xlfn.XMATCH($A189,Table2[Steel Member],0),_xlfn.XMATCH(R$2,Table2[#Headers],0))=0,"",INDEX(Table2[],_xlfn.XMATCH($A189,Table2[Steel Member],0),_xlfn.XMATCH(R$2,Table2[#Headers],0)))</f>
        <v>#N/A</v>
      </c>
      <c r="S189" s="4" t="e" cm="1">
        <f t="array" ref="S189">IF(INDEX(Table2[],_xlfn.XMATCH($A189,Table2[Steel Member],0),_xlfn.XMATCH(S$2,Table2[#Headers],0))=0,"",INDEX(Table2[],_xlfn.XMATCH($A189,Table2[Steel Member],0),_xlfn.XMATCH(S$2,Table2[#Headers],0)))</f>
        <v>#N/A</v>
      </c>
      <c r="T189" s="4" t="str">
        <f t="shared" si="67"/>
        <v/>
      </c>
      <c r="U189" s="4" t="e">
        <f ca="1">VLOOKUP(N189,'COLOR CODE'!$B:$D,2,FALSE)</f>
        <v>#N/A</v>
      </c>
      <c r="V189" s="4" t="str">
        <f t="shared" si="68"/>
        <v/>
      </c>
      <c r="W189" s="4" t="e" cm="1">
        <f t="array" ref="W189">IF(INDEX(Table2[],_xlfn.XMATCH($A189,Table2[Steel Member],0),_xlfn.XMATCH(W$2,Table2[#Headers],0))=0,"",INDEX(Table2[],_xlfn.XMATCH($A189,Table2[Steel Member],0),_xlfn.XMATCH(W$2,Table2[#Headers],0)))</f>
        <v>#N/A</v>
      </c>
      <c r="X189" s="4" t="e">
        <f t="shared" si="66"/>
        <v>#N/A</v>
      </c>
      <c r="Y189" s="4" t="e" cm="1">
        <f t="array" ref="Y189">IF(INDEX(Table2[],_xlfn.XMATCH($A189,Table2[Steel Member],0),_xlfn.XMATCH(Y$2,Table2[#Headers],0))=0,"",INDEX(Table2[],_xlfn.XMATCH($A189,Table2[Steel Member],0),_xlfn.XMATCH(Y$2,Table2[#Headers],0)))</f>
        <v>#N/A</v>
      </c>
      <c r="Z189" s="4" t="e" cm="1">
        <f t="array" ref="Z189">IF(INDEX(Table2[],_xlfn.XMATCH($A189,Table2[Steel Member],0),_xlfn.XMATCH(Z$2,Table2[#Headers],0))=0,"",INDEX(Table2[],_xlfn.XMATCH($A189,Table2[Steel Member],0),_xlfn.XMATCH(Z$2,Table2[#Headers],0)))</f>
        <v>#N/A</v>
      </c>
      <c r="AA189" s="4" t="e" cm="1">
        <f t="array" ref="AA189">IF(INDEX(Table2[],_xlfn.XMATCH($A189,Table2[Steel Member],0),_xlfn.XMATCH(AA$2,Table2[#Headers],0))=0,"",INDEX(Table2[],_xlfn.XMATCH($A189,Table2[Steel Member],0),_xlfn.XMATCH(AA$2,Table2[#Headers],0)))</f>
        <v>#N/A</v>
      </c>
      <c r="AB189" s="4" t="e" cm="1">
        <f t="array" ref="AB189">IF(INDEX(Table2[],_xlfn.XMATCH($A189,Table2[Steel Member],0),_xlfn.XMATCH(AB$2,Table2[#Headers],0))=0,"",INDEX(Table2[],_xlfn.XMATCH($A189,Table2[Steel Member],0),_xlfn.XMATCH(AB$2,Table2[#Headers],0)))</f>
        <v>#N/A</v>
      </c>
      <c r="AC189" s="4" t="str" cm="1">
        <f t="array" ref="AC189">IFERROR(INDEX(Table8[],_xlfn.XMATCH($O189,Table8[Dimension Name Category],0),_xlfn.XMATCH(AC$2&amp;IF($L189," w/ tag"," w/o tag"),Table8[#Headers],0)),"")</f>
        <v/>
      </c>
      <c r="AD189" s="59" t="str">
        <f t="shared" si="69"/>
        <v/>
      </c>
      <c r="AE189" s="4" t="str">
        <f t="shared" si="70"/>
        <v/>
      </c>
      <c r="AF189" s="4" t="str">
        <f t="shared" si="71"/>
        <v/>
      </c>
      <c r="AG189" s="4" t="str" cm="1">
        <f t="array" ref="AG189">IFERROR(INDEX(Table8[],_xlfn.XMATCH($O189,Table8[Dimension Name Category],0),_xlfn.XMATCH(AG$2&amp;IF($L189," w/ tag"," w/o tag"),Table8[#Headers],0)),"")</f>
        <v/>
      </c>
      <c r="AH189" s="59" t="str">
        <f t="shared" si="72"/>
        <v/>
      </c>
      <c r="AI189" s="4"/>
      <c r="AJ189" s="4" t="str">
        <f t="shared" si="73"/>
        <v/>
      </c>
      <c r="AK189" s="4" t="str">
        <f t="shared" si="74"/>
        <v/>
      </c>
      <c r="AL189" s="4" t="e" cm="1">
        <f t="array" ref="AL189">IF(INDEX(Table2[],_xlfn.XMATCH($A189,Table2[Steel Member],0),_xlfn.XMATCH(AL$2,Table2[#Headers],0))=0,"",INDEX(Table2[],_xlfn.XMATCH($A189,Table2[Steel Member],0),_xlfn.XMATCH(AL$2,Table2[#Headers],0)))</f>
        <v>#N/A</v>
      </c>
      <c r="AM189" s="4"/>
      <c r="AN189" s="4" t="str">
        <f t="shared" si="75"/>
        <v/>
      </c>
      <c r="AO189" s="4"/>
      <c r="AP189" s="4" t="e" cm="1">
        <f t="array" ref="AP189">IF(INDEX(Table2[],_xlfn.XMATCH($A189,Table2[Steel Member],0),_xlfn.XMATCH(AP$2,Table2[#Headers],0))=0,"",INDEX(Table2[],_xlfn.XMATCH($A189,Table2[Steel Member],0),_xlfn.XMATCH(AP$2,Table2[#Headers],0)))</f>
        <v>#N/A</v>
      </c>
      <c r="AQ189" s="4"/>
      <c r="AR189" s="4"/>
      <c r="AS189" s="4"/>
      <c r="AT189" s="4"/>
    </row>
    <row r="190" spans="1:46" x14ac:dyDescent="0.25">
      <c r="A190" s="52"/>
      <c r="B190" s="52"/>
      <c r="C190" s="52"/>
      <c r="D190" s="52"/>
      <c r="E190" s="52"/>
      <c r="F190" s="64" cm="1">
        <f t="array" ref="F190">IF(COUNT(FIND(PurlinsxGirthsxBracings,$C190))&gt;0,0,ROUNDUP(IF(D190=0,0,VLOOKUP(D190,'DATA SHEET'!$B:$D,2,FALSE)),2))</f>
        <v>0</v>
      </c>
      <c r="G190" s="64" cm="1">
        <f t="array" ref="G190">IF(COUNT(FIND(PurlinsxGirthsxBracings,$C190))&gt;0,0,ROUNDUP(IF(D190=0,0,VLOOKUP(D190,'DATA SHEET'!$B:$D,3,FALSE)),2))</f>
        <v>0</v>
      </c>
      <c r="H190" s="53"/>
      <c r="I190" s="66" cm="1">
        <f t="array" ref="I190">IF(AND(ISBLANK(B190),ISBLANK(C190),ISBLANK(E190)),0,IF(COUNT(FIND(PurlinsxGirthsxBracings,$C190))&gt;0,IF(B190=0,CONCATENATE(E190," ",C190),CONCATENATE(B190," - ",E190," ",C190)),IF(B190=0,IF(ISBLANK(C190),E190,CONCATENATE(D190,", ",F190,"kg/m, ",G190,"mm surface perimeter")),IF(AND(ISBLANK(C190),ISTEXT(E190)),CONCATENATE(B190," - ",E190),IF(AND(ISBLANK(C190),ISBLANK(E190)),B190,CONCATENATE(B190," - ",D190,", ",F190,"kg/m, ",G190,"mm surface perimeter"))))&amp;IF(ISBLANK(H190),"",H190)))</f>
        <v>0</v>
      </c>
      <c r="J190" s="53"/>
      <c r="L190" s="4" t="str" cm="1">
        <f t="array" ref="L190">IF(COUNT(FIND({0,1,2,3,4,5,6,7,8,9},B190))&gt;0,COUNT(FIND({0,1,2,3,4,5,6,7,8,9},B190))&gt;0,"")</f>
        <v/>
      </c>
      <c r="M190" s="4" t="str" cm="1">
        <f t="array" aca="1" ref="M190" ca="1">IFERROR(_xlfn.IFS(R190="Count",RANDBETWEEN(1,COUNTIF($R$11:$R$653,"Count")),R190="Length",RANDBETWEEN(1,COUNTIF($R$11:$R$653,"Length"))),"")</f>
        <v/>
      </c>
      <c r="N190" s="4" t="str">
        <f ca="1">IFERROR(_xlfn.RANK.EQ(M190,$M$11:$M$653)+COUNTIF($M$11:M190,M190)-1,"")</f>
        <v/>
      </c>
      <c r="O190" s="86" t="str">
        <f>IF(A190='DATA SHEET'!$L$36,C190,IFERROR(IF(AND(ISTEXT(I190),ISBLANK(C190)),"No details",VLOOKUP(C190,DimFolder,2,FALSE)),""))</f>
        <v/>
      </c>
      <c r="P190" s="4" t="str">
        <f t="shared" si="64"/>
        <v/>
      </c>
      <c r="Q190" s="58" t="str">
        <f t="shared" si="76"/>
        <v/>
      </c>
      <c r="R190" s="4" t="e" cm="1">
        <f t="array" ref="R190">IF(INDEX(Table2[],_xlfn.XMATCH($A190,Table2[Steel Member],0),_xlfn.XMATCH(R$2,Table2[#Headers],0))=0,"",INDEX(Table2[],_xlfn.XMATCH($A190,Table2[Steel Member],0),_xlfn.XMATCH(R$2,Table2[#Headers],0)))</f>
        <v>#N/A</v>
      </c>
      <c r="S190" s="4" t="e" cm="1">
        <f t="array" ref="S190">IF(INDEX(Table2[],_xlfn.XMATCH($A190,Table2[Steel Member],0),_xlfn.XMATCH(S$2,Table2[#Headers],0))=0,"",INDEX(Table2[],_xlfn.XMATCH($A190,Table2[Steel Member],0),_xlfn.XMATCH(S$2,Table2[#Headers],0)))</f>
        <v>#N/A</v>
      </c>
      <c r="T190" s="4" t="str">
        <f t="shared" si="67"/>
        <v/>
      </c>
      <c r="U190" s="4" t="e">
        <f ca="1">VLOOKUP(N190,'COLOR CODE'!$B:$D,2,FALSE)</f>
        <v>#N/A</v>
      </c>
      <c r="V190" s="4" t="str">
        <f t="shared" si="68"/>
        <v/>
      </c>
      <c r="W190" s="4" t="e" cm="1">
        <f t="array" ref="W190">IF(INDEX(Table2[],_xlfn.XMATCH($A190,Table2[Steel Member],0),_xlfn.XMATCH(W$2,Table2[#Headers],0))=0,"",INDEX(Table2[],_xlfn.XMATCH($A190,Table2[Steel Member],0),_xlfn.XMATCH(W$2,Table2[#Headers],0)))</f>
        <v>#N/A</v>
      </c>
      <c r="X190" s="4" t="e">
        <f t="shared" si="66"/>
        <v>#N/A</v>
      </c>
      <c r="Y190" s="4" t="e" cm="1">
        <f t="array" ref="Y190">IF(INDEX(Table2[],_xlfn.XMATCH($A190,Table2[Steel Member],0),_xlfn.XMATCH(Y$2,Table2[#Headers],0))=0,"",INDEX(Table2[],_xlfn.XMATCH($A190,Table2[Steel Member],0),_xlfn.XMATCH(Y$2,Table2[#Headers],0)))</f>
        <v>#N/A</v>
      </c>
      <c r="Z190" s="4" t="e" cm="1">
        <f t="array" ref="Z190">IF(INDEX(Table2[],_xlfn.XMATCH($A190,Table2[Steel Member],0),_xlfn.XMATCH(Z$2,Table2[#Headers],0))=0,"",INDEX(Table2[],_xlfn.XMATCH($A190,Table2[Steel Member],0),_xlfn.XMATCH(Z$2,Table2[#Headers],0)))</f>
        <v>#N/A</v>
      </c>
      <c r="AA190" s="4" t="e" cm="1">
        <f t="array" ref="AA190">IF(INDEX(Table2[],_xlfn.XMATCH($A190,Table2[Steel Member],0),_xlfn.XMATCH(AA$2,Table2[#Headers],0))=0,"",INDEX(Table2[],_xlfn.XMATCH($A190,Table2[Steel Member],0),_xlfn.XMATCH(AA$2,Table2[#Headers],0)))</f>
        <v>#N/A</v>
      </c>
      <c r="AB190" s="4" t="e" cm="1">
        <f t="array" ref="AB190">IF(INDEX(Table2[],_xlfn.XMATCH($A190,Table2[Steel Member],0),_xlfn.XMATCH(AB$2,Table2[#Headers],0))=0,"",INDEX(Table2[],_xlfn.XMATCH($A190,Table2[Steel Member],0),_xlfn.XMATCH(AB$2,Table2[#Headers],0)))</f>
        <v>#N/A</v>
      </c>
      <c r="AC190" s="4" t="str" cm="1">
        <f t="array" ref="AC190">IFERROR(INDEX(Table8[],_xlfn.XMATCH($O190,Table8[Dimension Name Category],0),_xlfn.XMATCH(AC$2&amp;IF($L190," w/ tag"," w/o tag"),Table8[#Headers],0)),"")</f>
        <v/>
      </c>
      <c r="AD190" s="59" t="str">
        <f t="shared" si="69"/>
        <v/>
      </c>
      <c r="AE190" s="4" t="str">
        <f t="shared" si="70"/>
        <v/>
      </c>
      <c r="AF190" s="4" t="str">
        <f t="shared" si="71"/>
        <v/>
      </c>
      <c r="AG190" s="4" t="str" cm="1">
        <f t="array" ref="AG190">IFERROR(INDEX(Table8[],_xlfn.XMATCH($O190,Table8[Dimension Name Category],0),_xlfn.XMATCH(AG$2&amp;IF($L190," w/ tag"," w/o tag"),Table8[#Headers],0)),"")</f>
        <v/>
      </c>
      <c r="AH190" s="59" t="str">
        <f t="shared" si="72"/>
        <v/>
      </c>
      <c r="AI190" s="4"/>
      <c r="AJ190" s="4" t="str">
        <f t="shared" si="73"/>
        <v/>
      </c>
      <c r="AK190" s="4" t="str">
        <f t="shared" si="74"/>
        <v/>
      </c>
      <c r="AL190" s="4" t="e" cm="1">
        <f t="array" ref="AL190">IF(INDEX(Table2[],_xlfn.XMATCH($A190,Table2[Steel Member],0),_xlfn.XMATCH(AL$2,Table2[#Headers],0))=0,"",INDEX(Table2[],_xlfn.XMATCH($A190,Table2[Steel Member],0),_xlfn.XMATCH(AL$2,Table2[#Headers],0)))</f>
        <v>#N/A</v>
      </c>
      <c r="AM190" s="4"/>
      <c r="AN190" s="4" t="str">
        <f t="shared" si="75"/>
        <v/>
      </c>
      <c r="AO190" s="4"/>
      <c r="AP190" s="4" t="e" cm="1">
        <f t="array" ref="AP190">IF(INDEX(Table2[],_xlfn.XMATCH($A190,Table2[Steel Member],0),_xlfn.XMATCH(AP$2,Table2[#Headers],0))=0,"",INDEX(Table2[],_xlfn.XMATCH($A190,Table2[Steel Member],0),_xlfn.XMATCH(AP$2,Table2[#Headers],0)))</f>
        <v>#N/A</v>
      </c>
      <c r="AQ190" s="4"/>
      <c r="AR190" s="4"/>
      <c r="AS190" s="4"/>
      <c r="AT190" s="4"/>
    </row>
    <row r="191" spans="1:46" x14ac:dyDescent="0.25">
      <c r="A191" s="52"/>
      <c r="B191" s="52"/>
      <c r="C191" s="52"/>
      <c r="D191" s="52"/>
      <c r="E191" s="52"/>
      <c r="F191" s="64" cm="1">
        <f t="array" ref="F191">IF(COUNT(FIND(PurlinsxGirthsxBracings,$C191))&gt;0,0,ROUNDUP(IF(D191=0,0,VLOOKUP(D191,'DATA SHEET'!$B:$D,2,FALSE)),2))</f>
        <v>0</v>
      </c>
      <c r="G191" s="64" cm="1">
        <f t="array" ref="G191">IF(COUNT(FIND(PurlinsxGirthsxBracings,$C191))&gt;0,0,ROUNDUP(IF(D191=0,0,VLOOKUP(D191,'DATA SHEET'!$B:$D,3,FALSE)),2))</f>
        <v>0</v>
      </c>
      <c r="H191" s="53"/>
      <c r="I191" s="66" cm="1">
        <f t="array" ref="I191">IF(AND(ISBLANK(B191),ISBLANK(C191),ISBLANK(E191)),0,IF(COUNT(FIND(PurlinsxGirthsxBracings,$C191))&gt;0,IF(B191=0,CONCATENATE(E191," ",C191),CONCATENATE(B191," - ",E191," ",C191)),IF(B191=0,IF(ISBLANK(C191),E191,CONCATENATE(D191,", ",F191,"kg/m, ",G191,"mm surface perimeter")),IF(AND(ISBLANK(C191),ISTEXT(E191)),CONCATENATE(B191," - ",E191),IF(AND(ISBLANK(C191),ISBLANK(E191)),B191,CONCATENATE(B191," - ",D191,", ",F191,"kg/m, ",G191,"mm surface perimeter"))))&amp;IF(ISBLANK(H191),"",H191)))</f>
        <v>0</v>
      </c>
      <c r="J191" s="53"/>
      <c r="L191" s="4" t="str" cm="1">
        <f t="array" ref="L191">IF(COUNT(FIND({0,1,2,3,4,5,6,7,8,9},B191))&gt;0,COUNT(FIND({0,1,2,3,4,5,6,7,8,9},B191))&gt;0,"")</f>
        <v/>
      </c>
      <c r="M191" s="4" t="str" cm="1">
        <f t="array" aca="1" ref="M191" ca="1">IFERROR(_xlfn.IFS(R191="Count",RANDBETWEEN(1,COUNTIF($R$11:$R$653,"Count")),R191="Length",RANDBETWEEN(1,COUNTIF($R$11:$R$653,"Length"))),"")</f>
        <v/>
      </c>
      <c r="N191" s="4" t="str">
        <f ca="1">IFERROR(_xlfn.RANK.EQ(M191,$M$11:$M$653)+COUNTIF($M$11:M191,M191)-1,"")</f>
        <v/>
      </c>
      <c r="O191" s="86" t="str">
        <f>IF(A191='DATA SHEET'!$L$36,C191,IFERROR(IF(AND(ISTEXT(I191),ISBLANK(C191)),"No details",VLOOKUP(C191,DimFolder,2,FALSE)),""))</f>
        <v/>
      </c>
      <c r="P191" s="4" t="str">
        <f t="shared" si="64"/>
        <v/>
      </c>
      <c r="Q191" s="58" t="str">
        <f t="shared" si="76"/>
        <v/>
      </c>
      <c r="R191" s="4" t="e" cm="1">
        <f t="array" ref="R191">IF(INDEX(Table2[],_xlfn.XMATCH($A191,Table2[Steel Member],0),_xlfn.XMATCH(R$2,Table2[#Headers],0))=0,"",INDEX(Table2[],_xlfn.XMATCH($A191,Table2[Steel Member],0),_xlfn.XMATCH(R$2,Table2[#Headers],0)))</f>
        <v>#N/A</v>
      </c>
      <c r="S191" s="4" t="e" cm="1">
        <f t="array" ref="S191">IF(INDEX(Table2[],_xlfn.XMATCH($A191,Table2[Steel Member],0),_xlfn.XMATCH(S$2,Table2[#Headers],0))=0,"",INDEX(Table2[],_xlfn.XMATCH($A191,Table2[Steel Member],0),_xlfn.XMATCH(S$2,Table2[#Headers],0)))</f>
        <v>#N/A</v>
      </c>
      <c r="T191" s="4" t="str">
        <f t="shared" si="67"/>
        <v/>
      </c>
      <c r="U191" s="4" t="e">
        <f ca="1">VLOOKUP(N191,'COLOR CODE'!$B:$D,2,FALSE)</f>
        <v>#N/A</v>
      </c>
      <c r="V191" s="4" t="str">
        <f t="shared" si="68"/>
        <v/>
      </c>
      <c r="W191" s="4" t="e" cm="1">
        <f t="array" ref="W191">IF(INDEX(Table2[],_xlfn.XMATCH($A191,Table2[Steel Member],0),_xlfn.XMATCH(W$2,Table2[#Headers],0))=0,"",INDEX(Table2[],_xlfn.XMATCH($A191,Table2[Steel Member],0),_xlfn.XMATCH(W$2,Table2[#Headers],0)))</f>
        <v>#N/A</v>
      </c>
      <c r="X191" s="4" t="e">
        <f t="shared" si="66"/>
        <v>#N/A</v>
      </c>
      <c r="Y191" s="4" t="e" cm="1">
        <f t="array" ref="Y191">IF(INDEX(Table2[],_xlfn.XMATCH($A191,Table2[Steel Member],0),_xlfn.XMATCH(Y$2,Table2[#Headers],0))=0,"",INDEX(Table2[],_xlfn.XMATCH($A191,Table2[Steel Member],0),_xlfn.XMATCH(Y$2,Table2[#Headers],0)))</f>
        <v>#N/A</v>
      </c>
      <c r="Z191" s="4" t="e" cm="1">
        <f t="array" ref="Z191">IF(INDEX(Table2[],_xlfn.XMATCH($A191,Table2[Steel Member],0),_xlfn.XMATCH(Z$2,Table2[#Headers],0))=0,"",INDEX(Table2[],_xlfn.XMATCH($A191,Table2[Steel Member],0),_xlfn.XMATCH(Z$2,Table2[#Headers],0)))</f>
        <v>#N/A</v>
      </c>
      <c r="AA191" s="4" t="e" cm="1">
        <f t="array" ref="AA191">IF(INDEX(Table2[],_xlfn.XMATCH($A191,Table2[Steel Member],0),_xlfn.XMATCH(AA$2,Table2[#Headers],0))=0,"",INDEX(Table2[],_xlfn.XMATCH($A191,Table2[Steel Member],0),_xlfn.XMATCH(AA$2,Table2[#Headers],0)))</f>
        <v>#N/A</v>
      </c>
      <c r="AB191" s="4" t="e" cm="1">
        <f t="array" ref="AB191">IF(INDEX(Table2[],_xlfn.XMATCH($A191,Table2[Steel Member],0),_xlfn.XMATCH(AB$2,Table2[#Headers],0))=0,"",INDEX(Table2[],_xlfn.XMATCH($A191,Table2[Steel Member],0),_xlfn.XMATCH(AB$2,Table2[#Headers],0)))</f>
        <v>#N/A</v>
      </c>
      <c r="AC191" s="4" t="str" cm="1">
        <f t="array" ref="AC191">IFERROR(INDEX(Table8[],_xlfn.XMATCH($O191,Table8[Dimension Name Category],0),_xlfn.XMATCH(AC$2&amp;IF($L191," w/ tag"," w/o tag"),Table8[#Headers],0)),"")</f>
        <v/>
      </c>
      <c r="AD191" s="59" t="str">
        <f t="shared" si="69"/>
        <v/>
      </c>
      <c r="AE191" s="4" t="str">
        <f t="shared" si="70"/>
        <v/>
      </c>
      <c r="AF191" s="4" t="str">
        <f t="shared" si="71"/>
        <v/>
      </c>
      <c r="AG191" s="4" t="str" cm="1">
        <f t="array" ref="AG191">IFERROR(INDEX(Table8[],_xlfn.XMATCH($O191,Table8[Dimension Name Category],0),_xlfn.XMATCH(AG$2&amp;IF($L191," w/ tag"," w/o tag"),Table8[#Headers],0)),"")</f>
        <v/>
      </c>
      <c r="AH191" s="59" t="str">
        <f t="shared" si="72"/>
        <v/>
      </c>
      <c r="AI191" s="4"/>
      <c r="AJ191" s="4" t="str">
        <f t="shared" si="73"/>
        <v/>
      </c>
      <c r="AK191" s="4" t="str">
        <f t="shared" si="74"/>
        <v/>
      </c>
      <c r="AL191" s="4" t="e" cm="1">
        <f t="array" ref="AL191">IF(INDEX(Table2[],_xlfn.XMATCH($A191,Table2[Steel Member],0),_xlfn.XMATCH(AL$2,Table2[#Headers],0))=0,"",INDEX(Table2[],_xlfn.XMATCH($A191,Table2[Steel Member],0),_xlfn.XMATCH(AL$2,Table2[#Headers],0)))</f>
        <v>#N/A</v>
      </c>
      <c r="AM191" s="4"/>
      <c r="AN191" s="4" t="str">
        <f t="shared" si="75"/>
        <v/>
      </c>
      <c r="AO191" s="4"/>
      <c r="AP191" s="4" t="e" cm="1">
        <f t="array" ref="AP191">IF(INDEX(Table2[],_xlfn.XMATCH($A191,Table2[Steel Member],0),_xlfn.XMATCH(AP$2,Table2[#Headers],0))=0,"",INDEX(Table2[],_xlfn.XMATCH($A191,Table2[Steel Member],0),_xlfn.XMATCH(AP$2,Table2[#Headers],0)))</f>
        <v>#N/A</v>
      </c>
      <c r="AQ191" s="4"/>
      <c r="AR191" s="4"/>
      <c r="AS191" s="4"/>
      <c r="AT191" s="4"/>
    </row>
    <row r="192" spans="1:46" x14ac:dyDescent="0.25">
      <c r="A192" s="52"/>
      <c r="B192" s="52"/>
      <c r="C192" s="52"/>
      <c r="D192" s="52"/>
      <c r="E192" s="52"/>
      <c r="F192" s="64" cm="1">
        <f t="array" ref="F192">IF(COUNT(FIND(PurlinsxGirthsxBracings,$C192))&gt;0,0,ROUNDUP(IF(D192=0,0,VLOOKUP(D192,'DATA SHEET'!$B:$D,2,FALSE)),2))</f>
        <v>0</v>
      </c>
      <c r="G192" s="64" cm="1">
        <f t="array" ref="G192">IF(COUNT(FIND(PurlinsxGirthsxBracings,$C192))&gt;0,0,ROUNDUP(IF(D192=0,0,VLOOKUP(D192,'DATA SHEET'!$B:$D,3,FALSE)),2))</f>
        <v>0</v>
      </c>
      <c r="H192" s="53"/>
      <c r="I192" s="66" cm="1">
        <f t="array" ref="I192">IF(AND(ISBLANK(B192),ISBLANK(C192),ISBLANK(E192)),0,IF(COUNT(FIND(PurlinsxGirthsxBracings,$C192))&gt;0,IF(B192=0,CONCATENATE(E192," ",C192),CONCATENATE(B192," - ",E192," ",C192)),IF(B192=0,IF(ISBLANK(C192),E192,CONCATENATE(D192,", ",F192,"kg/m, ",G192,"mm surface perimeter")),IF(AND(ISBLANK(C192),ISTEXT(E192)),CONCATENATE(B192," - ",E192),IF(AND(ISBLANK(C192),ISBLANK(E192)),B192,CONCATENATE(B192," - ",D192,", ",F192,"kg/m, ",G192,"mm surface perimeter"))))&amp;IF(ISBLANK(H192),"",H192)))</f>
        <v>0</v>
      </c>
      <c r="J192" s="53"/>
      <c r="L192" s="4" t="str" cm="1">
        <f t="array" ref="L192">IF(COUNT(FIND({0,1,2,3,4,5,6,7,8,9},B192))&gt;0,COUNT(FIND({0,1,2,3,4,5,6,7,8,9},B192))&gt;0,"")</f>
        <v/>
      </c>
      <c r="M192" s="4" t="str" cm="1">
        <f t="array" aca="1" ref="M192" ca="1">IFERROR(_xlfn.IFS(R192="Count",RANDBETWEEN(1,COUNTIF($R$11:$R$653,"Count")),R192="Length",RANDBETWEEN(1,COUNTIF($R$11:$R$653,"Length"))),"")</f>
        <v/>
      </c>
      <c r="N192" s="4" t="str">
        <f ca="1">IFERROR(_xlfn.RANK.EQ(M192,$M$11:$M$653)+COUNTIF($M$11:M192,M192)-1,"")</f>
        <v/>
      </c>
      <c r="O192" s="86" t="str">
        <f>IF(A192='DATA SHEET'!$L$36,C192,IFERROR(IF(AND(ISTEXT(I192),ISBLANK(C192)),"No details",VLOOKUP(C192,DimFolder,2,FALSE)),""))</f>
        <v/>
      </c>
      <c r="P192" s="4" t="str">
        <f t="shared" si="64"/>
        <v/>
      </c>
      <c r="Q192" s="58" t="str">
        <f t="shared" si="76"/>
        <v/>
      </c>
      <c r="R192" s="4" t="e" cm="1">
        <f t="array" ref="R192">IF(INDEX(Table2[],_xlfn.XMATCH($A192,Table2[Steel Member],0),_xlfn.XMATCH(R$2,Table2[#Headers],0))=0,"",INDEX(Table2[],_xlfn.XMATCH($A192,Table2[Steel Member],0),_xlfn.XMATCH(R$2,Table2[#Headers],0)))</f>
        <v>#N/A</v>
      </c>
      <c r="S192" s="4" t="e" cm="1">
        <f t="array" ref="S192">IF(INDEX(Table2[],_xlfn.XMATCH($A192,Table2[Steel Member],0),_xlfn.XMATCH(S$2,Table2[#Headers],0))=0,"",INDEX(Table2[],_xlfn.XMATCH($A192,Table2[Steel Member],0),_xlfn.XMATCH(S$2,Table2[#Headers],0)))</f>
        <v>#N/A</v>
      </c>
      <c r="T192" s="4" t="str">
        <f t="shared" si="67"/>
        <v/>
      </c>
      <c r="U192" s="4" t="e">
        <f ca="1">VLOOKUP(N192,'COLOR CODE'!$B:$D,2,FALSE)</f>
        <v>#N/A</v>
      </c>
      <c r="V192" s="4" t="str">
        <f t="shared" si="68"/>
        <v/>
      </c>
      <c r="W192" s="4" t="e" cm="1">
        <f t="array" ref="W192">IF(INDEX(Table2[],_xlfn.XMATCH($A192,Table2[Steel Member],0),_xlfn.XMATCH(W$2,Table2[#Headers],0))=0,"",INDEX(Table2[],_xlfn.XMATCH($A192,Table2[Steel Member],0),_xlfn.XMATCH(W$2,Table2[#Headers],0)))</f>
        <v>#N/A</v>
      </c>
      <c r="X192" s="4" t="e">
        <f t="shared" si="66"/>
        <v>#N/A</v>
      </c>
      <c r="Y192" s="4" t="e" cm="1">
        <f t="array" ref="Y192">IF(INDEX(Table2[],_xlfn.XMATCH($A192,Table2[Steel Member],0),_xlfn.XMATCH(Y$2,Table2[#Headers],0))=0,"",INDEX(Table2[],_xlfn.XMATCH($A192,Table2[Steel Member],0),_xlfn.XMATCH(Y$2,Table2[#Headers],0)))</f>
        <v>#N/A</v>
      </c>
      <c r="Z192" s="4" t="e" cm="1">
        <f t="array" ref="Z192">IF(INDEX(Table2[],_xlfn.XMATCH($A192,Table2[Steel Member],0),_xlfn.XMATCH(Z$2,Table2[#Headers],0))=0,"",INDEX(Table2[],_xlfn.XMATCH($A192,Table2[Steel Member],0),_xlfn.XMATCH(Z$2,Table2[#Headers],0)))</f>
        <v>#N/A</v>
      </c>
      <c r="AA192" s="4" t="e" cm="1">
        <f t="array" ref="AA192">IF(INDEX(Table2[],_xlfn.XMATCH($A192,Table2[Steel Member],0),_xlfn.XMATCH(AA$2,Table2[#Headers],0))=0,"",INDEX(Table2[],_xlfn.XMATCH($A192,Table2[Steel Member],0),_xlfn.XMATCH(AA$2,Table2[#Headers],0)))</f>
        <v>#N/A</v>
      </c>
      <c r="AB192" s="4" t="e" cm="1">
        <f t="array" ref="AB192">IF(INDEX(Table2[],_xlfn.XMATCH($A192,Table2[Steel Member],0),_xlfn.XMATCH(AB$2,Table2[#Headers],0))=0,"",INDEX(Table2[],_xlfn.XMATCH($A192,Table2[Steel Member],0),_xlfn.XMATCH(AB$2,Table2[#Headers],0)))</f>
        <v>#N/A</v>
      </c>
      <c r="AC192" s="4" t="str" cm="1">
        <f t="array" ref="AC192">IFERROR(INDEX(Table8[],_xlfn.XMATCH($O192,Table8[Dimension Name Category],0),_xlfn.XMATCH(AC$2&amp;IF($L192," w/ tag"," w/o tag"),Table8[#Headers],0)),"")</f>
        <v/>
      </c>
      <c r="AD192" s="59" t="str">
        <f t="shared" si="69"/>
        <v/>
      </c>
      <c r="AE192" s="4" t="str">
        <f t="shared" si="70"/>
        <v/>
      </c>
      <c r="AF192" s="4" t="str">
        <f t="shared" si="71"/>
        <v/>
      </c>
      <c r="AG192" s="4" t="str" cm="1">
        <f t="array" ref="AG192">IFERROR(INDEX(Table8[],_xlfn.XMATCH($O192,Table8[Dimension Name Category],0),_xlfn.XMATCH(AG$2&amp;IF($L192," w/ tag"," w/o tag"),Table8[#Headers],0)),"")</f>
        <v/>
      </c>
      <c r="AH192" s="59" t="str">
        <f t="shared" si="72"/>
        <v/>
      </c>
      <c r="AI192" s="4"/>
      <c r="AJ192" s="4" t="str">
        <f t="shared" si="73"/>
        <v/>
      </c>
      <c r="AK192" s="4" t="str">
        <f t="shared" si="74"/>
        <v/>
      </c>
      <c r="AL192" s="4" t="e" cm="1">
        <f t="array" ref="AL192">IF(INDEX(Table2[],_xlfn.XMATCH($A192,Table2[Steel Member],0),_xlfn.XMATCH(AL$2,Table2[#Headers],0))=0,"",INDEX(Table2[],_xlfn.XMATCH($A192,Table2[Steel Member],0),_xlfn.XMATCH(AL$2,Table2[#Headers],0)))</f>
        <v>#N/A</v>
      </c>
      <c r="AM192" s="4"/>
      <c r="AN192" s="4" t="str">
        <f t="shared" si="75"/>
        <v/>
      </c>
      <c r="AO192" s="4"/>
      <c r="AP192" s="4" t="e" cm="1">
        <f t="array" ref="AP192">IF(INDEX(Table2[],_xlfn.XMATCH($A192,Table2[Steel Member],0),_xlfn.XMATCH(AP$2,Table2[#Headers],0))=0,"",INDEX(Table2[],_xlfn.XMATCH($A192,Table2[Steel Member],0),_xlfn.XMATCH(AP$2,Table2[#Headers],0)))</f>
        <v>#N/A</v>
      </c>
      <c r="AQ192" s="4"/>
      <c r="AR192" s="4"/>
      <c r="AS192" s="4"/>
      <c r="AT192" s="4"/>
    </row>
    <row r="193" spans="1:46" x14ac:dyDescent="0.25">
      <c r="A193" s="52"/>
      <c r="B193" s="52"/>
      <c r="C193" s="52"/>
      <c r="D193" s="52"/>
      <c r="E193" s="52"/>
      <c r="F193" s="64" cm="1">
        <f t="array" ref="F193">IF(COUNT(FIND(PurlinsxGirthsxBracings,$C193))&gt;0,0,ROUNDUP(IF(D193=0,0,VLOOKUP(D193,'DATA SHEET'!$B:$D,2,FALSE)),2))</f>
        <v>0</v>
      </c>
      <c r="G193" s="64" cm="1">
        <f t="array" ref="G193">IF(COUNT(FIND(PurlinsxGirthsxBracings,$C193))&gt;0,0,ROUNDUP(IF(D193=0,0,VLOOKUP(D193,'DATA SHEET'!$B:$D,3,FALSE)),2))</f>
        <v>0</v>
      </c>
      <c r="H193" s="53"/>
      <c r="I193" s="66" cm="1">
        <f t="array" ref="I193">IF(AND(ISBLANK(B193),ISBLANK(C193),ISBLANK(E193)),0,IF(COUNT(FIND(PurlinsxGirthsxBracings,$C193))&gt;0,IF(B193=0,CONCATENATE(E193," ",C193),CONCATENATE(B193," - ",E193," ",C193)),IF(B193=0,IF(ISBLANK(C193),E193,CONCATENATE(D193,", ",F193,"kg/m, ",G193,"mm surface perimeter")),IF(AND(ISBLANK(C193),ISTEXT(E193)),CONCATENATE(B193," - ",E193),IF(AND(ISBLANK(C193),ISBLANK(E193)),B193,CONCATENATE(B193," - ",D193,", ",F193,"kg/m, ",G193,"mm surface perimeter"))))&amp;IF(ISBLANK(H193),"",H193)))</f>
        <v>0</v>
      </c>
      <c r="J193" s="53"/>
      <c r="L193" s="4" t="str" cm="1">
        <f t="array" ref="L193">IF(COUNT(FIND({0,1,2,3,4,5,6,7,8,9},B193))&gt;0,COUNT(FIND({0,1,2,3,4,5,6,7,8,9},B193))&gt;0,"")</f>
        <v/>
      </c>
      <c r="M193" s="4" t="str" cm="1">
        <f t="array" aca="1" ref="M193" ca="1">IFERROR(_xlfn.IFS(R193="Count",RANDBETWEEN(1,COUNTIF($R$11:$R$653,"Count")),R193="Length",RANDBETWEEN(1,COUNTIF($R$11:$R$653,"Length"))),"")</f>
        <v/>
      </c>
      <c r="N193" s="4" t="str">
        <f ca="1">IFERROR(_xlfn.RANK.EQ(M193,$M$11:$M$653)+COUNTIF($M$11:M193,M193)-1,"")</f>
        <v/>
      </c>
      <c r="O193" s="86" t="str">
        <f>IF(A193='DATA SHEET'!$L$36,C193,IFERROR(IF(AND(ISTEXT(I193),ISBLANK(C193)),"No details",VLOOKUP(C193,DimFolder,2,FALSE)),""))</f>
        <v/>
      </c>
      <c r="P193" s="4" t="str">
        <f t="shared" si="64"/>
        <v/>
      </c>
      <c r="Q193" s="58" t="str">
        <f t="shared" si="76"/>
        <v/>
      </c>
      <c r="R193" s="4" t="e" cm="1">
        <f t="array" ref="R193">IF(INDEX(Table2[],_xlfn.XMATCH($A193,Table2[Steel Member],0),_xlfn.XMATCH(R$2,Table2[#Headers],0))=0,"",INDEX(Table2[],_xlfn.XMATCH($A193,Table2[Steel Member],0),_xlfn.XMATCH(R$2,Table2[#Headers],0)))</f>
        <v>#N/A</v>
      </c>
      <c r="S193" s="4" t="e" cm="1">
        <f t="array" ref="S193">IF(INDEX(Table2[],_xlfn.XMATCH($A193,Table2[Steel Member],0),_xlfn.XMATCH(S$2,Table2[#Headers],0))=0,"",INDEX(Table2[],_xlfn.XMATCH($A193,Table2[Steel Member],0),_xlfn.XMATCH(S$2,Table2[#Headers],0)))</f>
        <v>#N/A</v>
      </c>
      <c r="T193" s="4" t="str">
        <f t="shared" si="67"/>
        <v/>
      </c>
      <c r="U193" s="4" t="e">
        <f ca="1">VLOOKUP(N193,'COLOR CODE'!$B:$D,2,FALSE)</f>
        <v>#N/A</v>
      </c>
      <c r="V193" s="4" t="str">
        <f t="shared" si="68"/>
        <v/>
      </c>
      <c r="W193" s="4" t="e" cm="1">
        <f t="array" ref="W193">IF(INDEX(Table2[],_xlfn.XMATCH($A193,Table2[Steel Member],0),_xlfn.XMATCH(W$2,Table2[#Headers],0))=0,"",INDEX(Table2[],_xlfn.XMATCH($A193,Table2[Steel Member],0),_xlfn.XMATCH(W$2,Table2[#Headers],0)))</f>
        <v>#N/A</v>
      </c>
      <c r="X193" s="4" t="e">
        <f t="shared" si="66"/>
        <v>#N/A</v>
      </c>
      <c r="Y193" s="4" t="e" cm="1">
        <f t="array" ref="Y193">IF(INDEX(Table2[],_xlfn.XMATCH($A193,Table2[Steel Member],0),_xlfn.XMATCH(Y$2,Table2[#Headers],0))=0,"",INDEX(Table2[],_xlfn.XMATCH($A193,Table2[Steel Member],0),_xlfn.XMATCH(Y$2,Table2[#Headers],0)))</f>
        <v>#N/A</v>
      </c>
      <c r="Z193" s="4" t="e" cm="1">
        <f t="array" ref="Z193">IF(INDEX(Table2[],_xlfn.XMATCH($A193,Table2[Steel Member],0),_xlfn.XMATCH(Z$2,Table2[#Headers],0))=0,"",INDEX(Table2[],_xlfn.XMATCH($A193,Table2[Steel Member],0),_xlfn.XMATCH(Z$2,Table2[#Headers],0)))</f>
        <v>#N/A</v>
      </c>
      <c r="AA193" s="4" t="e" cm="1">
        <f t="array" ref="AA193">IF(INDEX(Table2[],_xlfn.XMATCH($A193,Table2[Steel Member],0),_xlfn.XMATCH(AA$2,Table2[#Headers],0))=0,"",INDEX(Table2[],_xlfn.XMATCH($A193,Table2[Steel Member],0),_xlfn.XMATCH(AA$2,Table2[#Headers],0)))</f>
        <v>#N/A</v>
      </c>
      <c r="AB193" s="4" t="e" cm="1">
        <f t="array" ref="AB193">IF(INDEX(Table2[],_xlfn.XMATCH($A193,Table2[Steel Member],0),_xlfn.XMATCH(AB$2,Table2[#Headers],0))=0,"",INDEX(Table2[],_xlfn.XMATCH($A193,Table2[Steel Member],0),_xlfn.XMATCH(AB$2,Table2[#Headers],0)))</f>
        <v>#N/A</v>
      </c>
      <c r="AC193" s="4" t="str" cm="1">
        <f t="array" ref="AC193">IFERROR(INDEX(Table8[],_xlfn.XMATCH($O193,Table8[Dimension Name Category],0),_xlfn.XMATCH(AC$2&amp;IF($L193," w/ tag"," w/o tag"),Table8[#Headers],0)),"")</f>
        <v/>
      </c>
      <c r="AD193" s="59" t="str">
        <f t="shared" si="69"/>
        <v/>
      </c>
      <c r="AE193" s="4" t="str">
        <f t="shared" si="70"/>
        <v/>
      </c>
      <c r="AF193" s="4" t="str">
        <f t="shared" si="71"/>
        <v/>
      </c>
      <c r="AG193" s="4" t="str" cm="1">
        <f t="array" ref="AG193">IFERROR(INDEX(Table8[],_xlfn.XMATCH($O193,Table8[Dimension Name Category],0),_xlfn.XMATCH(AG$2&amp;IF($L193," w/ tag"," w/o tag"),Table8[#Headers],0)),"")</f>
        <v/>
      </c>
      <c r="AH193" s="59" t="str">
        <f t="shared" si="72"/>
        <v/>
      </c>
      <c r="AI193" s="4"/>
      <c r="AJ193" s="4" t="str">
        <f t="shared" si="73"/>
        <v/>
      </c>
      <c r="AK193" s="4" t="str">
        <f t="shared" si="74"/>
        <v/>
      </c>
      <c r="AL193" s="4" t="e" cm="1">
        <f t="array" ref="AL193">IF(INDEX(Table2[],_xlfn.XMATCH($A193,Table2[Steel Member],0),_xlfn.XMATCH(AL$2,Table2[#Headers],0))=0,"",INDEX(Table2[],_xlfn.XMATCH($A193,Table2[Steel Member],0),_xlfn.XMATCH(AL$2,Table2[#Headers],0)))</f>
        <v>#N/A</v>
      </c>
      <c r="AM193" s="4"/>
      <c r="AN193" s="4" t="str">
        <f t="shared" si="75"/>
        <v/>
      </c>
      <c r="AO193" s="4"/>
      <c r="AP193" s="4" t="e" cm="1">
        <f t="array" ref="AP193">IF(INDEX(Table2[],_xlfn.XMATCH($A193,Table2[Steel Member],0),_xlfn.XMATCH(AP$2,Table2[#Headers],0))=0,"",INDEX(Table2[],_xlfn.XMATCH($A193,Table2[Steel Member],0),_xlfn.XMATCH(AP$2,Table2[#Headers],0)))</f>
        <v>#N/A</v>
      </c>
      <c r="AQ193" s="4"/>
      <c r="AR193" s="4"/>
      <c r="AS193" s="4"/>
      <c r="AT193" s="4"/>
    </row>
    <row r="194" spans="1:46" x14ac:dyDescent="0.25">
      <c r="A194" s="52"/>
      <c r="B194" s="52"/>
      <c r="C194" s="52"/>
      <c r="D194" s="52"/>
      <c r="E194" s="52"/>
      <c r="F194" s="64" cm="1">
        <f t="array" ref="F194">IF(COUNT(FIND(PurlinsxGirthsxBracings,$C194))&gt;0,0,ROUNDUP(IF(D194=0,0,VLOOKUP(D194,'DATA SHEET'!$B:$D,2,FALSE)),2))</f>
        <v>0</v>
      </c>
      <c r="G194" s="64" cm="1">
        <f t="array" ref="G194">IF(COUNT(FIND(PurlinsxGirthsxBracings,$C194))&gt;0,0,ROUNDUP(IF(D194=0,0,VLOOKUP(D194,'DATA SHEET'!$B:$D,3,FALSE)),2))</f>
        <v>0</v>
      </c>
      <c r="H194" s="53"/>
      <c r="I194" s="66" cm="1">
        <f t="array" ref="I194">IF(AND(ISBLANK(B194),ISBLANK(C194),ISBLANK(E194)),0,IF(COUNT(FIND(PurlinsxGirthsxBracings,$C194))&gt;0,IF(B194=0,CONCATENATE(E194," ",C194),CONCATENATE(B194," - ",E194," ",C194)),IF(B194=0,IF(ISBLANK(C194),E194,CONCATENATE(D194,", ",F194,"kg/m, ",G194,"mm surface perimeter")),IF(AND(ISBLANK(C194),ISTEXT(E194)),CONCATENATE(B194," - ",E194),IF(AND(ISBLANK(C194),ISBLANK(E194)),B194,CONCATENATE(B194," - ",D194,", ",F194,"kg/m, ",G194,"mm surface perimeter"))))&amp;IF(ISBLANK(H194),"",H194)))</f>
        <v>0</v>
      </c>
      <c r="J194" s="53"/>
      <c r="L194" s="4" t="str" cm="1">
        <f t="array" ref="L194">IF(COUNT(FIND({0,1,2,3,4,5,6,7,8,9},B194))&gt;0,COUNT(FIND({0,1,2,3,4,5,6,7,8,9},B194))&gt;0,"")</f>
        <v/>
      </c>
      <c r="M194" s="4" t="str" cm="1">
        <f t="array" aca="1" ref="M194" ca="1">IFERROR(_xlfn.IFS(R194="Count",RANDBETWEEN(1,COUNTIF($R$11:$R$653,"Count")),R194="Length",RANDBETWEEN(1,COUNTIF($R$11:$R$653,"Length"))),"")</f>
        <v/>
      </c>
      <c r="N194" s="4" t="str">
        <f ca="1">IFERROR(_xlfn.RANK.EQ(M194,$M$11:$M$653)+COUNTIF($M$11:M194,M194)-1,"")</f>
        <v/>
      </c>
      <c r="O194" s="86" t="str">
        <f>IF(A194='DATA SHEET'!$L$36,C194,IFERROR(IF(AND(ISTEXT(I194),ISBLANK(C194)),"No details",VLOOKUP(C194,DimFolder,2,FALSE)),""))</f>
        <v/>
      </c>
      <c r="P194" s="4" t="str">
        <f t="shared" si="64"/>
        <v/>
      </c>
      <c r="Q194" s="58" t="str">
        <f t="shared" si="76"/>
        <v/>
      </c>
      <c r="R194" s="4" t="e" cm="1">
        <f t="array" ref="R194">IF(INDEX(Table2[],_xlfn.XMATCH($A194,Table2[Steel Member],0),_xlfn.XMATCH(R$2,Table2[#Headers],0))=0,"",INDEX(Table2[],_xlfn.XMATCH($A194,Table2[Steel Member],0),_xlfn.XMATCH(R$2,Table2[#Headers],0)))</f>
        <v>#N/A</v>
      </c>
      <c r="S194" s="4" t="e" cm="1">
        <f t="array" ref="S194">IF(INDEX(Table2[],_xlfn.XMATCH($A194,Table2[Steel Member],0),_xlfn.XMATCH(S$2,Table2[#Headers],0))=0,"",INDEX(Table2[],_xlfn.XMATCH($A194,Table2[Steel Member],0),_xlfn.XMATCH(S$2,Table2[#Headers],0)))</f>
        <v>#N/A</v>
      </c>
      <c r="T194" s="4" t="str">
        <f t="shared" si="67"/>
        <v/>
      </c>
      <c r="U194" s="4" t="e">
        <f ca="1">VLOOKUP(N194,'COLOR CODE'!$B:$D,2,FALSE)</f>
        <v>#N/A</v>
      </c>
      <c r="V194" s="4" t="str">
        <f t="shared" si="68"/>
        <v/>
      </c>
      <c r="W194" s="4" t="e" cm="1">
        <f t="array" ref="W194">IF(INDEX(Table2[],_xlfn.XMATCH($A194,Table2[Steel Member],0),_xlfn.XMATCH(W$2,Table2[#Headers],0))=0,"",INDEX(Table2[],_xlfn.XMATCH($A194,Table2[Steel Member],0),_xlfn.XMATCH(W$2,Table2[#Headers],0)))</f>
        <v>#N/A</v>
      </c>
      <c r="X194" s="4" t="e">
        <f t="shared" si="66"/>
        <v>#N/A</v>
      </c>
      <c r="Y194" s="4" t="e" cm="1">
        <f t="array" ref="Y194">IF(INDEX(Table2[],_xlfn.XMATCH($A194,Table2[Steel Member],0),_xlfn.XMATCH(Y$2,Table2[#Headers],0))=0,"",INDEX(Table2[],_xlfn.XMATCH($A194,Table2[Steel Member],0),_xlfn.XMATCH(Y$2,Table2[#Headers],0)))</f>
        <v>#N/A</v>
      </c>
      <c r="Z194" s="4" t="e" cm="1">
        <f t="array" ref="Z194">IF(INDEX(Table2[],_xlfn.XMATCH($A194,Table2[Steel Member],0),_xlfn.XMATCH(Z$2,Table2[#Headers],0))=0,"",INDEX(Table2[],_xlfn.XMATCH($A194,Table2[Steel Member],0),_xlfn.XMATCH(Z$2,Table2[#Headers],0)))</f>
        <v>#N/A</v>
      </c>
      <c r="AA194" s="4" t="e" cm="1">
        <f t="array" ref="AA194">IF(INDEX(Table2[],_xlfn.XMATCH($A194,Table2[Steel Member],0),_xlfn.XMATCH(AA$2,Table2[#Headers],0))=0,"",INDEX(Table2[],_xlfn.XMATCH($A194,Table2[Steel Member],0),_xlfn.XMATCH(AA$2,Table2[#Headers],0)))</f>
        <v>#N/A</v>
      </c>
      <c r="AB194" s="4" t="e" cm="1">
        <f t="array" ref="AB194">IF(INDEX(Table2[],_xlfn.XMATCH($A194,Table2[Steel Member],0),_xlfn.XMATCH(AB$2,Table2[#Headers],0))=0,"",INDEX(Table2[],_xlfn.XMATCH($A194,Table2[Steel Member],0),_xlfn.XMATCH(AB$2,Table2[#Headers],0)))</f>
        <v>#N/A</v>
      </c>
      <c r="AC194" s="4" t="str" cm="1">
        <f t="array" ref="AC194">IFERROR(INDEX(Table8[],_xlfn.XMATCH($O194,Table8[Dimension Name Category],0),_xlfn.XMATCH(AC$2&amp;IF($L194," w/ tag"," w/o tag"),Table8[#Headers],0)),"")</f>
        <v/>
      </c>
      <c r="AD194" s="59" t="str">
        <f t="shared" si="69"/>
        <v/>
      </c>
      <c r="AE194" s="4" t="str">
        <f t="shared" si="70"/>
        <v/>
      </c>
      <c r="AF194" s="4" t="str">
        <f t="shared" si="71"/>
        <v/>
      </c>
      <c r="AG194" s="4" t="str" cm="1">
        <f t="array" ref="AG194">IFERROR(INDEX(Table8[],_xlfn.XMATCH($O194,Table8[Dimension Name Category],0),_xlfn.XMATCH(AG$2&amp;IF($L194," w/ tag"," w/o tag"),Table8[#Headers],0)),"")</f>
        <v/>
      </c>
      <c r="AH194" s="59" t="str">
        <f t="shared" si="72"/>
        <v/>
      </c>
      <c r="AI194" s="4"/>
      <c r="AJ194" s="4" t="str">
        <f t="shared" si="73"/>
        <v/>
      </c>
      <c r="AK194" s="4" t="str">
        <f t="shared" si="74"/>
        <v/>
      </c>
      <c r="AL194" s="4" t="e" cm="1">
        <f t="array" ref="AL194">IF(INDEX(Table2[],_xlfn.XMATCH($A194,Table2[Steel Member],0),_xlfn.XMATCH(AL$2,Table2[#Headers],0))=0,"",INDEX(Table2[],_xlfn.XMATCH($A194,Table2[Steel Member],0),_xlfn.XMATCH(AL$2,Table2[#Headers],0)))</f>
        <v>#N/A</v>
      </c>
      <c r="AM194" s="4"/>
      <c r="AN194" s="4" t="str">
        <f t="shared" si="75"/>
        <v/>
      </c>
      <c r="AO194" s="4"/>
      <c r="AP194" s="4" t="e" cm="1">
        <f t="array" ref="AP194">IF(INDEX(Table2[],_xlfn.XMATCH($A194,Table2[Steel Member],0),_xlfn.XMATCH(AP$2,Table2[#Headers],0))=0,"",INDEX(Table2[],_xlfn.XMATCH($A194,Table2[Steel Member],0),_xlfn.XMATCH(AP$2,Table2[#Headers],0)))</f>
        <v>#N/A</v>
      </c>
      <c r="AQ194" s="4"/>
      <c r="AR194" s="4"/>
      <c r="AS194" s="4"/>
      <c r="AT194" s="4"/>
    </row>
    <row r="195" spans="1:46" x14ac:dyDescent="0.25">
      <c r="A195" s="52"/>
      <c r="B195" s="52"/>
      <c r="C195" s="52"/>
      <c r="D195" s="52"/>
      <c r="E195" s="52"/>
      <c r="F195" s="64" cm="1">
        <f t="array" ref="F195">IF(COUNT(FIND(PurlinsxGirthsxBracings,$C195))&gt;0,0,ROUNDUP(IF(D195=0,0,VLOOKUP(D195,'DATA SHEET'!$B:$D,2,FALSE)),2))</f>
        <v>0</v>
      </c>
      <c r="G195" s="64" cm="1">
        <f t="array" ref="G195">IF(COUNT(FIND(PurlinsxGirthsxBracings,$C195))&gt;0,0,ROUNDUP(IF(D195=0,0,VLOOKUP(D195,'DATA SHEET'!$B:$D,3,FALSE)),2))</f>
        <v>0</v>
      </c>
      <c r="H195" s="53"/>
      <c r="I195" s="66" cm="1">
        <f t="array" ref="I195">IF(AND(ISBLANK(B195),ISBLANK(C195),ISBLANK(E195)),0,IF(COUNT(FIND(PurlinsxGirthsxBracings,$C195))&gt;0,IF(B195=0,CONCATENATE(E195," ",C195),CONCATENATE(B195," - ",E195," ",C195)),IF(B195=0,IF(ISBLANK(C195),E195,CONCATENATE(D195,", ",F195,"kg/m, ",G195,"mm surface perimeter")),IF(AND(ISBLANK(C195),ISTEXT(E195)),CONCATENATE(B195," - ",E195),IF(AND(ISBLANK(C195),ISBLANK(E195)),B195,CONCATENATE(B195," - ",D195,", ",F195,"kg/m, ",G195,"mm surface perimeter"))))&amp;IF(ISBLANK(H195),"",H195)))</f>
        <v>0</v>
      </c>
      <c r="J195" s="53"/>
      <c r="L195" s="4" t="str" cm="1">
        <f t="array" ref="L195">IF(COUNT(FIND({0,1,2,3,4,5,6,7,8,9},B195))&gt;0,COUNT(FIND({0,1,2,3,4,5,6,7,8,9},B195))&gt;0,"")</f>
        <v/>
      </c>
      <c r="M195" s="4" t="str" cm="1">
        <f t="array" aca="1" ref="M195" ca="1">IFERROR(_xlfn.IFS(R195="Count",RANDBETWEEN(1,COUNTIF($R$11:$R$653,"Count")),R195="Length",RANDBETWEEN(1,COUNTIF($R$11:$R$653,"Length"))),"")</f>
        <v/>
      </c>
      <c r="N195" s="4" t="str">
        <f ca="1">IFERROR(_xlfn.RANK.EQ(M195,$M$11:$M$653)+COUNTIF($M$11:M195,M195)-1,"")</f>
        <v/>
      </c>
      <c r="O195" s="86" t="str">
        <f>IF(A195='DATA SHEET'!$L$36,C195,IFERROR(IF(AND(ISTEXT(I195),ISBLANK(C195)),"No details",VLOOKUP(C195,DimFolder,2,FALSE)),""))</f>
        <v/>
      </c>
      <c r="P195" s="4" t="str">
        <f t="shared" si="64"/>
        <v/>
      </c>
      <c r="Q195" s="58" t="str">
        <f t="shared" si="76"/>
        <v/>
      </c>
      <c r="R195" s="4" t="e" cm="1">
        <f t="array" ref="R195">IF(INDEX(Table2[],_xlfn.XMATCH($A195,Table2[Steel Member],0),_xlfn.XMATCH(R$2,Table2[#Headers],0))=0,"",INDEX(Table2[],_xlfn.XMATCH($A195,Table2[Steel Member],0),_xlfn.XMATCH(R$2,Table2[#Headers],0)))</f>
        <v>#N/A</v>
      </c>
      <c r="S195" s="4" t="e" cm="1">
        <f t="array" ref="S195">IF(INDEX(Table2[],_xlfn.XMATCH($A195,Table2[Steel Member],0),_xlfn.XMATCH(S$2,Table2[#Headers],0))=0,"",INDEX(Table2[],_xlfn.XMATCH($A195,Table2[Steel Member],0),_xlfn.XMATCH(S$2,Table2[#Headers],0)))</f>
        <v>#N/A</v>
      </c>
      <c r="T195" s="4" t="str">
        <f t="shared" si="67"/>
        <v/>
      </c>
      <c r="U195" s="4" t="e">
        <f ca="1">VLOOKUP(N195,'COLOR CODE'!$B:$D,2,FALSE)</f>
        <v>#N/A</v>
      </c>
      <c r="V195" s="4" t="str">
        <f t="shared" si="68"/>
        <v/>
      </c>
      <c r="W195" s="4" t="e" cm="1">
        <f t="array" ref="W195">IF(INDEX(Table2[],_xlfn.XMATCH($A195,Table2[Steel Member],0),_xlfn.XMATCH(W$2,Table2[#Headers],0))=0,"",INDEX(Table2[],_xlfn.XMATCH($A195,Table2[Steel Member],0),_xlfn.XMATCH(W$2,Table2[#Headers],0)))</f>
        <v>#N/A</v>
      </c>
      <c r="X195" s="4" t="e">
        <f t="shared" si="66"/>
        <v>#N/A</v>
      </c>
      <c r="Y195" s="4" t="e" cm="1">
        <f t="array" ref="Y195">IF(INDEX(Table2[],_xlfn.XMATCH($A195,Table2[Steel Member],0),_xlfn.XMATCH(Y$2,Table2[#Headers],0))=0,"",INDEX(Table2[],_xlfn.XMATCH($A195,Table2[Steel Member],0),_xlfn.XMATCH(Y$2,Table2[#Headers],0)))</f>
        <v>#N/A</v>
      </c>
      <c r="Z195" s="4" t="e" cm="1">
        <f t="array" ref="Z195">IF(INDEX(Table2[],_xlfn.XMATCH($A195,Table2[Steel Member],0),_xlfn.XMATCH(Z$2,Table2[#Headers],0))=0,"",INDEX(Table2[],_xlfn.XMATCH($A195,Table2[Steel Member],0),_xlfn.XMATCH(Z$2,Table2[#Headers],0)))</f>
        <v>#N/A</v>
      </c>
      <c r="AA195" s="4" t="e" cm="1">
        <f t="array" ref="AA195">IF(INDEX(Table2[],_xlfn.XMATCH($A195,Table2[Steel Member],0),_xlfn.XMATCH(AA$2,Table2[#Headers],0))=0,"",INDEX(Table2[],_xlfn.XMATCH($A195,Table2[Steel Member],0),_xlfn.XMATCH(AA$2,Table2[#Headers],0)))</f>
        <v>#N/A</v>
      </c>
      <c r="AB195" s="4" t="e" cm="1">
        <f t="array" ref="AB195">IF(INDEX(Table2[],_xlfn.XMATCH($A195,Table2[Steel Member],0),_xlfn.XMATCH(AB$2,Table2[#Headers],0))=0,"",INDEX(Table2[],_xlfn.XMATCH($A195,Table2[Steel Member],0),_xlfn.XMATCH(AB$2,Table2[#Headers],0)))</f>
        <v>#N/A</v>
      </c>
      <c r="AC195" s="4" t="str" cm="1">
        <f t="array" ref="AC195">IFERROR(INDEX(Table8[],_xlfn.XMATCH($O195,Table8[Dimension Name Category],0),_xlfn.XMATCH(AC$2&amp;IF($L195," w/ tag"," w/o tag"),Table8[#Headers],0)),"")</f>
        <v/>
      </c>
      <c r="AD195" s="59" t="str">
        <f t="shared" si="69"/>
        <v/>
      </c>
      <c r="AE195" s="4" t="str">
        <f t="shared" si="70"/>
        <v/>
      </c>
      <c r="AF195" s="4" t="str">
        <f t="shared" si="71"/>
        <v/>
      </c>
      <c r="AG195" s="4" t="str" cm="1">
        <f t="array" ref="AG195">IFERROR(INDEX(Table8[],_xlfn.XMATCH($O195,Table8[Dimension Name Category],0),_xlfn.XMATCH(AG$2&amp;IF($L195," w/ tag"," w/o tag"),Table8[#Headers],0)),"")</f>
        <v/>
      </c>
      <c r="AH195" s="59" t="str">
        <f t="shared" si="72"/>
        <v/>
      </c>
      <c r="AI195" s="4"/>
      <c r="AJ195" s="4" t="str">
        <f t="shared" si="73"/>
        <v/>
      </c>
      <c r="AK195" s="4" t="str">
        <f t="shared" si="74"/>
        <v/>
      </c>
      <c r="AL195" s="4" t="e" cm="1">
        <f t="array" ref="AL195">IF(INDEX(Table2[],_xlfn.XMATCH($A195,Table2[Steel Member],0),_xlfn.XMATCH(AL$2,Table2[#Headers],0))=0,"",INDEX(Table2[],_xlfn.XMATCH($A195,Table2[Steel Member],0),_xlfn.XMATCH(AL$2,Table2[#Headers],0)))</f>
        <v>#N/A</v>
      </c>
      <c r="AM195" s="4"/>
      <c r="AN195" s="4" t="str">
        <f t="shared" si="75"/>
        <v/>
      </c>
      <c r="AO195" s="4"/>
      <c r="AP195" s="4" t="e" cm="1">
        <f t="array" ref="AP195">IF(INDEX(Table2[],_xlfn.XMATCH($A195,Table2[Steel Member],0),_xlfn.XMATCH(AP$2,Table2[#Headers],0))=0,"",INDEX(Table2[],_xlfn.XMATCH($A195,Table2[Steel Member],0),_xlfn.XMATCH(AP$2,Table2[#Headers],0)))</f>
        <v>#N/A</v>
      </c>
      <c r="AQ195" s="4"/>
      <c r="AR195" s="4"/>
      <c r="AS195" s="4"/>
      <c r="AT195" s="4"/>
    </row>
    <row r="196" spans="1:46" x14ac:dyDescent="0.25">
      <c r="A196" s="52"/>
      <c r="B196" s="52"/>
      <c r="C196" s="52"/>
      <c r="D196" s="52"/>
      <c r="E196" s="52"/>
      <c r="F196" s="64" cm="1">
        <f t="array" ref="F196">IF(COUNT(FIND(PurlinsxGirthsxBracings,$C196))&gt;0,0,ROUNDUP(IF(D196=0,0,VLOOKUP(D196,'DATA SHEET'!$B:$D,2,FALSE)),2))</f>
        <v>0</v>
      </c>
      <c r="G196" s="64" cm="1">
        <f t="array" ref="G196">IF(COUNT(FIND(PurlinsxGirthsxBracings,$C196))&gt;0,0,ROUNDUP(IF(D196=0,0,VLOOKUP(D196,'DATA SHEET'!$B:$D,3,FALSE)),2))</f>
        <v>0</v>
      </c>
      <c r="H196" s="53"/>
      <c r="I196" s="66" cm="1">
        <f t="array" ref="I196">IF(AND(ISBLANK(B196),ISBLANK(C196),ISBLANK(E196)),0,IF(COUNT(FIND(PurlinsxGirthsxBracings,$C196))&gt;0,IF(B196=0,CONCATENATE(E196," ",C196),CONCATENATE(B196," - ",E196," ",C196)),IF(B196=0,IF(ISBLANK(C196),E196,CONCATENATE(D196,", ",F196,"kg/m, ",G196,"mm surface perimeter")),IF(AND(ISBLANK(C196),ISTEXT(E196)),CONCATENATE(B196," - ",E196),IF(AND(ISBLANK(C196),ISBLANK(E196)),B196,CONCATENATE(B196," - ",D196,", ",F196,"kg/m, ",G196,"mm surface perimeter"))))&amp;IF(ISBLANK(H196),"",H196)))</f>
        <v>0</v>
      </c>
      <c r="J196" s="53"/>
      <c r="L196" s="4" t="str" cm="1">
        <f t="array" ref="L196">IF(COUNT(FIND({0,1,2,3,4,5,6,7,8,9},B196))&gt;0,COUNT(FIND({0,1,2,3,4,5,6,7,8,9},B196))&gt;0,"")</f>
        <v/>
      </c>
      <c r="M196" s="4" t="str" cm="1">
        <f t="array" aca="1" ref="M196" ca="1">IFERROR(_xlfn.IFS(R196="Count",RANDBETWEEN(1,COUNTIF($R$11:$R$653,"Count")),R196="Length",RANDBETWEEN(1,COUNTIF($R$11:$R$653,"Length"))),"")</f>
        <v/>
      </c>
      <c r="N196" s="4" t="str">
        <f ca="1">IFERROR(_xlfn.RANK.EQ(M196,$M$11:$M$653)+COUNTIF($M$11:M196,M196)-1,"")</f>
        <v/>
      </c>
      <c r="O196" s="86" t="str">
        <f>IF(A196='DATA SHEET'!$L$36,C196,IFERROR(IF(AND(ISTEXT(I196),ISBLANK(C196)),"No details",VLOOKUP(C196,DimFolder,2,FALSE)),""))</f>
        <v/>
      </c>
      <c r="P196" s="4" t="str">
        <f t="shared" si="64"/>
        <v/>
      </c>
      <c r="Q196" s="58" t="str">
        <f t="shared" si="76"/>
        <v/>
      </c>
      <c r="R196" s="4" t="e" cm="1">
        <f t="array" ref="R196">IF(INDEX(Table2[],_xlfn.XMATCH($A196,Table2[Steel Member],0),_xlfn.XMATCH(R$2,Table2[#Headers],0))=0,"",INDEX(Table2[],_xlfn.XMATCH($A196,Table2[Steel Member],0),_xlfn.XMATCH(R$2,Table2[#Headers],0)))</f>
        <v>#N/A</v>
      </c>
      <c r="S196" s="4" t="e" cm="1">
        <f t="array" ref="S196">IF(INDEX(Table2[],_xlfn.XMATCH($A196,Table2[Steel Member],0),_xlfn.XMATCH(S$2,Table2[#Headers],0))=0,"",INDEX(Table2[],_xlfn.XMATCH($A196,Table2[Steel Member],0),_xlfn.XMATCH(S$2,Table2[#Headers],0)))</f>
        <v>#N/A</v>
      </c>
      <c r="T196" s="4" t="str">
        <f t="shared" si="67"/>
        <v/>
      </c>
      <c r="U196" s="4" t="e">
        <f ca="1">VLOOKUP(N196,'COLOR CODE'!$B:$D,2,FALSE)</f>
        <v>#N/A</v>
      </c>
      <c r="V196" s="4" t="str">
        <f t="shared" si="68"/>
        <v/>
      </c>
      <c r="W196" s="4" t="e" cm="1">
        <f t="array" ref="W196">IF(INDEX(Table2[],_xlfn.XMATCH($A196,Table2[Steel Member],0),_xlfn.XMATCH(W$2,Table2[#Headers],0))=0,"",INDEX(Table2[],_xlfn.XMATCH($A196,Table2[Steel Member],0),_xlfn.XMATCH(W$2,Table2[#Headers],0)))</f>
        <v>#N/A</v>
      </c>
      <c r="X196" s="4" t="e">
        <f t="shared" si="66"/>
        <v>#N/A</v>
      </c>
      <c r="Y196" s="4" t="e" cm="1">
        <f t="array" ref="Y196">IF(INDEX(Table2[],_xlfn.XMATCH($A196,Table2[Steel Member],0),_xlfn.XMATCH(Y$2,Table2[#Headers],0))=0,"",INDEX(Table2[],_xlfn.XMATCH($A196,Table2[Steel Member],0),_xlfn.XMATCH(Y$2,Table2[#Headers],0)))</f>
        <v>#N/A</v>
      </c>
      <c r="Z196" s="4" t="e" cm="1">
        <f t="array" ref="Z196">IF(INDEX(Table2[],_xlfn.XMATCH($A196,Table2[Steel Member],0),_xlfn.XMATCH(Z$2,Table2[#Headers],0))=0,"",INDEX(Table2[],_xlfn.XMATCH($A196,Table2[Steel Member],0),_xlfn.XMATCH(Z$2,Table2[#Headers],0)))</f>
        <v>#N/A</v>
      </c>
      <c r="AA196" s="4" t="e" cm="1">
        <f t="array" ref="AA196">IF(INDEX(Table2[],_xlfn.XMATCH($A196,Table2[Steel Member],0),_xlfn.XMATCH(AA$2,Table2[#Headers],0))=0,"",INDEX(Table2[],_xlfn.XMATCH($A196,Table2[Steel Member],0),_xlfn.XMATCH(AA$2,Table2[#Headers],0)))</f>
        <v>#N/A</v>
      </c>
      <c r="AB196" s="4" t="e" cm="1">
        <f t="array" ref="AB196">IF(INDEX(Table2[],_xlfn.XMATCH($A196,Table2[Steel Member],0),_xlfn.XMATCH(AB$2,Table2[#Headers],0))=0,"",INDEX(Table2[],_xlfn.XMATCH($A196,Table2[Steel Member],0),_xlfn.XMATCH(AB$2,Table2[#Headers],0)))</f>
        <v>#N/A</v>
      </c>
      <c r="AC196" s="4" t="str" cm="1">
        <f t="array" ref="AC196">IFERROR(INDEX(Table8[],_xlfn.XMATCH($O196,Table8[Dimension Name Category],0),_xlfn.XMATCH(AC$2&amp;IF($L196," w/ tag"," w/o tag"),Table8[#Headers],0)),"")</f>
        <v/>
      </c>
      <c r="AD196" s="59" t="str">
        <f t="shared" si="69"/>
        <v/>
      </c>
      <c r="AE196" s="4" t="str">
        <f t="shared" si="70"/>
        <v/>
      </c>
      <c r="AF196" s="4" t="str">
        <f t="shared" si="71"/>
        <v/>
      </c>
      <c r="AG196" s="4" t="str" cm="1">
        <f t="array" ref="AG196">IFERROR(INDEX(Table8[],_xlfn.XMATCH($O196,Table8[Dimension Name Category],0),_xlfn.XMATCH(AG$2&amp;IF($L196," w/ tag"," w/o tag"),Table8[#Headers],0)),"")</f>
        <v/>
      </c>
      <c r="AH196" s="59" t="str">
        <f t="shared" si="72"/>
        <v/>
      </c>
      <c r="AI196" s="4"/>
      <c r="AJ196" s="4" t="str">
        <f t="shared" si="73"/>
        <v/>
      </c>
      <c r="AK196" s="4" t="str">
        <f t="shared" si="74"/>
        <v/>
      </c>
      <c r="AL196" s="4" t="e" cm="1">
        <f t="array" ref="AL196">IF(INDEX(Table2[],_xlfn.XMATCH($A196,Table2[Steel Member],0),_xlfn.XMATCH(AL$2,Table2[#Headers],0))=0,"",INDEX(Table2[],_xlfn.XMATCH($A196,Table2[Steel Member],0),_xlfn.XMATCH(AL$2,Table2[#Headers],0)))</f>
        <v>#N/A</v>
      </c>
      <c r="AM196" s="4"/>
      <c r="AN196" s="4" t="str">
        <f t="shared" si="75"/>
        <v/>
      </c>
      <c r="AO196" s="4"/>
      <c r="AP196" s="4" t="e" cm="1">
        <f t="array" ref="AP196">IF(INDEX(Table2[],_xlfn.XMATCH($A196,Table2[Steel Member],0),_xlfn.XMATCH(AP$2,Table2[#Headers],0))=0,"",INDEX(Table2[],_xlfn.XMATCH($A196,Table2[Steel Member],0),_xlfn.XMATCH(AP$2,Table2[#Headers],0)))</f>
        <v>#N/A</v>
      </c>
      <c r="AQ196" s="4"/>
      <c r="AR196" s="4"/>
      <c r="AS196" s="4"/>
      <c r="AT196" s="4"/>
    </row>
    <row r="197" spans="1:46" x14ac:dyDescent="0.25">
      <c r="A197" s="52"/>
      <c r="B197" s="52"/>
      <c r="C197" s="52"/>
      <c r="D197" s="52"/>
      <c r="E197" s="52"/>
      <c r="F197" s="64" cm="1">
        <f t="array" ref="F197">IF(COUNT(FIND(PurlinsxGirthsxBracings,$C197))&gt;0,0,ROUNDUP(IF(D197=0,0,VLOOKUP(D197,'DATA SHEET'!$B:$D,2,FALSE)),2))</f>
        <v>0</v>
      </c>
      <c r="G197" s="64" cm="1">
        <f t="array" ref="G197">IF(COUNT(FIND(PurlinsxGirthsxBracings,$C197))&gt;0,0,ROUNDUP(IF(D197=0,0,VLOOKUP(D197,'DATA SHEET'!$B:$D,3,FALSE)),2))</f>
        <v>0</v>
      </c>
      <c r="H197" s="53"/>
      <c r="I197" s="66" cm="1">
        <f t="array" ref="I197">IF(AND(ISBLANK(B197),ISBLANK(C197),ISBLANK(E197)),0,IF(COUNT(FIND(PurlinsxGirthsxBracings,$C197))&gt;0,IF(B197=0,CONCATENATE(E197," ",C197),CONCATENATE(B197," - ",E197," ",C197)),IF(B197=0,IF(ISBLANK(C197),E197,CONCATENATE(D197,", ",F197,"kg/m, ",G197,"mm surface perimeter")),IF(AND(ISBLANK(C197),ISTEXT(E197)),CONCATENATE(B197," - ",E197),IF(AND(ISBLANK(C197),ISBLANK(E197)),B197,CONCATENATE(B197," - ",D197,", ",F197,"kg/m, ",G197,"mm surface perimeter"))))&amp;IF(ISBLANK(H197),"",H197)))</f>
        <v>0</v>
      </c>
      <c r="J197" s="53"/>
      <c r="L197" s="4" t="str" cm="1">
        <f t="array" ref="L197">IF(COUNT(FIND({0,1,2,3,4,5,6,7,8,9},B197))&gt;0,COUNT(FIND({0,1,2,3,4,5,6,7,8,9},B197))&gt;0,"")</f>
        <v/>
      </c>
      <c r="M197" s="4" t="str" cm="1">
        <f t="array" aca="1" ref="M197" ca="1">IFERROR(_xlfn.IFS(R197="Count",RANDBETWEEN(1,COUNTIF($R$11:$R$653,"Count")),R197="Length",RANDBETWEEN(1,COUNTIF($R$11:$R$653,"Length"))),"")</f>
        <v/>
      </c>
      <c r="N197" s="4" t="str">
        <f ca="1">IFERROR(_xlfn.RANK.EQ(M197,$M$11:$M$653)+COUNTIF($M$11:M197,M197)-1,"")</f>
        <v/>
      </c>
      <c r="O197" s="86" t="str">
        <f>IF(A197='DATA SHEET'!$L$36,C197,IFERROR(IF(AND(ISTEXT(I197),ISBLANK(C197)),"No details",VLOOKUP(C197,DimFolder,2,FALSE)),""))</f>
        <v/>
      </c>
      <c r="P197" s="4" t="str">
        <f t="shared" si="64"/>
        <v/>
      </c>
      <c r="Q197" s="58" t="str">
        <f t="shared" si="76"/>
        <v/>
      </c>
      <c r="R197" s="4" t="e" cm="1">
        <f t="array" ref="R197">IF(INDEX(Table2[],_xlfn.XMATCH($A197,Table2[Steel Member],0),_xlfn.XMATCH(R$2,Table2[#Headers],0))=0,"",INDEX(Table2[],_xlfn.XMATCH($A197,Table2[Steel Member],0),_xlfn.XMATCH(R$2,Table2[#Headers],0)))</f>
        <v>#N/A</v>
      </c>
      <c r="S197" s="4" t="e" cm="1">
        <f t="array" ref="S197">IF(INDEX(Table2[],_xlfn.XMATCH($A197,Table2[Steel Member],0),_xlfn.XMATCH(S$2,Table2[#Headers],0))=0,"",INDEX(Table2[],_xlfn.XMATCH($A197,Table2[Steel Member],0),_xlfn.XMATCH(S$2,Table2[#Headers],0)))</f>
        <v>#N/A</v>
      </c>
      <c r="T197" s="4" t="str">
        <f t="shared" si="67"/>
        <v/>
      </c>
      <c r="U197" s="4" t="e">
        <f ca="1">VLOOKUP(N197,'COLOR CODE'!$B:$D,2,FALSE)</f>
        <v>#N/A</v>
      </c>
      <c r="V197" s="4" t="str">
        <f t="shared" si="68"/>
        <v/>
      </c>
      <c r="W197" s="4" t="e" cm="1">
        <f t="array" ref="W197">IF(INDEX(Table2[],_xlfn.XMATCH($A197,Table2[Steel Member],0),_xlfn.XMATCH(W$2,Table2[#Headers],0))=0,"",INDEX(Table2[],_xlfn.XMATCH($A197,Table2[Steel Member],0),_xlfn.XMATCH(W$2,Table2[#Headers],0)))</f>
        <v>#N/A</v>
      </c>
      <c r="X197" s="4" t="e">
        <f t="shared" si="66"/>
        <v>#N/A</v>
      </c>
      <c r="Y197" s="4" t="e" cm="1">
        <f t="array" ref="Y197">IF(INDEX(Table2[],_xlfn.XMATCH($A197,Table2[Steel Member],0),_xlfn.XMATCH(Y$2,Table2[#Headers],0))=0,"",INDEX(Table2[],_xlfn.XMATCH($A197,Table2[Steel Member],0),_xlfn.XMATCH(Y$2,Table2[#Headers],0)))</f>
        <v>#N/A</v>
      </c>
      <c r="Z197" s="4" t="e" cm="1">
        <f t="array" ref="Z197">IF(INDEX(Table2[],_xlfn.XMATCH($A197,Table2[Steel Member],0),_xlfn.XMATCH(Z$2,Table2[#Headers],0))=0,"",INDEX(Table2[],_xlfn.XMATCH($A197,Table2[Steel Member],0),_xlfn.XMATCH(Z$2,Table2[#Headers],0)))</f>
        <v>#N/A</v>
      </c>
      <c r="AA197" s="4" t="e" cm="1">
        <f t="array" ref="AA197">IF(INDEX(Table2[],_xlfn.XMATCH($A197,Table2[Steel Member],0),_xlfn.XMATCH(AA$2,Table2[#Headers],0))=0,"",INDEX(Table2[],_xlfn.XMATCH($A197,Table2[Steel Member],0),_xlfn.XMATCH(AA$2,Table2[#Headers],0)))</f>
        <v>#N/A</v>
      </c>
      <c r="AB197" s="4" t="e" cm="1">
        <f t="array" ref="AB197">IF(INDEX(Table2[],_xlfn.XMATCH($A197,Table2[Steel Member],0),_xlfn.XMATCH(AB$2,Table2[#Headers],0))=0,"",INDEX(Table2[],_xlfn.XMATCH($A197,Table2[Steel Member],0),_xlfn.XMATCH(AB$2,Table2[#Headers],0)))</f>
        <v>#N/A</v>
      </c>
      <c r="AC197" s="4" t="str" cm="1">
        <f t="array" ref="AC197">IFERROR(INDEX(Table8[],_xlfn.XMATCH($O197,Table8[Dimension Name Category],0),_xlfn.XMATCH(AC$2&amp;IF($L197," w/ tag"," w/o tag"),Table8[#Headers],0)),"")</f>
        <v/>
      </c>
      <c r="AD197" s="59" t="str">
        <f t="shared" si="69"/>
        <v/>
      </c>
      <c r="AE197" s="4" t="str">
        <f t="shared" si="70"/>
        <v/>
      </c>
      <c r="AF197" s="4" t="str">
        <f t="shared" si="71"/>
        <v/>
      </c>
      <c r="AG197" s="4" t="str" cm="1">
        <f t="array" ref="AG197">IFERROR(INDEX(Table8[],_xlfn.XMATCH($O197,Table8[Dimension Name Category],0),_xlfn.XMATCH(AG$2&amp;IF($L197," w/ tag"," w/o tag"),Table8[#Headers],0)),"")</f>
        <v/>
      </c>
      <c r="AH197" s="59" t="str">
        <f t="shared" si="72"/>
        <v/>
      </c>
      <c r="AI197" s="4"/>
      <c r="AJ197" s="4" t="str">
        <f t="shared" si="73"/>
        <v/>
      </c>
      <c r="AK197" s="4" t="str">
        <f t="shared" si="74"/>
        <v/>
      </c>
      <c r="AL197" s="4" t="e" cm="1">
        <f t="array" ref="AL197">IF(INDEX(Table2[],_xlfn.XMATCH($A197,Table2[Steel Member],0),_xlfn.XMATCH(AL$2,Table2[#Headers],0))=0,"",INDEX(Table2[],_xlfn.XMATCH($A197,Table2[Steel Member],0),_xlfn.XMATCH(AL$2,Table2[#Headers],0)))</f>
        <v>#N/A</v>
      </c>
      <c r="AM197" s="4"/>
      <c r="AN197" s="4" t="str">
        <f t="shared" si="75"/>
        <v/>
      </c>
      <c r="AO197" s="4"/>
      <c r="AP197" s="4" t="e" cm="1">
        <f t="array" ref="AP197">IF(INDEX(Table2[],_xlfn.XMATCH($A197,Table2[Steel Member],0),_xlfn.XMATCH(AP$2,Table2[#Headers],0))=0,"",INDEX(Table2[],_xlfn.XMATCH($A197,Table2[Steel Member],0),_xlfn.XMATCH(AP$2,Table2[#Headers],0)))</f>
        <v>#N/A</v>
      </c>
      <c r="AQ197" s="4"/>
      <c r="AR197" s="4"/>
      <c r="AS197" s="4"/>
      <c r="AT197" s="4"/>
    </row>
    <row r="198" spans="1:46" x14ac:dyDescent="0.25">
      <c r="A198" s="52"/>
      <c r="B198" s="52"/>
      <c r="C198" s="52"/>
      <c r="D198" s="52"/>
      <c r="E198" s="52"/>
      <c r="F198" s="64" cm="1">
        <f t="array" ref="F198">IF(COUNT(FIND(PurlinsxGirthsxBracings,$C198))&gt;0,0,ROUNDUP(IF(D198=0,0,VLOOKUP(D198,'DATA SHEET'!$B:$D,2,FALSE)),2))</f>
        <v>0</v>
      </c>
      <c r="G198" s="64" cm="1">
        <f t="array" ref="G198">IF(COUNT(FIND(PurlinsxGirthsxBracings,$C198))&gt;0,0,ROUNDUP(IF(D198=0,0,VLOOKUP(D198,'DATA SHEET'!$B:$D,3,FALSE)),2))</f>
        <v>0</v>
      </c>
      <c r="H198" s="53"/>
      <c r="I198" s="66" cm="1">
        <f t="array" ref="I198">IF(AND(ISBLANK(B198),ISBLANK(C198),ISBLANK(E198)),0,IF(COUNT(FIND(PurlinsxGirthsxBracings,$C198))&gt;0,IF(B198=0,CONCATENATE(E198," ",C198),CONCATENATE(B198," - ",E198," ",C198)),IF(B198=0,IF(ISBLANK(C198),E198,CONCATENATE(D198,", ",F198,"kg/m, ",G198,"mm surface perimeter")),IF(AND(ISBLANK(C198),ISTEXT(E198)),CONCATENATE(B198," - ",E198),IF(AND(ISBLANK(C198),ISBLANK(E198)),B198,CONCATENATE(B198," - ",D198,", ",F198,"kg/m, ",G198,"mm surface perimeter"))))&amp;IF(ISBLANK(H198),"",H198)))</f>
        <v>0</v>
      </c>
      <c r="J198" s="53"/>
      <c r="L198" s="4" t="str" cm="1">
        <f t="array" ref="L198">IF(COUNT(FIND({0,1,2,3,4,5,6,7,8,9},B198))&gt;0,COUNT(FIND({0,1,2,3,4,5,6,7,8,9},B198))&gt;0,"")</f>
        <v/>
      </c>
      <c r="M198" s="4" t="str" cm="1">
        <f t="array" aca="1" ref="M198" ca="1">IFERROR(_xlfn.IFS(R198="Count",RANDBETWEEN(1,COUNTIF($R$11:$R$653,"Count")),R198="Length",RANDBETWEEN(1,COUNTIF($R$11:$R$653,"Length"))),"")</f>
        <v/>
      </c>
      <c r="N198" s="4" t="str">
        <f ca="1">IFERROR(_xlfn.RANK.EQ(M198,$M$11:$M$653)+COUNTIF($M$11:M198,M198)-1,"")</f>
        <v/>
      </c>
      <c r="O198" s="86" t="str">
        <f>IF(A198='DATA SHEET'!$L$36,C198,IFERROR(IF(AND(ISTEXT(I198),ISBLANK(C198)),"No details",VLOOKUP(C198,DimFolder,2,FALSE)),""))</f>
        <v/>
      </c>
      <c r="P198" s="4" t="str">
        <f t="shared" si="64"/>
        <v/>
      </c>
      <c r="Q198" s="58" t="str">
        <f t="shared" si="76"/>
        <v/>
      </c>
      <c r="R198" s="4" t="e" cm="1">
        <f t="array" ref="R198">IF(INDEX(Table2[],_xlfn.XMATCH($A198,Table2[Steel Member],0),_xlfn.XMATCH(R$2,Table2[#Headers],0))=0,"",INDEX(Table2[],_xlfn.XMATCH($A198,Table2[Steel Member],0),_xlfn.XMATCH(R$2,Table2[#Headers],0)))</f>
        <v>#N/A</v>
      </c>
      <c r="S198" s="4" t="e" cm="1">
        <f t="array" ref="S198">IF(INDEX(Table2[],_xlfn.XMATCH($A198,Table2[Steel Member],0),_xlfn.XMATCH(S$2,Table2[#Headers],0))=0,"",INDEX(Table2[],_xlfn.XMATCH($A198,Table2[Steel Member],0),_xlfn.XMATCH(S$2,Table2[#Headers],0)))</f>
        <v>#N/A</v>
      </c>
      <c r="T198" s="4" t="str">
        <f t="shared" si="67"/>
        <v/>
      </c>
      <c r="U198" s="4" t="e">
        <f ca="1">VLOOKUP(N198,'COLOR CODE'!$B:$D,2,FALSE)</f>
        <v>#N/A</v>
      </c>
      <c r="V198" s="4" t="str">
        <f t="shared" si="68"/>
        <v/>
      </c>
      <c r="W198" s="4" t="e" cm="1">
        <f t="array" ref="W198">IF(INDEX(Table2[],_xlfn.XMATCH($A198,Table2[Steel Member],0),_xlfn.XMATCH(W$2,Table2[#Headers],0))=0,"",INDEX(Table2[],_xlfn.XMATCH($A198,Table2[Steel Member],0),_xlfn.XMATCH(W$2,Table2[#Headers],0)))</f>
        <v>#N/A</v>
      </c>
      <c r="X198" s="4" t="e">
        <f t="shared" si="66"/>
        <v>#N/A</v>
      </c>
      <c r="Y198" s="4" t="e" cm="1">
        <f t="array" ref="Y198">IF(INDEX(Table2[],_xlfn.XMATCH($A198,Table2[Steel Member],0),_xlfn.XMATCH(Y$2,Table2[#Headers],0))=0,"",INDEX(Table2[],_xlfn.XMATCH($A198,Table2[Steel Member],0),_xlfn.XMATCH(Y$2,Table2[#Headers],0)))</f>
        <v>#N/A</v>
      </c>
      <c r="Z198" s="4" t="e" cm="1">
        <f t="array" ref="Z198">IF(INDEX(Table2[],_xlfn.XMATCH($A198,Table2[Steel Member],0),_xlfn.XMATCH(Z$2,Table2[#Headers],0))=0,"",INDEX(Table2[],_xlfn.XMATCH($A198,Table2[Steel Member],0),_xlfn.XMATCH(Z$2,Table2[#Headers],0)))</f>
        <v>#N/A</v>
      </c>
      <c r="AA198" s="4" t="e" cm="1">
        <f t="array" ref="AA198">IF(INDEX(Table2[],_xlfn.XMATCH($A198,Table2[Steel Member],0),_xlfn.XMATCH(AA$2,Table2[#Headers],0))=0,"",INDEX(Table2[],_xlfn.XMATCH($A198,Table2[Steel Member],0),_xlfn.XMATCH(AA$2,Table2[#Headers],0)))</f>
        <v>#N/A</v>
      </c>
      <c r="AB198" s="4" t="e" cm="1">
        <f t="array" ref="AB198">IF(INDEX(Table2[],_xlfn.XMATCH($A198,Table2[Steel Member],0),_xlfn.XMATCH(AB$2,Table2[#Headers],0))=0,"",INDEX(Table2[],_xlfn.XMATCH($A198,Table2[Steel Member],0),_xlfn.XMATCH(AB$2,Table2[#Headers],0)))</f>
        <v>#N/A</v>
      </c>
      <c r="AC198" s="4" t="str" cm="1">
        <f t="array" ref="AC198">IFERROR(INDEX(Table8[],_xlfn.XMATCH($O198,Table8[Dimension Name Category],0),_xlfn.XMATCH(AC$2&amp;IF($L198," w/ tag"," w/o tag"),Table8[#Headers],0)),"")</f>
        <v/>
      </c>
      <c r="AD198" s="59" t="str">
        <f t="shared" si="69"/>
        <v/>
      </c>
      <c r="AE198" s="4" t="str">
        <f t="shared" si="70"/>
        <v/>
      </c>
      <c r="AF198" s="4" t="str">
        <f t="shared" si="71"/>
        <v/>
      </c>
      <c r="AG198" s="4" t="str" cm="1">
        <f t="array" ref="AG198">IFERROR(INDEX(Table8[],_xlfn.XMATCH($O198,Table8[Dimension Name Category],0),_xlfn.XMATCH(AG$2&amp;IF($L198," w/ tag"," w/o tag"),Table8[#Headers],0)),"")</f>
        <v/>
      </c>
      <c r="AH198" s="59" t="str">
        <f t="shared" si="72"/>
        <v/>
      </c>
      <c r="AI198" s="4"/>
      <c r="AJ198" s="4" t="str">
        <f t="shared" si="73"/>
        <v/>
      </c>
      <c r="AK198" s="4" t="str">
        <f t="shared" si="74"/>
        <v/>
      </c>
      <c r="AL198" s="4" t="e" cm="1">
        <f t="array" ref="AL198">IF(INDEX(Table2[],_xlfn.XMATCH($A198,Table2[Steel Member],0),_xlfn.XMATCH(AL$2,Table2[#Headers],0))=0,"",INDEX(Table2[],_xlfn.XMATCH($A198,Table2[Steel Member],0),_xlfn.XMATCH(AL$2,Table2[#Headers],0)))</f>
        <v>#N/A</v>
      </c>
      <c r="AM198" s="4"/>
      <c r="AN198" s="4" t="str">
        <f t="shared" si="75"/>
        <v/>
      </c>
      <c r="AO198" s="4"/>
      <c r="AP198" s="4" t="e" cm="1">
        <f t="array" ref="AP198">IF(INDEX(Table2[],_xlfn.XMATCH($A198,Table2[Steel Member],0),_xlfn.XMATCH(AP$2,Table2[#Headers],0))=0,"",INDEX(Table2[],_xlfn.XMATCH($A198,Table2[Steel Member],0),_xlfn.XMATCH(AP$2,Table2[#Headers],0)))</f>
        <v>#N/A</v>
      </c>
      <c r="AQ198" s="4"/>
      <c r="AR198" s="4"/>
      <c r="AS198" s="4"/>
      <c r="AT198" s="4"/>
    </row>
    <row r="199" spans="1:46" x14ac:dyDescent="0.25">
      <c r="A199" s="52"/>
      <c r="B199" s="52"/>
      <c r="C199" s="52"/>
      <c r="D199" s="52"/>
      <c r="E199" s="52"/>
      <c r="F199" s="64" cm="1">
        <f t="array" ref="F199">IF(COUNT(FIND(PurlinsxGirthsxBracings,$C199))&gt;0,0,ROUNDUP(IF(D199=0,0,VLOOKUP(D199,'DATA SHEET'!$B:$D,2,FALSE)),2))</f>
        <v>0</v>
      </c>
      <c r="G199" s="64" cm="1">
        <f t="array" ref="G199">IF(COUNT(FIND(PurlinsxGirthsxBracings,$C199))&gt;0,0,ROUNDUP(IF(D199=0,0,VLOOKUP(D199,'DATA SHEET'!$B:$D,3,FALSE)),2))</f>
        <v>0</v>
      </c>
      <c r="H199" s="53"/>
      <c r="I199" s="66" cm="1">
        <f t="array" ref="I199">IF(AND(ISBLANK(B199),ISBLANK(C199),ISBLANK(E199)),0,IF(COUNT(FIND(PurlinsxGirthsxBracings,$C199))&gt;0,IF(B199=0,CONCATENATE(E199," ",C199),CONCATENATE(B199," - ",E199," ",C199)),IF(B199=0,IF(ISBLANK(C199),E199,CONCATENATE(D199,", ",F199,"kg/m, ",G199,"mm surface perimeter")),IF(AND(ISBLANK(C199),ISTEXT(E199)),CONCATENATE(B199," - ",E199),IF(AND(ISBLANK(C199),ISBLANK(E199)),B199,CONCATENATE(B199," - ",D199,", ",F199,"kg/m, ",G199,"mm surface perimeter"))))&amp;IF(ISBLANK(H199),"",H199)))</f>
        <v>0</v>
      </c>
      <c r="J199" s="53"/>
      <c r="L199" s="4" t="str" cm="1">
        <f t="array" ref="L199">IF(COUNT(FIND({0,1,2,3,4,5,6,7,8,9},B199))&gt;0,COUNT(FIND({0,1,2,3,4,5,6,7,8,9},B199))&gt;0,"")</f>
        <v/>
      </c>
      <c r="M199" s="4" t="str" cm="1">
        <f t="array" aca="1" ref="M199" ca="1">IFERROR(_xlfn.IFS(R199="Count",RANDBETWEEN(1,COUNTIF($R$11:$R$653,"Count")),R199="Length",RANDBETWEEN(1,COUNTIF($R$11:$R$653,"Length"))),"")</f>
        <v/>
      </c>
      <c r="N199" s="4" t="str">
        <f ca="1">IFERROR(_xlfn.RANK.EQ(M199,$M$11:$M$653)+COUNTIF($M$11:M199,M199)-1,"")</f>
        <v/>
      </c>
      <c r="O199" s="86" t="str">
        <f>IF(A199='DATA SHEET'!$L$36,C199,IFERROR(IF(AND(ISTEXT(I199),ISBLANK(C199)),"No details",VLOOKUP(C199,DimFolder,2,FALSE)),""))</f>
        <v/>
      </c>
      <c r="P199" s="4" t="str">
        <f t="shared" si="64"/>
        <v/>
      </c>
      <c r="Q199" s="58" t="str">
        <f t="shared" si="76"/>
        <v/>
      </c>
      <c r="R199" s="4" t="e" cm="1">
        <f t="array" ref="R199">IF(INDEX(Table2[],_xlfn.XMATCH($A199,Table2[Steel Member],0),_xlfn.XMATCH(R$2,Table2[#Headers],0))=0,"",INDEX(Table2[],_xlfn.XMATCH($A199,Table2[Steel Member],0),_xlfn.XMATCH(R$2,Table2[#Headers],0)))</f>
        <v>#N/A</v>
      </c>
      <c r="S199" s="4" t="e" cm="1">
        <f t="array" ref="S199">IF(INDEX(Table2[],_xlfn.XMATCH($A199,Table2[Steel Member],0),_xlfn.XMATCH(S$2,Table2[#Headers],0))=0,"",INDEX(Table2[],_xlfn.XMATCH($A199,Table2[Steel Member],0),_xlfn.XMATCH(S$2,Table2[#Headers],0)))</f>
        <v>#N/A</v>
      </c>
      <c r="T199" s="4" t="str">
        <f t="shared" si="67"/>
        <v/>
      </c>
      <c r="U199" s="4" t="e">
        <f ca="1">VLOOKUP(N199,'COLOR CODE'!$B:$D,2,FALSE)</f>
        <v>#N/A</v>
      </c>
      <c r="V199" s="4" t="str">
        <f t="shared" si="68"/>
        <v/>
      </c>
      <c r="W199" s="4" t="e" cm="1">
        <f t="array" ref="W199">IF(INDEX(Table2[],_xlfn.XMATCH($A199,Table2[Steel Member],0),_xlfn.XMATCH(W$2,Table2[#Headers],0))=0,"",INDEX(Table2[],_xlfn.XMATCH($A199,Table2[Steel Member],0),_xlfn.XMATCH(W$2,Table2[#Headers],0)))</f>
        <v>#N/A</v>
      </c>
      <c r="X199" s="4" t="e">
        <f t="shared" si="66"/>
        <v>#N/A</v>
      </c>
      <c r="Y199" s="4" t="e" cm="1">
        <f t="array" ref="Y199">IF(INDEX(Table2[],_xlfn.XMATCH($A199,Table2[Steel Member],0),_xlfn.XMATCH(Y$2,Table2[#Headers],0))=0,"",INDEX(Table2[],_xlfn.XMATCH($A199,Table2[Steel Member],0),_xlfn.XMATCH(Y$2,Table2[#Headers],0)))</f>
        <v>#N/A</v>
      </c>
      <c r="Z199" s="4" t="e" cm="1">
        <f t="array" ref="Z199">IF(INDEX(Table2[],_xlfn.XMATCH($A199,Table2[Steel Member],0),_xlfn.XMATCH(Z$2,Table2[#Headers],0))=0,"",INDEX(Table2[],_xlfn.XMATCH($A199,Table2[Steel Member],0),_xlfn.XMATCH(Z$2,Table2[#Headers],0)))</f>
        <v>#N/A</v>
      </c>
      <c r="AA199" s="4" t="e" cm="1">
        <f t="array" ref="AA199">IF(INDEX(Table2[],_xlfn.XMATCH($A199,Table2[Steel Member],0),_xlfn.XMATCH(AA$2,Table2[#Headers],0))=0,"",INDEX(Table2[],_xlfn.XMATCH($A199,Table2[Steel Member],0),_xlfn.XMATCH(AA$2,Table2[#Headers],0)))</f>
        <v>#N/A</v>
      </c>
      <c r="AB199" s="4" t="e" cm="1">
        <f t="array" ref="AB199">IF(INDEX(Table2[],_xlfn.XMATCH($A199,Table2[Steel Member],0),_xlfn.XMATCH(AB$2,Table2[#Headers],0))=0,"",INDEX(Table2[],_xlfn.XMATCH($A199,Table2[Steel Member],0),_xlfn.XMATCH(AB$2,Table2[#Headers],0)))</f>
        <v>#N/A</v>
      </c>
      <c r="AC199" s="4" t="str" cm="1">
        <f t="array" ref="AC199">IFERROR(INDEX(Table8[],_xlfn.XMATCH($O199,Table8[Dimension Name Category],0),_xlfn.XMATCH(AC$2&amp;IF($L199," w/ tag"," w/o tag"),Table8[#Headers],0)),"")</f>
        <v/>
      </c>
      <c r="AD199" s="59" t="str">
        <f t="shared" si="69"/>
        <v/>
      </c>
      <c r="AE199" s="4" t="str">
        <f t="shared" si="70"/>
        <v/>
      </c>
      <c r="AF199" s="4" t="str">
        <f t="shared" si="71"/>
        <v/>
      </c>
      <c r="AG199" s="4" t="str" cm="1">
        <f t="array" ref="AG199">IFERROR(INDEX(Table8[],_xlfn.XMATCH($O199,Table8[Dimension Name Category],0),_xlfn.XMATCH(AG$2&amp;IF($L199," w/ tag"," w/o tag"),Table8[#Headers],0)),"")</f>
        <v/>
      </c>
      <c r="AH199" s="59" t="str">
        <f t="shared" si="72"/>
        <v/>
      </c>
      <c r="AI199" s="4"/>
      <c r="AJ199" s="4" t="str">
        <f t="shared" si="73"/>
        <v/>
      </c>
      <c r="AK199" s="4" t="str">
        <f t="shared" si="74"/>
        <v/>
      </c>
      <c r="AL199" s="4" t="e" cm="1">
        <f t="array" ref="AL199">IF(INDEX(Table2[],_xlfn.XMATCH($A199,Table2[Steel Member],0),_xlfn.XMATCH(AL$2,Table2[#Headers],0))=0,"",INDEX(Table2[],_xlfn.XMATCH($A199,Table2[Steel Member],0),_xlfn.XMATCH(AL$2,Table2[#Headers],0)))</f>
        <v>#N/A</v>
      </c>
      <c r="AM199" s="4"/>
      <c r="AN199" s="4" t="str">
        <f t="shared" si="75"/>
        <v/>
      </c>
      <c r="AO199" s="4"/>
      <c r="AP199" s="4" t="e" cm="1">
        <f t="array" ref="AP199">IF(INDEX(Table2[],_xlfn.XMATCH($A199,Table2[Steel Member],0),_xlfn.XMATCH(AP$2,Table2[#Headers],0))=0,"",INDEX(Table2[],_xlfn.XMATCH($A199,Table2[Steel Member],0),_xlfn.XMATCH(AP$2,Table2[#Headers],0)))</f>
        <v>#N/A</v>
      </c>
      <c r="AQ199" s="4"/>
      <c r="AR199" s="4"/>
      <c r="AS199" s="4"/>
      <c r="AT199" s="4"/>
    </row>
    <row r="200" spans="1:46" x14ac:dyDescent="0.25">
      <c r="A200" s="52"/>
      <c r="B200" s="52"/>
      <c r="C200" s="52"/>
      <c r="D200" s="52"/>
      <c r="E200" s="52"/>
      <c r="F200" s="64" cm="1">
        <f t="array" ref="F200">IF(COUNT(FIND(PurlinsxGirthsxBracings,$C200))&gt;0,0,ROUNDUP(IF(D200=0,0,VLOOKUP(D200,'DATA SHEET'!$B:$D,2,FALSE)),2))</f>
        <v>0</v>
      </c>
      <c r="G200" s="64" cm="1">
        <f t="array" ref="G200">IF(COUNT(FIND(PurlinsxGirthsxBracings,$C200))&gt;0,0,ROUNDUP(IF(D200=0,0,VLOOKUP(D200,'DATA SHEET'!$B:$D,3,FALSE)),2))</f>
        <v>0</v>
      </c>
      <c r="H200" s="53"/>
      <c r="I200" s="66" cm="1">
        <f t="array" ref="I200">IF(AND(ISBLANK(B200),ISBLANK(C200),ISBLANK(E200)),0,IF(COUNT(FIND(PurlinsxGirthsxBracings,$C200))&gt;0,IF(B200=0,CONCATENATE(E200," ",C200),CONCATENATE(B200," - ",E200," ",C200)),IF(B200=0,IF(ISBLANK(C200),E200,CONCATENATE(D200,", ",F200,"kg/m, ",G200,"mm surface perimeter")),IF(AND(ISBLANK(C200),ISTEXT(E200)),CONCATENATE(B200," - ",E200),IF(AND(ISBLANK(C200),ISBLANK(E200)),B200,CONCATENATE(B200," - ",D200,", ",F200,"kg/m, ",G200,"mm surface perimeter"))))&amp;IF(ISBLANK(H200),"",H200)))</f>
        <v>0</v>
      </c>
      <c r="J200" s="53"/>
      <c r="L200" s="4" t="str" cm="1">
        <f t="array" ref="L200">IF(COUNT(FIND({0,1,2,3,4,5,6,7,8,9},B200))&gt;0,COUNT(FIND({0,1,2,3,4,5,6,7,8,9},B200))&gt;0,"")</f>
        <v/>
      </c>
      <c r="M200" s="4" t="str" cm="1">
        <f t="array" aca="1" ref="M200" ca="1">IFERROR(_xlfn.IFS(R200="Count",RANDBETWEEN(1,COUNTIF($R$11:$R$653,"Count")),R200="Length",RANDBETWEEN(1,COUNTIF($R$11:$R$653,"Length"))),"")</f>
        <v/>
      </c>
      <c r="N200" s="4" t="str">
        <f ca="1">IFERROR(_xlfn.RANK.EQ(M200,$M$11:$M$653)+COUNTIF($M$11:M200,M200)-1,"")</f>
        <v/>
      </c>
      <c r="O200" s="86" t="str">
        <f>IF(A200='DATA SHEET'!$L$36,C200,IFERROR(IF(AND(ISTEXT(I200),ISBLANK(C200)),"No details",VLOOKUP(C200,DimFolder,2,FALSE)),""))</f>
        <v/>
      </c>
      <c r="P200" s="4" t="str">
        <f t="shared" si="64"/>
        <v/>
      </c>
      <c r="Q200" s="58" t="str">
        <f t="shared" si="76"/>
        <v/>
      </c>
      <c r="R200" s="4" t="e" cm="1">
        <f t="array" ref="R200">IF(INDEX(Table2[],_xlfn.XMATCH($A200,Table2[Steel Member],0),_xlfn.XMATCH(R$2,Table2[#Headers],0))=0,"",INDEX(Table2[],_xlfn.XMATCH($A200,Table2[Steel Member],0),_xlfn.XMATCH(R$2,Table2[#Headers],0)))</f>
        <v>#N/A</v>
      </c>
      <c r="S200" s="4" t="e" cm="1">
        <f t="array" ref="S200">IF(INDEX(Table2[],_xlfn.XMATCH($A200,Table2[Steel Member],0),_xlfn.XMATCH(S$2,Table2[#Headers],0))=0,"",INDEX(Table2[],_xlfn.XMATCH($A200,Table2[Steel Member],0),_xlfn.XMATCH(S$2,Table2[#Headers],0)))</f>
        <v>#N/A</v>
      </c>
      <c r="T200" s="4" t="str">
        <f t="shared" si="67"/>
        <v/>
      </c>
      <c r="U200" s="4" t="e">
        <f ca="1">VLOOKUP(N200,'COLOR CODE'!$B:$D,2,FALSE)</f>
        <v>#N/A</v>
      </c>
      <c r="V200" s="4" t="str">
        <f t="shared" si="68"/>
        <v/>
      </c>
      <c r="W200" s="4" t="e" cm="1">
        <f t="array" ref="W200">IF(INDEX(Table2[],_xlfn.XMATCH($A200,Table2[Steel Member],0),_xlfn.XMATCH(W$2,Table2[#Headers],0))=0,"",INDEX(Table2[],_xlfn.XMATCH($A200,Table2[Steel Member],0),_xlfn.XMATCH(W$2,Table2[#Headers],0)))</f>
        <v>#N/A</v>
      </c>
      <c r="X200" s="4" t="e">
        <f t="shared" si="66"/>
        <v>#N/A</v>
      </c>
      <c r="Y200" s="4" t="e" cm="1">
        <f t="array" ref="Y200">IF(INDEX(Table2[],_xlfn.XMATCH($A200,Table2[Steel Member],0),_xlfn.XMATCH(Y$2,Table2[#Headers],0))=0,"",INDEX(Table2[],_xlfn.XMATCH($A200,Table2[Steel Member],0),_xlfn.XMATCH(Y$2,Table2[#Headers],0)))</f>
        <v>#N/A</v>
      </c>
      <c r="Z200" s="4" t="e" cm="1">
        <f t="array" ref="Z200">IF(INDEX(Table2[],_xlfn.XMATCH($A200,Table2[Steel Member],0),_xlfn.XMATCH(Z$2,Table2[#Headers],0))=0,"",INDEX(Table2[],_xlfn.XMATCH($A200,Table2[Steel Member],0),_xlfn.XMATCH(Z$2,Table2[#Headers],0)))</f>
        <v>#N/A</v>
      </c>
      <c r="AA200" s="4" t="e" cm="1">
        <f t="array" ref="AA200">IF(INDEX(Table2[],_xlfn.XMATCH($A200,Table2[Steel Member],0),_xlfn.XMATCH(AA$2,Table2[#Headers],0))=0,"",INDEX(Table2[],_xlfn.XMATCH($A200,Table2[Steel Member],0),_xlfn.XMATCH(AA$2,Table2[#Headers],0)))</f>
        <v>#N/A</v>
      </c>
      <c r="AB200" s="4" t="e" cm="1">
        <f t="array" ref="AB200">IF(INDEX(Table2[],_xlfn.XMATCH($A200,Table2[Steel Member],0),_xlfn.XMATCH(AB$2,Table2[#Headers],0))=0,"",INDEX(Table2[],_xlfn.XMATCH($A200,Table2[Steel Member],0),_xlfn.XMATCH(AB$2,Table2[#Headers],0)))</f>
        <v>#N/A</v>
      </c>
      <c r="AC200" s="4" t="str" cm="1">
        <f t="array" ref="AC200">IFERROR(INDEX(Table8[],_xlfn.XMATCH($O200,Table8[Dimension Name Category],0),_xlfn.XMATCH(AC$2&amp;IF($L200," w/ tag"," w/o tag"),Table8[#Headers],0)),"")</f>
        <v/>
      </c>
      <c r="AD200" s="59" t="str">
        <f t="shared" si="69"/>
        <v/>
      </c>
      <c r="AE200" s="4" t="str">
        <f t="shared" si="70"/>
        <v/>
      </c>
      <c r="AF200" s="4" t="str">
        <f t="shared" si="71"/>
        <v/>
      </c>
      <c r="AG200" s="4" t="str" cm="1">
        <f t="array" ref="AG200">IFERROR(INDEX(Table8[],_xlfn.XMATCH($O200,Table8[Dimension Name Category],0),_xlfn.XMATCH(AG$2&amp;IF($L200," w/ tag"," w/o tag"),Table8[#Headers],0)),"")</f>
        <v/>
      </c>
      <c r="AH200" s="59" t="str">
        <f t="shared" si="72"/>
        <v/>
      </c>
      <c r="AI200" s="4"/>
      <c r="AJ200" s="4" t="str">
        <f t="shared" si="73"/>
        <v/>
      </c>
      <c r="AK200" s="4" t="str">
        <f t="shared" si="74"/>
        <v/>
      </c>
      <c r="AL200" s="4" t="e" cm="1">
        <f t="array" ref="AL200">IF(INDEX(Table2[],_xlfn.XMATCH($A200,Table2[Steel Member],0),_xlfn.XMATCH(AL$2,Table2[#Headers],0))=0,"",INDEX(Table2[],_xlfn.XMATCH($A200,Table2[Steel Member],0),_xlfn.XMATCH(AL$2,Table2[#Headers],0)))</f>
        <v>#N/A</v>
      </c>
      <c r="AM200" s="4"/>
      <c r="AN200" s="4" t="str">
        <f t="shared" si="75"/>
        <v/>
      </c>
      <c r="AO200" s="4"/>
      <c r="AP200" s="4" t="e" cm="1">
        <f t="array" ref="AP200">IF(INDEX(Table2[],_xlfn.XMATCH($A200,Table2[Steel Member],0),_xlfn.XMATCH(AP$2,Table2[#Headers],0))=0,"",INDEX(Table2[],_xlfn.XMATCH($A200,Table2[Steel Member],0),_xlfn.XMATCH(AP$2,Table2[#Headers],0)))</f>
        <v>#N/A</v>
      </c>
      <c r="AQ200" s="4"/>
      <c r="AR200" s="4"/>
      <c r="AS200" s="4"/>
      <c r="AT200" s="4"/>
    </row>
    <row r="201" spans="1:46" x14ac:dyDescent="0.25">
      <c r="A201" s="52"/>
      <c r="B201" s="52"/>
      <c r="C201" s="52"/>
      <c r="D201" s="52"/>
      <c r="E201" s="52"/>
      <c r="F201" s="64" cm="1">
        <f t="array" ref="F201">IF(COUNT(FIND(PurlinsxGirthsxBracings,$C201))&gt;0,0,ROUNDUP(IF(D201=0,0,VLOOKUP(D201,'DATA SHEET'!$B:$D,2,FALSE)),2))</f>
        <v>0</v>
      </c>
      <c r="G201" s="64" cm="1">
        <f t="array" ref="G201">IF(COUNT(FIND(PurlinsxGirthsxBracings,$C201))&gt;0,0,ROUNDUP(IF(D201=0,0,VLOOKUP(D201,'DATA SHEET'!$B:$D,3,FALSE)),2))</f>
        <v>0</v>
      </c>
      <c r="H201" s="53"/>
      <c r="I201" s="66" cm="1">
        <f t="array" ref="I201">IF(AND(ISBLANK(B201),ISBLANK(C201),ISBLANK(E201)),0,IF(COUNT(FIND(PurlinsxGirthsxBracings,$C201))&gt;0,IF(B201=0,CONCATENATE(E201," ",C201),CONCATENATE(B201," - ",E201," ",C201)),IF(B201=0,IF(ISBLANK(C201),E201,CONCATENATE(D201,", ",F201,"kg/m, ",G201,"mm surface perimeter")),IF(AND(ISBLANK(C201),ISTEXT(E201)),CONCATENATE(B201," - ",E201),IF(AND(ISBLANK(C201),ISBLANK(E201)),B201,CONCATENATE(B201," - ",D201,", ",F201,"kg/m, ",G201,"mm surface perimeter"))))&amp;IF(ISBLANK(H201),"",H201)))</f>
        <v>0</v>
      </c>
      <c r="J201" s="53"/>
      <c r="L201" s="4" t="str" cm="1">
        <f t="array" ref="L201">IF(COUNT(FIND({0,1,2,3,4,5,6,7,8,9},B201))&gt;0,COUNT(FIND({0,1,2,3,4,5,6,7,8,9},B201))&gt;0,"")</f>
        <v/>
      </c>
      <c r="M201" s="4" t="str" cm="1">
        <f t="array" aca="1" ref="M201" ca="1">IFERROR(_xlfn.IFS(R201="Count",RANDBETWEEN(1,COUNTIF($R$11:$R$653,"Count")),R201="Length",RANDBETWEEN(1,COUNTIF($R$11:$R$653,"Length"))),"")</f>
        <v/>
      </c>
      <c r="N201" s="4" t="str">
        <f ca="1">IFERROR(_xlfn.RANK.EQ(M201,$M$11:$M$653)+COUNTIF($M$11:M201,M201)-1,"")</f>
        <v/>
      </c>
      <c r="O201" s="86" t="str">
        <f>IF(A201='DATA SHEET'!$L$36,C201,IFERROR(IF(AND(ISTEXT(I201),ISBLANK(C201)),"No details",VLOOKUP(C201,DimFolder,2,FALSE)),""))</f>
        <v/>
      </c>
      <c r="P201" s="4" t="str">
        <f t="shared" si="64"/>
        <v/>
      </c>
      <c r="Q201" s="58" t="str">
        <f t="shared" si="76"/>
        <v/>
      </c>
      <c r="R201" s="4" t="e" cm="1">
        <f t="array" ref="R201">IF(INDEX(Table2[],_xlfn.XMATCH($A201,Table2[Steel Member],0),_xlfn.XMATCH(R$2,Table2[#Headers],0))=0,"",INDEX(Table2[],_xlfn.XMATCH($A201,Table2[Steel Member],0),_xlfn.XMATCH(R$2,Table2[#Headers],0)))</f>
        <v>#N/A</v>
      </c>
      <c r="S201" s="4" t="e" cm="1">
        <f t="array" ref="S201">IF(INDEX(Table2[],_xlfn.XMATCH($A201,Table2[Steel Member],0),_xlfn.XMATCH(S$2,Table2[#Headers],0))=0,"",INDEX(Table2[],_xlfn.XMATCH($A201,Table2[Steel Member],0),_xlfn.XMATCH(S$2,Table2[#Headers],0)))</f>
        <v>#N/A</v>
      </c>
      <c r="T201" s="4" t="str">
        <f t="shared" si="67"/>
        <v/>
      </c>
      <c r="U201" s="4" t="e">
        <f ca="1">VLOOKUP(N201,'COLOR CODE'!$B:$D,2,FALSE)</f>
        <v>#N/A</v>
      </c>
      <c r="V201" s="4" t="str">
        <f t="shared" si="68"/>
        <v/>
      </c>
      <c r="W201" s="4" t="e" cm="1">
        <f t="array" ref="W201">IF(INDEX(Table2[],_xlfn.XMATCH($A201,Table2[Steel Member],0),_xlfn.XMATCH(W$2,Table2[#Headers],0))=0,"",INDEX(Table2[],_xlfn.XMATCH($A201,Table2[Steel Member],0),_xlfn.XMATCH(W$2,Table2[#Headers],0)))</f>
        <v>#N/A</v>
      </c>
      <c r="X201" s="4" t="e">
        <f t="shared" si="66"/>
        <v>#N/A</v>
      </c>
      <c r="Y201" s="4" t="e" cm="1">
        <f t="array" ref="Y201">IF(INDEX(Table2[],_xlfn.XMATCH($A201,Table2[Steel Member],0),_xlfn.XMATCH(Y$2,Table2[#Headers],0))=0,"",INDEX(Table2[],_xlfn.XMATCH($A201,Table2[Steel Member],0),_xlfn.XMATCH(Y$2,Table2[#Headers],0)))</f>
        <v>#N/A</v>
      </c>
      <c r="Z201" s="4" t="e" cm="1">
        <f t="array" ref="Z201">IF(INDEX(Table2[],_xlfn.XMATCH($A201,Table2[Steel Member],0),_xlfn.XMATCH(Z$2,Table2[#Headers],0))=0,"",INDEX(Table2[],_xlfn.XMATCH($A201,Table2[Steel Member],0),_xlfn.XMATCH(Z$2,Table2[#Headers],0)))</f>
        <v>#N/A</v>
      </c>
      <c r="AA201" s="4" t="e" cm="1">
        <f t="array" ref="AA201">IF(INDEX(Table2[],_xlfn.XMATCH($A201,Table2[Steel Member],0),_xlfn.XMATCH(AA$2,Table2[#Headers],0))=0,"",INDEX(Table2[],_xlfn.XMATCH($A201,Table2[Steel Member],0),_xlfn.XMATCH(AA$2,Table2[#Headers],0)))</f>
        <v>#N/A</v>
      </c>
      <c r="AB201" s="4" t="e" cm="1">
        <f t="array" ref="AB201">IF(INDEX(Table2[],_xlfn.XMATCH($A201,Table2[Steel Member],0),_xlfn.XMATCH(AB$2,Table2[#Headers],0))=0,"",INDEX(Table2[],_xlfn.XMATCH($A201,Table2[Steel Member],0),_xlfn.XMATCH(AB$2,Table2[#Headers],0)))</f>
        <v>#N/A</v>
      </c>
      <c r="AC201" s="4" t="str" cm="1">
        <f t="array" ref="AC201">IFERROR(INDEX(Table8[],_xlfn.XMATCH($O201,Table8[Dimension Name Category],0),_xlfn.XMATCH(AC$2&amp;IF($L201," w/ tag"," w/o tag"),Table8[#Headers],0)),"")</f>
        <v/>
      </c>
      <c r="AD201" s="59" t="str">
        <f t="shared" si="69"/>
        <v/>
      </c>
      <c r="AE201" s="4" t="str">
        <f t="shared" si="70"/>
        <v/>
      </c>
      <c r="AF201" s="4" t="str">
        <f t="shared" si="71"/>
        <v/>
      </c>
      <c r="AG201" s="4" t="str" cm="1">
        <f t="array" ref="AG201">IFERROR(INDEX(Table8[],_xlfn.XMATCH($O201,Table8[Dimension Name Category],0),_xlfn.XMATCH(AG$2&amp;IF($L201," w/ tag"," w/o tag"),Table8[#Headers],0)),"")</f>
        <v/>
      </c>
      <c r="AH201" s="59" t="str">
        <f t="shared" si="72"/>
        <v/>
      </c>
      <c r="AI201" s="4"/>
      <c r="AJ201" s="4" t="str">
        <f t="shared" si="73"/>
        <v/>
      </c>
      <c r="AK201" s="4" t="str">
        <f t="shared" si="74"/>
        <v/>
      </c>
      <c r="AL201" s="4" t="e" cm="1">
        <f t="array" ref="AL201">IF(INDEX(Table2[],_xlfn.XMATCH($A201,Table2[Steel Member],0),_xlfn.XMATCH(AL$2,Table2[#Headers],0))=0,"",INDEX(Table2[],_xlfn.XMATCH($A201,Table2[Steel Member],0),_xlfn.XMATCH(AL$2,Table2[#Headers],0)))</f>
        <v>#N/A</v>
      </c>
      <c r="AM201" s="4"/>
      <c r="AN201" s="4" t="str">
        <f t="shared" si="75"/>
        <v/>
      </c>
      <c r="AO201" s="4"/>
      <c r="AP201" s="4" t="e" cm="1">
        <f t="array" ref="AP201">IF(INDEX(Table2[],_xlfn.XMATCH($A201,Table2[Steel Member],0),_xlfn.XMATCH(AP$2,Table2[#Headers],0))=0,"",INDEX(Table2[],_xlfn.XMATCH($A201,Table2[Steel Member],0),_xlfn.XMATCH(AP$2,Table2[#Headers],0)))</f>
        <v>#N/A</v>
      </c>
      <c r="AQ201" s="4"/>
      <c r="AR201" s="4"/>
      <c r="AS201" s="4"/>
      <c r="AT201" s="4"/>
    </row>
    <row r="202" spans="1:46" x14ac:dyDescent="0.25">
      <c r="A202" s="52"/>
      <c r="B202" s="52"/>
      <c r="C202" s="52"/>
      <c r="D202" s="52"/>
      <c r="E202" s="52"/>
      <c r="F202" s="64" cm="1">
        <f t="array" ref="F202">IF(COUNT(FIND(PurlinsxGirthsxBracings,$C202))&gt;0,0,ROUNDUP(IF(D202=0,0,VLOOKUP(D202,'DATA SHEET'!$B:$D,2,FALSE)),2))</f>
        <v>0</v>
      </c>
      <c r="G202" s="64" cm="1">
        <f t="array" ref="G202">IF(COUNT(FIND(PurlinsxGirthsxBracings,$C202))&gt;0,0,ROUNDUP(IF(D202=0,0,VLOOKUP(D202,'DATA SHEET'!$B:$D,3,FALSE)),2))</f>
        <v>0</v>
      </c>
      <c r="H202" s="53"/>
      <c r="I202" s="66" cm="1">
        <f t="array" ref="I202">IF(AND(ISBLANK(B202),ISBLANK(C202),ISBLANK(E202)),0,IF(COUNT(FIND(PurlinsxGirthsxBracings,$C202))&gt;0,IF(B202=0,CONCATENATE(E202," ",C202),CONCATENATE(B202," - ",E202," ",C202)),IF(B202=0,IF(ISBLANK(C202),E202,CONCATENATE(D202,", ",F202,"kg/m, ",G202,"mm surface perimeter")),IF(AND(ISBLANK(C202),ISTEXT(E202)),CONCATENATE(B202," - ",E202),IF(AND(ISBLANK(C202),ISBLANK(E202)),B202,CONCATENATE(B202," - ",D202,", ",F202,"kg/m, ",G202,"mm surface perimeter"))))&amp;IF(ISBLANK(H202),"",H202)))</f>
        <v>0</v>
      </c>
      <c r="J202" s="53"/>
      <c r="L202" s="4" t="str" cm="1">
        <f t="array" ref="L202">IF(COUNT(FIND({0,1,2,3,4,5,6,7,8,9},B202))&gt;0,COUNT(FIND({0,1,2,3,4,5,6,7,8,9},B202))&gt;0,"")</f>
        <v/>
      </c>
      <c r="M202" s="4" t="str" cm="1">
        <f t="array" aca="1" ref="M202" ca="1">IFERROR(_xlfn.IFS(R202="Count",RANDBETWEEN(1,COUNTIF($R$11:$R$653,"Count")),R202="Length",RANDBETWEEN(1,COUNTIF($R$11:$R$653,"Length"))),"")</f>
        <v/>
      </c>
      <c r="N202" s="4" t="str">
        <f ca="1">IFERROR(_xlfn.RANK.EQ(M202,$M$11:$M$653)+COUNTIF($M$11:M202,M202)-1,"")</f>
        <v/>
      </c>
      <c r="O202" s="86" t="str">
        <f>IF(A202='DATA SHEET'!$L$36,C202,IFERROR(IF(AND(ISTEXT(I202),ISBLANK(C202)),"No details",VLOOKUP(C202,DimFolder,2,FALSE)),""))</f>
        <v/>
      </c>
      <c r="P202" s="4" t="str">
        <f t="shared" si="64"/>
        <v/>
      </c>
      <c r="Q202" s="58" t="str">
        <f t="shared" si="76"/>
        <v/>
      </c>
      <c r="R202" s="4" t="e" cm="1">
        <f t="array" ref="R202">IF(INDEX(Table2[],_xlfn.XMATCH($A202,Table2[Steel Member],0),_xlfn.XMATCH(R$2,Table2[#Headers],0))=0,"",INDEX(Table2[],_xlfn.XMATCH($A202,Table2[Steel Member],0),_xlfn.XMATCH(R$2,Table2[#Headers],0)))</f>
        <v>#N/A</v>
      </c>
      <c r="S202" s="4" t="e" cm="1">
        <f t="array" ref="S202">IF(INDEX(Table2[],_xlfn.XMATCH($A202,Table2[Steel Member],0),_xlfn.XMATCH(S$2,Table2[#Headers],0))=0,"",INDEX(Table2[],_xlfn.XMATCH($A202,Table2[Steel Member],0),_xlfn.XMATCH(S$2,Table2[#Headers],0)))</f>
        <v>#N/A</v>
      </c>
      <c r="T202" s="4" t="str">
        <f t="shared" si="67"/>
        <v/>
      </c>
      <c r="U202" s="4" t="e">
        <f ca="1">VLOOKUP(N202,'COLOR CODE'!$B:$D,2,FALSE)</f>
        <v>#N/A</v>
      </c>
      <c r="V202" s="4" t="str">
        <f t="shared" si="68"/>
        <v/>
      </c>
      <c r="W202" s="4" t="e" cm="1">
        <f t="array" ref="W202">IF(INDEX(Table2[],_xlfn.XMATCH($A202,Table2[Steel Member],0),_xlfn.XMATCH(W$2,Table2[#Headers],0))=0,"",INDEX(Table2[],_xlfn.XMATCH($A202,Table2[Steel Member],0),_xlfn.XMATCH(W$2,Table2[#Headers],0)))</f>
        <v>#N/A</v>
      </c>
      <c r="X202" s="4" t="e">
        <f t="shared" si="66"/>
        <v>#N/A</v>
      </c>
      <c r="Y202" s="4" t="e" cm="1">
        <f t="array" ref="Y202">IF(INDEX(Table2[],_xlfn.XMATCH($A202,Table2[Steel Member],0),_xlfn.XMATCH(Y$2,Table2[#Headers],0))=0,"",INDEX(Table2[],_xlfn.XMATCH($A202,Table2[Steel Member],0),_xlfn.XMATCH(Y$2,Table2[#Headers],0)))</f>
        <v>#N/A</v>
      </c>
      <c r="Z202" s="4" t="e" cm="1">
        <f t="array" ref="Z202">IF(INDEX(Table2[],_xlfn.XMATCH($A202,Table2[Steel Member],0),_xlfn.XMATCH(Z$2,Table2[#Headers],0))=0,"",INDEX(Table2[],_xlfn.XMATCH($A202,Table2[Steel Member],0),_xlfn.XMATCH(Z$2,Table2[#Headers],0)))</f>
        <v>#N/A</v>
      </c>
      <c r="AA202" s="4" t="e" cm="1">
        <f t="array" ref="AA202">IF(INDEX(Table2[],_xlfn.XMATCH($A202,Table2[Steel Member],0),_xlfn.XMATCH(AA$2,Table2[#Headers],0))=0,"",INDEX(Table2[],_xlfn.XMATCH($A202,Table2[Steel Member],0),_xlfn.XMATCH(AA$2,Table2[#Headers],0)))</f>
        <v>#N/A</v>
      </c>
      <c r="AB202" s="4" t="e" cm="1">
        <f t="array" ref="AB202">IF(INDEX(Table2[],_xlfn.XMATCH($A202,Table2[Steel Member],0),_xlfn.XMATCH(AB$2,Table2[#Headers],0))=0,"",INDEX(Table2[],_xlfn.XMATCH($A202,Table2[Steel Member],0),_xlfn.XMATCH(AB$2,Table2[#Headers],0)))</f>
        <v>#N/A</v>
      </c>
      <c r="AC202" s="4" t="str" cm="1">
        <f t="array" ref="AC202">IFERROR(INDEX(Table8[],_xlfn.XMATCH($O202,Table8[Dimension Name Category],0),_xlfn.XMATCH(AC$2&amp;IF($L202," w/ tag"," w/o tag"),Table8[#Headers],0)),"")</f>
        <v/>
      </c>
      <c r="AD202" s="59" t="str">
        <f t="shared" si="69"/>
        <v/>
      </c>
      <c r="AE202" s="4" t="str">
        <f t="shared" si="70"/>
        <v/>
      </c>
      <c r="AF202" s="4" t="str">
        <f t="shared" si="71"/>
        <v/>
      </c>
      <c r="AG202" s="4" t="str" cm="1">
        <f t="array" ref="AG202">IFERROR(INDEX(Table8[],_xlfn.XMATCH($O202,Table8[Dimension Name Category],0),_xlfn.XMATCH(AG$2&amp;IF($L202," w/ tag"," w/o tag"),Table8[#Headers],0)),"")</f>
        <v/>
      </c>
      <c r="AH202" s="59" t="str">
        <f t="shared" si="72"/>
        <v/>
      </c>
      <c r="AI202" s="4"/>
      <c r="AJ202" s="4" t="str">
        <f t="shared" si="73"/>
        <v/>
      </c>
      <c r="AK202" s="4" t="str">
        <f t="shared" si="74"/>
        <v/>
      </c>
      <c r="AL202" s="4" t="e" cm="1">
        <f t="array" ref="AL202">IF(INDEX(Table2[],_xlfn.XMATCH($A202,Table2[Steel Member],0),_xlfn.XMATCH(AL$2,Table2[#Headers],0))=0,"",INDEX(Table2[],_xlfn.XMATCH($A202,Table2[Steel Member],0),_xlfn.XMATCH(AL$2,Table2[#Headers],0)))</f>
        <v>#N/A</v>
      </c>
      <c r="AM202" s="4"/>
      <c r="AN202" s="4" t="str">
        <f t="shared" si="75"/>
        <v/>
      </c>
      <c r="AO202" s="4"/>
      <c r="AP202" s="4" t="e" cm="1">
        <f t="array" ref="AP202">IF(INDEX(Table2[],_xlfn.XMATCH($A202,Table2[Steel Member],0),_xlfn.XMATCH(AP$2,Table2[#Headers],0))=0,"",INDEX(Table2[],_xlfn.XMATCH($A202,Table2[Steel Member],0),_xlfn.XMATCH(AP$2,Table2[#Headers],0)))</f>
        <v>#N/A</v>
      </c>
      <c r="AQ202" s="4"/>
      <c r="AR202" s="4"/>
      <c r="AS202" s="4"/>
      <c r="AT202" s="4"/>
    </row>
    <row r="203" spans="1:46" x14ac:dyDescent="0.25">
      <c r="A203" s="52"/>
      <c r="B203" s="52"/>
      <c r="C203" s="52"/>
      <c r="D203" s="52"/>
      <c r="E203" s="52"/>
      <c r="F203" s="64" cm="1">
        <f t="array" ref="F203">IF(COUNT(FIND(PurlinsxGirthsxBracings,$C203))&gt;0,0,ROUNDUP(IF(D203=0,0,VLOOKUP(D203,'DATA SHEET'!$B:$D,2,FALSE)),2))</f>
        <v>0</v>
      </c>
      <c r="G203" s="64" cm="1">
        <f t="array" ref="G203">IF(COUNT(FIND(PurlinsxGirthsxBracings,$C203))&gt;0,0,ROUNDUP(IF(D203=0,0,VLOOKUP(D203,'DATA SHEET'!$B:$D,3,FALSE)),2))</f>
        <v>0</v>
      </c>
      <c r="H203" s="53"/>
      <c r="I203" s="66" cm="1">
        <f t="array" ref="I203">IF(AND(ISBLANK(B203),ISBLANK(C203),ISBLANK(E203)),0,IF(COUNT(FIND(PurlinsxGirthsxBracings,$C203))&gt;0,IF(B203=0,CONCATENATE(E203," ",C203),CONCATENATE(B203," - ",E203," ",C203)),IF(B203=0,IF(ISBLANK(C203),E203,CONCATENATE(D203,", ",F203,"kg/m, ",G203,"mm surface perimeter")),IF(AND(ISBLANK(C203),ISTEXT(E203)),CONCATENATE(B203," - ",E203),IF(AND(ISBLANK(C203),ISBLANK(E203)),B203,CONCATENATE(B203," - ",D203,", ",F203,"kg/m, ",G203,"mm surface perimeter"))))&amp;IF(ISBLANK(H203),"",H203)))</f>
        <v>0</v>
      </c>
      <c r="J203" s="53"/>
      <c r="L203" s="4" t="str" cm="1">
        <f t="array" ref="L203">IF(COUNT(FIND({0,1,2,3,4,5,6,7,8,9},B203))&gt;0,COUNT(FIND({0,1,2,3,4,5,6,7,8,9},B203))&gt;0,"")</f>
        <v/>
      </c>
      <c r="M203" s="4" t="str" cm="1">
        <f t="array" aca="1" ref="M203" ca="1">IFERROR(_xlfn.IFS(R203="Count",RANDBETWEEN(1,COUNTIF($R$11:$R$653,"Count")),R203="Length",RANDBETWEEN(1,COUNTIF($R$11:$R$653,"Length"))),"")</f>
        <v/>
      </c>
      <c r="N203" s="4" t="str">
        <f ca="1">IFERROR(_xlfn.RANK.EQ(M203,$M$11:$M$653)+COUNTIF($M$11:M203,M203)-1,"")</f>
        <v/>
      </c>
      <c r="O203" s="86" t="str">
        <f>IF(A203='DATA SHEET'!$L$36,C203,IFERROR(IF(AND(ISTEXT(I203),ISBLANK(C203)),"No details",VLOOKUP(C203,DimFolder,2,FALSE)),""))</f>
        <v/>
      </c>
      <c r="P203" s="4" t="str">
        <f t="shared" ref="P203:P266" si="77">IF(AND(ISBLANK(B203),ISBLANK(C203)),"",CONCATENATE("Structural\Structural Steel\",A203,"\",O203))</f>
        <v/>
      </c>
      <c r="Q203" s="58" t="str">
        <f t="shared" si="76"/>
        <v/>
      </c>
      <c r="R203" s="4" t="e" cm="1">
        <f t="array" ref="R203">IF(INDEX(Table2[],_xlfn.XMATCH($A203,Table2[Steel Member],0),_xlfn.XMATCH(R$2,Table2[#Headers],0))=0,"",INDEX(Table2[],_xlfn.XMATCH($A203,Table2[Steel Member],0),_xlfn.XMATCH(R$2,Table2[#Headers],0)))</f>
        <v>#N/A</v>
      </c>
      <c r="S203" s="4" t="e" cm="1">
        <f t="array" ref="S203">IF(INDEX(Table2[],_xlfn.XMATCH($A203,Table2[Steel Member],0),_xlfn.XMATCH(S$2,Table2[#Headers],0))=0,"",INDEX(Table2[],_xlfn.XMATCH($A203,Table2[Steel Member],0),_xlfn.XMATCH(S$2,Table2[#Headers],0)))</f>
        <v>#N/A</v>
      </c>
      <c r="T203" s="4" t="str">
        <f t="shared" si="67"/>
        <v/>
      </c>
      <c r="U203" s="4" t="e">
        <f ca="1">VLOOKUP(N203,'COLOR CODE'!$B:$D,2,FALSE)</f>
        <v>#N/A</v>
      </c>
      <c r="V203" s="4" t="str">
        <f t="shared" si="68"/>
        <v/>
      </c>
      <c r="W203" s="4" t="e" cm="1">
        <f t="array" ref="W203">IF(INDEX(Table2[],_xlfn.XMATCH($A203,Table2[Steel Member],0),_xlfn.XMATCH(W$2,Table2[#Headers],0))=0,"",INDEX(Table2[],_xlfn.XMATCH($A203,Table2[Steel Member],0),_xlfn.XMATCH(W$2,Table2[#Headers],0)))</f>
        <v>#N/A</v>
      </c>
      <c r="X203" s="4" t="e">
        <f t="shared" si="66"/>
        <v>#N/A</v>
      </c>
      <c r="Y203" s="4" t="e" cm="1">
        <f t="array" ref="Y203">IF(INDEX(Table2[],_xlfn.XMATCH($A203,Table2[Steel Member],0),_xlfn.XMATCH(Y$2,Table2[#Headers],0))=0,"",INDEX(Table2[],_xlfn.XMATCH($A203,Table2[Steel Member],0),_xlfn.XMATCH(Y$2,Table2[#Headers],0)))</f>
        <v>#N/A</v>
      </c>
      <c r="Z203" s="4" t="e" cm="1">
        <f t="array" ref="Z203">IF(INDEX(Table2[],_xlfn.XMATCH($A203,Table2[Steel Member],0),_xlfn.XMATCH(Z$2,Table2[#Headers],0))=0,"",INDEX(Table2[],_xlfn.XMATCH($A203,Table2[Steel Member],0),_xlfn.XMATCH(Z$2,Table2[#Headers],0)))</f>
        <v>#N/A</v>
      </c>
      <c r="AA203" s="4" t="e" cm="1">
        <f t="array" ref="AA203">IF(INDEX(Table2[],_xlfn.XMATCH($A203,Table2[Steel Member],0),_xlfn.XMATCH(AA$2,Table2[#Headers],0))=0,"",INDEX(Table2[],_xlfn.XMATCH($A203,Table2[Steel Member],0),_xlfn.XMATCH(AA$2,Table2[#Headers],0)))</f>
        <v>#N/A</v>
      </c>
      <c r="AB203" s="4" t="e" cm="1">
        <f t="array" ref="AB203">IF(INDEX(Table2[],_xlfn.XMATCH($A203,Table2[Steel Member],0),_xlfn.XMATCH(AB$2,Table2[#Headers],0))=0,"",INDEX(Table2[],_xlfn.XMATCH($A203,Table2[Steel Member],0),_xlfn.XMATCH(AB$2,Table2[#Headers],0)))</f>
        <v>#N/A</v>
      </c>
      <c r="AC203" s="4" t="str" cm="1">
        <f t="array" ref="AC203">IFERROR(INDEX(Table8[],_xlfn.XMATCH($O203,Table8[Dimension Name Category],0),_xlfn.XMATCH(AC$2&amp;IF($L203," w/ tag"," w/o tag"),Table8[#Headers],0)),"")</f>
        <v/>
      </c>
      <c r="AD203" s="59" t="str">
        <f t="shared" si="69"/>
        <v/>
      </c>
      <c r="AE203" s="4" t="str">
        <f t="shared" si="70"/>
        <v/>
      </c>
      <c r="AF203" s="4" t="str">
        <f t="shared" si="71"/>
        <v/>
      </c>
      <c r="AG203" s="4" t="str" cm="1">
        <f t="array" ref="AG203">IFERROR(INDEX(Table8[],_xlfn.XMATCH($O203,Table8[Dimension Name Category],0),_xlfn.XMATCH(AG$2&amp;IF($L203," w/ tag"," w/o tag"),Table8[#Headers],0)),"")</f>
        <v/>
      </c>
      <c r="AH203" s="59" t="str">
        <f t="shared" si="72"/>
        <v/>
      </c>
      <c r="AI203" s="4"/>
      <c r="AJ203" s="4" t="str">
        <f t="shared" si="73"/>
        <v/>
      </c>
      <c r="AK203" s="4" t="str">
        <f t="shared" si="74"/>
        <v/>
      </c>
      <c r="AL203" s="4" t="e" cm="1">
        <f t="array" ref="AL203">IF(INDEX(Table2[],_xlfn.XMATCH($A203,Table2[Steel Member],0),_xlfn.XMATCH(AL$2,Table2[#Headers],0))=0,"",INDEX(Table2[],_xlfn.XMATCH($A203,Table2[Steel Member],0),_xlfn.XMATCH(AL$2,Table2[#Headers],0)))</f>
        <v>#N/A</v>
      </c>
      <c r="AM203" s="4"/>
      <c r="AN203" s="4" t="str">
        <f t="shared" si="75"/>
        <v/>
      </c>
      <c r="AO203" s="4"/>
      <c r="AP203" s="4" t="e" cm="1">
        <f t="array" ref="AP203">IF(INDEX(Table2[],_xlfn.XMATCH($A203,Table2[Steel Member],0),_xlfn.XMATCH(AP$2,Table2[#Headers],0))=0,"",INDEX(Table2[],_xlfn.XMATCH($A203,Table2[Steel Member],0),_xlfn.XMATCH(AP$2,Table2[#Headers],0)))</f>
        <v>#N/A</v>
      </c>
      <c r="AQ203" s="4"/>
      <c r="AR203" s="4"/>
      <c r="AS203" s="4"/>
      <c r="AT203" s="4"/>
    </row>
    <row r="204" spans="1:46" x14ac:dyDescent="0.25">
      <c r="A204" s="52"/>
      <c r="B204" s="52"/>
      <c r="C204" s="52"/>
      <c r="D204" s="52"/>
      <c r="E204" s="52"/>
      <c r="F204" s="64" cm="1">
        <f t="array" ref="F204">IF(COUNT(FIND(PurlinsxGirthsxBracings,$C204))&gt;0,0,ROUNDUP(IF(D204=0,0,VLOOKUP(D204,'DATA SHEET'!$B:$D,2,FALSE)),2))</f>
        <v>0</v>
      </c>
      <c r="G204" s="64" cm="1">
        <f t="array" ref="G204">IF(COUNT(FIND(PurlinsxGirthsxBracings,$C204))&gt;0,0,ROUNDUP(IF(D204=0,0,VLOOKUP(D204,'DATA SHEET'!$B:$D,3,FALSE)),2))</f>
        <v>0</v>
      </c>
      <c r="H204" s="53"/>
      <c r="I204" s="66" cm="1">
        <f t="array" ref="I204">IF(AND(ISBLANK(B204),ISBLANK(C204),ISBLANK(E204)),0,IF(COUNT(FIND(PurlinsxGirthsxBracings,$C204))&gt;0,IF(B204=0,CONCATENATE(E204," ",C204),CONCATENATE(B204," - ",E204," ",C204)),IF(B204=0,IF(ISBLANK(C204),E204,CONCATENATE(D204,", ",F204,"kg/m, ",G204,"mm surface perimeter")),IF(AND(ISBLANK(C204),ISTEXT(E204)),CONCATENATE(B204," - ",E204),IF(AND(ISBLANK(C204),ISBLANK(E204)),B204,CONCATENATE(B204," - ",D204,", ",F204,"kg/m, ",G204,"mm surface perimeter"))))&amp;IF(ISBLANK(H204),"",H204)))</f>
        <v>0</v>
      </c>
      <c r="J204" s="53"/>
      <c r="L204" s="4" t="str" cm="1">
        <f t="array" ref="L204">IF(COUNT(FIND({0,1,2,3,4,5,6,7,8,9},B204))&gt;0,COUNT(FIND({0,1,2,3,4,5,6,7,8,9},B204))&gt;0,"")</f>
        <v/>
      </c>
      <c r="M204" s="4" t="str" cm="1">
        <f t="array" aca="1" ref="M204" ca="1">IFERROR(_xlfn.IFS(R204="Count",RANDBETWEEN(1,COUNTIF($R$11:$R$653,"Count")),R204="Length",RANDBETWEEN(1,COUNTIF($R$11:$R$653,"Length"))),"")</f>
        <v/>
      </c>
      <c r="N204" s="4" t="str">
        <f ca="1">IFERROR(_xlfn.RANK.EQ(M204,$M$11:$M$653)+COUNTIF($M$11:M204,M204)-1,"")</f>
        <v/>
      </c>
      <c r="O204" s="86" t="str">
        <f>IF(A204='DATA SHEET'!$L$36,C204,IFERROR(IF(AND(ISTEXT(I204),ISBLANK(C204)),"No details",VLOOKUP(C204,DimFolder,2,FALSE)),""))</f>
        <v/>
      </c>
      <c r="P204" s="4" t="str">
        <f t="shared" si="77"/>
        <v/>
      </c>
      <c r="Q204" s="58" t="str">
        <f t="shared" si="76"/>
        <v/>
      </c>
      <c r="R204" s="4" t="e" cm="1">
        <f t="array" ref="R204">IF(INDEX(Table2[],_xlfn.XMATCH($A204,Table2[Steel Member],0),_xlfn.XMATCH(R$2,Table2[#Headers],0))=0,"",INDEX(Table2[],_xlfn.XMATCH($A204,Table2[Steel Member],0),_xlfn.XMATCH(R$2,Table2[#Headers],0)))</f>
        <v>#N/A</v>
      </c>
      <c r="S204" s="4" t="e" cm="1">
        <f t="array" ref="S204">IF(INDEX(Table2[],_xlfn.XMATCH($A204,Table2[Steel Member],0),_xlfn.XMATCH(S$2,Table2[#Headers],0))=0,"",INDEX(Table2[],_xlfn.XMATCH($A204,Table2[Steel Member],0),_xlfn.XMATCH(S$2,Table2[#Headers],0)))</f>
        <v>#N/A</v>
      </c>
      <c r="T204" s="4" t="str">
        <f t="shared" si="67"/>
        <v/>
      </c>
      <c r="U204" s="4" t="e">
        <f ca="1">VLOOKUP(N204,'COLOR CODE'!$B:$D,2,FALSE)</f>
        <v>#N/A</v>
      </c>
      <c r="V204" s="4" t="str">
        <f t="shared" si="68"/>
        <v/>
      </c>
      <c r="W204" s="4" t="e" cm="1">
        <f t="array" ref="W204">IF(INDEX(Table2[],_xlfn.XMATCH($A204,Table2[Steel Member],0),_xlfn.XMATCH(W$2,Table2[#Headers],0))=0,"",INDEX(Table2[],_xlfn.XMATCH($A204,Table2[Steel Member],0),_xlfn.XMATCH(W$2,Table2[#Headers],0)))</f>
        <v>#N/A</v>
      </c>
      <c r="X204" s="4" t="e">
        <f t="shared" si="66"/>
        <v>#N/A</v>
      </c>
      <c r="Y204" s="4" t="e" cm="1">
        <f t="array" ref="Y204">IF(INDEX(Table2[],_xlfn.XMATCH($A204,Table2[Steel Member],0),_xlfn.XMATCH(Y$2,Table2[#Headers],0))=0,"",INDEX(Table2[],_xlfn.XMATCH($A204,Table2[Steel Member],0),_xlfn.XMATCH(Y$2,Table2[#Headers],0)))</f>
        <v>#N/A</v>
      </c>
      <c r="Z204" s="4" t="e" cm="1">
        <f t="array" ref="Z204">IF(INDEX(Table2[],_xlfn.XMATCH($A204,Table2[Steel Member],0),_xlfn.XMATCH(Z$2,Table2[#Headers],0))=0,"",INDEX(Table2[],_xlfn.XMATCH($A204,Table2[Steel Member],0),_xlfn.XMATCH(Z$2,Table2[#Headers],0)))</f>
        <v>#N/A</v>
      </c>
      <c r="AA204" s="4" t="e" cm="1">
        <f t="array" ref="AA204">IF(INDEX(Table2[],_xlfn.XMATCH($A204,Table2[Steel Member],0),_xlfn.XMATCH(AA$2,Table2[#Headers],0))=0,"",INDEX(Table2[],_xlfn.XMATCH($A204,Table2[Steel Member],0),_xlfn.XMATCH(AA$2,Table2[#Headers],0)))</f>
        <v>#N/A</v>
      </c>
      <c r="AB204" s="4" t="e" cm="1">
        <f t="array" ref="AB204">IF(INDEX(Table2[],_xlfn.XMATCH($A204,Table2[Steel Member],0),_xlfn.XMATCH(AB$2,Table2[#Headers],0))=0,"",INDEX(Table2[],_xlfn.XMATCH($A204,Table2[Steel Member],0),_xlfn.XMATCH(AB$2,Table2[#Headers],0)))</f>
        <v>#N/A</v>
      </c>
      <c r="AC204" s="4" t="str" cm="1">
        <f t="array" ref="AC204">IFERROR(INDEX(Table8[],_xlfn.XMATCH($O204,Table8[Dimension Name Category],0),_xlfn.XMATCH(AC$2&amp;IF($L204," w/ tag"," w/o tag"),Table8[#Headers],0)),"")</f>
        <v/>
      </c>
      <c r="AD204" s="59" t="str">
        <f t="shared" si="69"/>
        <v/>
      </c>
      <c r="AE204" s="4" t="str">
        <f t="shared" si="70"/>
        <v/>
      </c>
      <c r="AF204" s="4" t="str">
        <f t="shared" si="71"/>
        <v/>
      </c>
      <c r="AG204" s="4" t="str" cm="1">
        <f t="array" ref="AG204">IFERROR(INDEX(Table8[],_xlfn.XMATCH($O204,Table8[Dimension Name Category],0),_xlfn.XMATCH(AG$2&amp;IF($L204," w/ tag"," w/o tag"),Table8[#Headers],0)),"")</f>
        <v/>
      </c>
      <c r="AH204" s="59" t="str">
        <f t="shared" si="72"/>
        <v/>
      </c>
      <c r="AI204" s="4"/>
      <c r="AJ204" s="4" t="str">
        <f t="shared" si="73"/>
        <v/>
      </c>
      <c r="AK204" s="4" t="str">
        <f t="shared" si="74"/>
        <v/>
      </c>
      <c r="AL204" s="4" t="e" cm="1">
        <f t="array" ref="AL204">IF(INDEX(Table2[],_xlfn.XMATCH($A204,Table2[Steel Member],0),_xlfn.XMATCH(AL$2,Table2[#Headers],0))=0,"",INDEX(Table2[],_xlfn.XMATCH($A204,Table2[Steel Member],0),_xlfn.XMATCH(AL$2,Table2[#Headers],0)))</f>
        <v>#N/A</v>
      </c>
      <c r="AM204" s="4"/>
      <c r="AN204" s="4" t="str">
        <f t="shared" si="75"/>
        <v/>
      </c>
      <c r="AO204" s="4"/>
      <c r="AP204" s="4" t="e" cm="1">
        <f t="array" ref="AP204">IF(INDEX(Table2[],_xlfn.XMATCH($A204,Table2[Steel Member],0),_xlfn.XMATCH(AP$2,Table2[#Headers],0))=0,"",INDEX(Table2[],_xlfn.XMATCH($A204,Table2[Steel Member],0),_xlfn.XMATCH(AP$2,Table2[#Headers],0)))</f>
        <v>#N/A</v>
      </c>
      <c r="AQ204" s="4"/>
      <c r="AR204" s="4"/>
      <c r="AS204" s="4"/>
      <c r="AT204" s="4"/>
    </row>
    <row r="205" spans="1:46" x14ac:dyDescent="0.25">
      <c r="A205" s="52"/>
      <c r="B205" s="52"/>
      <c r="C205" s="52"/>
      <c r="D205" s="52"/>
      <c r="E205" s="52"/>
      <c r="F205" s="64" cm="1">
        <f t="array" ref="F205">IF(COUNT(FIND(PurlinsxGirthsxBracings,$C205))&gt;0,0,ROUNDUP(IF(D205=0,0,VLOOKUP(D205,'DATA SHEET'!$B:$D,2,FALSE)),2))</f>
        <v>0</v>
      </c>
      <c r="G205" s="64" cm="1">
        <f t="array" ref="G205">IF(COUNT(FIND(PurlinsxGirthsxBracings,$C205))&gt;0,0,ROUNDUP(IF(D205=0,0,VLOOKUP(D205,'DATA SHEET'!$B:$D,3,FALSE)),2))</f>
        <v>0</v>
      </c>
      <c r="H205" s="53"/>
      <c r="I205" s="66" cm="1">
        <f t="array" ref="I205">IF(AND(ISBLANK(B205),ISBLANK(C205),ISBLANK(E205)),0,IF(COUNT(FIND(PurlinsxGirthsxBracings,$C205))&gt;0,IF(B205=0,CONCATENATE(E205," ",C205),CONCATENATE(B205," - ",E205," ",C205)),IF(B205=0,IF(ISBLANK(C205),E205,CONCATENATE(D205,", ",F205,"kg/m, ",G205,"mm surface perimeter")),IF(AND(ISBLANK(C205),ISTEXT(E205)),CONCATENATE(B205," - ",E205),IF(AND(ISBLANK(C205),ISBLANK(E205)),B205,CONCATENATE(B205," - ",D205,", ",F205,"kg/m, ",G205,"mm surface perimeter"))))&amp;IF(ISBLANK(H205),"",H205)))</f>
        <v>0</v>
      </c>
      <c r="J205" s="53"/>
      <c r="L205" s="4" t="str" cm="1">
        <f t="array" ref="L205">IF(COUNT(FIND({0,1,2,3,4,5,6,7,8,9},B205))&gt;0,COUNT(FIND({0,1,2,3,4,5,6,7,8,9},B205))&gt;0,"")</f>
        <v/>
      </c>
      <c r="M205" s="4" t="str" cm="1">
        <f t="array" aca="1" ref="M205" ca="1">IFERROR(_xlfn.IFS(R205="Count",RANDBETWEEN(1,COUNTIF($R$11:$R$653,"Count")),R205="Length",RANDBETWEEN(1,COUNTIF($R$11:$R$653,"Length"))),"")</f>
        <v/>
      </c>
      <c r="N205" s="4" t="str">
        <f ca="1">IFERROR(_xlfn.RANK.EQ(M205,$M$11:$M$653)+COUNTIF($M$11:M205,M205)-1,"")</f>
        <v/>
      </c>
      <c r="O205" s="86" t="str">
        <f>IF(A205='DATA SHEET'!$L$36,C205,IFERROR(IF(AND(ISTEXT(I205),ISBLANK(C205)),"No details",VLOOKUP(C205,DimFolder,2,FALSE)),""))</f>
        <v/>
      </c>
      <c r="P205" s="4" t="str">
        <f t="shared" si="77"/>
        <v/>
      </c>
      <c r="Q205" s="58" t="str">
        <f t="shared" si="76"/>
        <v/>
      </c>
      <c r="R205" s="4" t="e" cm="1">
        <f t="array" ref="R205">IF(INDEX(Table2[],_xlfn.XMATCH($A205,Table2[Steel Member],0),_xlfn.XMATCH(R$2,Table2[#Headers],0))=0,"",INDEX(Table2[],_xlfn.XMATCH($A205,Table2[Steel Member],0),_xlfn.XMATCH(R$2,Table2[#Headers],0)))</f>
        <v>#N/A</v>
      </c>
      <c r="S205" s="4" t="e" cm="1">
        <f t="array" ref="S205">IF(INDEX(Table2[],_xlfn.XMATCH($A205,Table2[Steel Member],0),_xlfn.XMATCH(S$2,Table2[#Headers],0))=0,"",INDEX(Table2[],_xlfn.XMATCH($A205,Table2[Steel Member],0),_xlfn.XMATCH(S$2,Table2[#Headers],0)))</f>
        <v>#N/A</v>
      </c>
      <c r="T205" s="4" t="str">
        <f t="shared" si="67"/>
        <v/>
      </c>
      <c r="U205" s="4" t="e">
        <f ca="1">VLOOKUP(N205,'COLOR CODE'!$B:$D,2,FALSE)</f>
        <v>#N/A</v>
      </c>
      <c r="V205" s="4" t="str">
        <f t="shared" si="68"/>
        <v/>
      </c>
      <c r="W205" s="4" t="e" cm="1">
        <f t="array" ref="W205">IF(INDEX(Table2[],_xlfn.XMATCH($A205,Table2[Steel Member],0),_xlfn.XMATCH(W$2,Table2[#Headers],0))=0,"",INDEX(Table2[],_xlfn.XMATCH($A205,Table2[Steel Member],0),_xlfn.XMATCH(W$2,Table2[#Headers],0)))</f>
        <v>#N/A</v>
      </c>
      <c r="X205" s="4" t="e">
        <f t="shared" ref="X205:X270" si="78">W205</f>
        <v>#N/A</v>
      </c>
      <c r="Y205" s="4" t="e" cm="1">
        <f t="array" ref="Y205">IF(INDEX(Table2[],_xlfn.XMATCH($A205,Table2[Steel Member],0),_xlfn.XMATCH(Y$2,Table2[#Headers],0))=0,"",INDEX(Table2[],_xlfn.XMATCH($A205,Table2[Steel Member],0),_xlfn.XMATCH(Y$2,Table2[#Headers],0)))</f>
        <v>#N/A</v>
      </c>
      <c r="Z205" s="4" t="e" cm="1">
        <f t="array" ref="Z205">IF(INDEX(Table2[],_xlfn.XMATCH($A205,Table2[Steel Member],0),_xlfn.XMATCH(Z$2,Table2[#Headers],0))=0,"",INDEX(Table2[],_xlfn.XMATCH($A205,Table2[Steel Member],0),_xlfn.XMATCH(Z$2,Table2[#Headers],0)))</f>
        <v>#N/A</v>
      </c>
      <c r="AA205" s="4" t="e" cm="1">
        <f t="array" ref="AA205">IF(INDEX(Table2[],_xlfn.XMATCH($A205,Table2[Steel Member],0),_xlfn.XMATCH(AA$2,Table2[#Headers],0))=0,"",INDEX(Table2[],_xlfn.XMATCH($A205,Table2[Steel Member],0),_xlfn.XMATCH(AA$2,Table2[#Headers],0)))</f>
        <v>#N/A</v>
      </c>
      <c r="AB205" s="4" t="e" cm="1">
        <f t="array" ref="AB205">IF(INDEX(Table2[],_xlfn.XMATCH($A205,Table2[Steel Member],0),_xlfn.XMATCH(AB$2,Table2[#Headers],0))=0,"",INDEX(Table2[],_xlfn.XMATCH($A205,Table2[Steel Member],0),_xlfn.XMATCH(AB$2,Table2[#Headers],0)))</f>
        <v>#N/A</v>
      </c>
      <c r="AC205" s="4" t="str" cm="1">
        <f t="array" ref="AC205">IFERROR(INDEX(Table8[],_xlfn.XMATCH($O205,Table8[Dimension Name Category],0),_xlfn.XMATCH(AC$2&amp;IF($L205," w/ tag"," w/o tag"),Table8[#Headers],0)),"")</f>
        <v/>
      </c>
      <c r="AD205" s="59" t="str">
        <f t="shared" si="69"/>
        <v/>
      </c>
      <c r="AE205" s="4" t="str">
        <f t="shared" si="70"/>
        <v/>
      </c>
      <c r="AF205" s="4" t="str">
        <f t="shared" si="71"/>
        <v/>
      </c>
      <c r="AG205" s="4" t="str" cm="1">
        <f t="array" ref="AG205">IFERROR(INDEX(Table8[],_xlfn.XMATCH($O205,Table8[Dimension Name Category],0),_xlfn.XMATCH(AG$2&amp;IF($L205," w/ tag"," w/o tag"),Table8[#Headers],0)),"")</f>
        <v/>
      </c>
      <c r="AH205" s="59" t="str">
        <f t="shared" si="72"/>
        <v/>
      </c>
      <c r="AI205" s="4"/>
      <c r="AJ205" s="4" t="str">
        <f t="shared" si="73"/>
        <v/>
      </c>
      <c r="AK205" s="4" t="str">
        <f t="shared" si="74"/>
        <v/>
      </c>
      <c r="AL205" s="4" t="e" cm="1">
        <f t="array" ref="AL205">IF(INDEX(Table2[],_xlfn.XMATCH($A205,Table2[Steel Member],0),_xlfn.XMATCH(AL$2,Table2[#Headers],0))=0,"",INDEX(Table2[],_xlfn.XMATCH($A205,Table2[Steel Member],0),_xlfn.XMATCH(AL$2,Table2[#Headers],0)))</f>
        <v>#N/A</v>
      </c>
      <c r="AM205" s="4"/>
      <c r="AN205" s="4" t="str">
        <f t="shared" si="75"/>
        <v/>
      </c>
      <c r="AO205" s="4"/>
      <c r="AP205" s="4" t="e" cm="1">
        <f t="array" ref="AP205">IF(INDEX(Table2[],_xlfn.XMATCH($A205,Table2[Steel Member],0),_xlfn.XMATCH(AP$2,Table2[#Headers],0))=0,"",INDEX(Table2[],_xlfn.XMATCH($A205,Table2[Steel Member],0),_xlfn.XMATCH(AP$2,Table2[#Headers],0)))</f>
        <v>#N/A</v>
      </c>
      <c r="AQ205" s="4"/>
      <c r="AR205" s="4"/>
      <c r="AS205" s="4"/>
      <c r="AT205" s="4"/>
    </row>
    <row r="206" spans="1:46" x14ac:dyDescent="0.25">
      <c r="A206" s="52"/>
      <c r="B206" s="52"/>
      <c r="C206" s="52"/>
      <c r="D206" s="52"/>
      <c r="E206" s="52"/>
      <c r="F206" s="64" cm="1">
        <f t="array" ref="F206">IF(COUNT(FIND(PurlinsxGirthsxBracings,$C206))&gt;0,0,ROUNDUP(IF(D206=0,0,VLOOKUP(D206,'DATA SHEET'!$B:$D,2,FALSE)),2))</f>
        <v>0</v>
      </c>
      <c r="G206" s="64" cm="1">
        <f t="array" ref="G206">IF(COUNT(FIND(PurlinsxGirthsxBracings,$C206))&gt;0,0,ROUNDUP(IF(D206=0,0,VLOOKUP(D206,'DATA SHEET'!$B:$D,3,FALSE)),2))</f>
        <v>0</v>
      </c>
      <c r="H206" s="53"/>
      <c r="I206" s="66" cm="1">
        <f t="array" ref="I206">IF(AND(ISBLANK(B206),ISBLANK(C206),ISBLANK(E206)),0,IF(COUNT(FIND(PurlinsxGirthsxBracings,$C206))&gt;0,IF(B206=0,CONCATENATE(E206," ",C206),CONCATENATE(B206," - ",E206," ",C206)),IF(B206=0,IF(ISBLANK(C206),E206,CONCATENATE(D206,", ",F206,"kg/m, ",G206,"mm surface perimeter")),IF(AND(ISBLANK(C206),ISTEXT(E206)),CONCATENATE(B206," - ",E206),IF(AND(ISBLANK(C206),ISBLANK(E206)),B206,CONCATENATE(B206," - ",D206,", ",F206,"kg/m, ",G206,"mm surface perimeter"))))&amp;IF(ISBLANK(H206),"",H206)))</f>
        <v>0</v>
      </c>
      <c r="J206" s="53"/>
      <c r="L206" s="4" t="str" cm="1">
        <f t="array" ref="L206">IF(COUNT(FIND({0,1,2,3,4,5,6,7,8,9},B206))&gt;0,COUNT(FIND({0,1,2,3,4,5,6,7,8,9},B206))&gt;0,"")</f>
        <v/>
      </c>
      <c r="M206" s="4" t="str" cm="1">
        <f t="array" aca="1" ref="M206" ca="1">IFERROR(_xlfn.IFS(R206="Count",RANDBETWEEN(1,COUNTIF($R$11:$R$653,"Count")),R206="Length",RANDBETWEEN(1,COUNTIF($R$11:$R$653,"Length"))),"")</f>
        <v/>
      </c>
      <c r="N206" s="4" t="str">
        <f ca="1">IFERROR(_xlfn.RANK.EQ(M206,$M$11:$M$653)+COUNTIF($M$11:M206,M206)-1,"")</f>
        <v/>
      </c>
      <c r="O206" s="86" t="str">
        <f>IF(A206='DATA SHEET'!$L$36,C206,IFERROR(IF(AND(ISTEXT(I206),ISBLANK(C206)),"No details",VLOOKUP(C206,DimFolder,2,FALSE)),""))</f>
        <v/>
      </c>
      <c r="P206" s="4" t="str">
        <f t="shared" si="77"/>
        <v/>
      </c>
      <c r="Q206" s="58" t="str">
        <f t="shared" si="76"/>
        <v/>
      </c>
      <c r="R206" s="4" t="e" cm="1">
        <f t="array" ref="R206">IF(INDEX(Table2[],_xlfn.XMATCH($A206,Table2[Steel Member],0),_xlfn.XMATCH(R$2,Table2[#Headers],0))=0,"",INDEX(Table2[],_xlfn.XMATCH($A206,Table2[Steel Member],0),_xlfn.XMATCH(R$2,Table2[#Headers],0)))</f>
        <v>#N/A</v>
      </c>
      <c r="S206" s="4" t="e" cm="1">
        <f t="array" ref="S206">IF(INDEX(Table2[],_xlfn.XMATCH($A206,Table2[Steel Member],0),_xlfn.XMATCH(S$2,Table2[#Headers],0))=0,"",INDEX(Table2[],_xlfn.XMATCH($A206,Table2[Steel Member],0),_xlfn.XMATCH(S$2,Table2[#Headers],0)))</f>
        <v>#N/A</v>
      </c>
      <c r="T206" s="4" t="str">
        <f t="shared" si="67"/>
        <v/>
      </c>
      <c r="U206" s="4" t="e">
        <f ca="1">VLOOKUP(N206,'COLOR CODE'!$B:$D,2,FALSE)</f>
        <v>#N/A</v>
      </c>
      <c r="V206" s="4" t="str">
        <f t="shared" si="68"/>
        <v/>
      </c>
      <c r="W206" s="4" t="e" cm="1">
        <f t="array" ref="W206">IF(INDEX(Table2[],_xlfn.XMATCH($A206,Table2[Steel Member],0),_xlfn.XMATCH(W$2,Table2[#Headers],0))=0,"",INDEX(Table2[],_xlfn.XMATCH($A206,Table2[Steel Member],0),_xlfn.XMATCH(W$2,Table2[#Headers],0)))</f>
        <v>#N/A</v>
      </c>
      <c r="X206" s="4" t="e">
        <f t="shared" si="78"/>
        <v>#N/A</v>
      </c>
      <c r="Y206" s="4" t="e" cm="1">
        <f t="array" ref="Y206">IF(INDEX(Table2[],_xlfn.XMATCH($A206,Table2[Steel Member],0),_xlfn.XMATCH(Y$2,Table2[#Headers],0))=0,"",INDEX(Table2[],_xlfn.XMATCH($A206,Table2[Steel Member],0),_xlfn.XMATCH(Y$2,Table2[#Headers],0)))</f>
        <v>#N/A</v>
      </c>
      <c r="Z206" s="4" t="e" cm="1">
        <f t="array" ref="Z206">IF(INDEX(Table2[],_xlfn.XMATCH($A206,Table2[Steel Member],0),_xlfn.XMATCH(Z$2,Table2[#Headers],0))=0,"",INDEX(Table2[],_xlfn.XMATCH($A206,Table2[Steel Member],0),_xlfn.XMATCH(Z$2,Table2[#Headers],0)))</f>
        <v>#N/A</v>
      </c>
      <c r="AA206" s="4" t="e" cm="1">
        <f t="array" ref="AA206">IF(INDEX(Table2[],_xlfn.XMATCH($A206,Table2[Steel Member],0),_xlfn.XMATCH(AA$2,Table2[#Headers],0))=0,"",INDEX(Table2[],_xlfn.XMATCH($A206,Table2[Steel Member],0),_xlfn.XMATCH(AA$2,Table2[#Headers],0)))</f>
        <v>#N/A</v>
      </c>
      <c r="AB206" s="4" t="e" cm="1">
        <f t="array" ref="AB206">IF(INDEX(Table2[],_xlfn.XMATCH($A206,Table2[Steel Member],0),_xlfn.XMATCH(AB$2,Table2[#Headers],0))=0,"",INDEX(Table2[],_xlfn.XMATCH($A206,Table2[Steel Member],0),_xlfn.XMATCH(AB$2,Table2[#Headers],0)))</f>
        <v>#N/A</v>
      </c>
      <c r="AC206" s="4" t="str" cm="1">
        <f t="array" ref="AC206">IFERROR(INDEX(Table8[],_xlfn.XMATCH($O206,Table8[Dimension Name Category],0),_xlfn.XMATCH(AC$2&amp;IF($L206," w/ tag"," w/o tag"),Table8[#Headers],0)),"")</f>
        <v/>
      </c>
      <c r="AD206" s="59" t="str">
        <f t="shared" si="69"/>
        <v/>
      </c>
      <c r="AE206" s="4" t="str">
        <f t="shared" si="70"/>
        <v/>
      </c>
      <c r="AF206" s="4" t="str">
        <f t="shared" si="71"/>
        <v/>
      </c>
      <c r="AG206" s="4" t="str" cm="1">
        <f t="array" ref="AG206">IFERROR(INDEX(Table8[],_xlfn.XMATCH($O206,Table8[Dimension Name Category],0),_xlfn.XMATCH(AG$2&amp;IF($L206," w/ tag"," w/o tag"),Table8[#Headers],0)),"")</f>
        <v/>
      </c>
      <c r="AH206" s="59" t="str">
        <f t="shared" si="72"/>
        <v/>
      </c>
      <c r="AI206" s="4"/>
      <c r="AJ206" s="4" t="str">
        <f t="shared" si="73"/>
        <v/>
      </c>
      <c r="AK206" s="4" t="str">
        <f t="shared" si="74"/>
        <v/>
      </c>
      <c r="AL206" s="4" t="e" cm="1">
        <f t="array" ref="AL206">IF(INDEX(Table2[],_xlfn.XMATCH($A206,Table2[Steel Member],0),_xlfn.XMATCH(AL$2,Table2[#Headers],0))=0,"",INDEX(Table2[],_xlfn.XMATCH($A206,Table2[Steel Member],0),_xlfn.XMATCH(AL$2,Table2[#Headers],0)))</f>
        <v>#N/A</v>
      </c>
      <c r="AM206" s="4"/>
      <c r="AN206" s="4" t="str">
        <f t="shared" si="75"/>
        <v/>
      </c>
      <c r="AO206" s="4"/>
      <c r="AP206" s="4" t="e" cm="1">
        <f t="array" ref="AP206">IF(INDEX(Table2[],_xlfn.XMATCH($A206,Table2[Steel Member],0),_xlfn.XMATCH(AP$2,Table2[#Headers],0))=0,"",INDEX(Table2[],_xlfn.XMATCH($A206,Table2[Steel Member],0),_xlfn.XMATCH(AP$2,Table2[#Headers],0)))</f>
        <v>#N/A</v>
      </c>
      <c r="AQ206" s="4"/>
      <c r="AR206" s="4"/>
      <c r="AS206" s="4"/>
      <c r="AT206" s="4"/>
    </row>
    <row r="207" spans="1:46" x14ac:dyDescent="0.25">
      <c r="A207" s="52"/>
      <c r="B207" s="52"/>
      <c r="C207" s="52"/>
      <c r="D207" s="52"/>
      <c r="E207" s="52"/>
      <c r="F207" s="64" cm="1">
        <f t="array" ref="F207">IF(COUNT(FIND(PurlinsxGirthsxBracings,$C207))&gt;0,0,ROUNDUP(IF(D207=0,0,VLOOKUP(D207,'DATA SHEET'!$B:$D,2,FALSE)),2))</f>
        <v>0</v>
      </c>
      <c r="G207" s="64" cm="1">
        <f t="array" ref="G207">IF(COUNT(FIND(PurlinsxGirthsxBracings,$C207))&gt;0,0,ROUNDUP(IF(D207=0,0,VLOOKUP(D207,'DATA SHEET'!$B:$D,3,FALSE)),2))</f>
        <v>0</v>
      </c>
      <c r="H207" s="53"/>
      <c r="I207" s="66" cm="1">
        <f t="array" ref="I207">IF(AND(ISBLANK(B207),ISBLANK(C207),ISBLANK(E207)),0,IF(COUNT(FIND(PurlinsxGirthsxBracings,$C207))&gt;0,IF(B207=0,CONCATENATE(E207," ",C207),CONCATENATE(B207," - ",E207," ",C207)),IF(B207=0,IF(ISBLANK(C207),E207,CONCATENATE(D207,", ",F207,"kg/m, ",G207,"mm surface perimeter")),IF(AND(ISBLANK(C207),ISTEXT(E207)),CONCATENATE(B207," - ",E207),IF(AND(ISBLANK(C207),ISBLANK(E207)),B207,CONCATENATE(B207," - ",D207,", ",F207,"kg/m, ",G207,"mm surface perimeter"))))&amp;IF(ISBLANK(H207),"",H207)))</f>
        <v>0</v>
      </c>
      <c r="J207" s="53"/>
      <c r="L207" s="4" t="str" cm="1">
        <f t="array" ref="L207">IF(COUNT(FIND({0,1,2,3,4,5,6,7,8,9},B207))&gt;0,COUNT(FIND({0,1,2,3,4,5,6,7,8,9},B207))&gt;0,"")</f>
        <v/>
      </c>
      <c r="M207" s="4" t="str" cm="1">
        <f t="array" aca="1" ref="M207" ca="1">IFERROR(_xlfn.IFS(R207="Count",RANDBETWEEN(1,COUNTIF($R$11:$R$653,"Count")),R207="Length",RANDBETWEEN(1,COUNTIF($R$11:$R$653,"Length"))),"")</f>
        <v/>
      </c>
      <c r="N207" s="4" t="str">
        <f ca="1">IFERROR(_xlfn.RANK.EQ(M207,$M$11:$M$653)+COUNTIF($M$11:M207,M207)-1,"")</f>
        <v/>
      </c>
      <c r="O207" s="86" t="str">
        <f>IF(A207='DATA SHEET'!$L$36,C207,IFERROR(IF(AND(ISTEXT(I207),ISBLANK(C207)),"No details",VLOOKUP(C207,DimFolder,2,FALSE)),""))</f>
        <v/>
      </c>
      <c r="P207" s="4" t="str">
        <f t="shared" si="77"/>
        <v/>
      </c>
      <c r="Q207" s="58" t="str">
        <f t="shared" si="76"/>
        <v/>
      </c>
      <c r="R207" s="4" t="e" cm="1">
        <f t="array" ref="R207">IF(INDEX(Table2[],_xlfn.XMATCH($A207,Table2[Steel Member],0),_xlfn.XMATCH(R$2,Table2[#Headers],0))=0,"",INDEX(Table2[],_xlfn.XMATCH($A207,Table2[Steel Member],0),_xlfn.XMATCH(R$2,Table2[#Headers],0)))</f>
        <v>#N/A</v>
      </c>
      <c r="S207" s="4" t="e" cm="1">
        <f t="array" ref="S207">IF(INDEX(Table2[],_xlfn.XMATCH($A207,Table2[Steel Member],0),_xlfn.XMATCH(S$2,Table2[#Headers],0))=0,"",INDEX(Table2[],_xlfn.XMATCH($A207,Table2[Steel Member],0),_xlfn.XMATCH(S$2,Table2[#Headers],0)))</f>
        <v>#N/A</v>
      </c>
      <c r="T207" s="4" t="str">
        <f t="shared" si="67"/>
        <v/>
      </c>
      <c r="U207" s="4" t="e">
        <f ca="1">VLOOKUP(N207,'COLOR CODE'!$B:$D,2,FALSE)</f>
        <v>#N/A</v>
      </c>
      <c r="V207" s="4" t="str">
        <f t="shared" si="68"/>
        <v/>
      </c>
      <c r="W207" s="4" t="e" cm="1">
        <f t="array" ref="W207">IF(INDEX(Table2[],_xlfn.XMATCH($A207,Table2[Steel Member],0),_xlfn.XMATCH(W$2,Table2[#Headers],0))=0,"",INDEX(Table2[],_xlfn.XMATCH($A207,Table2[Steel Member],0),_xlfn.XMATCH(W$2,Table2[#Headers],0)))</f>
        <v>#N/A</v>
      </c>
      <c r="X207" s="4" t="e">
        <f t="shared" si="78"/>
        <v>#N/A</v>
      </c>
      <c r="Y207" s="4" t="e" cm="1">
        <f t="array" ref="Y207">IF(INDEX(Table2[],_xlfn.XMATCH($A207,Table2[Steel Member],0),_xlfn.XMATCH(Y$2,Table2[#Headers],0))=0,"",INDEX(Table2[],_xlfn.XMATCH($A207,Table2[Steel Member],0),_xlfn.XMATCH(Y$2,Table2[#Headers],0)))</f>
        <v>#N/A</v>
      </c>
      <c r="Z207" s="4" t="e" cm="1">
        <f t="array" ref="Z207">IF(INDEX(Table2[],_xlfn.XMATCH($A207,Table2[Steel Member],0),_xlfn.XMATCH(Z$2,Table2[#Headers],0))=0,"",INDEX(Table2[],_xlfn.XMATCH($A207,Table2[Steel Member],0),_xlfn.XMATCH(Z$2,Table2[#Headers],0)))</f>
        <v>#N/A</v>
      </c>
      <c r="AA207" s="4" t="e" cm="1">
        <f t="array" ref="AA207">IF(INDEX(Table2[],_xlfn.XMATCH($A207,Table2[Steel Member],0),_xlfn.XMATCH(AA$2,Table2[#Headers],0))=0,"",INDEX(Table2[],_xlfn.XMATCH($A207,Table2[Steel Member],0),_xlfn.XMATCH(AA$2,Table2[#Headers],0)))</f>
        <v>#N/A</v>
      </c>
      <c r="AB207" s="4" t="e" cm="1">
        <f t="array" ref="AB207">IF(INDEX(Table2[],_xlfn.XMATCH($A207,Table2[Steel Member],0),_xlfn.XMATCH(AB$2,Table2[#Headers],0))=0,"",INDEX(Table2[],_xlfn.XMATCH($A207,Table2[Steel Member],0),_xlfn.XMATCH(AB$2,Table2[#Headers],0)))</f>
        <v>#N/A</v>
      </c>
      <c r="AC207" s="4" t="str" cm="1">
        <f t="array" ref="AC207">IFERROR(INDEX(Table8[],_xlfn.XMATCH($O207,Table8[Dimension Name Category],0),_xlfn.XMATCH(AC$2&amp;IF($L207," w/ tag"," w/o tag"),Table8[#Headers],0)),"")</f>
        <v/>
      </c>
      <c r="AD207" s="59" t="str">
        <f t="shared" si="69"/>
        <v/>
      </c>
      <c r="AE207" s="4" t="str">
        <f t="shared" si="70"/>
        <v/>
      </c>
      <c r="AF207" s="4" t="str">
        <f t="shared" si="71"/>
        <v/>
      </c>
      <c r="AG207" s="4" t="str" cm="1">
        <f t="array" ref="AG207">IFERROR(INDEX(Table8[],_xlfn.XMATCH($O207,Table8[Dimension Name Category],0),_xlfn.XMATCH(AG$2&amp;IF($L207," w/ tag"," w/o tag"),Table8[#Headers],0)),"")</f>
        <v/>
      </c>
      <c r="AH207" s="59" t="str">
        <f t="shared" si="72"/>
        <v/>
      </c>
      <c r="AI207" s="4"/>
      <c r="AJ207" s="4" t="str">
        <f t="shared" si="73"/>
        <v/>
      </c>
      <c r="AK207" s="4" t="str">
        <f t="shared" si="74"/>
        <v/>
      </c>
      <c r="AL207" s="4" t="e" cm="1">
        <f t="array" ref="AL207">IF(INDEX(Table2[],_xlfn.XMATCH($A207,Table2[Steel Member],0),_xlfn.XMATCH(AL$2,Table2[#Headers],0))=0,"",INDEX(Table2[],_xlfn.XMATCH($A207,Table2[Steel Member],0),_xlfn.XMATCH(AL$2,Table2[#Headers],0)))</f>
        <v>#N/A</v>
      </c>
      <c r="AM207" s="4"/>
      <c r="AN207" s="4" t="str">
        <f t="shared" si="75"/>
        <v/>
      </c>
      <c r="AO207" s="4"/>
      <c r="AP207" s="4" t="e" cm="1">
        <f t="array" ref="AP207">IF(INDEX(Table2[],_xlfn.XMATCH($A207,Table2[Steel Member],0),_xlfn.XMATCH(AP$2,Table2[#Headers],0))=0,"",INDEX(Table2[],_xlfn.XMATCH($A207,Table2[Steel Member],0),_xlfn.XMATCH(AP$2,Table2[#Headers],0)))</f>
        <v>#N/A</v>
      </c>
      <c r="AQ207" s="4"/>
      <c r="AR207" s="4"/>
      <c r="AS207" s="4"/>
      <c r="AT207" s="4"/>
    </row>
    <row r="208" spans="1:46" x14ac:dyDescent="0.25">
      <c r="A208" s="52"/>
      <c r="B208" s="52"/>
      <c r="C208" s="52"/>
      <c r="D208" s="52"/>
      <c r="E208" s="52"/>
      <c r="F208" s="64" cm="1">
        <f t="array" ref="F208">IF(COUNT(FIND(PurlinsxGirthsxBracings,$C208))&gt;0,0,ROUNDUP(IF(D208=0,0,VLOOKUP(D208,'DATA SHEET'!$B:$D,2,FALSE)),2))</f>
        <v>0</v>
      </c>
      <c r="G208" s="64" cm="1">
        <f t="array" ref="G208">IF(COUNT(FIND(PurlinsxGirthsxBracings,$C208))&gt;0,0,ROUNDUP(IF(D208=0,0,VLOOKUP(D208,'DATA SHEET'!$B:$D,3,FALSE)),2))</f>
        <v>0</v>
      </c>
      <c r="H208" s="53"/>
      <c r="I208" s="66" cm="1">
        <f t="array" ref="I208">IF(AND(ISBLANK(B208),ISBLANK(C208),ISBLANK(E208)),0,IF(COUNT(FIND(PurlinsxGirthsxBracings,$C208))&gt;0,IF(B208=0,CONCATENATE(E208," ",C208),CONCATENATE(B208," - ",E208," ",C208)),IF(B208=0,IF(ISBLANK(C208),E208,CONCATENATE(D208,", ",F208,"kg/m, ",G208,"mm surface perimeter")),IF(AND(ISBLANK(C208),ISTEXT(E208)),CONCATENATE(B208," - ",E208),IF(AND(ISBLANK(C208),ISBLANK(E208)),B208,CONCATENATE(B208," - ",D208,", ",F208,"kg/m, ",G208,"mm surface perimeter"))))&amp;IF(ISBLANK(H208),"",H208)))</f>
        <v>0</v>
      </c>
      <c r="J208" s="53"/>
      <c r="L208" s="4" t="str" cm="1">
        <f t="array" ref="L208">IF(COUNT(FIND({0,1,2,3,4,5,6,7,8,9},B208))&gt;0,COUNT(FIND({0,1,2,3,4,5,6,7,8,9},B208))&gt;0,"")</f>
        <v/>
      </c>
      <c r="M208" s="4" t="str" cm="1">
        <f t="array" aca="1" ref="M208" ca="1">IFERROR(_xlfn.IFS(R208="Count",RANDBETWEEN(1,COUNTIF($R$11:$R$653,"Count")),R208="Length",RANDBETWEEN(1,COUNTIF($R$11:$R$653,"Length"))),"")</f>
        <v/>
      </c>
      <c r="N208" s="4" t="str">
        <f ca="1">IFERROR(_xlfn.RANK.EQ(M208,$M$11:$M$653)+COUNTIF($M$11:M208,M208)-1,"")</f>
        <v/>
      </c>
      <c r="O208" s="86" t="str">
        <f>IF(A208='DATA SHEET'!$L$36,C208,IFERROR(IF(AND(ISTEXT(I208),ISBLANK(C208)),"No details",VLOOKUP(C208,DimFolder,2,FALSE)),""))</f>
        <v/>
      </c>
      <c r="P208" s="4" t="str">
        <f t="shared" si="77"/>
        <v/>
      </c>
      <c r="Q208" s="58" t="str">
        <f t="shared" si="76"/>
        <v/>
      </c>
      <c r="R208" s="4" t="e" cm="1">
        <f t="array" ref="R208">IF(INDEX(Table2[],_xlfn.XMATCH($A208,Table2[Steel Member],0),_xlfn.XMATCH(R$2,Table2[#Headers],0))=0,"",INDEX(Table2[],_xlfn.XMATCH($A208,Table2[Steel Member],0),_xlfn.XMATCH(R$2,Table2[#Headers],0)))</f>
        <v>#N/A</v>
      </c>
      <c r="S208" s="4" t="e" cm="1">
        <f t="array" ref="S208">IF(INDEX(Table2[],_xlfn.XMATCH($A208,Table2[Steel Member],0),_xlfn.XMATCH(S$2,Table2[#Headers],0))=0,"",INDEX(Table2[],_xlfn.XMATCH($A208,Table2[Steel Member],0),_xlfn.XMATCH(S$2,Table2[#Headers],0)))</f>
        <v>#N/A</v>
      </c>
      <c r="T208" s="4" t="str">
        <f t="shared" si="67"/>
        <v/>
      </c>
      <c r="U208" s="4" t="e">
        <f ca="1">VLOOKUP(N208,'COLOR CODE'!$B:$D,2,FALSE)</f>
        <v>#N/A</v>
      </c>
      <c r="V208" s="4" t="str">
        <f t="shared" si="68"/>
        <v/>
      </c>
      <c r="W208" s="4" t="e" cm="1">
        <f t="array" ref="W208">IF(INDEX(Table2[],_xlfn.XMATCH($A208,Table2[Steel Member],0),_xlfn.XMATCH(W$2,Table2[#Headers],0))=0,"",INDEX(Table2[],_xlfn.XMATCH($A208,Table2[Steel Member],0),_xlfn.XMATCH(W$2,Table2[#Headers],0)))</f>
        <v>#N/A</v>
      </c>
      <c r="X208" s="4" t="e">
        <f t="shared" si="78"/>
        <v>#N/A</v>
      </c>
      <c r="Y208" s="4" t="e" cm="1">
        <f t="array" ref="Y208">IF(INDEX(Table2[],_xlfn.XMATCH($A208,Table2[Steel Member],0),_xlfn.XMATCH(Y$2,Table2[#Headers],0))=0,"",INDEX(Table2[],_xlfn.XMATCH($A208,Table2[Steel Member],0),_xlfn.XMATCH(Y$2,Table2[#Headers],0)))</f>
        <v>#N/A</v>
      </c>
      <c r="Z208" s="4" t="e" cm="1">
        <f t="array" ref="Z208">IF(INDEX(Table2[],_xlfn.XMATCH($A208,Table2[Steel Member],0),_xlfn.XMATCH(Z$2,Table2[#Headers],0))=0,"",INDEX(Table2[],_xlfn.XMATCH($A208,Table2[Steel Member],0),_xlfn.XMATCH(Z$2,Table2[#Headers],0)))</f>
        <v>#N/A</v>
      </c>
      <c r="AA208" s="4" t="e" cm="1">
        <f t="array" ref="AA208">IF(INDEX(Table2[],_xlfn.XMATCH($A208,Table2[Steel Member],0),_xlfn.XMATCH(AA$2,Table2[#Headers],0))=0,"",INDEX(Table2[],_xlfn.XMATCH($A208,Table2[Steel Member],0),_xlfn.XMATCH(AA$2,Table2[#Headers],0)))</f>
        <v>#N/A</v>
      </c>
      <c r="AB208" s="4" t="e" cm="1">
        <f t="array" ref="AB208">IF(INDEX(Table2[],_xlfn.XMATCH($A208,Table2[Steel Member],0),_xlfn.XMATCH(AB$2,Table2[#Headers],0))=0,"",INDEX(Table2[],_xlfn.XMATCH($A208,Table2[Steel Member],0),_xlfn.XMATCH(AB$2,Table2[#Headers],0)))</f>
        <v>#N/A</v>
      </c>
      <c r="AC208" s="4" t="str" cm="1">
        <f t="array" ref="AC208">IFERROR(INDEX(Table8[],_xlfn.XMATCH($O208,Table8[Dimension Name Category],0),_xlfn.XMATCH(AC$2&amp;IF($L208," w/ tag"," w/o tag"),Table8[#Headers],0)),"")</f>
        <v/>
      </c>
      <c r="AD208" s="59" t="str">
        <f t="shared" si="69"/>
        <v/>
      </c>
      <c r="AE208" s="4" t="str">
        <f t="shared" si="70"/>
        <v/>
      </c>
      <c r="AF208" s="4" t="str">
        <f t="shared" si="71"/>
        <v/>
      </c>
      <c r="AG208" s="4" t="str" cm="1">
        <f t="array" ref="AG208">IFERROR(INDEX(Table8[],_xlfn.XMATCH($O208,Table8[Dimension Name Category],0),_xlfn.XMATCH(AG$2&amp;IF($L208," w/ tag"," w/o tag"),Table8[#Headers],0)),"")</f>
        <v/>
      </c>
      <c r="AH208" s="59" t="str">
        <f t="shared" si="72"/>
        <v/>
      </c>
      <c r="AI208" s="4"/>
      <c r="AJ208" s="4" t="str">
        <f t="shared" si="73"/>
        <v/>
      </c>
      <c r="AK208" s="4" t="str">
        <f t="shared" si="74"/>
        <v/>
      </c>
      <c r="AL208" s="4" t="e" cm="1">
        <f t="array" ref="AL208">IF(INDEX(Table2[],_xlfn.XMATCH($A208,Table2[Steel Member],0),_xlfn.XMATCH(AL$2,Table2[#Headers],0))=0,"",INDEX(Table2[],_xlfn.XMATCH($A208,Table2[Steel Member],0),_xlfn.XMATCH(AL$2,Table2[#Headers],0)))</f>
        <v>#N/A</v>
      </c>
      <c r="AM208" s="4"/>
      <c r="AN208" s="4" t="str">
        <f t="shared" si="75"/>
        <v/>
      </c>
      <c r="AO208" s="4"/>
      <c r="AP208" s="4" t="e" cm="1">
        <f t="array" ref="AP208">IF(INDEX(Table2[],_xlfn.XMATCH($A208,Table2[Steel Member],0),_xlfn.XMATCH(AP$2,Table2[#Headers],0))=0,"",INDEX(Table2[],_xlfn.XMATCH($A208,Table2[Steel Member],0),_xlfn.XMATCH(AP$2,Table2[#Headers],0)))</f>
        <v>#N/A</v>
      </c>
      <c r="AQ208" s="4"/>
      <c r="AR208" s="4"/>
      <c r="AS208" s="4"/>
      <c r="AT208" s="4"/>
    </row>
    <row r="209" spans="1:46" x14ac:dyDescent="0.25">
      <c r="A209" s="52"/>
      <c r="B209" s="52"/>
      <c r="C209" s="52"/>
      <c r="D209" s="52"/>
      <c r="E209" s="52"/>
      <c r="F209" s="64" cm="1">
        <f t="array" ref="F209">IF(COUNT(FIND(PurlinsxGirthsxBracings,$C209))&gt;0,0,ROUNDUP(IF(D209=0,0,VLOOKUP(D209,'DATA SHEET'!$B:$D,2,FALSE)),2))</f>
        <v>0</v>
      </c>
      <c r="G209" s="64" cm="1">
        <f t="array" ref="G209">IF(COUNT(FIND(PurlinsxGirthsxBracings,$C209))&gt;0,0,ROUNDUP(IF(D209=0,0,VLOOKUP(D209,'DATA SHEET'!$B:$D,3,FALSE)),2))</f>
        <v>0</v>
      </c>
      <c r="H209" s="53"/>
      <c r="I209" s="66" cm="1">
        <f t="array" ref="I209">IF(AND(ISBLANK(B209),ISBLANK(C209),ISBLANK(E209)),0,IF(COUNT(FIND(PurlinsxGirthsxBracings,$C209))&gt;0,IF(B209=0,CONCATENATE(E209," ",C209),CONCATENATE(B209," - ",E209," ",C209)),IF(B209=0,IF(ISBLANK(C209),E209,CONCATENATE(D209,", ",F209,"kg/m, ",G209,"mm surface perimeter")),IF(AND(ISBLANK(C209),ISTEXT(E209)),CONCATENATE(B209," - ",E209),IF(AND(ISBLANK(C209),ISBLANK(E209)),B209,CONCATENATE(B209," - ",D209,", ",F209,"kg/m, ",G209,"mm surface perimeter"))))&amp;IF(ISBLANK(H209),"",H209)))</f>
        <v>0</v>
      </c>
      <c r="J209" s="53"/>
      <c r="L209" s="4" t="str" cm="1">
        <f t="array" ref="L209">IF(COUNT(FIND({0,1,2,3,4,5,6,7,8,9},B209))&gt;0,COUNT(FIND({0,1,2,3,4,5,6,7,8,9},B209))&gt;0,"")</f>
        <v/>
      </c>
      <c r="M209" s="4" t="str" cm="1">
        <f t="array" aca="1" ref="M209" ca="1">IFERROR(_xlfn.IFS(R209="Count",RANDBETWEEN(1,COUNTIF($R$11:$R$653,"Count")),R209="Length",RANDBETWEEN(1,COUNTIF($R$11:$R$653,"Length"))),"")</f>
        <v/>
      </c>
      <c r="N209" s="4" t="str">
        <f ca="1">IFERROR(_xlfn.RANK.EQ(M209,$M$11:$M$653)+COUNTIF($M$11:M209,M209)-1,"")</f>
        <v/>
      </c>
      <c r="O209" s="86" t="str">
        <f>IF(A209='DATA SHEET'!$L$36,C209,IFERROR(IF(AND(ISTEXT(I209),ISBLANK(C209)),"No details",VLOOKUP(C209,DimFolder,2,FALSE)),""))</f>
        <v/>
      </c>
      <c r="P209" s="4" t="str">
        <f t="shared" si="77"/>
        <v/>
      </c>
      <c r="Q209" s="58" t="str">
        <f t="shared" si="76"/>
        <v/>
      </c>
      <c r="R209" s="4" t="e" cm="1">
        <f t="array" ref="R209">IF(INDEX(Table2[],_xlfn.XMATCH($A209,Table2[Steel Member],0),_xlfn.XMATCH(R$2,Table2[#Headers],0))=0,"",INDEX(Table2[],_xlfn.XMATCH($A209,Table2[Steel Member],0),_xlfn.XMATCH(R$2,Table2[#Headers],0)))</f>
        <v>#N/A</v>
      </c>
      <c r="S209" s="4" t="e" cm="1">
        <f t="array" ref="S209">IF(INDEX(Table2[],_xlfn.XMATCH($A209,Table2[Steel Member],0),_xlfn.XMATCH(S$2,Table2[#Headers],0))=0,"",INDEX(Table2[],_xlfn.XMATCH($A209,Table2[Steel Member],0),_xlfn.XMATCH(S$2,Table2[#Headers],0)))</f>
        <v>#N/A</v>
      </c>
      <c r="T209" s="4" t="str">
        <f t="shared" si="67"/>
        <v/>
      </c>
      <c r="U209" s="4" t="e">
        <f ca="1">VLOOKUP(N209,'COLOR CODE'!$B:$D,2,FALSE)</f>
        <v>#N/A</v>
      </c>
      <c r="V209" s="4" t="str">
        <f t="shared" si="68"/>
        <v/>
      </c>
      <c r="W209" s="4" t="e" cm="1">
        <f t="array" ref="W209">IF(INDEX(Table2[],_xlfn.XMATCH($A209,Table2[Steel Member],0),_xlfn.XMATCH(W$2,Table2[#Headers],0))=0,"",INDEX(Table2[],_xlfn.XMATCH($A209,Table2[Steel Member],0),_xlfn.XMATCH(W$2,Table2[#Headers],0)))</f>
        <v>#N/A</v>
      </c>
      <c r="X209" s="4" t="e">
        <f t="shared" si="78"/>
        <v>#N/A</v>
      </c>
      <c r="Y209" s="4" t="e" cm="1">
        <f t="array" ref="Y209">IF(INDEX(Table2[],_xlfn.XMATCH($A209,Table2[Steel Member],0),_xlfn.XMATCH(Y$2,Table2[#Headers],0))=0,"",INDEX(Table2[],_xlfn.XMATCH($A209,Table2[Steel Member],0),_xlfn.XMATCH(Y$2,Table2[#Headers],0)))</f>
        <v>#N/A</v>
      </c>
      <c r="Z209" s="4" t="e" cm="1">
        <f t="array" ref="Z209">IF(INDEX(Table2[],_xlfn.XMATCH($A209,Table2[Steel Member],0),_xlfn.XMATCH(Z$2,Table2[#Headers],0))=0,"",INDEX(Table2[],_xlfn.XMATCH($A209,Table2[Steel Member],0),_xlfn.XMATCH(Z$2,Table2[#Headers],0)))</f>
        <v>#N/A</v>
      </c>
      <c r="AA209" s="4" t="e" cm="1">
        <f t="array" ref="AA209">IF(INDEX(Table2[],_xlfn.XMATCH($A209,Table2[Steel Member],0),_xlfn.XMATCH(AA$2,Table2[#Headers],0))=0,"",INDEX(Table2[],_xlfn.XMATCH($A209,Table2[Steel Member],0),_xlfn.XMATCH(AA$2,Table2[#Headers],0)))</f>
        <v>#N/A</v>
      </c>
      <c r="AB209" s="4" t="e" cm="1">
        <f t="array" ref="AB209">IF(INDEX(Table2[],_xlfn.XMATCH($A209,Table2[Steel Member],0),_xlfn.XMATCH(AB$2,Table2[#Headers],0))=0,"",INDEX(Table2[],_xlfn.XMATCH($A209,Table2[Steel Member],0),_xlfn.XMATCH(AB$2,Table2[#Headers],0)))</f>
        <v>#N/A</v>
      </c>
      <c r="AC209" s="4" t="str" cm="1">
        <f t="array" ref="AC209">IFERROR(INDEX(Table8[],_xlfn.XMATCH($O209,Table8[Dimension Name Category],0),_xlfn.XMATCH(AC$2&amp;IF($L209," w/ tag"," w/o tag"),Table8[#Headers],0)),"")</f>
        <v/>
      </c>
      <c r="AD209" s="59" t="str">
        <f t="shared" si="69"/>
        <v/>
      </c>
      <c r="AE209" s="4" t="str">
        <f t="shared" si="70"/>
        <v/>
      </c>
      <c r="AF209" s="4" t="str">
        <f t="shared" si="71"/>
        <v/>
      </c>
      <c r="AG209" s="4" t="str" cm="1">
        <f t="array" ref="AG209">IFERROR(INDEX(Table8[],_xlfn.XMATCH($O209,Table8[Dimension Name Category],0),_xlfn.XMATCH(AG$2&amp;IF($L209," w/ tag"," w/o tag"),Table8[#Headers],0)),"")</f>
        <v/>
      </c>
      <c r="AH209" s="59" t="str">
        <f t="shared" si="72"/>
        <v/>
      </c>
      <c r="AI209" s="4"/>
      <c r="AJ209" s="4" t="str">
        <f t="shared" si="73"/>
        <v/>
      </c>
      <c r="AK209" s="4" t="str">
        <f t="shared" si="74"/>
        <v/>
      </c>
      <c r="AL209" s="4" t="e" cm="1">
        <f t="array" ref="AL209">IF(INDEX(Table2[],_xlfn.XMATCH($A209,Table2[Steel Member],0),_xlfn.XMATCH(AL$2,Table2[#Headers],0))=0,"",INDEX(Table2[],_xlfn.XMATCH($A209,Table2[Steel Member],0),_xlfn.XMATCH(AL$2,Table2[#Headers],0)))</f>
        <v>#N/A</v>
      </c>
      <c r="AM209" s="4"/>
      <c r="AN209" s="4" t="str">
        <f t="shared" si="75"/>
        <v/>
      </c>
      <c r="AO209" s="4"/>
      <c r="AP209" s="4" t="e" cm="1">
        <f t="array" ref="AP209">IF(INDEX(Table2[],_xlfn.XMATCH($A209,Table2[Steel Member],0),_xlfn.XMATCH(AP$2,Table2[#Headers],0))=0,"",INDEX(Table2[],_xlfn.XMATCH($A209,Table2[Steel Member],0),_xlfn.XMATCH(AP$2,Table2[#Headers],0)))</f>
        <v>#N/A</v>
      </c>
      <c r="AQ209" s="4"/>
      <c r="AR209" s="4"/>
      <c r="AS209" s="4"/>
      <c r="AT209" s="4"/>
    </row>
    <row r="210" spans="1:46" x14ac:dyDescent="0.25">
      <c r="A210" s="52"/>
      <c r="B210" s="52"/>
      <c r="C210" s="52"/>
      <c r="D210" s="52"/>
      <c r="E210" s="52"/>
      <c r="F210" s="64" cm="1">
        <f t="array" ref="F210">IF(COUNT(FIND(PurlinsxGirthsxBracings,$C210))&gt;0,0,ROUNDUP(IF(D210=0,0,VLOOKUP(D210,'DATA SHEET'!$B:$D,2,FALSE)),2))</f>
        <v>0</v>
      </c>
      <c r="G210" s="64" cm="1">
        <f t="array" ref="G210">IF(COUNT(FIND(PurlinsxGirthsxBracings,$C210))&gt;0,0,ROUNDUP(IF(D210=0,0,VLOOKUP(D210,'DATA SHEET'!$B:$D,3,FALSE)),2))</f>
        <v>0</v>
      </c>
      <c r="H210" s="53"/>
      <c r="I210" s="66" cm="1">
        <f t="array" ref="I210">IF(AND(ISBLANK(B210),ISBLANK(C210),ISBLANK(E210)),0,IF(COUNT(FIND(PurlinsxGirthsxBracings,$C210))&gt;0,IF(B210=0,CONCATENATE(E210," ",C210),CONCATENATE(B210," - ",E210," ",C210)),IF(B210=0,IF(ISBLANK(C210),E210,CONCATENATE(D210,", ",F210,"kg/m, ",G210,"mm surface perimeter")),IF(AND(ISBLANK(C210),ISTEXT(E210)),CONCATENATE(B210," - ",E210),IF(AND(ISBLANK(C210),ISBLANK(E210)),B210,CONCATENATE(B210," - ",D210,", ",F210,"kg/m, ",G210,"mm surface perimeter"))))&amp;IF(ISBLANK(H210),"",H210)))</f>
        <v>0</v>
      </c>
      <c r="J210" s="53"/>
      <c r="L210" s="4" t="str" cm="1">
        <f t="array" ref="L210">IF(COUNT(FIND({0,1,2,3,4,5,6,7,8,9},B210))&gt;0,COUNT(FIND({0,1,2,3,4,5,6,7,8,9},B210))&gt;0,"")</f>
        <v/>
      </c>
      <c r="M210" s="4" t="str" cm="1">
        <f t="array" aca="1" ref="M210" ca="1">IFERROR(_xlfn.IFS(R210="Count",RANDBETWEEN(1,COUNTIF($R$11:$R$653,"Count")),R210="Length",RANDBETWEEN(1,COUNTIF($R$11:$R$653,"Length"))),"")</f>
        <v/>
      </c>
      <c r="N210" s="4" t="str">
        <f ca="1">IFERROR(_xlfn.RANK.EQ(M210,$M$11:$M$653)+COUNTIF($M$11:M210,M210)-1,"")</f>
        <v/>
      </c>
      <c r="O210" s="86" t="str">
        <f>IF(A210='DATA SHEET'!$L$36,C210,IFERROR(IF(AND(ISTEXT(I210),ISBLANK(C210)),"No details",VLOOKUP(C210,DimFolder,2,FALSE)),""))</f>
        <v/>
      </c>
      <c r="P210" s="4" t="str">
        <f t="shared" si="77"/>
        <v/>
      </c>
      <c r="Q210" s="58" t="str">
        <f t="shared" si="76"/>
        <v/>
      </c>
      <c r="R210" s="4" t="e" cm="1">
        <f t="array" ref="R210">IF(INDEX(Table2[],_xlfn.XMATCH($A210,Table2[Steel Member],0),_xlfn.XMATCH(R$2,Table2[#Headers],0))=0,"",INDEX(Table2[],_xlfn.XMATCH($A210,Table2[Steel Member],0),_xlfn.XMATCH(R$2,Table2[#Headers],0)))</f>
        <v>#N/A</v>
      </c>
      <c r="S210" s="4" t="e" cm="1">
        <f t="array" ref="S210">IF(INDEX(Table2[],_xlfn.XMATCH($A210,Table2[Steel Member],0),_xlfn.XMATCH(S$2,Table2[#Headers],0))=0,"",INDEX(Table2[],_xlfn.XMATCH($A210,Table2[Steel Member],0),_xlfn.XMATCH(S$2,Table2[#Headers],0)))</f>
        <v>#N/A</v>
      </c>
      <c r="T210" s="4" t="str">
        <f t="shared" si="67"/>
        <v/>
      </c>
      <c r="U210" s="4" t="e">
        <f ca="1">VLOOKUP(N210,'COLOR CODE'!$B:$D,2,FALSE)</f>
        <v>#N/A</v>
      </c>
      <c r="V210" s="4" t="str">
        <f t="shared" si="68"/>
        <v/>
      </c>
      <c r="W210" s="4" t="e" cm="1">
        <f t="array" ref="W210">IF(INDEX(Table2[],_xlfn.XMATCH($A210,Table2[Steel Member],0),_xlfn.XMATCH(W$2,Table2[#Headers],0))=0,"",INDEX(Table2[],_xlfn.XMATCH($A210,Table2[Steel Member],0),_xlfn.XMATCH(W$2,Table2[#Headers],0)))</f>
        <v>#N/A</v>
      </c>
      <c r="X210" s="4" t="e">
        <f t="shared" si="78"/>
        <v>#N/A</v>
      </c>
      <c r="Y210" s="4" t="e" cm="1">
        <f t="array" ref="Y210">IF(INDEX(Table2[],_xlfn.XMATCH($A210,Table2[Steel Member],0),_xlfn.XMATCH(Y$2,Table2[#Headers],0))=0,"",INDEX(Table2[],_xlfn.XMATCH($A210,Table2[Steel Member],0),_xlfn.XMATCH(Y$2,Table2[#Headers],0)))</f>
        <v>#N/A</v>
      </c>
      <c r="Z210" s="4" t="e" cm="1">
        <f t="array" ref="Z210">IF(INDEX(Table2[],_xlfn.XMATCH($A210,Table2[Steel Member],0),_xlfn.XMATCH(Z$2,Table2[#Headers],0))=0,"",INDEX(Table2[],_xlfn.XMATCH($A210,Table2[Steel Member],0),_xlfn.XMATCH(Z$2,Table2[#Headers],0)))</f>
        <v>#N/A</v>
      </c>
      <c r="AA210" s="4" t="e" cm="1">
        <f t="array" ref="AA210">IF(INDEX(Table2[],_xlfn.XMATCH($A210,Table2[Steel Member],0),_xlfn.XMATCH(AA$2,Table2[#Headers],0))=0,"",INDEX(Table2[],_xlfn.XMATCH($A210,Table2[Steel Member],0),_xlfn.XMATCH(AA$2,Table2[#Headers],0)))</f>
        <v>#N/A</v>
      </c>
      <c r="AB210" s="4" t="e" cm="1">
        <f t="array" ref="AB210">IF(INDEX(Table2[],_xlfn.XMATCH($A210,Table2[Steel Member],0),_xlfn.XMATCH(AB$2,Table2[#Headers],0))=0,"",INDEX(Table2[],_xlfn.XMATCH($A210,Table2[Steel Member],0),_xlfn.XMATCH(AB$2,Table2[#Headers],0)))</f>
        <v>#N/A</v>
      </c>
      <c r="AC210" s="4" t="str" cm="1">
        <f t="array" ref="AC210">IFERROR(INDEX(Table8[],_xlfn.XMATCH($O210,Table8[Dimension Name Category],0),_xlfn.XMATCH(AC$2&amp;IF($L210," w/ tag"," w/o tag"),Table8[#Headers],0)),"")</f>
        <v/>
      </c>
      <c r="AD210" s="59" t="str">
        <f t="shared" si="69"/>
        <v/>
      </c>
      <c r="AE210" s="4" t="str">
        <f t="shared" si="70"/>
        <v/>
      </c>
      <c r="AF210" s="4" t="str">
        <f t="shared" si="71"/>
        <v/>
      </c>
      <c r="AG210" s="4" t="str" cm="1">
        <f t="array" ref="AG210">IFERROR(INDEX(Table8[],_xlfn.XMATCH($O210,Table8[Dimension Name Category],0),_xlfn.XMATCH(AG$2&amp;IF($L210," w/ tag"," w/o tag"),Table8[#Headers],0)),"")</f>
        <v/>
      </c>
      <c r="AH210" s="59" t="str">
        <f t="shared" si="72"/>
        <v/>
      </c>
      <c r="AI210" s="4"/>
      <c r="AJ210" s="4" t="str">
        <f t="shared" si="73"/>
        <v/>
      </c>
      <c r="AK210" s="4" t="str">
        <f t="shared" si="74"/>
        <v/>
      </c>
      <c r="AL210" s="4" t="e" cm="1">
        <f t="array" ref="AL210">IF(INDEX(Table2[],_xlfn.XMATCH($A210,Table2[Steel Member],0),_xlfn.XMATCH(AL$2,Table2[#Headers],0))=0,"",INDEX(Table2[],_xlfn.XMATCH($A210,Table2[Steel Member],0),_xlfn.XMATCH(AL$2,Table2[#Headers],0)))</f>
        <v>#N/A</v>
      </c>
      <c r="AM210" s="4"/>
      <c r="AN210" s="4" t="str">
        <f t="shared" si="75"/>
        <v/>
      </c>
      <c r="AO210" s="4"/>
      <c r="AP210" s="4" t="e" cm="1">
        <f t="array" ref="AP210">IF(INDEX(Table2[],_xlfn.XMATCH($A210,Table2[Steel Member],0),_xlfn.XMATCH(AP$2,Table2[#Headers],0))=0,"",INDEX(Table2[],_xlfn.XMATCH($A210,Table2[Steel Member],0),_xlfn.XMATCH(AP$2,Table2[#Headers],0)))</f>
        <v>#N/A</v>
      </c>
      <c r="AQ210" s="4"/>
      <c r="AR210" s="4"/>
      <c r="AS210" s="4"/>
      <c r="AT210" s="4"/>
    </row>
    <row r="211" spans="1:46" x14ac:dyDescent="0.25">
      <c r="A211" s="52"/>
      <c r="B211" s="52"/>
      <c r="C211" s="52"/>
      <c r="D211" s="52"/>
      <c r="E211" s="52"/>
      <c r="F211" s="64" cm="1">
        <f t="array" ref="F211">IF(COUNT(FIND(PurlinsxGirthsxBracings,$C211))&gt;0,0,ROUNDUP(IF(D211=0,0,VLOOKUP(D211,'DATA SHEET'!$B:$D,2,FALSE)),2))</f>
        <v>0</v>
      </c>
      <c r="G211" s="64" cm="1">
        <f t="array" ref="G211">IF(COUNT(FIND(PurlinsxGirthsxBracings,$C211))&gt;0,0,ROUNDUP(IF(D211=0,0,VLOOKUP(D211,'DATA SHEET'!$B:$D,3,FALSE)),2))</f>
        <v>0</v>
      </c>
      <c r="H211" s="53"/>
      <c r="I211" s="66" cm="1">
        <f t="array" ref="I211">IF(AND(ISBLANK(B211),ISBLANK(C211),ISBLANK(E211)),0,IF(COUNT(FIND(PurlinsxGirthsxBracings,$C211))&gt;0,IF(B211=0,CONCATENATE(E211," ",C211),CONCATENATE(B211," - ",E211," ",C211)),IF(B211=0,IF(ISBLANK(C211),E211,CONCATENATE(D211,", ",F211,"kg/m, ",G211,"mm surface perimeter")),IF(AND(ISBLANK(C211),ISTEXT(E211)),CONCATENATE(B211," - ",E211),IF(AND(ISBLANK(C211),ISBLANK(E211)),B211,CONCATENATE(B211," - ",D211,", ",F211,"kg/m, ",G211,"mm surface perimeter"))))&amp;IF(ISBLANK(H211),"",H211)))</f>
        <v>0</v>
      </c>
      <c r="J211" s="53"/>
      <c r="L211" s="4" t="str" cm="1">
        <f t="array" ref="L211">IF(COUNT(FIND({0,1,2,3,4,5,6,7,8,9},B211))&gt;0,COUNT(FIND({0,1,2,3,4,5,6,7,8,9},B211))&gt;0,"")</f>
        <v/>
      </c>
      <c r="M211" s="4" t="str" cm="1">
        <f t="array" aca="1" ref="M211" ca="1">IFERROR(_xlfn.IFS(R211="Count",RANDBETWEEN(1,COUNTIF($R$11:$R$653,"Count")),R211="Length",RANDBETWEEN(1,COUNTIF($R$11:$R$653,"Length"))),"")</f>
        <v/>
      </c>
      <c r="N211" s="4" t="str">
        <f ca="1">IFERROR(_xlfn.RANK.EQ(M211,$M$11:$M$653)+COUNTIF($M$11:M211,M211)-1,"")</f>
        <v/>
      </c>
      <c r="O211" s="86" t="str">
        <f>IF(A211='DATA SHEET'!$L$36,C211,IFERROR(IF(AND(ISTEXT(I211),ISBLANK(C211)),"No details",VLOOKUP(C211,DimFolder,2,FALSE)),""))</f>
        <v/>
      </c>
      <c r="P211" s="4" t="str">
        <f t="shared" si="77"/>
        <v/>
      </c>
      <c r="Q211" s="58" t="str">
        <f t="shared" si="76"/>
        <v/>
      </c>
      <c r="R211" s="4" t="e" cm="1">
        <f t="array" ref="R211">IF(INDEX(Table2[],_xlfn.XMATCH($A211,Table2[Steel Member],0),_xlfn.XMATCH(R$2,Table2[#Headers],0))=0,"",INDEX(Table2[],_xlfn.XMATCH($A211,Table2[Steel Member],0),_xlfn.XMATCH(R$2,Table2[#Headers],0)))</f>
        <v>#N/A</v>
      </c>
      <c r="S211" s="4" t="e" cm="1">
        <f t="array" ref="S211">IF(INDEX(Table2[],_xlfn.XMATCH($A211,Table2[Steel Member],0),_xlfn.XMATCH(S$2,Table2[#Headers],0))=0,"",INDEX(Table2[],_xlfn.XMATCH($A211,Table2[Steel Member],0),_xlfn.XMATCH(S$2,Table2[#Headers],0)))</f>
        <v>#N/A</v>
      </c>
      <c r="T211" s="4" t="str">
        <f t="shared" si="67"/>
        <v/>
      </c>
      <c r="U211" s="4" t="e">
        <f ca="1">VLOOKUP(N211,'COLOR CODE'!$B:$D,2,FALSE)</f>
        <v>#N/A</v>
      </c>
      <c r="V211" s="4" t="str">
        <f t="shared" si="68"/>
        <v/>
      </c>
      <c r="W211" s="4" t="e" cm="1">
        <f t="array" ref="W211">IF(INDEX(Table2[],_xlfn.XMATCH($A211,Table2[Steel Member],0),_xlfn.XMATCH(W$2,Table2[#Headers],0))=0,"",INDEX(Table2[],_xlfn.XMATCH($A211,Table2[Steel Member],0),_xlfn.XMATCH(W$2,Table2[#Headers],0)))</f>
        <v>#N/A</v>
      </c>
      <c r="X211" s="4" t="e">
        <f t="shared" si="78"/>
        <v>#N/A</v>
      </c>
      <c r="Y211" s="4" t="e" cm="1">
        <f t="array" ref="Y211">IF(INDEX(Table2[],_xlfn.XMATCH($A211,Table2[Steel Member],0),_xlfn.XMATCH(Y$2,Table2[#Headers],0))=0,"",INDEX(Table2[],_xlfn.XMATCH($A211,Table2[Steel Member],0),_xlfn.XMATCH(Y$2,Table2[#Headers],0)))</f>
        <v>#N/A</v>
      </c>
      <c r="Z211" s="4" t="e" cm="1">
        <f t="array" ref="Z211">IF(INDEX(Table2[],_xlfn.XMATCH($A211,Table2[Steel Member],0),_xlfn.XMATCH(Z$2,Table2[#Headers],0))=0,"",INDEX(Table2[],_xlfn.XMATCH($A211,Table2[Steel Member],0),_xlfn.XMATCH(Z$2,Table2[#Headers],0)))</f>
        <v>#N/A</v>
      </c>
      <c r="AA211" s="4" t="e" cm="1">
        <f t="array" ref="AA211">IF(INDEX(Table2[],_xlfn.XMATCH($A211,Table2[Steel Member],0),_xlfn.XMATCH(AA$2,Table2[#Headers],0))=0,"",INDEX(Table2[],_xlfn.XMATCH($A211,Table2[Steel Member],0),_xlfn.XMATCH(AA$2,Table2[#Headers],0)))</f>
        <v>#N/A</v>
      </c>
      <c r="AB211" s="4" t="e" cm="1">
        <f t="array" ref="AB211">IF(INDEX(Table2[],_xlfn.XMATCH($A211,Table2[Steel Member],0),_xlfn.XMATCH(AB$2,Table2[#Headers],0))=0,"",INDEX(Table2[],_xlfn.XMATCH($A211,Table2[Steel Member],0),_xlfn.XMATCH(AB$2,Table2[#Headers],0)))</f>
        <v>#N/A</v>
      </c>
      <c r="AC211" s="4" t="str" cm="1">
        <f t="array" ref="AC211">IFERROR(INDEX(Table8[],_xlfn.XMATCH($O211,Table8[Dimension Name Category],0),_xlfn.XMATCH(AC$2&amp;IF($L211," w/ tag"," w/o tag"),Table8[#Headers],0)),"")</f>
        <v/>
      </c>
      <c r="AD211" s="59" t="str">
        <f t="shared" si="69"/>
        <v/>
      </c>
      <c r="AE211" s="4" t="str">
        <f t="shared" si="70"/>
        <v/>
      </c>
      <c r="AF211" s="4" t="str">
        <f t="shared" si="71"/>
        <v/>
      </c>
      <c r="AG211" s="4" t="str" cm="1">
        <f t="array" ref="AG211">IFERROR(INDEX(Table8[],_xlfn.XMATCH($O211,Table8[Dimension Name Category],0),_xlfn.XMATCH(AG$2&amp;IF($L211," w/ tag"," w/o tag"),Table8[#Headers],0)),"")</f>
        <v/>
      </c>
      <c r="AH211" s="59" t="str">
        <f t="shared" si="72"/>
        <v/>
      </c>
      <c r="AI211" s="4"/>
      <c r="AJ211" s="4" t="str">
        <f t="shared" si="73"/>
        <v/>
      </c>
      <c r="AK211" s="4" t="str">
        <f t="shared" si="74"/>
        <v/>
      </c>
      <c r="AL211" s="4" t="e" cm="1">
        <f t="array" ref="AL211">IF(INDEX(Table2[],_xlfn.XMATCH($A211,Table2[Steel Member],0),_xlfn.XMATCH(AL$2,Table2[#Headers],0))=0,"",INDEX(Table2[],_xlfn.XMATCH($A211,Table2[Steel Member],0),_xlfn.XMATCH(AL$2,Table2[#Headers],0)))</f>
        <v>#N/A</v>
      </c>
      <c r="AM211" s="4"/>
      <c r="AN211" s="4" t="str">
        <f t="shared" si="75"/>
        <v/>
      </c>
      <c r="AO211" s="4"/>
      <c r="AP211" s="4" t="e" cm="1">
        <f t="array" ref="AP211">IF(INDEX(Table2[],_xlfn.XMATCH($A211,Table2[Steel Member],0),_xlfn.XMATCH(AP$2,Table2[#Headers],0))=0,"",INDEX(Table2[],_xlfn.XMATCH($A211,Table2[Steel Member],0),_xlfn.XMATCH(AP$2,Table2[#Headers],0)))</f>
        <v>#N/A</v>
      </c>
      <c r="AQ211" s="4"/>
      <c r="AR211" s="4"/>
      <c r="AS211" s="4"/>
      <c r="AT211" s="4"/>
    </row>
    <row r="212" spans="1:46" x14ac:dyDescent="0.25">
      <c r="A212" s="52"/>
      <c r="B212" s="52"/>
      <c r="C212" s="52"/>
      <c r="D212" s="52"/>
      <c r="E212" s="52"/>
      <c r="F212" s="64" cm="1">
        <f t="array" ref="F212">IF(COUNT(FIND(PurlinsxGirthsxBracings,$C212))&gt;0,0,ROUNDUP(IF(D212=0,0,VLOOKUP(D212,'DATA SHEET'!$B:$D,2,FALSE)),2))</f>
        <v>0</v>
      </c>
      <c r="G212" s="64" cm="1">
        <f t="array" ref="G212">IF(COUNT(FIND(PurlinsxGirthsxBracings,$C212))&gt;0,0,ROUNDUP(IF(D212=0,0,VLOOKUP(D212,'DATA SHEET'!$B:$D,3,FALSE)),2))</f>
        <v>0</v>
      </c>
      <c r="H212" s="53"/>
      <c r="I212" s="66" cm="1">
        <f t="array" ref="I212">IF(AND(ISBLANK(B212),ISBLANK(C212),ISBLANK(E212)),0,IF(COUNT(FIND(PurlinsxGirthsxBracings,$C212))&gt;0,IF(B212=0,CONCATENATE(E212," ",C212),CONCATENATE(B212," - ",E212," ",C212)),IF(B212=0,IF(ISBLANK(C212),E212,CONCATENATE(D212,", ",F212,"kg/m, ",G212,"mm surface perimeter")),IF(AND(ISBLANK(C212),ISTEXT(E212)),CONCATENATE(B212," - ",E212),IF(AND(ISBLANK(C212),ISBLANK(E212)),B212,CONCATENATE(B212," - ",D212,", ",F212,"kg/m, ",G212,"mm surface perimeter"))))&amp;IF(ISBLANK(H212),"",H212)))</f>
        <v>0</v>
      </c>
      <c r="J212" s="53"/>
      <c r="L212" s="4" t="str" cm="1">
        <f t="array" ref="L212">IF(COUNT(FIND({0,1,2,3,4,5,6,7,8,9},B212))&gt;0,COUNT(FIND({0,1,2,3,4,5,6,7,8,9},B212))&gt;0,"")</f>
        <v/>
      </c>
      <c r="M212" s="4" t="str" cm="1">
        <f t="array" aca="1" ref="M212" ca="1">IFERROR(_xlfn.IFS(R212="Count",RANDBETWEEN(1,COUNTIF($R$11:$R$653,"Count")),R212="Length",RANDBETWEEN(1,COUNTIF($R$11:$R$653,"Length"))),"")</f>
        <v/>
      </c>
      <c r="N212" s="4" t="str">
        <f ca="1">IFERROR(_xlfn.RANK.EQ(M212,$M$11:$M$653)+COUNTIF($M$11:M212,M212)-1,"")</f>
        <v/>
      </c>
      <c r="O212" s="86" t="str">
        <f>IF(A212='DATA SHEET'!$L$36,C212,IFERROR(IF(AND(ISTEXT(I212),ISBLANK(C212)),"No details",VLOOKUP(C212,DimFolder,2,FALSE)),""))</f>
        <v/>
      </c>
      <c r="P212" s="4" t="str">
        <f t="shared" si="77"/>
        <v/>
      </c>
      <c r="Q212" s="58" t="str">
        <f t="shared" si="76"/>
        <v/>
      </c>
      <c r="R212" s="4" t="e" cm="1">
        <f t="array" ref="R212">IF(INDEX(Table2[],_xlfn.XMATCH($A212,Table2[Steel Member],0),_xlfn.XMATCH(R$2,Table2[#Headers],0))=0,"",INDEX(Table2[],_xlfn.XMATCH($A212,Table2[Steel Member],0),_xlfn.XMATCH(R$2,Table2[#Headers],0)))</f>
        <v>#N/A</v>
      </c>
      <c r="S212" s="4" t="e" cm="1">
        <f t="array" ref="S212">IF(INDEX(Table2[],_xlfn.XMATCH($A212,Table2[Steel Member],0),_xlfn.XMATCH(S$2,Table2[#Headers],0))=0,"",INDEX(Table2[],_xlfn.XMATCH($A212,Table2[Steel Member],0),_xlfn.XMATCH(S$2,Table2[#Headers],0)))</f>
        <v>#N/A</v>
      </c>
      <c r="T212" s="4" t="str">
        <f t="shared" si="67"/>
        <v/>
      </c>
      <c r="U212" s="4" t="e">
        <f ca="1">VLOOKUP(N212,'COLOR CODE'!$B:$D,2,FALSE)</f>
        <v>#N/A</v>
      </c>
      <c r="V212" s="4" t="str">
        <f t="shared" si="68"/>
        <v/>
      </c>
      <c r="W212" s="4" t="e" cm="1">
        <f t="array" ref="W212">IF(INDEX(Table2[],_xlfn.XMATCH($A212,Table2[Steel Member],0),_xlfn.XMATCH(W$2,Table2[#Headers],0))=0,"",INDEX(Table2[],_xlfn.XMATCH($A212,Table2[Steel Member],0),_xlfn.XMATCH(W$2,Table2[#Headers],0)))</f>
        <v>#N/A</v>
      </c>
      <c r="X212" s="4" t="e">
        <f t="shared" si="78"/>
        <v>#N/A</v>
      </c>
      <c r="Y212" s="4" t="e" cm="1">
        <f t="array" ref="Y212">IF(INDEX(Table2[],_xlfn.XMATCH($A212,Table2[Steel Member],0),_xlfn.XMATCH(Y$2,Table2[#Headers],0))=0,"",INDEX(Table2[],_xlfn.XMATCH($A212,Table2[Steel Member],0),_xlfn.XMATCH(Y$2,Table2[#Headers],0)))</f>
        <v>#N/A</v>
      </c>
      <c r="Z212" s="4" t="e" cm="1">
        <f t="array" ref="Z212">IF(INDEX(Table2[],_xlfn.XMATCH($A212,Table2[Steel Member],0),_xlfn.XMATCH(Z$2,Table2[#Headers],0))=0,"",INDEX(Table2[],_xlfn.XMATCH($A212,Table2[Steel Member],0),_xlfn.XMATCH(Z$2,Table2[#Headers],0)))</f>
        <v>#N/A</v>
      </c>
      <c r="AA212" s="4" t="e" cm="1">
        <f t="array" ref="AA212">IF(INDEX(Table2[],_xlfn.XMATCH($A212,Table2[Steel Member],0),_xlfn.XMATCH(AA$2,Table2[#Headers],0))=0,"",INDEX(Table2[],_xlfn.XMATCH($A212,Table2[Steel Member],0),_xlfn.XMATCH(AA$2,Table2[#Headers],0)))</f>
        <v>#N/A</v>
      </c>
      <c r="AB212" s="4" t="e" cm="1">
        <f t="array" ref="AB212">IF(INDEX(Table2[],_xlfn.XMATCH($A212,Table2[Steel Member],0),_xlfn.XMATCH(AB$2,Table2[#Headers],0))=0,"",INDEX(Table2[],_xlfn.XMATCH($A212,Table2[Steel Member],0),_xlfn.XMATCH(AB$2,Table2[#Headers],0)))</f>
        <v>#N/A</v>
      </c>
      <c r="AC212" s="4" t="str" cm="1">
        <f t="array" ref="AC212">IFERROR(INDEX(Table8[],_xlfn.XMATCH($O212,Table8[Dimension Name Category],0),_xlfn.XMATCH(AC$2&amp;IF($L212," w/ tag"," w/o tag"),Table8[#Headers],0)),"")</f>
        <v/>
      </c>
      <c r="AD212" s="59" t="str">
        <f t="shared" si="69"/>
        <v/>
      </c>
      <c r="AE212" s="4" t="str">
        <f t="shared" si="70"/>
        <v/>
      </c>
      <c r="AF212" s="4" t="str">
        <f t="shared" si="71"/>
        <v/>
      </c>
      <c r="AG212" s="4" t="str" cm="1">
        <f t="array" ref="AG212">IFERROR(INDEX(Table8[],_xlfn.XMATCH($O212,Table8[Dimension Name Category],0),_xlfn.XMATCH(AG$2&amp;IF($L212," w/ tag"," w/o tag"),Table8[#Headers],0)),"")</f>
        <v/>
      </c>
      <c r="AH212" s="59" t="str">
        <f t="shared" si="72"/>
        <v/>
      </c>
      <c r="AI212" s="4"/>
      <c r="AJ212" s="4" t="str">
        <f t="shared" si="73"/>
        <v/>
      </c>
      <c r="AK212" s="4" t="str">
        <f t="shared" si="74"/>
        <v/>
      </c>
      <c r="AL212" s="4" t="e" cm="1">
        <f t="array" ref="AL212">IF(INDEX(Table2[],_xlfn.XMATCH($A212,Table2[Steel Member],0),_xlfn.XMATCH(AL$2,Table2[#Headers],0))=0,"",INDEX(Table2[],_xlfn.XMATCH($A212,Table2[Steel Member],0),_xlfn.XMATCH(AL$2,Table2[#Headers],0)))</f>
        <v>#N/A</v>
      </c>
      <c r="AM212" s="4"/>
      <c r="AN212" s="4" t="str">
        <f t="shared" si="75"/>
        <v/>
      </c>
      <c r="AO212" s="4"/>
      <c r="AP212" s="4" t="e" cm="1">
        <f t="array" ref="AP212">IF(INDEX(Table2[],_xlfn.XMATCH($A212,Table2[Steel Member],0),_xlfn.XMATCH(AP$2,Table2[#Headers],0))=0,"",INDEX(Table2[],_xlfn.XMATCH($A212,Table2[Steel Member],0),_xlfn.XMATCH(AP$2,Table2[#Headers],0)))</f>
        <v>#N/A</v>
      </c>
      <c r="AQ212" s="4"/>
      <c r="AR212" s="4"/>
      <c r="AS212" s="4"/>
      <c r="AT212" s="4"/>
    </row>
    <row r="213" spans="1:46" x14ac:dyDescent="0.25">
      <c r="A213" s="52"/>
      <c r="B213" s="52"/>
      <c r="C213" s="52"/>
      <c r="D213" s="52"/>
      <c r="E213" s="52"/>
      <c r="F213" s="64" cm="1">
        <f t="array" ref="F213">IF(COUNT(FIND(PurlinsxGirthsxBracings,$C213))&gt;0,0,ROUNDUP(IF(D213=0,0,VLOOKUP(D213,'DATA SHEET'!$B:$D,2,FALSE)),2))</f>
        <v>0</v>
      </c>
      <c r="G213" s="64" cm="1">
        <f t="array" ref="G213">IF(COUNT(FIND(PurlinsxGirthsxBracings,$C213))&gt;0,0,ROUNDUP(IF(D213=0,0,VLOOKUP(D213,'DATA SHEET'!$B:$D,3,FALSE)),2))</f>
        <v>0</v>
      </c>
      <c r="H213" s="53"/>
      <c r="I213" s="66" cm="1">
        <f t="array" ref="I213">IF(AND(ISBLANK(B213),ISBLANK(C213),ISBLANK(E213)),0,IF(COUNT(FIND(PurlinsxGirthsxBracings,$C213))&gt;0,IF(B213=0,CONCATENATE(E213," ",C213),CONCATENATE(B213," - ",E213," ",C213)),IF(B213=0,IF(ISBLANK(C213),E213,CONCATENATE(D213,", ",F213,"kg/m, ",G213,"mm surface perimeter")),IF(AND(ISBLANK(C213),ISTEXT(E213)),CONCATENATE(B213," - ",E213),IF(AND(ISBLANK(C213),ISBLANK(E213)),B213,CONCATENATE(B213," - ",D213,", ",F213,"kg/m, ",G213,"mm surface perimeter"))))&amp;IF(ISBLANK(H213),"",H213)))</f>
        <v>0</v>
      </c>
      <c r="J213" s="53"/>
      <c r="L213" s="4" t="str" cm="1">
        <f t="array" ref="L213">IF(COUNT(FIND({0,1,2,3,4,5,6,7,8,9},B213))&gt;0,COUNT(FIND({0,1,2,3,4,5,6,7,8,9},B213))&gt;0,"")</f>
        <v/>
      </c>
      <c r="M213" s="4" t="str" cm="1">
        <f t="array" aca="1" ref="M213" ca="1">IFERROR(_xlfn.IFS(R213="Count",RANDBETWEEN(1,COUNTIF($R$11:$R$653,"Count")),R213="Length",RANDBETWEEN(1,COUNTIF($R$11:$R$653,"Length"))),"")</f>
        <v/>
      </c>
      <c r="N213" s="4" t="str">
        <f ca="1">IFERROR(_xlfn.RANK.EQ(M213,$M$11:$M$653)+COUNTIF($M$11:M213,M213)-1,"")</f>
        <v/>
      </c>
      <c r="O213" s="86" t="str">
        <f>IF(A213='DATA SHEET'!$L$36,C213,IFERROR(IF(AND(ISTEXT(I213),ISBLANK(C213)),"No details",VLOOKUP(C213,DimFolder,2,FALSE)),""))</f>
        <v/>
      </c>
      <c r="P213" s="4" t="str">
        <f t="shared" si="77"/>
        <v/>
      </c>
      <c r="Q213" s="58" t="str">
        <f t="shared" si="76"/>
        <v/>
      </c>
      <c r="R213" s="4" t="e" cm="1">
        <f t="array" ref="R213">IF(INDEX(Table2[],_xlfn.XMATCH($A213,Table2[Steel Member],0),_xlfn.XMATCH(R$2,Table2[#Headers],0))=0,"",INDEX(Table2[],_xlfn.XMATCH($A213,Table2[Steel Member],0),_xlfn.XMATCH(R$2,Table2[#Headers],0)))</f>
        <v>#N/A</v>
      </c>
      <c r="S213" s="4" t="e" cm="1">
        <f t="array" ref="S213">IF(INDEX(Table2[],_xlfn.XMATCH($A213,Table2[Steel Member],0),_xlfn.XMATCH(S$2,Table2[#Headers],0))=0,"",INDEX(Table2[],_xlfn.XMATCH($A213,Table2[Steel Member],0),_xlfn.XMATCH(S$2,Table2[#Headers],0)))</f>
        <v>#N/A</v>
      </c>
      <c r="T213" s="4" t="str">
        <f t="shared" si="67"/>
        <v/>
      </c>
      <c r="U213" s="4" t="e">
        <f ca="1">VLOOKUP(N213,'COLOR CODE'!$B:$D,2,FALSE)</f>
        <v>#N/A</v>
      </c>
      <c r="V213" s="4" t="str">
        <f t="shared" si="68"/>
        <v/>
      </c>
      <c r="W213" s="4" t="e" cm="1">
        <f t="array" ref="W213">IF(INDEX(Table2[],_xlfn.XMATCH($A213,Table2[Steel Member],0),_xlfn.XMATCH(W$2,Table2[#Headers],0))=0,"",INDEX(Table2[],_xlfn.XMATCH($A213,Table2[Steel Member],0),_xlfn.XMATCH(W$2,Table2[#Headers],0)))</f>
        <v>#N/A</v>
      </c>
      <c r="X213" s="4" t="e">
        <f t="shared" si="78"/>
        <v>#N/A</v>
      </c>
      <c r="Y213" s="4" t="e" cm="1">
        <f t="array" ref="Y213">IF(INDEX(Table2[],_xlfn.XMATCH($A213,Table2[Steel Member],0),_xlfn.XMATCH(Y$2,Table2[#Headers],0))=0,"",INDEX(Table2[],_xlfn.XMATCH($A213,Table2[Steel Member],0),_xlfn.XMATCH(Y$2,Table2[#Headers],0)))</f>
        <v>#N/A</v>
      </c>
      <c r="Z213" s="4" t="e" cm="1">
        <f t="array" ref="Z213">IF(INDEX(Table2[],_xlfn.XMATCH($A213,Table2[Steel Member],0),_xlfn.XMATCH(Z$2,Table2[#Headers],0))=0,"",INDEX(Table2[],_xlfn.XMATCH($A213,Table2[Steel Member],0),_xlfn.XMATCH(Z$2,Table2[#Headers],0)))</f>
        <v>#N/A</v>
      </c>
      <c r="AA213" s="4" t="e" cm="1">
        <f t="array" ref="AA213">IF(INDEX(Table2[],_xlfn.XMATCH($A213,Table2[Steel Member],0),_xlfn.XMATCH(AA$2,Table2[#Headers],0))=0,"",INDEX(Table2[],_xlfn.XMATCH($A213,Table2[Steel Member],0),_xlfn.XMATCH(AA$2,Table2[#Headers],0)))</f>
        <v>#N/A</v>
      </c>
      <c r="AB213" s="4" t="e" cm="1">
        <f t="array" ref="AB213">IF(INDEX(Table2[],_xlfn.XMATCH($A213,Table2[Steel Member],0),_xlfn.XMATCH(AB$2,Table2[#Headers],0))=0,"",INDEX(Table2[],_xlfn.XMATCH($A213,Table2[Steel Member],0),_xlfn.XMATCH(AB$2,Table2[#Headers],0)))</f>
        <v>#N/A</v>
      </c>
      <c r="AC213" s="4" t="str" cm="1">
        <f t="array" ref="AC213">IFERROR(INDEX(Table8[],_xlfn.XMATCH($O213,Table8[Dimension Name Category],0),_xlfn.XMATCH(AC$2&amp;IF($L213," w/ tag"," w/o tag"),Table8[#Headers],0)),"")</f>
        <v/>
      </c>
      <c r="AD213" s="59" t="str">
        <f t="shared" si="69"/>
        <v/>
      </c>
      <c r="AE213" s="4" t="str">
        <f t="shared" si="70"/>
        <v/>
      </c>
      <c r="AF213" s="4" t="str">
        <f t="shared" si="71"/>
        <v/>
      </c>
      <c r="AG213" s="4" t="str" cm="1">
        <f t="array" ref="AG213">IFERROR(INDEX(Table8[],_xlfn.XMATCH($O213,Table8[Dimension Name Category],0),_xlfn.XMATCH(AG$2&amp;IF($L213," w/ tag"," w/o tag"),Table8[#Headers],0)),"")</f>
        <v/>
      </c>
      <c r="AH213" s="59" t="str">
        <f t="shared" si="72"/>
        <v/>
      </c>
      <c r="AI213" s="4"/>
      <c r="AJ213" s="4" t="str">
        <f t="shared" si="73"/>
        <v/>
      </c>
      <c r="AK213" s="4" t="str">
        <f t="shared" si="74"/>
        <v/>
      </c>
      <c r="AL213" s="4" t="e" cm="1">
        <f t="array" ref="AL213">IF(INDEX(Table2[],_xlfn.XMATCH($A213,Table2[Steel Member],0),_xlfn.XMATCH(AL$2,Table2[#Headers],0))=0,"",INDEX(Table2[],_xlfn.XMATCH($A213,Table2[Steel Member],0),_xlfn.XMATCH(AL$2,Table2[#Headers],0)))</f>
        <v>#N/A</v>
      </c>
      <c r="AM213" s="4"/>
      <c r="AN213" s="4" t="str">
        <f t="shared" si="75"/>
        <v/>
      </c>
      <c r="AO213" s="4"/>
      <c r="AP213" s="4" t="e" cm="1">
        <f t="array" ref="AP213">IF(INDEX(Table2[],_xlfn.XMATCH($A213,Table2[Steel Member],0),_xlfn.XMATCH(AP$2,Table2[#Headers],0))=0,"",INDEX(Table2[],_xlfn.XMATCH($A213,Table2[Steel Member],0),_xlfn.XMATCH(AP$2,Table2[#Headers],0)))</f>
        <v>#N/A</v>
      </c>
      <c r="AQ213" s="4"/>
      <c r="AR213" s="4"/>
      <c r="AS213" s="4"/>
      <c r="AT213" s="4"/>
    </row>
    <row r="214" spans="1:46" x14ac:dyDescent="0.25">
      <c r="A214" s="52"/>
      <c r="B214" s="52"/>
      <c r="C214" s="52"/>
      <c r="D214" s="52"/>
      <c r="E214" s="52"/>
      <c r="F214" s="64" cm="1">
        <f t="array" ref="F214">IF(COUNT(FIND(PurlinsxGirthsxBracings,$C214))&gt;0,0,ROUNDUP(IF(D214=0,0,VLOOKUP(D214,'DATA SHEET'!$B:$D,2,FALSE)),2))</f>
        <v>0</v>
      </c>
      <c r="G214" s="64" cm="1">
        <f t="array" ref="G214">IF(COUNT(FIND(PurlinsxGirthsxBracings,$C214))&gt;0,0,ROUNDUP(IF(D214=0,0,VLOOKUP(D214,'DATA SHEET'!$B:$D,3,FALSE)),2))</f>
        <v>0</v>
      </c>
      <c r="H214" s="53"/>
      <c r="I214" s="66" cm="1">
        <f t="array" ref="I214">IF(AND(ISBLANK(B214),ISBLANK(C214),ISBLANK(E214)),0,IF(COUNT(FIND(PurlinsxGirthsxBracings,$C214))&gt;0,IF(B214=0,CONCATENATE(E214," ",C214),CONCATENATE(B214," - ",E214," ",C214)),IF(B214=0,IF(ISBLANK(C214),E214,CONCATENATE(D214,", ",F214,"kg/m, ",G214,"mm surface perimeter")),IF(AND(ISBLANK(C214),ISTEXT(E214)),CONCATENATE(B214," - ",E214),IF(AND(ISBLANK(C214),ISBLANK(E214)),B214,CONCATENATE(B214," - ",D214,", ",F214,"kg/m, ",G214,"mm surface perimeter"))))&amp;IF(ISBLANK(H214),"",H214)))</f>
        <v>0</v>
      </c>
      <c r="J214" s="53"/>
      <c r="L214" s="4" t="str" cm="1">
        <f t="array" ref="L214">IF(COUNT(FIND({0,1,2,3,4,5,6,7,8,9},B214))&gt;0,COUNT(FIND({0,1,2,3,4,5,6,7,8,9},B214))&gt;0,"")</f>
        <v/>
      </c>
      <c r="M214" s="4" t="str" cm="1">
        <f t="array" aca="1" ref="M214" ca="1">IFERROR(_xlfn.IFS(R214="Count",RANDBETWEEN(1,COUNTIF($R$11:$R$653,"Count")),R214="Length",RANDBETWEEN(1,COUNTIF($R$11:$R$653,"Length"))),"")</f>
        <v/>
      </c>
      <c r="N214" s="4" t="str">
        <f ca="1">IFERROR(_xlfn.RANK.EQ(M214,$M$11:$M$653)+COUNTIF($M$11:M214,M214)-1,"")</f>
        <v/>
      </c>
      <c r="O214" s="86" t="str">
        <f>IF(A214='DATA SHEET'!$L$36,C214,IFERROR(IF(AND(ISTEXT(I214),ISBLANK(C214)),"No details",VLOOKUP(C214,DimFolder,2,FALSE)),""))</f>
        <v/>
      </c>
      <c r="P214" s="4" t="str">
        <f t="shared" si="77"/>
        <v/>
      </c>
      <c r="Q214" s="58" t="str">
        <f t="shared" si="76"/>
        <v/>
      </c>
      <c r="R214" s="4" t="e" cm="1">
        <f t="array" ref="R214">IF(INDEX(Table2[],_xlfn.XMATCH($A214,Table2[Steel Member],0),_xlfn.XMATCH(R$2,Table2[#Headers],0))=0,"",INDEX(Table2[],_xlfn.XMATCH($A214,Table2[Steel Member],0),_xlfn.XMATCH(R$2,Table2[#Headers],0)))</f>
        <v>#N/A</v>
      </c>
      <c r="S214" s="4" t="e" cm="1">
        <f t="array" ref="S214">IF(INDEX(Table2[],_xlfn.XMATCH($A214,Table2[Steel Member],0),_xlfn.XMATCH(S$2,Table2[#Headers],0))=0,"",INDEX(Table2[],_xlfn.XMATCH($A214,Table2[Steel Member],0),_xlfn.XMATCH(S$2,Table2[#Headers],0)))</f>
        <v>#N/A</v>
      </c>
      <c r="T214" s="4" t="str">
        <f t="shared" si="67"/>
        <v/>
      </c>
      <c r="U214" s="4" t="e">
        <f ca="1">VLOOKUP(N214,'COLOR CODE'!$B:$D,2,FALSE)</f>
        <v>#N/A</v>
      </c>
      <c r="V214" s="4" t="str">
        <f t="shared" si="68"/>
        <v/>
      </c>
      <c r="W214" s="4" t="e" cm="1">
        <f t="array" ref="W214">IF(INDEX(Table2[],_xlfn.XMATCH($A214,Table2[Steel Member],0),_xlfn.XMATCH(W$2,Table2[#Headers],0))=0,"",INDEX(Table2[],_xlfn.XMATCH($A214,Table2[Steel Member],0),_xlfn.XMATCH(W$2,Table2[#Headers],0)))</f>
        <v>#N/A</v>
      </c>
      <c r="X214" s="4" t="e">
        <f t="shared" si="78"/>
        <v>#N/A</v>
      </c>
      <c r="Y214" s="4" t="e" cm="1">
        <f t="array" ref="Y214">IF(INDEX(Table2[],_xlfn.XMATCH($A214,Table2[Steel Member],0),_xlfn.XMATCH(Y$2,Table2[#Headers],0))=0,"",INDEX(Table2[],_xlfn.XMATCH($A214,Table2[Steel Member],0),_xlfn.XMATCH(Y$2,Table2[#Headers],0)))</f>
        <v>#N/A</v>
      </c>
      <c r="Z214" s="4" t="e" cm="1">
        <f t="array" ref="Z214">IF(INDEX(Table2[],_xlfn.XMATCH($A214,Table2[Steel Member],0),_xlfn.XMATCH(Z$2,Table2[#Headers],0))=0,"",INDEX(Table2[],_xlfn.XMATCH($A214,Table2[Steel Member],0),_xlfn.XMATCH(Z$2,Table2[#Headers],0)))</f>
        <v>#N/A</v>
      </c>
      <c r="AA214" s="4" t="e" cm="1">
        <f t="array" ref="AA214">IF(INDEX(Table2[],_xlfn.XMATCH($A214,Table2[Steel Member],0),_xlfn.XMATCH(AA$2,Table2[#Headers],0))=0,"",INDEX(Table2[],_xlfn.XMATCH($A214,Table2[Steel Member],0),_xlfn.XMATCH(AA$2,Table2[#Headers],0)))</f>
        <v>#N/A</v>
      </c>
      <c r="AB214" s="4" t="e" cm="1">
        <f t="array" ref="AB214">IF(INDEX(Table2[],_xlfn.XMATCH($A214,Table2[Steel Member],0),_xlfn.XMATCH(AB$2,Table2[#Headers],0))=0,"",INDEX(Table2[],_xlfn.XMATCH($A214,Table2[Steel Member],0),_xlfn.XMATCH(AB$2,Table2[#Headers],0)))</f>
        <v>#N/A</v>
      </c>
      <c r="AC214" s="4" t="str" cm="1">
        <f t="array" ref="AC214">IFERROR(INDEX(Table8[],_xlfn.XMATCH($O214,Table8[Dimension Name Category],0),_xlfn.XMATCH(AC$2&amp;IF($L214," w/ tag"," w/o tag"),Table8[#Headers],0)),"")</f>
        <v/>
      </c>
      <c r="AD214" s="59" t="str">
        <f t="shared" si="69"/>
        <v/>
      </c>
      <c r="AE214" s="4" t="str">
        <f t="shared" si="70"/>
        <v/>
      </c>
      <c r="AF214" s="4" t="str">
        <f t="shared" si="71"/>
        <v/>
      </c>
      <c r="AG214" s="4" t="str" cm="1">
        <f t="array" ref="AG214">IFERROR(INDEX(Table8[],_xlfn.XMATCH($O214,Table8[Dimension Name Category],0),_xlfn.XMATCH(AG$2&amp;IF($L214," w/ tag"," w/o tag"),Table8[#Headers],0)),"")</f>
        <v/>
      </c>
      <c r="AH214" s="59" t="str">
        <f t="shared" si="72"/>
        <v/>
      </c>
      <c r="AI214" s="4"/>
      <c r="AJ214" s="4" t="str">
        <f t="shared" si="73"/>
        <v/>
      </c>
      <c r="AK214" s="4" t="str">
        <f t="shared" si="74"/>
        <v/>
      </c>
      <c r="AL214" s="4" t="e" cm="1">
        <f t="array" ref="AL214">IF(INDEX(Table2[],_xlfn.XMATCH($A214,Table2[Steel Member],0),_xlfn.XMATCH(AL$2,Table2[#Headers],0))=0,"",INDEX(Table2[],_xlfn.XMATCH($A214,Table2[Steel Member],0),_xlfn.XMATCH(AL$2,Table2[#Headers],0)))</f>
        <v>#N/A</v>
      </c>
      <c r="AM214" s="4"/>
      <c r="AN214" s="4" t="str">
        <f t="shared" si="75"/>
        <v/>
      </c>
      <c r="AO214" s="4"/>
      <c r="AP214" s="4" t="e" cm="1">
        <f t="array" ref="AP214">IF(INDEX(Table2[],_xlfn.XMATCH($A214,Table2[Steel Member],0),_xlfn.XMATCH(AP$2,Table2[#Headers],0))=0,"",INDEX(Table2[],_xlfn.XMATCH($A214,Table2[Steel Member],0),_xlfn.XMATCH(AP$2,Table2[#Headers],0)))</f>
        <v>#N/A</v>
      </c>
      <c r="AQ214" s="4"/>
      <c r="AR214" s="4"/>
      <c r="AS214" s="4"/>
      <c r="AT214" s="4"/>
    </row>
    <row r="215" spans="1:46" x14ac:dyDescent="0.25">
      <c r="A215" s="52"/>
      <c r="B215" s="53"/>
      <c r="C215" s="52"/>
      <c r="D215" s="52"/>
      <c r="E215" s="52"/>
      <c r="F215" s="64" cm="1">
        <f t="array" ref="F215">IF(COUNT(FIND(PurlinsxGirthsxBracings,$C215))&gt;0,0,ROUNDUP(IF(D215=0,0,VLOOKUP(D215,'DATA SHEET'!$B:$D,2,FALSE)),2))</f>
        <v>0</v>
      </c>
      <c r="G215" s="64" cm="1">
        <f t="array" ref="G215">IF(COUNT(FIND(PurlinsxGirthsxBracings,$C215))&gt;0,0,ROUNDUP(IF(D215=0,0,VLOOKUP(D215,'DATA SHEET'!$B:$D,3,FALSE)),2))</f>
        <v>0</v>
      </c>
      <c r="H215" s="53"/>
      <c r="I215" s="66" cm="1">
        <f t="array" ref="I215">IF(AND(ISBLANK(B215),ISBLANK(C215),ISBLANK(E215)),0,IF(COUNT(FIND(PurlinsxGirthsxBracings,$C215))&gt;0,IF(B215=0,CONCATENATE(E215," ",C215),CONCATENATE(B215," - ",E215," ",C215)),IF(B215=0,IF(ISBLANK(C215),E215,CONCATENATE(D215,", ",F215,"kg/m, ",G215,"mm surface perimeter")),IF(AND(ISBLANK(C215),ISTEXT(E215)),CONCATENATE(B215," - ",E215),IF(AND(ISBLANK(C215),ISBLANK(E215)),B215,CONCATENATE(B215," - ",D215,", ",F215,"kg/m, ",G215,"mm surface perimeter"))))&amp;IF(ISBLANK(H215),"",H215)))</f>
        <v>0</v>
      </c>
      <c r="J215" s="53"/>
      <c r="L215" s="4" t="str" cm="1">
        <f t="array" ref="L215">IF(COUNT(FIND({0,1,2,3,4,5,6,7,8,9},B215))&gt;0,COUNT(FIND({0,1,2,3,4,5,6,7,8,9},B215))&gt;0,"")</f>
        <v/>
      </c>
      <c r="M215" s="4" t="str" cm="1">
        <f t="array" aca="1" ref="M215" ca="1">IFERROR(_xlfn.IFS(R215="Count",RANDBETWEEN(1,COUNTIF($R$11:$R$653,"Count")),R215="Length",RANDBETWEEN(1,COUNTIF($R$11:$R$653,"Length"))),"")</f>
        <v/>
      </c>
      <c r="N215" s="4" t="str">
        <f ca="1">IFERROR(_xlfn.RANK.EQ(M215,$M$11:$M$653)+COUNTIF($M$11:M215,M215)-1,"")</f>
        <v/>
      </c>
      <c r="O215" s="86" t="str">
        <f>IF(A215='DATA SHEET'!$L$36,C215,IFERROR(IF(AND(ISTEXT(I215),ISBLANK(C215)),"No details",VLOOKUP(C215,DimFolder,2,FALSE)),""))</f>
        <v/>
      </c>
      <c r="P215" s="4" t="str">
        <f t="shared" si="77"/>
        <v/>
      </c>
      <c r="Q215" s="58" t="str">
        <f t="shared" si="76"/>
        <v/>
      </c>
      <c r="R215" s="4" t="e" cm="1">
        <f t="array" ref="R215">IF(INDEX(Table2[],_xlfn.XMATCH($A215,Table2[Steel Member],0),_xlfn.XMATCH(R$2,Table2[#Headers],0))=0,"",INDEX(Table2[],_xlfn.XMATCH($A215,Table2[Steel Member],0),_xlfn.XMATCH(R$2,Table2[#Headers],0)))</f>
        <v>#N/A</v>
      </c>
      <c r="S215" s="4" t="e" cm="1">
        <f t="array" ref="S215">IF(INDEX(Table2[],_xlfn.XMATCH($A215,Table2[Steel Member],0),_xlfn.XMATCH(S$2,Table2[#Headers],0))=0,"",INDEX(Table2[],_xlfn.XMATCH($A215,Table2[Steel Member],0),_xlfn.XMATCH(S$2,Table2[#Headers],0)))</f>
        <v>#N/A</v>
      </c>
      <c r="T215" s="4" t="str">
        <f t="shared" si="67"/>
        <v/>
      </c>
      <c r="U215" s="4" t="e">
        <f ca="1">VLOOKUP(N215,'COLOR CODE'!$B:$D,2,FALSE)</f>
        <v>#N/A</v>
      </c>
      <c r="V215" s="4" t="str">
        <f t="shared" si="68"/>
        <v/>
      </c>
      <c r="W215" s="4" t="e" cm="1">
        <f t="array" ref="W215">IF(INDEX(Table2[],_xlfn.XMATCH($A215,Table2[Steel Member],0),_xlfn.XMATCH(W$2,Table2[#Headers],0))=0,"",INDEX(Table2[],_xlfn.XMATCH($A215,Table2[Steel Member],0),_xlfn.XMATCH(W$2,Table2[#Headers],0)))</f>
        <v>#N/A</v>
      </c>
      <c r="X215" s="4" t="e">
        <f t="shared" si="78"/>
        <v>#N/A</v>
      </c>
      <c r="Y215" s="4" t="e" cm="1">
        <f t="array" ref="Y215">IF(INDEX(Table2[],_xlfn.XMATCH($A215,Table2[Steel Member],0),_xlfn.XMATCH(Y$2,Table2[#Headers],0))=0,"",INDEX(Table2[],_xlfn.XMATCH($A215,Table2[Steel Member],0),_xlfn.XMATCH(Y$2,Table2[#Headers],0)))</f>
        <v>#N/A</v>
      </c>
      <c r="Z215" s="4" t="e" cm="1">
        <f t="array" ref="Z215">IF(INDEX(Table2[],_xlfn.XMATCH($A215,Table2[Steel Member],0),_xlfn.XMATCH(Z$2,Table2[#Headers],0))=0,"",INDEX(Table2[],_xlfn.XMATCH($A215,Table2[Steel Member],0),_xlfn.XMATCH(Z$2,Table2[#Headers],0)))</f>
        <v>#N/A</v>
      </c>
      <c r="AA215" s="4" t="e" cm="1">
        <f t="array" ref="AA215">IF(INDEX(Table2[],_xlfn.XMATCH($A215,Table2[Steel Member],0),_xlfn.XMATCH(AA$2,Table2[#Headers],0))=0,"",INDEX(Table2[],_xlfn.XMATCH($A215,Table2[Steel Member],0),_xlfn.XMATCH(AA$2,Table2[#Headers],0)))</f>
        <v>#N/A</v>
      </c>
      <c r="AB215" s="4" t="e" cm="1">
        <f t="array" ref="AB215">IF(INDEX(Table2[],_xlfn.XMATCH($A215,Table2[Steel Member],0),_xlfn.XMATCH(AB$2,Table2[#Headers],0))=0,"",INDEX(Table2[],_xlfn.XMATCH($A215,Table2[Steel Member],0),_xlfn.XMATCH(AB$2,Table2[#Headers],0)))</f>
        <v>#N/A</v>
      </c>
      <c r="AC215" s="4" t="str" cm="1">
        <f t="array" ref="AC215">IFERROR(INDEX(Table8[],_xlfn.XMATCH($O215,Table8[Dimension Name Category],0),_xlfn.XMATCH(AC$2&amp;IF($L215," w/ tag"," w/o tag"),Table8[#Headers],0)),"")</f>
        <v/>
      </c>
      <c r="AD215" s="59" t="str">
        <f t="shared" si="69"/>
        <v/>
      </c>
      <c r="AE215" s="4" t="str">
        <f t="shared" si="70"/>
        <v/>
      </c>
      <c r="AF215" s="4" t="str">
        <f t="shared" si="71"/>
        <v/>
      </c>
      <c r="AG215" s="4" t="str" cm="1">
        <f t="array" ref="AG215">IFERROR(INDEX(Table8[],_xlfn.XMATCH($O215,Table8[Dimension Name Category],0),_xlfn.XMATCH(AG$2&amp;IF($L215," w/ tag"," w/o tag"),Table8[#Headers],0)),"")</f>
        <v/>
      </c>
      <c r="AH215" s="59" t="str">
        <f t="shared" si="72"/>
        <v/>
      </c>
      <c r="AI215" s="4"/>
      <c r="AJ215" s="4" t="str">
        <f t="shared" si="73"/>
        <v/>
      </c>
      <c r="AK215" s="4" t="str">
        <f t="shared" si="74"/>
        <v/>
      </c>
      <c r="AL215" s="4" t="e" cm="1">
        <f t="array" ref="AL215">IF(INDEX(Table2[],_xlfn.XMATCH($A215,Table2[Steel Member],0),_xlfn.XMATCH(AL$2,Table2[#Headers],0))=0,"",INDEX(Table2[],_xlfn.XMATCH($A215,Table2[Steel Member],0),_xlfn.XMATCH(AL$2,Table2[#Headers],0)))</f>
        <v>#N/A</v>
      </c>
      <c r="AM215" s="4"/>
      <c r="AN215" s="4" t="str">
        <f t="shared" si="75"/>
        <v/>
      </c>
      <c r="AO215" s="4"/>
      <c r="AP215" s="4" t="e" cm="1">
        <f t="array" ref="AP215">IF(INDEX(Table2[],_xlfn.XMATCH($A215,Table2[Steel Member],0),_xlfn.XMATCH(AP$2,Table2[#Headers],0))=0,"",INDEX(Table2[],_xlfn.XMATCH($A215,Table2[Steel Member],0),_xlfn.XMATCH(AP$2,Table2[#Headers],0)))</f>
        <v>#N/A</v>
      </c>
      <c r="AQ215" s="4"/>
      <c r="AR215" s="4"/>
      <c r="AS215" s="4"/>
      <c r="AT215" s="4"/>
    </row>
    <row r="216" spans="1:46" x14ac:dyDescent="0.25">
      <c r="A216" s="52"/>
      <c r="B216" s="52"/>
      <c r="C216" s="52"/>
      <c r="D216" s="52"/>
      <c r="E216" s="52"/>
      <c r="F216" s="64" cm="1">
        <f t="array" ref="F216">IF(COUNT(FIND(PurlinsxGirthsxBracings,$C216))&gt;0,0,ROUNDUP(IF(D216=0,0,VLOOKUP(D216,'DATA SHEET'!$B:$D,2,FALSE)),2))</f>
        <v>0</v>
      </c>
      <c r="G216" s="64" cm="1">
        <f t="array" ref="G216">IF(COUNT(FIND(PurlinsxGirthsxBracings,$C216))&gt;0,0,ROUNDUP(IF(D216=0,0,VLOOKUP(D216,'DATA SHEET'!$B:$D,3,FALSE)),2))</f>
        <v>0</v>
      </c>
      <c r="H216" s="53"/>
      <c r="I216" s="66" cm="1">
        <f t="array" ref="I216">IF(AND(ISBLANK(B216),ISBLANK(C216),ISBLANK(E216)),0,IF(COUNT(FIND(PurlinsxGirthsxBracings,$C216))&gt;0,IF(B216=0,CONCATENATE(E216," ",C216),CONCATENATE(B216," - ",E216," ",C216)),IF(B216=0,IF(ISBLANK(C216),E216,CONCATENATE(D216,", ",F216,"kg/m, ",G216,"mm surface perimeter")),IF(AND(ISBLANK(C216),ISTEXT(E216)),CONCATENATE(B216," - ",E216),IF(AND(ISBLANK(C216),ISBLANK(E216)),B216,CONCATENATE(B216," - ",D216,", ",F216,"kg/m, ",G216,"mm surface perimeter"))))&amp;IF(ISBLANK(H216),"",H216)))</f>
        <v>0</v>
      </c>
      <c r="J216" s="53"/>
      <c r="L216" s="4" t="str" cm="1">
        <f t="array" ref="L216">IF(COUNT(FIND({0,1,2,3,4,5,6,7,8,9},B216))&gt;0,COUNT(FIND({0,1,2,3,4,5,6,7,8,9},B216))&gt;0,"")</f>
        <v/>
      </c>
      <c r="M216" s="4" t="str" cm="1">
        <f t="array" aca="1" ref="M216" ca="1">IFERROR(_xlfn.IFS(R216="Count",RANDBETWEEN(1,COUNTIF($R$11:$R$653,"Count")),R216="Length",RANDBETWEEN(1,COUNTIF($R$11:$R$653,"Length"))),"")</f>
        <v/>
      </c>
      <c r="N216" s="4" t="str">
        <f ca="1">IFERROR(_xlfn.RANK.EQ(M216,$M$11:$M$653)+COUNTIF($M$11:M216,M216)-1,"")</f>
        <v/>
      </c>
      <c r="O216" s="86" t="str">
        <f>IF(A216='DATA SHEET'!$L$36,C216,IFERROR(IF(AND(ISTEXT(I216),ISBLANK(C216)),"No details",VLOOKUP(C216,DimFolder,2,FALSE)),""))</f>
        <v/>
      </c>
      <c r="P216" s="4" t="str">
        <f t="shared" si="77"/>
        <v/>
      </c>
      <c r="Q216" s="58" t="str">
        <f t="shared" si="76"/>
        <v/>
      </c>
      <c r="R216" s="4" t="e" cm="1">
        <f t="array" ref="R216">IF(INDEX(Table2[],_xlfn.XMATCH($A216,Table2[Steel Member],0),_xlfn.XMATCH(R$2,Table2[#Headers],0))=0,"",INDEX(Table2[],_xlfn.XMATCH($A216,Table2[Steel Member],0),_xlfn.XMATCH(R$2,Table2[#Headers],0)))</f>
        <v>#N/A</v>
      </c>
      <c r="S216" s="4" t="e" cm="1">
        <f t="array" ref="S216">IF(INDEX(Table2[],_xlfn.XMATCH($A216,Table2[Steel Member],0),_xlfn.XMATCH(S$2,Table2[#Headers],0))=0,"",INDEX(Table2[],_xlfn.XMATCH($A216,Table2[Steel Member],0),_xlfn.XMATCH(S$2,Table2[#Headers],0)))</f>
        <v>#N/A</v>
      </c>
      <c r="T216" s="4" t="str">
        <f t="shared" si="67"/>
        <v/>
      </c>
      <c r="U216" s="4" t="e">
        <f ca="1">VLOOKUP(N216,'COLOR CODE'!$B:$D,2,FALSE)</f>
        <v>#N/A</v>
      </c>
      <c r="V216" s="4" t="str">
        <f t="shared" si="68"/>
        <v/>
      </c>
      <c r="W216" s="4" t="e" cm="1">
        <f t="array" ref="W216">IF(INDEX(Table2[],_xlfn.XMATCH($A216,Table2[Steel Member],0),_xlfn.XMATCH(W$2,Table2[#Headers],0))=0,"",INDEX(Table2[],_xlfn.XMATCH($A216,Table2[Steel Member],0),_xlfn.XMATCH(W$2,Table2[#Headers],0)))</f>
        <v>#N/A</v>
      </c>
      <c r="X216" s="4" t="e">
        <f t="shared" si="78"/>
        <v>#N/A</v>
      </c>
      <c r="Y216" s="4" t="e" cm="1">
        <f t="array" ref="Y216">IF(INDEX(Table2[],_xlfn.XMATCH($A216,Table2[Steel Member],0),_xlfn.XMATCH(Y$2,Table2[#Headers],0))=0,"",INDEX(Table2[],_xlfn.XMATCH($A216,Table2[Steel Member],0),_xlfn.XMATCH(Y$2,Table2[#Headers],0)))</f>
        <v>#N/A</v>
      </c>
      <c r="Z216" s="4" t="e" cm="1">
        <f t="array" ref="Z216">IF(INDEX(Table2[],_xlfn.XMATCH($A216,Table2[Steel Member],0),_xlfn.XMATCH(Z$2,Table2[#Headers],0))=0,"",INDEX(Table2[],_xlfn.XMATCH($A216,Table2[Steel Member],0),_xlfn.XMATCH(Z$2,Table2[#Headers],0)))</f>
        <v>#N/A</v>
      </c>
      <c r="AA216" s="4" t="e" cm="1">
        <f t="array" ref="AA216">IF(INDEX(Table2[],_xlfn.XMATCH($A216,Table2[Steel Member],0),_xlfn.XMATCH(AA$2,Table2[#Headers],0))=0,"",INDEX(Table2[],_xlfn.XMATCH($A216,Table2[Steel Member],0),_xlfn.XMATCH(AA$2,Table2[#Headers],0)))</f>
        <v>#N/A</v>
      </c>
      <c r="AB216" s="4" t="e" cm="1">
        <f t="array" ref="AB216">IF(INDEX(Table2[],_xlfn.XMATCH($A216,Table2[Steel Member],0),_xlfn.XMATCH(AB$2,Table2[#Headers],0))=0,"",INDEX(Table2[],_xlfn.XMATCH($A216,Table2[Steel Member],0),_xlfn.XMATCH(AB$2,Table2[#Headers],0)))</f>
        <v>#N/A</v>
      </c>
      <c r="AC216" s="4" t="str" cm="1">
        <f t="array" ref="AC216">IFERROR(INDEX(Table8[],_xlfn.XMATCH($O216,Table8[Dimension Name Category],0),_xlfn.XMATCH(AC$2&amp;IF($L216," w/ tag"," w/o tag"),Table8[#Headers],0)),"")</f>
        <v/>
      </c>
      <c r="AD216" s="59" t="str">
        <f t="shared" si="69"/>
        <v/>
      </c>
      <c r="AE216" s="4" t="str">
        <f t="shared" si="70"/>
        <v/>
      </c>
      <c r="AF216" s="4" t="str">
        <f t="shared" si="71"/>
        <v/>
      </c>
      <c r="AG216" s="4" t="str" cm="1">
        <f t="array" ref="AG216">IFERROR(INDEX(Table8[],_xlfn.XMATCH($O216,Table8[Dimension Name Category],0),_xlfn.XMATCH(AG$2&amp;IF($L216," w/ tag"," w/o tag"),Table8[#Headers],0)),"")</f>
        <v/>
      </c>
      <c r="AH216" s="59" t="str">
        <f t="shared" si="72"/>
        <v/>
      </c>
      <c r="AI216" s="4"/>
      <c r="AJ216" s="4" t="str">
        <f t="shared" si="73"/>
        <v/>
      </c>
      <c r="AK216" s="4" t="str">
        <f t="shared" si="74"/>
        <v/>
      </c>
      <c r="AL216" s="4" t="e" cm="1">
        <f t="array" ref="AL216">IF(INDEX(Table2[],_xlfn.XMATCH($A216,Table2[Steel Member],0),_xlfn.XMATCH(AL$2,Table2[#Headers],0))=0,"",INDEX(Table2[],_xlfn.XMATCH($A216,Table2[Steel Member],0),_xlfn.XMATCH(AL$2,Table2[#Headers],0)))</f>
        <v>#N/A</v>
      </c>
      <c r="AM216" s="4"/>
      <c r="AN216" s="4" t="str">
        <f t="shared" si="75"/>
        <v/>
      </c>
      <c r="AO216" s="4"/>
      <c r="AP216" s="4" t="e" cm="1">
        <f t="array" ref="AP216">IF(INDEX(Table2[],_xlfn.XMATCH($A216,Table2[Steel Member],0),_xlfn.XMATCH(AP$2,Table2[#Headers],0))=0,"",INDEX(Table2[],_xlfn.XMATCH($A216,Table2[Steel Member],0),_xlfn.XMATCH(AP$2,Table2[#Headers],0)))</f>
        <v>#N/A</v>
      </c>
      <c r="AQ216" s="4"/>
      <c r="AR216" s="4"/>
      <c r="AS216" s="4"/>
      <c r="AT216" s="4"/>
    </row>
    <row r="217" spans="1:46" x14ac:dyDescent="0.25">
      <c r="A217" s="52"/>
      <c r="B217" s="52"/>
      <c r="C217" s="52"/>
      <c r="D217" s="52"/>
      <c r="E217" s="52"/>
      <c r="F217" s="64" cm="1">
        <f t="array" ref="F217">IF(COUNT(FIND(PurlinsxGirthsxBracings,$C217))&gt;0,0,ROUNDUP(IF(D217=0,0,VLOOKUP(D217,'DATA SHEET'!$B:$D,2,FALSE)),2))</f>
        <v>0</v>
      </c>
      <c r="G217" s="64" cm="1">
        <f t="array" ref="G217">IF(COUNT(FIND(PurlinsxGirthsxBracings,$C217))&gt;0,0,ROUNDUP(IF(D217=0,0,VLOOKUP(D217,'DATA SHEET'!$B:$D,3,FALSE)),2))</f>
        <v>0</v>
      </c>
      <c r="H217" s="53"/>
      <c r="I217" s="66" cm="1">
        <f t="array" ref="I217">IF(AND(ISBLANK(B217),ISBLANK(C217),ISBLANK(E217)),0,IF(COUNT(FIND(PurlinsxGirthsxBracings,$C217))&gt;0,IF(B217=0,CONCATENATE(E217," ",C217),CONCATENATE(B217," - ",E217," ",C217)),IF(B217=0,IF(ISBLANK(C217),E217,CONCATENATE(D217,", ",F217,"kg/m, ",G217,"mm surface perimeter")),IF(AND(ISBLANK(C217),ISTEXT(E217)),CONCATENATE(B217," - ",E217),IF(AND(ISBLANK(C217),ISBLANK(E217)),B217,CONCATENATE(B217," - ",D217,", ",F217,"kg/m, ",G217,"mm surface perimeter"))))&amp;IF(ISBLANK(H217),"",H217)))</f>
        <v>0</v>
      </c>
      <c r="J217" s="53"/>
      <c r="L217" s="4" t="str" cm="1">
        <f t="array" ref="L217">IF(COUNT(FIND({0,1,2,3,4,5,6,7,8,9},B217))&gt;0,COUNT(FIND({0,1,2,3,4,5,6,7,8,9},B217))&gt;0,"")</f>
        <v/>
      </c>
      <c r="M217" s="4" t="str" cm="1">
        <f t="array" aca="1" ref="M217" ca="1">IFERROR(_xlfn.IFS(R217="Count",RANDBETWEEN(1,COUNTIF($R$11:$R$653,"Count")),R217="Length",RANDBETWEEN(1,COUNTIF($R$11:$R$653,"Length"))),"")</f>
        <v/>
      </c>
      <c r="N217" s="4" t="str">
        <f ca="1">IFERROR(_xlfn.RANK.EQ(M217,$M$11:$M$653)+COUNTIF($M$11:M217,M217)-1,"")</f>
        <v/>
      </c>
      <c r="O217" s="86" t="str">
        <f>IF(A217='DATA SHEET'!$L$36,C217,IFERROR(IF(AND(ISTEXT(I217),ISBLANK(C217)),"No details",VLOOKUP(C217,DimFolder,2,FALSE)),""))</f>
        <v/>
      </c>
      <c r="P217" s="4" t="str">
        <f t="shared" si="77"/>
        <v/>
      </c>
      <c r="Q217" s="58" t="str">
        <f t="shared" si="76"/>
        <v/>
      </c>
      <c r="R217" s="4" t="e" cm="1">
        <f t="array" ref="R217">IF(INDEX(Table2[],_xlfn.XMATCH($A217,Table2[Steel Member],0),_xlfn.XMATCH(R$2,Table2[#Headers],0))=0,"",INDEX(Table2[],_xlfn.XMATCH($A217,Table2[Steel Member],0),_xlfn.XMATCH(R$2,Table2[#Headers],0)))</f>
        <v>#N/A</v>
      </c>
      <c r="S217" s="4" t="e" cm="1">
        <f t="array" ref="S217">IF(INDEX(Table2[],_xlfn.XMATCH($A217,Table2[Steel Member],0),_xlfn.XMATCH(S$2,Table2[#Headers],0))=0,"",INDEX(Table2[],_xlfn.XMATCH($A217,Table2[Steel Member],0),_xlfn.XMATCH(S$2,Table2[#Headers],0)))</f>
        <v>#N/A</v>
      </c>
      <c r="T217" s="4" t="str">
        <f t="shared" si="67"/>
        <v/>
      </c>
      <c r="U217" s="4" t="e">
        <f ca="1">VLOOKUP(N217,'COLOR CODE'!$B:$D,2,FALSE)</f>
        <v>#N/A</v>
      </c>
      <c r="V217" s="4" t="str">
        <f t="shared" si="68"/>
        <v/>
      </c>
      <c r="W217" s="4" t="e" cm="1">
        <f t="array" ref="W217">IF(INDEX(Table2[],_xlfn.XMATCH($A217,Table2[Steel Member],0),_xlfn.XMATCH(W$2,Table2[#Headers],0))=0,"",INDEX(Table2[],_xlfn.XMATCH($A217,Table2[Steel Member],0),_xlfn.XMATCH(W$2,Table2[#Headers],0)))</f>
        <v>#N/A</v>
      </c>
      <c r="X217" s="4" t="e">
        <f t="shared" si="78"/>
        <v>#N/A</v>
      </c>
      <c r="Y217" s="4" t="e" cm="1">
        <f t="array" ref="Y217">IF(INDEX(Table2[],_xlfn.XMATCH($A217,Table2[Steel Member],0),_xlfn.XMATCH(Y$2,Table2[#Headers],0))=0,"",INDEX(Table2[],_xlfn.XMATCH($A217,Table2[Steel Member],0),_xlfn.XMATCH(Y$2,Table2[#Headers],0)))</f>
        <v>#N/A</v>
      </c>
      <c r="Z217" s="4" t="e" cm="1">
        <f t="array" ref="Z217">IF(INDEX(Table2[],_xlfn.XMATCH($A217,Table2[Steel Member],0),_xlfn.XMATCH(Z$2,Table2[#Headers],0))=0,"",INDEX(Table2[],_xlfn.XMATCH($A217,Table2[Steel Member],0),_xlfn.XMATCH(Z$2,Table2[#Headers],0)))</f>
        <v>#N/A</v>
      </c>
      <c r="AA217" s="4" t="e" cm="1">
        <f t="array" ref="AA217">IF(INDEX(Table2[],_xlfn.XMATCH($A217,Table2[Steel Member],0),_xlfn.XMATCH(AA$2,Table2[#Headers],0))=0,"",INDEX(Table2[],_xlfn.XMATCH($A217,Table2[Steel Member],0),_xlfn.XMATCH(AA$2,Table2[#Headers],0)))</f>
        <v>#N/A</v>
      </c>
      <c r="AB217" s="4" t="e" cm="1">
        <f t="array" ref="AB217">IF(INDEX(Table2[],_xlfn.XMATCH($A217,Table2[Steel Member],0),_xlfn.XMATCH(AB$2,Table2[#Headers],0))=0,"",INDEX(Table2[],_xlfn.XMATCH($A217,Table2[Steel Member],0),_xlfn.XMATCH(AB$2,Table2[#Headers],0)))</f>
        <v>#N/A</v>
      </c>
      <c r="AC217" s="4" t="str" cm="1">
        <f t="array" ref="AC217">IFERROR(INDEX(Table8[],_xlfn.XMATCH($O217,Table8[Dimension Name Category],0),_xlfn.XMATCH(AC$2&amp;IF($L217," w/ tag"," w/o tag"),Table8[#Headers],0)),"")</f>
        <v/>
      </c>
      <c r="AD217" s="59" t="str">
        <f t="shared" si="69"/>
        <v/>
      </c>
      <c r="AE217" s="4" t="str">
        <f t="shared" si="70"/>
        <v/>
      </c>
      <c r="AF217" s="4" t="str">
        <f t="shared" si="71"/>
        <v/>
      </c>
      <c r="AG217" s="4" t="str" cm="1">
        <f t="array" ref="AG217">IFERROR(INDEX(Table8[],_xlfn.XMATCH($O217,Table8[Dimension Name Category],0),_xlfn.XMATCH(AG$2&amp;IF($L217," w/ tag"," w/o tag"),Table8[#Headers],0)),"")</f>
        <v/>
      </c>
      <c r="AH217" s="59" t="str">
        <f t="shared" si="72"/>
        <v/>
      </c>
      <c r="AI217" s="4"/>
      <c r="AJ217" s="4" t="str">
        <f t="shared" si="73"/>
        <v/>
      </c>
      <c r="AK217" s="4" t="str">
        <f t="shared" si="74"/>
        <v/>
      </c>
      <c r="AL217" s="4" t="e" cm="1">
        <f t="array" ref="AL217">IF(INDEX(Table2[],_xlfn.XMATCH($A217,Table2[Steel Member],0),_xlfn.XMATCH(AL$2,Table2[#Headers],0))=0,"",INDEX(Table2[],_xlfn.XMATCH($A217,Table2[Steel Member],0),_xlfn.XMATCH(AL$2,Table2[#Headers],0)))</f>
        <v>#N/A</v>
      </c>
      <c r="AM217" s="4"/>
      <c r="AN217" s="4" t="str">
        <f t="shared" si="75"/>
        <v/>
      </c>
      <c r="AO217" s="4"/>
      <c r="AP217" s="4" t="e" cm="1">
        <f t="array" ref="AP217">IF(INDEX(Table2[],_xlfn.XMATCH($A217,Table2[Steel Member],0),_xlfn.XMATCH(AP$2,Table2[#Headers],0))=0,"",INDEX(Table2[],_xlfn.XMATCH($A217,Table2[Steel Member],0),_xlfn.XMATCH(AP$2,Table2[#Headers],0)))</f>
        <v>#N/A</v>
      </c>
      <c r="AQ217" s="4"/>
      <c r="AR217" s="4"/>
      <c r="AS217" s="4"/>
      <c r="AT217" s="4"/>
    </row>
    <row r="218" spans="1:46" x14ac:dyDescent="0.25">
      <c r="A218" s="52"/>
      <c r="B218" s="52"/>
      <c r="C218" s="52"/>
      <c r="D218" s="52"/>
      <c r="E218" s="52"/>
      <c r="F218" s="64" cm="1">
        <f t="array" ref="F218">IF(COUNT(FIND(PurlinsxGirthsxBracings,$C218))&gt;0,0,ROUNDUP(IF(D218=0,0,VLOOKUP(D218,'DATA SHEET'!$B:$D,2,FALSE)),2))</f>
        <v>0</v>
      </c>
      <c r="G218" s="64" cm="1">
        <f t="array" ref="G218">IF(COUNT(FIND(PurlinsxGirthsxBracings,$C218))&gt;0,0,ROUNDUP(IF(D218=0,0,VLOOKUP(D218,'DATA SHEET'!$B:$D,3,FALSE)),2))</f>
        <v>0</v>
      </c>
      <c r="H218" s="53"/>
      <c r="I218" s="66" cm="1">
        <f t="array" ref="I218">IF(AND(ISBLANK(B218),ISBLANK(C218),ISBLANK(E218)),0,IF(COUNT(FIND(PurlinsxGirthsxBracings,$C218))&gt;0,IF(B218=0,CONCATENATE(E218," ",C218),CONCATENATE(B218," - ",E218," ",C218)),IF(B218=0,IF(ISBLANK(C218),E218,CONCATENATE(D218,", ",F218,"kg/m, ",G218,"mm surface perimeter")),IF(AND(ISBLANK(C218),ISTEXT(E218)),CONCATENATE(B218," - ",E218),IF(AND(ISBLANK(C218),ISBLANK(E218)),B218,CONCATENATE(B218," - ",D218,", ",F218,"kg/m, ",G218,"mm surface perimeter"))))&amp;IF(ISBLANK(H218),"",H218)))</f>
        <v>0</v>
      </c>
      <c r="J218" s="53"/>
      <c r="L218" s="4" t="str" cm="1">
        <f t="array" ref="L218">IF(COUNT(FIND({0,1,2,3,4,5,6,7,8,9},B218))&gt;0,COUNT(FIND({0,1,2,3,4,5,6,7,8,9},B218))&gt;0,"")</f>
        <v/>
      </c>
      <c r="M218" s="4" t="str" cm="1">
        <f t="array" aca="1" ref="M218" ca="1">IFERROR(_xlfn.IFS(R218="Count",RANDBETWEEN(1,COUNTIF($R$11:$R$653,"Count")),R218="Length",RANDBETWEEN(1,COUNTIF($R$11:$R$653,"Length"))),"")</f>
        <v/>
      </c>
      <c r="N218" s="4" t="str">
        <f ca="1">IFERROR(_xlfn.RANK.EQ(M218,$M$11:$M$653)+COUNTIF($M$11:M218,M218)-1,"")</f>
        <v/>
      </c>
      <c r="O218" s="86" t="str">
        <f>IF(A218='DATA SHEET'!$L$36,C218,IFERROR(IF(AND(ISTEXT(I218),ISBLANK(C218)),"No details",VLOOKUP(C218,DimFolder,2,FALSE)),""))</f>
        <v/>
      </c>
      <c r="P218" s="4" t="str">
        <f t="shared" si="77"/>
        <v/>
      </c>
      <c r="Q218" s="58" t="str">
        <f t="shared" si="76"/>
        <v/>
      </c>
      <c r="R218" s="4" t="e" cm="1">
        <f t="array" ref="R218">IF(INDEX(Table2[],_xlfn.XMATCH($A218,Table2[Steel Member],0),_xlfn.XMATCH(R$2,Table2[#Headers],0))=0,"",INDEX(Table2[],_xlfn.XMATCH($A218,Table2[Steel Member],0),_xlfn.XMATCH(R$2,Table2[#Headers],0)))</f>
        <v>#N/A</v>
      </c>
      <c r="S218" s="4" t="e" cm="1">
        <f t="array" ref="S218">IF(INDEX(Table2[],_xlfn.XMATCH($A218,Table2[Steel Member],0),_xlfn.XMATCH(S$2,Table2[#Headers],0))=0,"",INDEX(Table2[],_xlfn.XMATCH($A218,Table2[Steel Member],0),_xlfn.XMATCH(S$2,Table2[#Headers],0)))</f>
        <v>#N/A</v>
      </c>
      <c r="T218" s="4" t="str">
        <f t="shared" si="67"/>
        <v/>
      </c>
      <c r="U218" s="4" t="e">
        <f ca="1">VLOOKUP(N218,'COLOR CODE'!$B:$D,2,FALSE)</f>
        <v>#N/A</v>
      </c>
      <c r="V218" s="4" t="str">
        <f t="shared" si="68"/>
        <v/>
      </c>
      <c r="W218" s="4" t="e" cm="1">
        <f t="array" ref="W218">IF(INDEX(Table2[],_xlfn.XMATCH($A218,Table2[Steel Member],0),_xlfn.XMATCH(W$2,Table2[#Headers],0))=0,"",INDEX(Table2[],_xlfn.XMATCH($A218,Table2[Steel Member],0),_xlfn.XMATCH(W$2,Table2[#Headers],0)))</f>
        <v>#N/A</v>
      </c>
      <c r="X218" s="4" t="e">
        <f t="shared" si="78"/>
        <v>#N/A</v>
      </c>
      <c r="Y218" s="4" t="e" cm="1">
        <f t="array" ref="Y218">IF(INDEX(Table2[],_xlfn.XMATCH($A218,Table2[Steel Member],0),_xlfn.XMATCH(Y$2,Table2[#Headers],0))=0,"",INDEX(Table2[],_xlfn.XMATCH($A218,Table2[Steel Member],0),_xlfn.XMATCH(Y$2,Table2[#Headers],0)))</f>
        <v>#N/A</v>
      </c>
      <c r="Z218" s="4" t="e" cm="1">
        <f t="array" ref="Z218">IF(INDEX(Table2[],_xlfn.XMATCH($A218,Table2[Steel Member],0),_xlfn.XMATCH(Z$2,Table2[#Headers],0))=0,"",INDEX(Table2[],_xlfn.XMATCH($A218,Table2[Steel Member],0),_xlfn.XMATCH(Z$2,Table2[#Headers],0)))</f>
        <v>#N/A</v>
      </c>
      <c r="AA218" s="4" t="e" cm="1">
        <f t="array" ref="AA218">IF(INDEX(Table2[],_xlfn.XMATCH($A218,Table2[Steel Member],0),_xlfn.XMATCH(AA$2,Table2[#Headers],0))=0,"",INDEX(Table2[],_xlfn.XMATCH($A218,Table2[Steel Member],0),_xlfn.XMATCH(AA$2,Table2[#Headers],0)))</f>
        <v>#N/A</v>
      </c>
      <c r="AB218" s="4" t="e" cm="1">
        <f t="array" ref="AB218">IF(INDEX(Table2[],_xlfn.XMATCH($A218,Table2[Steel Member],0),_xlfn.XMATCH(AB$2,Table2[#Headers],0))=0,"",INDEX(Table2[],_xlfn.XMATCH($A218,Table2[Steel Member],0),_xlfn.XMATCH(AB$2,Table2[#Headers],0)))</f>
        <v>#N/A</v>
      </c>
      <c r="AC218" s="4" t="str" cm="1">
        <f t="array" ref="AC218">IFERROR(INDEX(Table8[],_xlfn.XMATCH($O218,Table8[Dimension Name Category],0),_xlfn.XMATCH(AC$2&amp;IF($L218," w/ tag"," w/o tag"),Table8[#Headers],0)),"")</f>
        <v/>
      </c>
      <c r="AD218" s="59" t="str">
        <f t="shared" si="69"/>
        <v/>
      </c>
      <c r="AE218" s="4" t="str">
        <f t="shared" si="70"/>
        <v/>
      </c>
      <c r="AF218" s="4" t="str">
        <f t="shared" si="71"/>
        <v/>
      </c>
      <c r="AG218" s="4" t="str" cm="1">
        <f t="array" ref="AG218">IFERROR(INDEX(Table8[],_xlfn.XMATCH($O218,Table8[Dimension Name Category],0),_xlfn.XMATCH(AG$2&amp;IF($L218," w/ tag"," w/o tag"),Table8[#Headers],0)),"")</f>
        <v/>
      </c>
      <c r="AH218" s="59" t="str">
        <f t="shared" si="72"/>
        <v/>
      </c>
      <c r="AI218" s="4"/>
      <c r="AJ218" s="4" t="str">
        <f t="shared" si="73"/>
        <v/>
      </c>
      <c r="AK218" s="4" t="str">
        <f t="shared" si="74"/>
        <v/>
      </c>
      <c r="AL218" s="4" t="e" cm="1">
        <f t="array" ref="AL218">IF(INDEX(Table2[],_xlfn.XMATCH($A218,Table2[Steel Member],0),_xlfn.XMATCH(AL$2,Table2[#Headers],0))=0,"",INDEX(Table2[],_xlfn.XMATCH($A218,Table2[Steel Member],0),_xlfn.XMATCH(AL$2,Table2[#Headers],0)))</f>
        <v>#N/A</v>
      </c>
      <c r="AM218" s="4"/>
      <c r="AN218" s="4" t="str">
        <f t="shared" si="75"/>
        <v/>
      </c>
      <c r="AO218" s="4"/>
      <c r="AP218" s="4" t="e" cm="1">
        <f t="array" ref="AP218">IF(INDEX(Table2[],_xlfn.XMATCH($A218,Table2[Steel Member],0),_xlfn.XMATCH(AP$2,Table2[#Headers],0))=0,"",INDEX(Table2[],_xlfn.XMATCH($A218,Table2[Steel Member],0),_xlfn.XMATCH(AP$2,Table2[#Headers],0)))</f>
        <v>#N/A</v>
      </c>
      <c r="AQ218" s="4"/>
      <c r="AR218" s="4"/>
      <c r="AS218" s="4"/>
      <c r="AT218" s="4"/>
    </row>
    <row r="219" spans="1:46" x14ac:dyDescent="0.25">
      <c r="A219" s="52"/>
      <c r="B219" s="52"/>
      <c r="C219" s="52"/>
      <c r="D219" s="52"/>
      <c r="E219" s="52"/>
      <c r="F219" s="64" cm="1">
        <f t="array" ref="F219">IF(COUNT(FIND(PurlinsxGirthsxBracings,$C219))&gt;0,0,ROUNDUP(IF(D219=0,0,VLOOKUP(D219,'DATA SHEET'!$B:$D,2,FALSE)),2))</f>
        <v>0</v>
      </c>
      <c r="G219" s="64" cm="1">
        <f t="array" ref="G219">IF(COUNT(FIND(PurlinsxGirthsxBracings,$C219))&gt;0,0,ROUNDUP(IF(D219=0,0,VLOOKUP(D219,'DATA SHEET'!$B:$D,3,FALSE)),2))</f>
        <v>0</v>
      </c>
      <c r="H219" s="53"/>
      <c r="I219" s="66" cm="1">
        <f t="array" ref="I219">IF(AND(ISBLANK(B219),ISBLANK(C219),ISBLANK(E219)),0,IF(COUNT(FIND(PurlinsxGirthsxBracings,$C219))&gt;0,IF(B219=0,CONCATENATE(E219," ",C219),CONCATENATE(B219," - ",E219," ",C219)),IF(B219=0,IF(ISBLANK(C219),E219,CONCATENATE(D219,", ",F219,"kg/m, ",G219,"mm surface perimeter")),IF(AND(ISBLANK(C219),ISTEXT(E219)),CONCATENATE(B219," - ",E219),IF(AND(ISBLANK(C219),ISBLANK(E219)),B219,CONCATENATE(B219," - ",D219,", ",F219,"kg/m, ",G219,"mm surface perimeter"))))&amp;IF(ISBLANK(H219),"",H219)))</f>
        <v>0</v>
      </c>
      <c r="J219" s="53"/>
      <c r="L219" s="4" t="str" cm="1">
        <f t="array" ref="L219">IF(COUNT(FIND({0,1,2,3,4,5,6,7,8,9},B219))&gt;0,COUNT(FIND({0,1,2,3,4,5,6,7,8,9},B219))&gt;0,"")</f>
        <v/>
      </c>
      <c r="M219" s="4" t="str" cm="1">
        <f t="array" aca="1" ref="M219" ca="1">IFERROR(_xlfn.IFS(R219="Count",RANDBETWEEN(1,COUNTIF($R$11:$R$653,"Count")),R219="Length",RANDBETWEEN(1,COUNTIF($R$11:$R$653,"Length"))),"")</f>
        <v/>
      </c>
      <c r="N219" s="4" t="str">
        <f ca="1">IFERROR(_xlfn.RANK.EQ(M219,$M$11:$M$653)+COUNTIF($M$11:M219,M219)-1,"")</f>
        <v/>
      </c>
      <c r="O219" s="86" t="str">
        <f>IF(A219='DATA SHEET'!$L$36,C219,IFERROR(IF(AND(ISTEXT(I219),ISBLANK(C219)),"No details",VLOOKUP(C219,DimFolder,2,FALSE)),""))</f>
        <v/>
      </c>
      <c r="P219" s="4" t="str">
        <f t="shared" si="77"/>
        <v/>
      </c>
      <c r="Q219" s="58" t="str">
        <f t="shared" si="76"/>
        <v/>
      </c>
      <c r="R219" s="4" t="e" cm="1">
        <f t="array" ref="R219">IF(INDEX(Table2[],_xlfn.XMATCH($A219,Table2[Steel Member],0),_xlfn.XMATCH(R$2,Table2[#Headers],0))=0,"",INDEX(Table2[],_xlfn.XMATCH($A219,Table2[Steel Member],0),_xlfn.XMATCH(R$2,Table2[#Headers],0)))</f>
        <v>#N/A</v>
      </c>
      <c r="S219" s="4" t="e" cm="1">
        <f t="array" ref="S219">IF(INDEX(Table2[],_xlfn.XMATCH($A219,Table2[Steel Member],0),_xlfn.XMATCH(S$2,Table2[#Headers],0))=0,"",INDEX(Table2[],_xlfn.XMATCH($A219,Table2[Steel Member],0),_xlfn.XMATCH(S$2,Table2[#Headers],0)))</f>
        <v>#N/A</v>
      </c>
      <c r="T219" s="4" t="str">
        <f t="shared" si="67"/>
        <v/>
      </c>
      <c r="U219" s="4" t="e">
        <f ca="1">VLOOKUP(N219,'COLOR CODE'!$B:$D,2,FALSE)</f>
        <v>#N/A</v>
      </c>
      <c r="V219" s="4" t="str">
        <f t="shared" si="68"/>
        <v/>
      </c>
      <c r="W219" s="4" t="e" cm="1">
        <f t="array" ref="W219">IF(INDEX(Table2[],_xlfn.XMATCH($A219,Table2[Steel Member],0),_xlfn.XMATCH(W$2,Table2[#Headers],0))=0,"",INDEX(Table2[],_xlfn.XMATCH($A219,Table2[Steel Member],0),_xlfn.XMATCH(W$2,Table2[#Headers],0)))</f>
        <v>#N/A</v>
      </c>
      <c r="X219" s="4" t="e">
        <f t="shared" si="78"/>
        <v>#N/A</v>
      </c>
      <c r="Y219" s="4" t="e" cm="1">
        <f t="array" ref="Y219">IF(INDEX(Table2[],_xlfn.XMATCH($A219,Table2[Steel Member],0),_xlfn.XMATCH(Y$2,Table2[#Headers],0))=0,"",INDEX(Table2[],_xlfn.XMATCH($A219,Table2[Steel Member],0),_xlfn.XMATCH(Y$2,Table2[#Headers],0)))</f>
        <v>#N/A</v>
      </c>
      <c r="Z219" s="4" t="e" cm="1">
        <f t="array" ref="Z219">IF(INDEX(Table2[],_xlfn.XMATCH($A219,Table2[Steel Member],0),_xlfn.XMATCH(Z$2,Table2[#Headers],0))=0,"",INDEX(Table2[],_xlfn.XMATCH($A219,Table2[Steel Member],0),_xlfn.XMATCH(Z$2,Table2[#Headers],0)))</f>
        <v>#N/A</v>
      </c>
      <c r="AA219" s="4" t="e" cm="1">
        <f t="array" ref="AA219">IF(INDEX(Table2[],_xlfn.XMATCH($A219,Table2[Steel Member],0),_xlfn.XMATCH(AA$2,Table2[#Headers],0))=0,"",INDEX(Table2[],_xlfn.XMATCH($A219,Table2[Steel Member],0),_xlfn.XMATCH(AA$2,Table2[#Headers],0)))</f>
        <v>#N/A</v>
      </c>
      <c r="AB219" s="4" t="e" cm="1">
        <f t="array" ref="AB219">IF(INDEX(Table2[],_xlfn.XMATCH($A219,Table2[Steel Member],0),_xlfn.XMATCH(AB$2,Table2[#Headers],0))=0,"",INDEX(Table2[],_xlfn.XMATCH($A219,Table2[Steel Member],0),_xlfn.XMATCH(AB$2,Table2[#Headers],0)))</f>
        <v>#N/A</v>
      </c>
      <c r="AC219" s="4" t="str" cm="1">
        <f t="array" ref="AC219">IFERROR(INDEX(Table8[],_xlfn.XMATCH($O219,Table8[Dimension Name Category],0),_xlfn.XMATCH(AC$2&amp;IF($L219," w/ tag"," w/o tag"),Table8[#Headers],0)),"")</f>
        <v/>
      </c>
      <c r="AD219" s="59" t="str">
        <f t="shared" si="69"/>
        <v/>
      </c>
      <c r="AE219" s="4" t="str">
        <f t="shared" si="70"/>
        <v/>
      </c>
      <c r="AF219" s="4" t="str">
        <f t="shared" si="71"/>
        <v/>
      </c>
      <c r="AG219" s="4" t="str" cm="1">
        <f t="array" ref="AG219">IFERROR(INDEX(Table8[],_xlfn.XMATCH($O219,Table8[Dimension Name Category],0),_xlfn.XMATCH(AG$2&amp;IF($L219," w/ tag"," w/o tag"),Table8[#Headers],0)),"")</f>
        <v/>
      </c>
      <c r="AH219" s="59" t="str">
        <f t="shared" si="72"/>
        <v/>
      </c>
      <c r="AI219" s="4"/>
      <c r="AJ219" s="4" t="str">
        <f t="shared" si="73"/>
        <v/>
      </c>
      <c r="AK219" s="4" t="str">
        <f t="shared" si="74"/>
        <v/>
      </c>
      <c r="AL219" s="4" t="e" cm="1">
        <f t="array" ref="AL219">IF(INDEX(Table2[],_xlfn.XMATCH($A219,Table2[Steel Member],0),_xlfn.XMATCH(AL$2,Table2[#Headers],0))=0,"",INDEX(Table2[],_xlfn.XMATCH($A219,Table2[Steel Member],0),_xlfn.XMATCH(AL$2,Table2[#Headers],0)))</f>
        <v>#N/A</v>
      </c>
      <c r="AM219" s="4"/>
      <c r="AN219" s="4" t="str">
        <f t="shared" si="75"/>
        <v/>
      </c>
      <c r="AO219" s="4"/>
      <c r="AP219" s="4" t="e" cm="1">
        <f t="array" ref="AP219">IF(INDEX(Table2[],_xlfn.XMATCH($A219,Table2[Steel Member],0),_xlfn.XMATCH(AP$2,Table2[#Headers],0))=0,"",INDEX(Table2[],_xlfn.XMATCH($A219,Table2[Steel Member],0),_xlfn.XMATCH(AP$2,Table2[#Headers],0)))</f>
        <v>#N/A</v>
      </c>
      <c r="AQ219" s="4"/>
      <c r="AR219" s="4"/>
      <c r="AS219" s="4"/>
      <c r="AT219" s="4"/>
    </row>
    <row r="220" spans="1:46" x14ac:dyDescent="0.25">
      <c r="A220" s="52"/>
      <c r="B220" s="52"/>
      <c r="C220" s="52"/>
      <c r="D220" s="52"/>
      <c r="E220" s="52"/>
      <c r="F220" s="64" cm="1">
        <f t="array" ref="F220">IF(COUNT(FIND(PurlinsxGirthsxBracings,$C220))&gt;0,0,ROUNDUP(IF(D220=0,0,VLOOKUP(D220,'DATA SHEET'!$B:$D,2,FALSE)),2))</f>
        <v>0</v>
      </c>
      <c r="G220" s="64" cm="1">
        <f t="array" ref="G220">IF(COUNT(FIND(PurlinsxGirthsxBracings,$C220))&gt;0,0,ROUNDUP(IF(D220=0,0,VLOOKUP(D220,'DATA SHEET'!$B:$D,3,FALSE)),2))</f>
        <v>0</v>
      </c>
      <c r="H220" s="53"/>
      <c r="I220" s="66" cm="1">
        <f t="array" ref="I220">IF(AND(ISBLANK(B220),ISBLANK(C220),ISBLANK(E220)),0,IF(COUNT(FIND(PurlinsxGirthsxBracings,$C220))&gt;0,IF(B220=0,CONCATENATE(E220," ",C220),CONCATENATE(B220," - ",E220," ",C220)),IF(B220=0,IF(ISBLANK(C220),E220,CONCATENATE(D220,", ",F220,"kg/m, ",G220,"mm surface perimeter")),IF(AND(ISBLANK(C220),ISTEXT(E220)),CONCATENATE(B220," - ",E220),IF(AND(ISBLANK(C220),ISBLANK(E220)),B220,CONCATENATE(B220," - ",D220,", ",F220,"kg/m, ",G220,"mm surface perimeter"))))&amp;IF(ISBLANK(H220),"",H220)))</f>
        <v>0</v>
      </c>
      <c r="J220" s="53"/>
      <c r="L220" s="4" t="str" cm="1">
        <f t="array" ref="L220">IF(COUNT(FIND({0,1,2,3,4,5,6,7,8,9},B220))&gt;0,COUNT(FIND({0,1,2,3,4,5,6,7,8,9},B220))&gt;0,"")</f>
        <v/>
      </c>
      <c r="M220" s="4" t="str" cm="1">
        <f t="array" aca="1" ref="M220" ca="1">IFERROR(_xlfn.IFS(R220="Count",RANDBETWEEN(1,COUNTIF($R$11:$R$653,"Count")),R220="Length",RANDBETWEEN(1,COUNTIF($R$11:$R$653,"Length"))),"")</f>
        <v/>
      </c>
      <c r="N220" s="4" t="str">
        <f ca="1">IFERROR(_xlfn.RANK.EQ(M220,$M$11:$M$653)+COUNTIF($M$11:M220,M220)-1,"")</f>
        <v/>
      </c>
      <c r="O220" s="86" t="str">
        <f>IF(A220='DATA SHEET'!$L$36,C220,IFERROR(IF(AND(ISTEXT(I220),ISBLANK(C220)),"No details",VLOOKUP(C220,DimFolder,2,FALSE)),""))</f>
        <v/>
      </c>
      <c r="P220" s="4" t="str">
        <f t="shared" si="77"/>
        <v/>
      </c>
      <c r="Q220" s="58" t="str">
        <f t="shared" si="76"/>
        <v/>
      </c>
      <c r="R220" s="4" t="e" cm="1">
        <f t="array" ref="R220">IF(INDEX(Table2[],_xlfn.XMATCH($A220,Table2[Steel Member],0),_xlfn.XMATCH(R$2,Table2[#Headers],0))=0,"",INDEX(Table2[],_xlfn.XMATCH($A220,Table2[Steel Member],0),_xlfn.XMATCH(R$2,Table2[#Headers],0)))</f>
        <v>#N/A</v>
      </c>
      <c r="S220" s="4" t="e" cm="1">
        <f t="array" ref="S220">IF(INDEX(Table2[],_xlfn.XMATCH($A220,Table2[Steel Member],0),_xlfn.XMATCH(S$2,Table2[#Headers],0))=0,"",INDEX(Table2[],_xlfn.XMATCH($A220,Table2[Steel Member],0),_xlfn.XMATCH(S$2,Table2[#Headers],0)))</f>
        <v>#N/A</v>
      </c>
      <c r="T220" s="4" t="str">
        <f t="shared" si="67"/>
        <v/>
      </c>
      <c r="U220" s="4" t="e">
        <f ca="1">VLOOKUP(N220,'COLOR CODE'!$B:$D,2,FALSE)</f>
        <v>#N/A</v>
      </c>
      <c r="V220" s="4" t="str">
        <f t="shared" si="68"/>
        <v/>
      </c>
      <c r="W220" s="4" t="e" cm="1">
        <f t="array" ref="W220">IF(INDEX(Table2[],_xlfn.XMATCH($A220,Table2[Steel Member],0),_xlfn.XMATCH(W$2,Table2[#Headers],0))=0,"",INDEX(Table2[],_xlfn.XMATCH($A220,Table2[Steel Member],0),_xlfn.XMATCH(W$2,Table2[#Headers],0)))</f>
        <v>#N/A</v>
      </c>
      <c r="X220" s="4" t="e">
        <f t="shared" si="78"/>
        <v>#N/A</v>
      </c>
      <c r="Y220" s="4" t="e" cm="1">
        <f t="array" ref="Y220">IF(INDEX(Table2[],_xlfn.XMATCH($A220,Table2[Steel Member],0),_xlfn.XMATCH(Y$2,Table2[#Headers],0))=0,"",INDEX(Table2[],_xlfn.XMATCH($A220,Table2[Steel Member],0),_xlfn.XMATCH(Y$2,Table2[#Headers],0)))</f>
        <v>#N/A</v>
      </c>
      <c r="Z220" s="4" t="e" cm="1">
        <f t="array" ref="Z220">IF(INDEX(Table2[],_xlfn.XMATCH($A220,Table2[Steel Member],0),_xlfn.XMATCH(Z$2,Table2[#Headers],0))=0,"",INDEX(Table2[],_xlfn.XMATCH($A220,Table2[Steel Member],0),_xlfn.XMATCH(Z$2,Table2[#Headers],0)))</f>
        <v>#N/A</v>
      </c>
      <c r="AA220" s="4" t="e" cm="1">
        <f t="array" ref="AA220">IF(INDEX(Table2[],_xlfn.XMATCH($A220,Table2[Steel Member],0),_xlfn.XMATCH(AA$2,Table2[#Headers],0))=0,"",INDEX(Table2[],_xlfn.XMATCH($A220,Table2[Steel Member],0),_xlfn.XMATCH(AA$2,Table2[#Headers],0)))</f>
        <v>#N/A</v>
      </c>
      <c r="AB220" s="4" t="e" cm="1">
        <f t="array" ref="AB220">IF(INDEX(Table2[],_xlfn.XMATCH($A220,Table2[Steel Member],0),_xlfn.XMATCH(AB$2,Table2[#Headers],0))=0,"",INDEX(Table2[],_xlfn.XMATCH($A220,Table2[Steel Member],0),_xlfn.XMATCH(AB$2,Table2[#Headers],0)))</f>
        <v>#N/A</v>
      </c>
      <c r="AC220" s="4" t="str" cm="1">
        <f t="array" ref="AC220">IFERROR(INDEX(Table8[],_xlfn.XMATCH($O220,Table8[Dimension Name Category],0),_xlfn.XMATCH(AC$2&amp;IF($L220," w/ tag"," w/o tag"),Table8[#Headers],0)),"")</f>
        <v/>
      </c>
      <c r="AD220" s="59" t="str">
        <f t="shared" si="69"/>
        <v/>
      </c>
      <c r="AE220" s="4" t="str">
        <f t="shared" si="70"/>
        <v/>
      </c>
      <c r="AF220" s="4" t="str">
        <f t="shared" si="71"/>
        <v/>
      </c>
      <c r="AG220" s="4" t="str" cm="1">
        <f t="array" ref="AG220">IFERROR(INDEX(Table8[],_xlfn.XMATCH($O220,Table8[Dimension Name Category],0),_xlfn.XMATCH(AG$2&amp;IF($L220," w/ tag"," w/o tag"),Table8[#Headers],0)),"")</f>
        <v/>
      </c>
      <c r="AH220" s="59" t="str">
        <f t="shared" si="72"/>
        <v/>
      </c>
      <c r="AI220" s="4"/>
      <c r="AJ220" s="4" t="str">
        <f t="shared" si="73"/>
        <v/>
      </c>
      <c r="AK220" s="4" t="str">
        <f t="shared" si="74"/>
        <v/>
      </c>
      <c r="AL220" s="4" t="e" cm="1">
        <f t="array" ref="AL220">IF(INDEX(Table2[],_xlfn.XMATCH($A220,Table2[Steel Member],0),_xlfn.XMATCH(AL$2,Table2[#Headers],0))=0,"",INDEX(Table2[],_xlfn.XMATCH($A220,Table2[Steel Member],0),_xlfn.XMATCH(AL$2,Table2[#Headers],0)))</f>
        <v>#N/A</v>
      </c>
      <c r="AM220" s="4"/>
      <c r="AN220" s="4" t="str">
        <f t="shared" si="75"/>
        <v/>
      </c>
      <c r="AO220" s="4"/>
      <c r="AP220" s="4" t="e" cm="1">
        <f t="array" ref="AP220">IF(INDEX(Table2[],_xlfn.XMATCH($A220,Table2[Steel Member],0),_xlfn.XMATCH(AP$2,Table2[#Headers],0))=0,"",INDEX(Table2[],_xlfn.XMATCH($A220,Table2[Steel Member],0),_xlfn.XMATCH(AP$2,Table2[#Headers],0)))</f>
        <v>#N/A</v>
      </c>
      <c r="AQ220" s="4"/>
      <c r="AR220" s="4"/>
      <c r="AS220" s="4"/>
      <c r="AT220" s="4"/>
    </row>
    <row r="221" spans="1:46" x14ac:dyDescent="0.25">
      <c r="A221" s="52"/>
      <c r="B221" s="52"/>
      <c r="C221" s="52"/>
      <c r="D221" s="52"/>
      <c r="E221" s="52"/>
      <c r="F221" s="64" cm="1">
        <f t="array" ref="F221">IF(COUNT(FIND(PurlinsxGirthsxBracings,$C221))&gt;0,0,ROUNDUP(IF(D221=0,0,VLOOKUP(D221,'DATA SHEET'!$B:$D,2,FALSE)),2))</f>
        <v>0</v>
      </c>
      <c r="G221" s="64" cm="1">
        <f t="array" ref="G221">IF(COUNT(FIND(PurlinsxGirthsxBracings,$C221))&gt;0,0,ROUNDUP(IF(D221=0,0,VLOOKUP(D221,'DATA SHEET'!$B:$D,3,FALSE)),2))</f>
        <v>0</v>
      </c>
      <c r="H221" s="53"/>
      <c r="I221" s="66" cm="1">
        <f t="array" ref="I221">IF(AND(ISBLANK(B221),ISBLANK(C221),ISBLANK(E221)),0,IF(COUNT(FIND(PurlinsxGirthsxBracings,$C221))&gt;0,IF(B221=0,CONCATENATE(E221," ",C221),CONCATENATE(B221," - ",E221," ",C221)),IF(B221=0,IF(ISBLANK(C221),E221,CONCATENATE(D221,", ",F221,"kg/m, ",G221,"mm surface perimeter")),IF(AND(ISBLANK(C221),ISTEXT(E221)),CONCATENATE(B221," - ",E221),IF(AND(ISBLANK(C221),ISBLANK(E221)),B221,CONCATENATE(B221," - ",D221,", ",F221,"kg/m, ",G221,"mm surface perimeter"))))&amp;IF(ISBLANK(H221),"",H221)))</f>
        <v>0</v>
      </c>
      <c r="J221" s="53"/>
      <c r="L221" s="4" t="str" cm="1">
        <f t="array" ref="L221">IF(COUNT(FIND({0,1,2,3,4,5,6,7,8,9},B221))&gt;0,COUNT(FIND({0,1,2,3,4,5,6,7,8,9},B221))&gt;0,"")</f>
        <v/>
      </c>
      <c r="M221" s="4" t="str" cm="1">
        <f t="array" aca="1" ref="M221" ca="1">IFERROR(_xlfn.IFS(R221="Count",RANDBETWEEN(1,COUNTIF($R$11:$R$653,"Count")),R221="Length",RANDBETWEEN(1,COUNTIF($R$11:$R$653,"Length"))),"")</f>
        <v/>
      </c>
      <c r="N221" s="4" t="str">
        <f ca="1">IFERROR(_xlfn.RANK.EQ(M221,$M$11:$M$653)+COUNTIF($M$11:M221,M221)-1,"")</f>
        <v/>
      </c>
      <c r="O221" s="86" t="str">
        <f>IF(A221='DATA SHEET'!$L$36,C221,IFERROR(IF(AND(ISTEXT(I221),ISBLANK(C221)),"No details",VLOOKUP(C221,DimFolder,2,FALSE)),""))</f>
        <v/>
      </c>
      <c r="P221" s="4" t="str">
        <f t="shared" si="77"/>
        <v/>
      </c>
      <c r="Q221" s="58" t="str">
        <f t="shared" si="76"/>
        <v/>
      </c>
      <c r="R221" s="4" t="e" cm="1">
        <f t="array" ref="R221">IF(INDEX(Table2[],_xlfn.XMATCH($A221,Table2[Steel Member],0),_xlfn.XMATCH(R$2,Table2[#Headers],0))=0,"",INDEX(Table2[],_xlfn.XMATCH($A221,Table2[Steel Member],0),_xlfn.XMATCH(R$2,Table2[#Headers],0)))</f>
        <v>#N/A</v>
      </c>
      <c r="S221" s="4" t="e" cm="1">
        <f t="array" ref="S221">IF(INDEX(Table2[],_xlfn.XMATCH($A221,Table2[Steel Member],0),_xlfn.XMATCH(S$2,Table2[#Headers],0))=0,"",INDEX(Table2[],_xlfn.XMATCH($A221,Table2[Steel Member],0),_xlfn.XMATCH(S$2,Table2[#Headers],0)))</f>
        <v>#N/A</v>
      </c>
      <c r="T221" s="4" t="str">
        <f t="shared" si="67"/>
        <v/>
      </c>
      <c r="U221" s="4" t="e">
        <f ca="1">VLOOKUP(N221,'COLOR CODE'!$B:$D,2,FALSE)</f>
        <v>#N/A</v>
      </c>
      <c r="V221" s="4" t="str">
        <f t="shared" si="68"/>
        <v/>
      </c>
      <c r="W221" s="4" t="e" cm="1">
        <f t="array" ref="W221">IF(INDEX(Table2[],_xlfn.XMATCH($A221,Table2[Steel Member],0),_xlfn.XMATCH(W$2,Table2[#Headers],0))=0,"",INDEX(Table2[],_xlfn.XMATCH($A221,Table2[Steel Member],0),_xlfn.XMATCH(W$2,Table2[#Headers],0)))</f>
        <v>#N/A</v>
      </c>
      <c r="X221" s="4" t="e">
        <f t="shared" si="78"/>
        <v>#N/A</v>
      </c>
      <c r="Y221" s="4" t="e" cm="1">
        <f t="array" ref="Y221">IF(INDEX(Table2[],_xlfn.XMATCH($A221,Table2[Steel Member],0),_xlfn.XMATCH(Y$2,Table2[#Headers],0))=0,"",INDEX(Table2[],_xlfn.XMATCH($A221,Table2[Steel Member],0),_xlfn.XMATCH(Y$2,Table2[#Headers],0)))</f>
        <v>#N/A</v>
      </c>
      <c r="Z221" s="4" t="e" cm="1">
        <f t="array" ref="Z221">IF(INDEX(Table2[],_xlfn.XMATCH($A221,Table2[Steel Member],0),_xlfn.XMATCH(Z$2,Table2[#Headers],0))=0,"",INDEX(Table2[],_xlfn.XMATCH($A221,Table2[Steel Member],0),_xlfn.XMATCH(Z$2,Table2[#Headers],0)))</f>
        <v>#N/A</v>
      </c>
      <c r="AA221" s="4" t="e" cm="1">
        <f t="array" ref="AA221">IF(INDEX(Table2[],_xlfn.XMATCH($A221,Table2[Steel Member],0),_xlfn.XMATCH(AA$2,Table2[#Headers],0))=0,"",INDEX(Table2[],_xlfn.XMATCH($A221,Table2[Steel Member],0),_xlfn.XMATCH(AA$2,Table2[#Headers],0)))</f>
        <v>#N/A</v>
      </c>
      <c r="AB221" s="4" t="e" cm="1">
        <f t="array" ref="AB221">IF(INDEX(Table2[],_xlfn.XMATCH($A221,Table2[Steel Member],0),_xlfn.XMATCH(AB$2,Table2[#Headers],0))=0,"",INDEX(Table2[],_xlfn.XMATCH($A221,Table2[Steel Member],0),_xlfn.XMATCH(AB$2,Table2[#Headers],0)))</f>
        <v>#N/A</v>
      </c>
      <c r="AC221" s="4" t="str" cm="1">
        <f t="array" ref="AC221">IFERROR(INDEX(Table8[],_xlfn.XMATCH($O221,Table8[Dimension Name Category],0),_xlfn.XMATCH(AC$2&amp;IF($L221," w/ tag"," w/o tag"),Table8[#Headers],0)),"")</f>
        <v/>
      </c>
      <c r="AD221" s="59" t="str">
        <f t="shared" si="69"/>
        <v/>
      </c>
      <c r="AE221" s="4" t="str">
        <f t="shared" si="70"/>
        <v/>
      </c>
      <c r="AF221" s="4" t="str">
        <f t="shared" si="71"/>
        <v/>
      </c>
      <c r="AG221" s="4" t="str" cm="1">
        <f t="array" ref="AG221">IFERROR(INDEX(Table8[],_xlfn.XMATCH($O221,Table8[Dimension Name Category],0),_xlfn.XMATCH(AG$2&amp;IF($L221," w/ tag"," w/o tag"),Table8[#Headers],0)),"")</f>
        <v/>
      </c>
      <c r="AH221" s="59" t="str">
        <f t="shared" si="72"/>
        <v/>
      </c>
      <c r="AI221" s="4"/>
      <c r="AJ221" s="4" t="str">
        <f t="shared" si="73"/>
        <v/>
      </c>
      <c r="AK221" s="4" t="str">
        <f t="shared" si="74"/>
        <v/>
      </c>
      <c r="AL221" s="4" t="e" cm="1">
        <f t="array" ref="AL221">IF(INDEX(Table2[],_xlfn.XMATCH($A221,Table2[Steel Member],0),_xlfn.XMATCH(AL$2,Table2[#Headers],0))=0,"",INDEX(Table2[],_xlfn.XMATCH($A221,Table2[Steel Member],0),_xlfn.XMATCH(AL$2,Table2[#Headers],0)))</f>
        <v>#N/A</v>
      </c>
      <c r="AM221" s="4"/>
      <c r="AN221" s="4" t="str">
        <f t="shared" si="75"/>
        <v/>
      </c>
      <c r="AO221" s="4"/>
      <c r="AP221" s="4" t="e" cm="1">
        <f t="array" ref="AP221">IF(INDEX(Table2[],_xlfn.XMATCH($A221,Table2[Steel Member],0),_xlfn.XMATCH(AP$2,Table2[#Headers],0))=0,"",INDEX(Table2[],_xlfn.XMATCH($A221,Table2[Steel Member],0),_xlfn.XMATCH(AP$2,Table2[#Headers],0)))</f>
        <v>#N/A</v>
      </c>
      <c r="AQ221" s="4"/>
      <c r="AR221" s="4"/>
      <c r="AS221" s="4"/>
      <c r="AT221" s="4"/>
    </row>
    <row r="222" spans="1:46" x14ac:dyDescent="0.25">
      <c r="A222" s="52"/>
      <c r="B222" s="52"/>
      <c r="C222" s="52"/>
      <c r="D222" s="52"/>
      <c r="E222" s="52"/>
      <c r="F222" s="64" cm="1">
        <f t="array" ref="F222">IF(COUNT(FIND(PurlinsxGirthsxBracings,$C222))&gt;0,0,ROUNDUP(IF(D222=0,0,VLOOKUP(D222,'DATA SHEET'!$B:$D,2,FALSE)),2))</f>
        <v>0</v>
      </c>
      <c r="G222" s="64" cm="1">
        <f t="array" ref="G222">IF(COUNT(FIND(PurlinsxGirthsxBracings,$C222))&gt;0,0,ROUNDUP(IF(D222=0,0,VLOOKUP(D222,'DATA SHEET'!$B:$D,3,FALSE)),2))</f>
        <v>0</v>
      </c>
      <c r="H222" s="53"/>
      <c r="I222" s="66" cm="1">
        <f t="array" ref="I222">IF(AND(ISBLANK(B222),ISBLANK(C222),ISBLANK(E222)),0,IF(COUNT(FIND(PurlinsxGirthsxBracings,$C222))&gt;0,IF(B222=0,CONCATENATE(E222," ",C222),CONCATENATE(B222," - ",E222," ",C222)),IF(B222=0,IF(ISBLANK(C222),E222,CONCATENATE(D222,", ",F222,"kg/m, ",G222,"mm surface perimeter")),IF(AND(ISBLANK(C222),ISTEXT(E222)),CONCATENATE(B222," - ",E222),IF(AND(ISBLANK(C222),ISBLANK(E222)),B222,CONCATENATE(B222," - ",D222,", ",F222,"kg/m, ",G222,"mm surface perimeter"))))&amp;IF(ISBLANK(H222),"",H222)))</f>
        <v>0</v>
      </c>
      <c r="J222" s="53"/>
      <c r="L222" s="4" t="str" cm="1">
        <f t="array" ref="L222">IF(COUNT(FIND({0,1,2,3,4,5,6,7,8,9},B222))&gt;0,COUNT(FIND({0,1,2,3,4,5,6,7,8,9},B222))&gt;0,"")</f>
        <v/>
      </c>
      <c r="M222" s="4" t="str" cm="1">
        <f t="array" aca="1" ref="M222" ca="1">IFERROR(_xlfn.IFS(R222="Count",RANDBETWEEN(1,COUNTIF($R$11:$R$653,"Count")),R222="Length",RANDBETWEEN(1,COUNTIF($R$11:$R$653,"Length"))),"")</f>
        <v/>
      </c>
      <c r="N222" s="4" t="str">
        <f ca="1">IFERROR(_xlfn.RANK.EQ(M222,$M$11:$M$653)+COUNTIF($M$11:M222,M222)-1,"")</f>
        <v/>
      </c>
      <c r="O222" s="86" t="str">
        <f>IF(A222='DATA SHEET'!$L$36,C222,IFERROR(IF(AND(ISTEXT(I222),ISBLANK(C222)),"No details",VLOOKUP(C222,DimFolder,2,FALSE)),""))</f>
        <v/>
      </c>
      <c r="P222" s="4" t="str">
        <f t="shared" si="77"/>
        <v/>
      </c>
      <c r="Q222" s="58" t="str">
        <f t="shared" si="76"/>
        <v/>
      </c>
      <c r="R222" s="4" t="e" cm="1">
        <f t="array" ref="R222">IF(INDEX(Table2[],_xlfn.XMATCH($A222,Table2[Steel Member],0),_xlfn.XMATCH(R$2,Table2[#Headers],0))=0,"",INDEX(Table2[],_xlfn.XMATCH($A222,Table2[Steel Member],0),_xlfn.XMATCH(R$2,Table2[#Headers],0)))</f>
        <v>#N/A</v>
      </c>
      <c r="S222" s="4" t="e" cm="1">
        <f t="array" ref="S222">IF(INDEX(Table2[],_xlfn.XMATCH($A222,Table2[Steel Member],0),_xlfn.XMATCH(S$2,Table2[#Headers],0))=0,"",INDEX(Table2[],_xlfn.XMATCH($A222,Table2[Steel Member],0),_xlfn.XMATCH(S$2,Table2[#Headers],0)))</f>
        <v>#N/A</v>
      </c>
      <c r="T222" s="4" t="str">
        <f t="shared" si="67"/>
        <v/>
      </c>
      <c r="U222" s="4" t="e">
        <f ca="1">VLOOKUP(N222,'COLOR CODE'!$B:$D,2,FALSE)</f>
        <v>#N/A</v>
      </c>
      <c r="V222" s="4" t="str">
        <f t="shared" si="68"/>
        <v/>
      </c>
      <c r="W222" s="4" t="e" cm="1">
        <f t="array" ref="W222">IF(INDEX(Table2[],_xlfn.XMATCH($A222,Table2[Steel Member],0),_xlfn.XMATCH(W$2,Table2[#Headers],0))=0,"",INDEX(Table2[],_xlfn.XMATCH($A222,Table2[Steel Member],0),_xlfn.XMATCH(W$2,Table2[#Headers],0)))</f>
        <v>#N/A</v>
      </c>
      <c r="X222" s="4" t="e">
        <f t="shared" si="78"/>
        <v>#N/A</v>
      </c>
      <c r="Y222" s="4" t="e" cm="1">
        <f t="array" ref="Y222">IF(INDEX(Table2[],_xlfn.XMATCH($A222,Table2[Steel Member],0),_xlfn.XMATCH(Y$2,Table2[#Headers],0))=0,"",INDEX(Table2[],_xlfn.XMATCH($A222,Table2[Steel Member],0),_xlfn.XMATCH(Y$2,Table2[#Headers],0)))</f>
        <v>#N/A</v>
      </c>
      <c r="Z222" s="4" t="e" cm="1">
        <f t="array" ref="Z222">IF(INDEX(Table2[],_xlfn.XMATCH($A222,Table2[Steel Member],0),_xlfn.XMATCH(Z$2,Table2[#Headers],0))=0,"",INDEX(Table2[],_xlfn.XMATCH($A222,Table2[Steel Member],0),_xlfn.XMATCH(Z$2,Table2[#Headers],0)))</f>
        <v>#N/A</v>
      </c>
      <c r="AA222" s="4" t="e" cm="1">
        <f t="array" ref="AA222">IF(INDEX(Table2[],_xlfn.XMATCH($A222,Table2[Steel Member],0),_xlfn.XMATCH(AA$2,Table2[#Headers],0))=0,"",INDEX(Table2[],_xlfn.XMATCH($A222,Table2[Steel Member],0),_xlfn.XMATCH(AA$2,Table2[#Headers],0)))</f>
        <v>#N/A</v>
      </c>
      <c r="AB222" s="4" t="e" cm="1">
        <f t="array" ref="AB222">IF(INDEX(Table2[],_xlfn.XMATCH($A222,Table2[Steel Member],0),_xlfn.XMATCH(AB$2,Table2[#Headers],0))=0,"",INDEX(Table2[],_xlfn.XMATCH($A222,Table2[Steel Member],0),_xlfn.XMATCH(AB$2,Table2[#Headers],0)))</f>
        <v>#N/A</v>
      </c>
      <c r="AC222" s="4" t="str" cm="1">
        <f t="array" ref="AC222">IFERROR(INDEX(Table8[],_xlfn.XMATCH($O222,Table8[Dimension Name Category],0),_xlfn.XMATCH(AC$2&amp;IF($L222," w/ tag"," w/o tag"),Table8[#Headers],0)),"")</f>
        <v/>
      </c>
      <c r="AD222" s="59" t="str">
        <f t="shared" si="69"/>
        <v/>
      </c>
      <c r="AE222" s="4" t="str">
        <f t="shared" si="70"/>
        <v/>
      </c>
      <c r="AF222" s="4" t="str">
        <f t="shared" si="71"/>
        <v/>
      </c>
      <c r="AG222" s="4" t="str" cm="1">
        <f t="array" ref="AG222">IFERROR(INDEX(Table8[],_xlfn.XMATCH($O222,Table8[Dimension Name Category],0),_xlfn.XMATCH(AG$2&amp;IF($L222," w/ tag"," w/o tag"),Table8[#Headers],0)),"")</f>
        <v/>
      </c>
      <c r="AH222" s="59" t="str">
        <f t="shared" si="72"/>
        <v/>
      </c>
      <c r="AI222" s="4"/>
      <c r="AJ222" s="4" t="str">
        <f t="shared" si="73"/>
        <v/>
      </c>
      <c r="AK222" s="4" t="str">
        <f t="shared" si="74"/>
        <v/>
      </c>
      <c r="AL222" s="4" t="e" cm="1">
        <f t="array" ref="AL222">IF(INDEX(Table2[],_xlfn.XMATCH($A222,Table2[Steel Member],0),_xlfn.XMATCH(AL$2,Table2[#Headers],0))=0,"",INDEX(Table2[],_xlfn.XMATCH($A222,Table2[Steel Member],0),_xlfn.XMATCH(AL$2,Table2[#Headers],0)))</f>
        <v>#N/A</v>
      </c>
      <c r="AM222" s="4"/>
      <c r="AN222" s="4" t="str">
        <f t="shared" si="75"/>
        <v/>
      </c>
      <c r="AO222" s="4"/>
      <c r="AP222" s="4" t="e" cm="1">
        <f t="array" ref="AP222">IF(INDEX(Table2[],_xlfn.XMATCH($A222,Table2[Steel Member],0),_xlfn.XMATCH(AP$2,Table2[#Headers],0))=0,"",INDEX(Table2[],_xlfn.XMATCH($A222,Table2[Steel Member],0),_xlfn.XMATCH(AP$2,Table2[#Headers],0)))</f>
        <v>#N/A</v>
      </c>
      <c r="AQ222" s="4"/>
      <c r="AR222" s="4"/>
      <c r="AS222" s="4"/>
      <c r="AT222" s="4"/>
    </row>
    <row r="223" spans="1:46" x14ac:dyDescent="0.25">
      <c r="A223" s="52"/>
      <c r="B223" s="52"/>
      <c r="C223" s="52"/>
      <c r="D223" s="52"/>
      <c r="E223" s="52"/>
      <c r="F223" s="64" cm="1">
        <f t="array" ref="F223">IF(COUNT(FIND(PurlinsxGirthsxBracings,$C223))&gt;0,0,ROUNDUP(IF(D223=0,0,VLOOKUP(D223,'DATA SHEET'!$B:$D,2,FALSE)),2))</f>
        <v>0</v>
      </c>
      <c r="G223" s="64" cm="1">
        <f t="array" ref="G223">IF(COUNT(FIND(PurlinsxGirthsxBracings,$C223))&gt;0,0,ROUNDUP(IF(D223=0,0,VLOOKUP(D223,'DATA SHEET'!$B:$D,3,FALSE)),2))</f>
        <v>0</v>
      </c>
      <c r="H223" s="53"/>
      <c r="I223" s="66" cm="1">
        <f t="array" ref="I223">IF(AND(ISBLANK(B223),ISBLANK(C223),ISBLANK(E223)),0,IF(COUNT(FIND(PurlinsxGirthsxBracings,$C223))&gt;0,IF(B223=0,CONCATENATE(E223," ",C223),CONCATENATE(B223," - ",E223," ",C223)),IF(B223=0,IF(ISBLANK(C223),E223,CONCATENATE(D223,", ",F223,"kg/m, ",G223,"mm surface perimeter")),IF(AND(ISBLANK(C223),ISTEXT(E223)),CONCATENATE(B223," - ",E223),IF(AND(ISBLANK(C223),ISBLANK(E223)),B223,CONCATENATE(B223," - ",D223,", ",F223,"kg/m, ",G223,"mm surface perimeter"))))&amp;IF(ISBLANK(H223),"",H223)))</f>
        <v>0</v>
      </c>
      <c r="J223" s="53"/>
      <c r="L223" s="4" t="str" cm="1">
        <f t="array" ref="L223">IF(COUNT(FIND({0,1,2,3,4,5,6,7,8,9},B223))&gt;0,COUNT(FIND({0,1,2,3,4,5,6,7,8,9},B223))&gt;0,"")</f>
        <v/>
      </c>
      <c r="M223" s="4" t="str" cm="1">
        <f t="array" aca="1" ref="M223" ca="1">IFERROR(_xlfn.IFS(R223="Count",RANDBETWEEN(1,COUNTIF($R$11:$R$653,"Count")),R223="Length",RANDBETWEEN(1,COUNTIF($R$11:$R$653,"Length"))),"")</f>
        <v/>
      </c>
      <c r="N223" s="4" t="str">
        <f ca="1">IFERROR(_xlfn.RANK.EQ(M223,$M$11:$M$653)+COUNTIF($M$11:M223,M223)-1,"")</f>
        <v/>
      </c>
      <c r="O223" s="86" t="str">
        <f>IF(A223='DATA SHEET'!$L$36,C223,IFERROR(IF(AND(ISTEXT(I223),ISBLANK(C223)),"No details",VLOOKUP(C223,DimFolder,2,FALSE)),""))</f>
        <v/>
      </c>
      <c r="P223" s="4" t="str">
        <f t="shared" si="77"/>
        <v/>
      </c>
      <c r="Q223" s="58" t="str">
        <f t="shared" si="76"/>
        <v/>
      </c>
      <c r="R223" s="4" t="e" cm="1">
        <f t="array" ref="R223">IF(INDEX(Table2[],_xlfn.XMATCH($A223,Table2[Steel Member],0),_xlfn.XMATCH(R$2,Table2[#Headers],0))=0,"",INDEX(Table2[],_xlfn.XMATCH($A223,Table2[Steel Member],0),_xlfn.XMATCH(R$2,Table2[#Headers],0)))</f>
        <v>#N/A</v>
      </c>
      <c r="S223" s="4" t="e" cm="1">
        <f t="array" ref="S223">IF(INDEX(Table2[],_xlfn.XMATCH($A223,Table2[Steel Member],0),_xlfn.XMATCH(S$2,Table2[#Headers],0))=0,"",INDEX(Table2[],_xlfn.XMATCH($A223,Table2[Steel Member],0),_xlfn.XMATCH(S$2,Table2[#Headers],0)))</f>
        <v>#N/A</v>
      </c>
      <c r="T223" s="4" t="str">
        <f t="shared" si="67"/>
        <v/>
      </c>
      <c r="U223" s="4" t="e">
        <f ca="1">VLOOKUP(N223,'COLOR CODE'!$B:$D,2,FALSE)</f>
        <v>#N/A</v>
      </c>
      <c r="V223" s="4" t="str">
        <f t="shared" si="68"/>
        <v/>
      </c>
      <c r="W223" s="4" t="e" cm="1">
        <f t="array" ref="W223">IF(INDEX(Table2[],_xlfn.XMATCH($A223,Table2[Steel Member],0),_xlfn.XMATCH(W$2,Table2[#Headers],0))=0,"",INDEX(Table2[],_xlfn.XMATCH($A223,Table2[Steel Member],0),_xlfn.XMATCH(W$2,Table2[#Headers],0)))</f>
        <v>#N/A</v>
      </c>
      <c r="X223" s="4" t="e">
        <f t="shared" si="78"/>
        <v>#N/A</v>
      </c>
      <c r="Y223" s="4" t="e" cm="1">
        <f t="array" ref="Y223">IF(INDEX(Table2[],_xlfn.XMATCH($A223,Table2[Steel Member],0),_xlfn.XMATCH(Y$2,Table2[#Headers],0))=0,"",INDEX(Table2[],_xlfn.XMATCH($A223,Table2[Steel Member],0),_xlfn.XMATCH(Y$2,Table2[#Headers],0)))</f>
        <v>#N/A</v>
      </c>
      <c r="Z223" s="4" t="e" cm="1">
        <f t="array" ref="Z223">IF(INDEX(Table2[],_xlfn.XMATCH($A223,Table2[Steel Member],0),_xlfn.XMATCH(Z$2,Table2[#Headers],0))=0,"",INDEX(Table2[],_xlfn.XMATCH($A223,Table2[Steel Member],0),_xlfn.XMATCH(Z$2,Table2[#Headers],0)))</f>
        <v>#N/A</v>
      </c>
      <c r="AA223" s="4" t="e" cm="1">
        <f t="array" ref="AA223">IF(INDEX(Table2[],_xlfn.XMATCH($A223,Table2[Steel Member],0),_xlfn.XMATCH(AA$2,Table2[#Headers],0))=0,"",INDEX(Table2[],_xlfn.XMATCH($A223,Table2[Steel Member],0),_xlfn.XMATCH(AA$2,Table2[#Headers],0)))</f>
        <v>#N/A</v>
      </c>
      <c r="AB223" s="4" t="e" cm="1">
        <f t="array" ref="AB223">IF(INDEX(Table2[],_xlfn.XMATCH($A223,Table2[Steel Member],0),_xlfn.XMATCH(AB$2,Table2[#Headers],0))=0,"",INDEX(Table2[],_xlfn.XMATCH($A223,Table2[Steel Member],0),_xlfn.XMATCH(AB$2,Table2[#Headers],0)))</f>
        <v>#N/A</v>
      </c>
      <c r="AC223" s="4" t="str" cm="1">
        <f t="array" ref="AC223">IFERROR(INDEX(Table8[],_xlfn.XMATCH($O223,Table8[Dimension Name Category],0),_xlfn.XMATCH(AC$2&amp;IF($L223," w/ tag"," w/o tag"),Table8[#Headers],0)),"")</f>
        <v/>
      </c>
      <c r="AD223" s="59" t="str">
        <f t="shared" si="69"/>
        <v/>
      </c>
      <c r="AE223" s="4" t="str">
        <f t="shared" si="70"/>
        <v/>
      </c>
      <c r="AF223" s="4" t="str">
        <f t="shared" si="71"/>
        <v/>
      </c>
      <c r="AG223" s="4" t="str" cm="1">
        <f t="array" ref="AG223">IFERROR(INDEX(Table8[],_xlfn.XMATCH($O223,Table8[Dimension Name Category],0),_xlfn.XMATCH(AG$2&amp;IF($L223," w/ tag"," w/o tag"),Table8[#Headers],0)),"")</f>
        <v/>
      </c>
      <c r="AH223" s="59" t="str">
        <f t="shared" si="72"/>
        <v/>
      </c>
      <c r="AI223" s="4"/>
      <c r="AJ223" s="4" t="str">
        <f t="shared" si="73"/>
        <v/>
      </c>
      <c r="AK223" s="4" t="str">
        <f t="shared" si="74"/>
        <v/>
      </c>
      <c r="AL223" s="4" t="e" cm="1">
        <f t="array" ref="AL223">IF(INDEX(Table2[],_xlfn.XMATCH($A223,Table2[Steel Member],0),_xlfn.XMATCH(AL$2,Table2[#Headers],0))=0,"",INDEX(Table2[],_xlfn.XMATCH($A223,Table2[Steel Member],0),_xlfn.XMATCH(AL$2,Table2[#Headers],0)))</f>
        <v>#N/A</v>
      </c>
      <c r="AM223" s="4"/>
      <c r="AN223" s="4" t="str">
        <f t="shared" si="75"/>
        <v/>
      </c>
      <c r="AO223" s="4"/>
      <c r="AP223" s="4" t="e" cm="1">
        <f t="array" ref="AP223">IF(INDEX(Table2[],_xlfn.XMATCH($A223,Table2[Steel Member],0),_xlfn.XMATCH(AP$2,Table2[#Headers],0))=0,"",INDEX(Table2[],_xlfn.XMATCH($A223,Table2[Steel Member],0),_xlfn.XMATCH(AP$2,Table2[#Headers],0)))</f>
        <v>#N/A</v>
      </c>
      <c r="AQ223" s="4"/>
      <c r="AR223" s="4"/>
      <c r="AS223" s="4"/>
      <c r="AT223" s="4"/>
    </row>
    <row r="224" spans="1:46" x14ac:dyDescent="0.25">
      <c r="A224" s="52"/>
      <c r="B224" s="52"/>
      <c r="C224" s="52"/>
      <c r="D224" s="52"/>
      <c r="E224" s="52"/>
      <c r="F224" s="64" cm="1">
        <f t="array" ref="F224">IF(COUNT(FIND(PurlinsxGirthsxBracings,$C224))&gt;0,0,ROUNDUP(IF(D224=0,0,VLOOKUP(D224,'DATA SHEET'!$B:$D,2,FALSE)),2))</f>
        <v>0</v>
      </c>
      <c r="G224" s="64" cm="1">
        <f t="array" ref="G224">IF(COUNT(FIND(PurlinsxGirthsxBracings,$C224))&gt;0,0,ROUNDUP(IF(D224=0,0,VLOOKUP(D224,'DATA SHEET'!$B:$D,3,FALSE)),2))</f>
        <v>0</v>
      </c>
      <c r="H224" s="53"/>
      <c r="I224" s="66" cm="1">
        <f t="array" ref="I224">IF(AND(ISBLANK(B224),ISBLANK(C224),ISBLANK(E224)),0,IF(COUNT(FIND(PurlinsxGirthsxBracings,$C224))&gt;0,IF(B224=0,CONCATENATE(E224," ",C224),CONCATENATE(B224," - ",E224," ",C224)),IF(B224=0,IF(ISBLANK(C224),E224,CONCATENATE(D224,", ",F224,"kg/m, ",G224,"mm surface perimeter")),IF(AND(ISBLANK(C224),ISTEXT(E224)),CONCATENATE(B224," - ",E224),IF(AND(ISBLANK(C224),ISBLANK(E224)),B224,CONCATENATE(B224," - ",D224,", ",F224,"kg/m, ",G224,"mm surface perimeter"))))&amp;IF(ISBLANK(H224),"",H224)))</f>
        <v>0</v>
      </c>
      <c r="J224" s="53"/>
      <c r="L224" s="4" t="str" cm="1">
        <f t="array" ref="L224">IF(COUNT(FIND({0,1,2,3,4,5,6,7,8,9},B224))&gt;0,COUNT(FIND({0,1,2,3,4,5,6,7,8,9},B224))&gt;0,"")</f>
        <v/>
      </c>
      <c r="M224" s="4" t="str" cm="1">
        <f t="array" aca="1" ref="M224" ca="1">IFERROR(_xlfn.IFS(R224="Count",RANDBETWEEN(1,COUNTIF($R$11:$R$653,"Count")),R224="Length",RANDBETWEEN(1,COUNTIF($R$11:$R$653,"Length"))),"")</f>
        <v/>
      </c>
      <c r="N224" s="4" t="str">
        <f ca="1">IFERROR(_xlfn.RANK.EQ(M224,$M$11:$M$653)+COUNTIF($M$11:M224,M224)-1,"")</f>
        <v/>
      </c>
      <c r="O224" s="86" t="str">
        <f>IF(A224='DATA SHEET'!$L$36,C224,IFERROR(IF(AND(ISTEXT(I224),ISBLANK(C224)),"No details",VLOOKUP(C224,DimFolder,2,FALSE)),""))</f>
        <v/>
      </c>
      <c r="P224" s="4" t="str">
        <f t="shared" si="77"/>
        <v/>
      </c>
      <c r="Q224" s="58" t="str">
        <f t="shared" si="76"/>
        <v/>
      </c>
      <c r="R224" s="4" t="e" cm="1">
        <f t="array" ref="R224">IF(INDEX(Table2[],_xlfn.XMATCH($A224,Table2[Steel Member],0),_xlfn.XMATCH(R$2,Table2[#Headers],0))=0,"",INDEX(Table2[],_xlfn.XMATCH($A224,Table2[Steel Member],0),_xlfn.XMATCH(R$2,Table2[#Headers],0)))</f>
        <v>#N/A</v>
      </c>
      <c r="S224" s="4" t="e" cm="1">
        <f t="array" ref="S224">IF(INDEX(Table2[],_xlfn.XMATCH($A224,Table2[Steel Member],0),_xlfn.XMATCH(S$2,Table2[#Headers],0))=0,"",INDEX(Table2[],_xlfn.XMATCH($A224,Table2[Steel Member],0),_xlfn.XMATCH(S$2,Table2[#Headers],0)))</f>
        <v>#N/A</v>
      </c>
      <c r="T224" s="4" t="str">
        <f t="shared" si="67"/>
        <v/>
      </c>
      <c r="U224" s="4" t="e">
        <f ca="1">VLOOKUP(N224,'COLOR CODE'!$B:$D,2,FALSE)</f>
        <v>#N/A</v>
      </c>
      <c r="V224" s="4" t="str">
        <f t="shared" si="68"/>
        <v/>
      </c>
      <c r="W224" s="4" t="e" cm="1">
        <f t="array" ref="W224">IF(INDEX(Table2[],_xlfn.XMATCH($A224,Table2[Steel Member],0),_xlfn.XMATCH(W$2,Table2[#Headers],0))=0,"",INDEX(Table2[],_xlfn.XMATCH($A224,Table2[Steel Member],0),_xlfn.XMATCH(W$2,Table2[#Headers],0)))</f>
        <v>#N/A</v>
      </c>
      <c r="X224" s="4" t="e">
        <f t="shared" si="78"/>
        <v>#N/A</v>
      </c>
      <c r="Y224" s="4" t="e" cm="1">
        <f t="array" ref="Y224">IF(INDEX(Table2[],_xlfn.XMATCH($A224,Table2[Steel Member],0),_xlfn.XMATCH(Y$2,Table2[#Headers],0))=0,"",INDEX(Table2[],_xlfn.XMATCH($A224,Table2[Steel Member],0),_xlfn.XMATCH(Y$2,Table2[#Headers],0)))</f>
        <v>#N/A</v>
      </c>
      <c r="Z224" s="4" t="e" cm="1">
        <f t="array" ref="Z224">IF(INDEX(Table2[],_xlfn.XMATCH($A224,Table2[Steel Member],0),_xlfn.XMATCH(Z$2,Table2[#Headers],0))=0,"",INDEX(Table2[],_xlfn.XMATCH($A224,Table2[Steel Member],0),_xlfn.XMATCH(Z$2,Table2[#Headers],0)))</f>
        <v>#N/A</v>
      </c>
      <c r="AA224" s="4" t="e" cm="1">
        <f t="array" ref="AA224">IF(INDEX(Table2[],_xlfn.XMATCH($A224,Table2[Steel Member],0),_xlfn.XMATCH(AA$2,Table2[#Headers],0))=0,"",INDEX(Table2[],_xlfn.XMATCH($A224,Table2[Steel Member],0),_xlfn.XMATCH(AA$2,Table2[#Headers],0)))</f>
        <v>#N/A</v>
      </c>
      <c r="AB224" s="4" t="e" cm="1">
        <f t="array" ref="AB224">IF(INDEX(Table2[],_xlfn.XMATCH($A224,Table2[Steel Member],0),_xlfn.XMATCH(AB$2,Table2[#Headers],0))=0,"",INDEX(Table2[],_xlfn.XMATCH($A224,Table2[Steel Member],0),_xlfn.XMATCH(AB$2,Table2[#Headers],0)))</f>
        <v>#N/A</v>
      </c>
      <c r="AC224" s="4" t="str" cm="1">
        <f t="array" ref="AC224">IFERROR(INDEX(Table8[],_xlfn.XMATCH($O224,Table8[Dimension Name Category],0),_xlfn.XMATCH(AC$2&amp;IF($L224," w/ tag"," w/o tag"),Table8[#Headers],0)),"")</f>
        <v/>
      </c>
      <c r="AD224" s="59" t="str">
        <f t="shared" si="69"/>
        <v/>
      </c>
      <c r="AE224" s="4" t="str">
        <f t="shared" si="70"/>
        <v/>
      </c>
      <c r="AF224" s="4" t="str">
        <f t="shared" si="71"/>
        <v/>
      </c>
      <c r="AG224" s="4" t="str" cm="1">
        <f t="array" ref="AG224">IFERROR(INDEX(Table8[],_xlfn.XMATCH($O224,Table8[Dimension Name Category],0),_xlfn.XMATCH(AG$2&amp;IF($L224," w/ tag"," w/o tag"),Table8[#Headers],0)),"")</f>
        <v/>
      </c>
      <c r="AH224" s="59" t="str">
        <f t="shared" si="72"/>
        <v/>
      </c>
      <c r="AI224" s="4"/>
      <c r="AJ224" s="4" t="str">
        <f t="shared" si="73"/>
        <v/>
      </c>
      <c r="AK224" s="4" t="str">
        <f t="shared" si="74"/>
        <v/>
      </c>
      <c r="AL224" s="4" t="e" cm="1">
        <f t="array" ref="AL224">IF(INDEX(Table2[],_xlfn.XMATCH($A224,Table2[Steel Member],0),_xlfn.XMATCH(AL$2,Table2[#Headers],0))=0,"",INDEX(Table2[],_xlfn.XMATCH($A224,Table2[Steel Member],0),_xlfn.XMATCH(AL$2,Table2[#Headers],0)))</f>
        <v>#N/A</v>
      </c>
      <c r="AM224" s="4"/>
      <c r="AN224" s="4" t="str">
        <f t="shared" si="75"/>
        <v/>
      </c>
      <c r="AO224" s="4"/>
      <c r="AP224" s="4" t="e" cm="1">
        <f t="array" ref="AP224">IF(INDEX(Table2[],_xlfn.XMATCH($A224,Table2[Steel Member],0),_xlfn.XMATCH(AP$2,Table2[#Headers],0))=0,"",INDEX(Table2[],_xlfn.XMATCH($A224,Table2[Steel Member],0),_xlfn.XMATCH(AP$2,Table2[#Headers],0)))</f>
        <v>#N/A</v>
      </c>
      <c r="AQ224" s="4"/>
      <c r="AR224" s="4"/>
      <c r="AS224" s="4"/>
      <c r="AT224" s="4"/>
    </row>
    <row r="225" spans="1:46" x14ac:dyDescent="0.25">
      <c r="A225" s="52"/>
      <c r="B225" s="52"/>
      <c r="C225" s="52"/>
      <c r="D225" s="52"/>
      <c r="E225" s="52"/>
      <c r="F225" s="64" cm="1">
        <f t="array" ref="F225">IF(COUNT(FIND(PurlinsxGirthsxBracings,$C225))&gt;0,0,ROUNDUP(IF(D225=0,0,VLOOKUP(D225,'DATA SHEET'!$B:$D,2,FALSE)),2))</f>
        <v>0</v>
      </c>
      <c r="G225" s="64" cm="1">
        <f t="array" ref="G225">IF(COUNT(FIND(PurlinsxGirthsxBracings,$C225))&gt;0,0,ROUNDUP(IF(D225=0,0,VLOOKUP(D225,'DATA SHEET'!$B:$D,3,FALSE)),2))</f>
        <v>0</v>
      </c>
      <c r="H225" s="53"/>
      <c r="I225" s="66" cm="1">
        <f t="array" ref="I225">IF(AND(ISBLANK(B225),ISBLANK(C225),ISBLANK(E225)),0,IF(COUNT(FIND(PurlinsxGirthsxBracings,$C225))&gt;0,IF(B225=0,CONCATENATE(E225," ",C225),CONCATENATE(B225," - ",E225," ",C225)),IF(B225=0,IF(ISBLANK(C225),E225,CONCATENATE(D225,", ",F225,"kg/m, ",G225,"mm surface perimeter")),IF(AND(ISBLANK(C225),ISTEXT(E225)),CONCATENATE(B225," - ",E225),IF(AND(ISBLANK(C225),ISBLANK(E225)),B225,CONCATENATE(B225," - ",D225,", ",F225,"kg/m, ",G225,"mm surface perimeter"))))&amp;IF(ISBLANK(H225),"",H225)))</f>
        <v>0</v>
      </c>
      <c r="J225" s="53"/>
      <c r="L225" s="4" t="str" cm="1">
        <f t="array" ref="L225">IF(COUNT(FIND({0,1,2,3,4,5,6,7,8,9},B225))&gt;0,COUNT(FIND({0,1,2,3,4,5,6,7,8,9},B225))&gt;0,"")</f>
        <v/>
      </c>
      <c r="M225" s="4" t="str" cm="1">
        <f t="array" aca="1" ref="M225" ca="1">IFERROR(_xlfn.IFS(R225="Count",RANDBETWEEN(1,COUNTIF($R$11:$R$653,"Count")),R225="Length",RANDBETWEEN(1,COUNTIF($R$11:$R$653,"Length"))),"")</f>
        <v/>
      </c>
      <c r="N225" s="4" t="str">
        <f ca="1">IFERROR(_xlfn.RANK.EQ(M225,$M$11:$M$653)+COUNTIF($M$11:M225,M225)-1,"")</f>
        <v/>
      </c>
      <c r="O225" s="86" t="str">
        <f>IF(A225='DATA SHEET'!$L$36,C225,IFERROR(IF(AND(ISTEXT(I225),ISBLANK(C225)),"No details",VLOOKUP(C225,DimFolder,2,FALSE)),""))</f>
        <v/>
      </c>
      <c r="P225" s="4" t="str">
        <f t="shared" si="77"/>
        <v/>
      </c>
      <c r="Q225" s="58" t="str">
        <f t="shared" si="76"/>
        <v/>
      </c>
      <c r="R225" s="4" t="e" cm="1">
        <f t="array" ref="R225">IF(INDEX(Table2[],_xlfn.XMATCH($A225,Table2[Steel Member],0),_xlfn.XMATCH(R$2,Table2[#Headers],0))=0,"",INDEX(Table2[],_xlfn.XMATCH($A225,Table2[Steel Member],0),_xlfn.XMATCH(R$2,Table2[#Headers],0)))</f>
        <v>#N/A</v>
      </c>
      <c r="S225" s="4" t="e" cm="1">
        <f t="array" ref="S225">IF(INDEX(Table2[],_xlfn.XMATCH($A225,Table2[Steel Member],0),_xlfn.XMATCH(S$2,Table2[#Headers],0))=0,"",INDEX(Table2[],_xlfn.XMATCH($A225,Table2[Steel Member],0),_xlfn.XMATCH(S$2,Table2[#Headers],0)))</f>
        <v>#N/A</v>
      </c>
      <c r="T225" s="4" t="str">
        <f t="shared" si="67"/>
        <v/>
      </c>
      <c r="U225" s="4" t="e">
        <f ca="1">VLOOKUP(N225,'COLOR CODE'!$B:$D,2,FALSE)</f>
        <v>#N/A</v>
      </c>
      <c r="V225" s="4" t="str">
        <f t="shared" si="68"/>
        <v/>
      </c>
      <c r="W225" s="4" t="e" cm="1">
        <f t="array" ref="W225">IF(INDEX(Table2[],_xlfn.XMATCH($A225,Table2[Steel Member],0),_xlfn.XMATCH(W$2,Table2[#Headers],0))=0,"",INDEX(Table2[],_xlfn.XMATCH($A225,Table2[Steel Member],0),_xlfn.XMATCH(W$2,Table2[#Headers],0)))</f>
        <v>#N/A</v>
      </c>
      <c r="X225" s="4" t="e">
        <f t="shared" si="78"/>
        <v>#N/A</v>
      </c>
      <c r="Y225" s="4" t="e" cm="1">
        <f t="array" ref="Y225">IF(INDEX(Table2[],_xlfn.XMATCH($A225,Table2[Steel Member],0),_xlfn.XMATCH(Y$2,Table2[#Headers],0))=0,"",INDEX(Table2[],_xlfn.XMATCH($A225,Table2[Steel Member],0),_xlfn.XMATCH(Y$2,Table2[#Headers],0)))</f>
        <v>#N/A</v>
      </c>
      <c r="Z225" s="4" t="e" cm="1">
        <f t="array" ref="Z225">IF(INDEX(Table2[],_xlfn.XMATCH($A225,Table2[Steel Member],0),_xlfn.XMATCH(Z$2,Table2[#Headers],0))=0,"",INDEX(Table2[],_xlfn.XMATCH($A225,Table2[Steel Member],0),_xlfn.XMATCH(Z$2,Table2[#Headers],0)))</f>
        <v>#N/A</v>
      </c>
      <c r="AA225" s="4" t="e" cm="1">
        <f t="array" ref="AA225">IF(INDEX(Table2[],_xlfn.XMATCH($A225,Table2[Steel Member],0),_xlfn.XMATCH(AA$2,Table2[#Headers],0))=0,"",INDEX(Table2[],_xlfn.XMATCH($A225,Table2[Steel Member],0),_xlfn.XMATCH(AA$2,Table2[#Headers],0)))</f>
        <v>#N/A</v>
      </c>
      <c r="AB225" s="4" t="e" cm="1">
        <f t="array" ref="AB225">IF(INDEX(Table2[],_xlfn.XMATCH($A225,Table2[Steel Member],0),_xlfn.XMATCH(AB$2,Table2[#Headers],0))=0,"",INDEX(Table2[],_xlfn.XMATCH($A225,Table2[Steel Member],0),_xlfn.XMATCH(AB$2,Table2[#Headers],0)))</f>
        <v>#N/A</v>
      </c>
      <c r="AC225" s="4" t="str" cm="1">
        <f t="array" ref="AC225">IFERROR(INDEX(Table8[],_xlfn.XMATCH($O225,Table8[Dimension Name Category],0),_xlfn.XMATCH(AC$2&amp;IF($L225," w/ tag"," w/o tag"),Table8[#Headers],0)),"")</f>
        <v/>
      </c>
      <c r="AD225" s="59" t="str">
        <f t="shared" si="69"/>
        <v/>
      </c>
      <c r="AE225" s="4" t="str">
        <f t="shared" si="70"/>
        <v/>
      </c>
      <c r="AF225" s="4" t="str">
        <f t="shared" si="71"/>
        <v/>
      </c>
      <c r="AG225" s="4" t="str" cm="1">
        <f t="array" ref="AG225">IFERROR(INDEX(Table8[],_xlfn.XMATCH($O225,Table8[Dimension Name Category],0),_xlfn.XMATCH(AG$2&amp;IF($L225," w/ tag"," w/o tag"),Table8[#Headers],0)),"")</f>
        <v/>
      </c>
      <c r="AH225" s="59" t="str">
        <f t="shared" si="72"/>
        <v/>
      </c>
      <c r="AI225" s="4"/>
      <c r="AJ225" s="4" t="str">
        <f t="shared" si="73"/>
        <v/>
      </c>
      <c r="AK225" s="4" t="str">
        <f t="shared" si="74"/>
        <v/>
      </c>
      <c r="AL225" s="4" t="e" cm="1">
        <f t="array" ref="AL225">IF(INDEX(Table2[],_xlfn.XMATCH($A225,Table2[Steel Member],0),_xlfn.XMATCH(AL$2,Table2[#Headers],0))=0,"",INDEX(Table2[],_xlfn.XMATCH($A225,Table2[Steel Member],0),_xlfn.XMATCH(AL$2,Table2[#Headers],0)))</f>
        <v>#N/A</v>
      </c>
      <c r="AM225" s="4"/>
      <c r="AN225" s="4" t="str">
        <f t="shared" si="75"/>
        <v/>
      </c>
      <c r="AO225" s="4"/>
      <c r="AP225" s="4" t="e" cm="1">
        <f t="array" ref="AP225">IF(INDEX(Table2[],_xlfn.XMATCH($A225,Table2[Steel Member],0),_xlfn.XMATCH(AP$2,Table2[#Headers],0))=0,"",INDEX(Table2[],_xlfn.XMATCH($A225,Table2[Steel Member],0),_xlfn.XMATCH(AP$2,Table2[#Headers],0)))</f>
        <v>#N/A</v>
      </c>
      <c r="AQ225" s="4"/>
      <c r="AR225" s="4"/>
      <c r="AS225" s="4"/>
      <c r="AT225" s="4"/>
    </row>
    <row r="226" spans="1:46" x14ac:dyDescent="0.25">
      <c r="A226" s="52"/>
      <c r="B226" s="52"/>
      <c r="C226" s="52"/>
      <c r="D226" s="52"/>
      <c r="E226" s="52"/>
      <c r="F226" s="64" cm="1">
        <f t="array" ref="F226">IF(COUNT(FIND(PurlinsxGirthsxBracings,$C226))&gt;0,0,ROUNDUP(IF(D226=0,0,VLOOKUP(D226,'DATA SHEET'!$B:$D,2,FALSE)),2))</f>
        <v>0</v>
      </c>
      <c r="G226" s="64" cm="1">
        <f t="array" ref="G226">IF(COUNT(FIND(PurlinsxGirthsxBracings,$C226))&gt;0,0,ROUNDUP(IF(D226=0,0,VLOOKUP(D226,'DATA SHEET'!$B:$D,3,FALSE)),2))</f>
        <v>0</v>
      </c>
      <c r="H226" s="53"/>
      <c r="I226" s="66" cm="1">
        <f t="array" ref="I226">IF(AND(ISBLANK(B226),ISBLANK(C226),ISBLANK(E226)),0,IF(COUNT(FIND(PurlinsxGirthsxBracings,$C226))&gt;0,IF(B226=0,CONCATENATE(E226," ",C226),CONCATENATE(B226," - ",E226," ",C226)),IF(B226=0,IF(ISBLANK(C226),E226,CONCATENATE(D226,", ",F226,"kg/m, ",G226,"mm surface perimeter")),IF(AND(ISBLANK(C226),ISTEXT(E226)),CONCATENATE(B226," - ",E226),IF(AND(ISBLANK(C226),ISBLANK(E226)),B226,CONCATENATE(B226," - ",D226,", ",F226,"kg/m, ",G226,"mm surface perimeter"))))&amp;IF(ISBLANK(H226),"",H226)))</f>
        <v>0</v>
      </c>
      <c r="J226" s="53"/>
      <c r="L226" s="4" t="str" cm="1">
        <f t="array" ref="L226">IF(COUNT(FIND({0,1,2,3,4,5,6,7,8,9},B226))&gt;0,COUNT(FIND({0,1,2,3,4,5,6,7,8,9},B226))&gt;0,"")</f>
        <v/>
      </c>
      <c r="M226" s="4" t="str" cm="1">
        <f t="array" aca="1" ref="M226" ca="1">IFERROR(_xlfn.IFS(R226="Count",RANDBETWEEN(1,COUNTIF($R$11:$R$653,"Count")),R226="Length",RANDBETWEEN(1,COUNTIF($R$11:$R$653,"Length"))),"")</f>
        <v/>
      </c>
      <c r="N226" s="4" t="str">
        <f ca="1">IFERROR(_xlfn.RANK.EQ(M226,$M$11:$M$653)+COUNTIF($M$11:M226,M226)-1,"")</f>
        <v/>
      </c>
      <c r="O226" s="86" t="str">
        <f>IF(A226='DATA SHEET'!$L$36,C226,IFERROR(IF(AND(ISTEXT(I226),ISBLANK(C226)),"No details",VLOOKUP(C226,DimFolder,2,FALSE)),""))</f>
        <v/>
      </c>
      <c r="P226" s="4" t="str">
        <f t="shared" si="77"/>
        <v/>
      </c>
      <c r="Q226" s="58" t="str">
        <f t="shared" si="76"/>
        <v/>
      </c>
      <c r="R226" s="4" t="e" cm="1">
        <f t="array" ref="R226">IF(INDEX(Table2[],_xlfn.XMATCH($A226,Table2[Steel Member],0),_xlfn.XMATCH(R$2,Table2[#Headers],0))=0,"",INDEX(Table2[],_xlfn.XMATCH($A226,Table2[Steel Member],0),_xlfn.XMATCH(R$2,Table2[#Headers],0)))</f>
        <v>#N/A</v>
      </c>
      <c r="S226" s="4" t="e" cm="1">
        <f t="array" ref="S226">IF(INDEX(Table2[],_xlfn.XMATCH($A226,Table2[Steel Member],0),_xlfn.XMATCH(S$2,Table2[#Headers],0))=0,"",INDEX(Table2[],_xlfn.XMATCH($A226,Table2[Steel Member],0),_xlfn.XMATCH(S$2,Table2[#Headers],0)))</f>
        <v>#N/A</v>
      </c>
      <c r="T226" s="4" t="str">
        <f t="shared" si="67"/>
        <v/>
      </c>
      <c r="U226" s="4" t="e">
        <f ca="1">VLOOKUP(N226,'COLOR CODE'!$B:$D,2,FALSE)</f>
        <v>#N/A</v>
      </c>
      <c r="V226" s="4" t="str">
        <f t="shared" si="68"/>
        <v/>
      </c>
      <c r="W226" s="4" t="e" cm="1">
        <f t="array" ref="W226">IF(INDEX(Table2[],_xlfn.XMATCH($A226,Table2[Steel Member],0),_xlfn.XMATCH(W$2,Table2[#Headers],0))=0,"",INDEX(Table2[],_xlfn.XMATCH($A226,Table2[Steel Member],0),_xlfn.XMATCH(W$2,Table2[#Headers],0)))</f>
        <v>#N/A</v>
      </c>
      <c r="X226" s="4" t="e">
        <f t="shared" si="78"/>
        <v>#N/A</v>
      </c>
      <c r="Y226" s="4" t="e" cm="1">
        <f t="array" ref="Y226">IF(INDEX(Table2[],_xlfn.XMATCH($A226,Table2[Steel Member],0),_xlfn.XMATCH(Y$2,Table2[#Headers],0))=0,"",INDEX(Table2[],_xlfn.XMATCH($A226,Table2[Steel Member],0),_xlfn.XMATCH(Y$2,Table2[#Headers],0)))</f>
        <v>#N/A</v>
      </c>
      <c r="Z226" s="4" t="e" cm="1">
        <f t="array" ref="Z226">IF(INDEX(Table2[],_xlfn.XMATCH($A226,Table2[Steel Member],0),_xlfn.XMATCH(Z$2,Table2[#Headers],0))=0,"",INDEX(Table2[],_xlfn.XMATCH($A226,Table2[Steel Member],0),_xlfn.XMATCH(Z$2,Table2[#Headers],0)))</f>
        <v>#N/A</v>
      </c>
      <c r="AA226" s="4" t="e" cm="1">
        <f t="array" ref="AA226">IF(INDEX(Table2[],_xlfn.XMATCH($A226,Table2[Steel Member],0),_xlfn.XMATCH(AA$2,Table2[#Headers],0))=0,"",INDEX(Table2[],_xlfn.XMATCH($A226,Table2[Steel Member],0),_xlfn.XMATCH(AA$2,Table2[#Headers],0)))</f>
        <v>#N/A</v>
      </c>
      <c r="AB226" s="4" t="e" cm="1">
        <f t="array" ref="AB226">IF(INDEX(Table2[],_xlfn.XMATCH($A226,Table2[Steel Member],0),_xlfn.XMATCH(AB$2,Table2[#Headers],0))=0,"",INDEX(Table2[],_xlfn.XMATCH($A226,Table2[Steel Member],0),_xlfn.XMATCH(AB$2,Table2[#Headers],0)))</f>
        <v>#N/A</v>
      </c>
      <c r="AC226" s="4" t="str" cm="1">
        <f t="array" ref="AC226">IFERROR(INDEX(Table8[],_xlfn.XMATCH($O226,Table8[Dimension Name Category],0),_xlfn.XMATCH(AC$2&amp;IF($L226," w/ tag"," w/o tag"),Table8[#Headers],0)),"")</f>
        <v/>
      </c>
      <c r="AD226" s="59" t="str">
        <f t="shared" si="69"/>
        <v/>
      </c>
      <c r="AE226" s="4" t="str">
        <f t="shared" si="70"/>
        <v/>
      </c>
      <c r="AF226" s="4" t="str">
        <f t="shared" si="71"/>
        <v/>
      </c>
      <c r="AG226" s="4" t="str" cm="1">
        <f t="array" ref="AG226">IFERROR(INDEX(Table8[],_xlfn.XMATCH($O226,Table8[Dimension Name Category],0),_xlfn.XMATCH(AG$2&amp;IF($L226," w/ tag"," w/o tag"),Table8[#Headers],0)),"")</f>
        <v/>
      </c>
      <c r="AH226" s="59" t="str">
        <f t="shared" si="72"/>
        <v/>
      </c>
      <c r="AI226" s="4"/>
      <c r="AJ226" s="4" t="str">
        <f t="shared" si="73"/>
        <v/>
      </c>
      <c r="AK226" s="4" t="str">
        <f t="shared" si="74"/>
        <v/>
      </c>
      <c r="AL226" s="4" t="e" cm="1">
        <f t="array" ref="AL226">IF(INDEX(Table2[],_xlfn.XMATCH($A226,Table2[Steel Member],0),_xlfn.XMATCH(AL$2,Table2[#Headers],0))=0,"",INDEX(Table2[],_xlfn.XMATCH($A226,Table2[Steel Member],0),_xlfn.XMATCH(AL$2,Table2[#Headers],0)))</f>
        <v>#N/A</v>
      </c>
      <c r="AM226" s="4"/>
      <c r="AN226" s="4" t="str">
        <f t="shared" si="75"/>
        <v/>
      </c>
      <c r="AO226" s="4"/>
      <c r="AP226" s="4" t="e" cm="1">
        <f t="array" ref="AP226">IF(INDEX(Table2[],_xlfn.XMATCH($A226,Table2[Steel Member],0),_xlfn.XMATCH(AP$2,Table2[#Headers],0))=0,"",INDEX(Table2[],_xlfn.XMATCH($A226,Table2[Steel Member],0),_xlfn.XMATCH(AP$2,Table2[#Headers],0)))</f>
        <v>#N/A</v>
      </c>
      <c r="AQ226" s="4"/>
      <c r="AR226" s="4"/>
      <c r="AS226" s="4"/>
      <c r="AT226" s="4"/>
    </row>
    <row r="227" spans="1:46" x14ac:dyDescent="0.25">
      <c r="A227" s="52"/>
      <c r="B227" s="52"/>
      <c r="C227" s="52"/>
      <c r="D227" s="52"/>
      <c r="E227" s="52"/>
      <c r="F227" s="64" cm="1">
        <f t="array" ref="F227">IF(COUNT(FIND(PurlinsxGirthsxBracings,$C227))&gt;0,0,ROUNDUP(IF(D227=0,0,VLOOKUP(D227,'DATA SHEET'!$B:$D,2,FALSE)),2))</f>
        <v>0</v>
      </c>
      <c r="G227" s="64" cm="1">
        <f t="array" ref="G227">IF(COUNT(FIND(PurlinsxGirthsxBracings,$C227))&gt;0,0,ROUNDUP(IF(D227=0,0,VLOOKUP(D227,'DATA SHEET'!$B:$D,3,FALSE)),2))</f>
        <v>0</v>
      </c>
      <c r="H227" s="53"/>
      <c r="I227" s="66" cm="1">
        <f t="array" ref="I227">IF(AND(ISBLANK(B227),ISBLANK(C227),ISBLANK(E227)),0,IF(COUNT(FIND(PurlinsxGirthsxBracings,$C227))&gt;0,IF(B227=0,CONCATENATE(E227," ",C227),CONCATENATE(B227," - ",E227," ",C227)),IF(B227=0,IF(ISBLANK(C227),E227,CONCATENATE(D227,", ",F227,"kg/m, ",G227,"mm surface perimeter")),IF(AND(ISBLANK(C227),ISTEXT(E227)),CONCATENATE(B227," - ",E227),IF(AND(ISBLANK(C227),ISBLANK(E227)),B227,CONCATENATE(B227," - ",D227,", ",F227,"kg/m, ",G227,"mm surface perimeter"))))&amp;IF(ISBLANK(H227),"",H227)))</f>
        <v>0</v>
      </c>
      <c r="J227" s="53"/>
      <c r="L227" s="4" t="str" cm="1">
        <f t="array" ref="L227">IF(COUNT(FIND({0,1,2,3,4,5,6,7,8,9},B227))&gt;0,COUNT(FIND({0,1,2,3,4,5,6,7,8,9},B227))&gt;0,"")</f>
        <v/>
      </c>
      <c r="M227" s="4" t="str" cm="1">
        <f t="array" aca="1" ref="M227" ca="1">IFERROR(_xlfn.IFS(R227="Count",RANDBETWEEN(1,COUNTIF($R$11:$R$653,"Count")),R227="Length",RANDBETWEEN(1,COUNTIF($R$11:$R$653,"Length"))),"")</f>
        <v/>
      </c>
      <c r="N227" s="4" t="str">
        <f ca="1">IFERROR(_xlfn.RANK.EQ(M227,$M$11:$M$653)+COUNTIF($M$11:M227,M227)-1,"")</f>
        <v/>
      </c>
      <c r="O227" s="86" t="str">
        <f>IF(A227='DATA SHEET'!$L$36,C227,IFERROR(IF(AND(ISTEXT(I227),ISBLANK(C227)),"No details",VLOOKUP(C227,DimFolder,2,FALSE)),""))</f>
        <v/>
      </c>
      <c r="P227" s="4" t="str">
        <f t="shared" si="77"/>
        <v/>
      </c>
      <c r="Q227" s="58" t="str">
        <f t="shared" si="76"/>
        <v/>
      </c>
      <c r="R227" s="4" t="e" cm="1">
        <f t="array" ref="R227">IF(INDEX(Table2[],_xlfn.XMATCH($A227,Table2[Steel Member],0),_xlfn.XMATCH(R$2,Table2[#Headers],0))=0,"",INDEX(Table2[],_xlfn.XMATCH($A227,Table2[Steel Member],0),_xlfn.XMATCH(R$2,Table2[#Headers],0)))</f>
        <v>#N/A</v>
      </c>
      <c r="S227" s="4" t="e" cm="1">
        <f t="array" ref="S227">IF(INDEX(Table2[],_xlfn.XMATCH($A227,Table2[Steel Member],0),_xlfn.XMATCH(S$2,Table2[#Headers],0))=0,"",INDEX(Table2[],_xlfn.XMATCH($A227,Table2[Steel Member],0),_xlfn.XMATCH(S$2,Table2[#Headers],0)))</f>
        <v>#N/A</v>
      </c>
      <c r="T227" s="4" t="str">
        <f t="shared" si="67"/>
        <v/>
      </c>
      <c r="U227" s="4" t="e">
        <f ca="1">VLOOKUP(N227,'COLOR CODE'!$B:$D,2,FALSE)</f>
        <v>#N/A</v>
      </c>
      <c r="V227" s="4" t="str">
        <f t="shared" si="68"/>
        <v/>
      </c>
      <c r="W227" s="4" t="e" cm="1">
        <f t="array" ref="W227">IF(INDEX(Table2[],_xlfn.XMATCH($A227,Table2[Steel Member],0),_xlfn.XMATCH(W$2,Table2[#Headers],0))=0,"",INDEX(Table2[],_xlfn.XMATCH($A227,Table2[Steel Member],0),_xlfn.XMATCH(W$2,Table2[#Headers],0)))</f>
        <v>#N/A</v>
      </c>
      <c r="X227" s="4" t="e">
        <f t="shared" si="78"/>
        <v>#N/A</v>
      </c>
      <c r="Y227" s="4" t="e" cm="1">
        <f t="array" ref="Y227">IF(INDEX(Table2[],_xlfn.XMATCH($A227,Table2[Steel Member],0),_xlfn.XMATCH(Y$2,Table2[#Headers],0))=0,"",INDEX(Table2[],_xlfn.XMATCH($A227,Table2[Steel Member],0),_xlfn.XMATCH(Y$2,Table2[#Headers],0)))</f>
        <v>#N/A</v>
      </c>
      <c r="Z227" s="4" t="e" cm="1">
        <f t="array" ref="Z227">IF(INDEX(Table2[],_xlfn.XMATCH($A227,Table2[Steel Member],0),_xlfn.XMATCH(Z$2,Table2[#Headers],0))=0,"",INDEX(Table2[],_xlfn.XMATCH($A227,Table2[Steel Member],0),_xlfn.XMATCH(Z$2,Table2[#Headers],0)))</f>
        <v>#N/A</v>
      </c>
      <c r="AA227" s="4" t="e" cm="1">
        <f t="array" ref="AA227">IF(INDEX(Table2[],_xlfn.XMATCH($A227,Table2[Steel Member],0),_xlfn.XMATCH(AA$2,Table2[#Headers],0))=0,"",INDEX(Table2[],_xlfn.XMATCH($A227,Table2[Steel Member],0),_xlfn.XMATCH(AA$2,Table2[#Headers],0)))</f>
        <v>#N/A</v>
      </c>
      <c r="AB227" s="4" t="e" cm="1">
        <f t="array" ref="AB227">IF(INDEX(Table2[],_xlfn.XMATCH($A227,Table2[Steel Member],0),_xlfn.XMATCH(AB$2,Table2[#Headers],0))=0,"",INDEX(Table2[],_xlfn.XMATCH($A227,Table2[Steel Member],0),_xlfn.XMATCH(AB$2,Table2[#Headers],0)))</f>
        <v>#N/A</v>
      </c>
      <c r="AC227" s="4" t="str" cm="1">
        <f t="array" ref="AC227">IFERROR(INDEX(Table8[],_xlfn.XMATCH($O227,Table8[Dimension Name Category],0),_xlfn.XMATCH(AC$2&amp;IF($L227," w/ tag"," w/o tag"),Table8[#Headers],0)),"")</f>
        <v/>
      </c>
      <c r="AD227" s="59" t="str">
        <f t="shared" si="69"/>
        <v/>
      </c>
      <c r="AE227" s="4" t="str">
        <f t="shared" si="70"/>
        <v/>
      </c>
      <c r="AF227" s="4" t="str">
        <f t="shared" si="71"/>
        <v/>
      </c>
      <c r="AG227" s="4" t="str" cm="1">
        <f t="array" ref="AG227">IFERROR(INDEX(Table8[],_xlfn.XMATCH($O227,Table8[Dimension Name Category],0),_xlfn.XMATCH(AG$2&amp;IF($L227," w/ tag"," w/o tag"),Table8[#Headers],0)),"")</f>
        <v/>
      </c>
      <c r="AH227" s="59" t="str">
        <f t="shared" si="72"/>
        <v/>
      </c>
      <c r="AI227" s="4"/>
      <c r="AJ227" s="4" t="str">
        <f t="shared" si="73"/>
        <v/>
      </c>
      <c r="AK227" s="4" t="str">
        <f t="shared" si="74"/>
        <v/>
      </c>
      <c r="AL227" s="4" t="e" cm="1">
        <f t="array" ref="AL227">IF(INDEX(Table2[],_xlfn.XMATCH($A227,Table2[Steel Member],0),_xlfn.XMATCH(AL$2,Table2[#Headers],0))=0,"",INDEX(Table2[],_xlfn.XMATCH($A227,Table2[Steel Member],0),_xlfn.XMATCH(AL$2,Table2[#Headers],0)))</f>
        <v>#N/A</v>
      </c>
      <c r="AM227" s="4"/>
      <c r="AN227" s="4" t="str">
        <f t="shared" si="75"/>
        <v/>
      </c>
      <c r="AO227" s="4"/>
      <c r="AP227" s="4" t="e" cm="1">
        <f t="array" ref="AP227">IF(INDEX(Table2[],_xlfn.XMATCH($A227,Table2[Steel Member],0),_xlfn.XMATCH(AP$2,Table2[#Headers],0))=0,"",INDEX(Table2[],_xlfn.XMATCH($A227,Table2[Steel Member],0),_xlfn.XMATCH(AP$2,Table2[#Headers],0)))</f>
        <v>#N/A</v>
      </c>
      <c r="AQ227" s="4"/>
      <c r="AR227" s="4"/>
      <c r="AS227" s="4"/>
      <c r="AT227" s="4"/>
    </row>
    <row r="228" spans="1:46" x14ac:dyDescent="0.25">
      <c r="A228" s="52"/>
      <c r="B228" s="52"/>
      <c r="C228" s="52"/>
      <c r="D228" s="52"/>
      <c r="E228" s="52"/>
      <c r="F228" s="64" cm="1">
        <f t="array" ref="F228">IF(COUNT(FIND(PurlinsxGirthsxBracings,$C228))&gt;0,0,ROUNDUP(IF(D228=0,0,VLOOKUP(D228,'DATA SHEET'!$B:$D,2,FALSE)),2))</f>
        <v>0</v>
      </c>
      <c r="G228" s="64" cm="1">
        <f t="array" ref="G228">IF(COUNT(FIND(PurlinsxGirthsxBracings,$C228))&gt;0,0,ROUNDUP(IF(D228=0,0,VLOOKUP(D228,'DATA SHEET'!$B:$D,3,FALSE)),2))</f>
        <v>0</v>
      </c>
      <c r="H228" s="53"/>
      <c r="I228" s="66" cm="1">
        <f t="array" ref="I228">IF(AND(ISBLANK(B228),ISBLANK(C228),ISBLANK(E228)),0,IF(COUNT(FIND(PurlinsxGirthsxBracings,$C228))&gt;0,IF(B228=0,CONCATENATE(E228," ",C228),CONCATENATE(B228," - ",E228," ",C228)),IF(B228=0,IF(ISBLANK(C228),E228,CONCATENATE(D228,", ",F228,"kg/m, ",G228,"mm surface perimeter")),IF(AND(ISBLANK(C228),ISTEXT(E228)),CONCATENATE(B228," - ",E228),IF(AND(ISBLANK(C228),ISBLANK(E228)),B228,CONCATENATE(B228," - ",D228,", ",F228,"kg/m, ",G228,"mm surface perimeter"))))&amp;IF(ISBLANK(H228),"",H228)))</f>
        <v>0</v>
      </c>
      <c r="J228" s="53"/>
      <c r="L228" s="4" t="str" cm="1">
        <f t="array" ref="L228">IF(COUNT(FIND({0,1,2,3,4,5,6,7,8,9},B228))&gt;0,COUNT(FIND({0,1,2,3,4,5,6,7,8,9},B228))&gt;0,"")</f>
        <v/>
      </c>
      <c r="M228" s="4" t="str" cm="1">
        <f t="array" aca="1" ref="M228" ca="1">IFERROR(_xlfn.IFS(R228="Count",RANDBETWEEN(1,COUNTIF($R$11:$R$653,"Count")),R228="Length",RANDBETWEEN(1,COUNTIF($R$11:$R$653,"Length"))),"")</f>
        <v/>
      </c>
      <c r="N228" s="4" t="str">
        <f ca="1">IFERROR(_xlfn.RANK.EQ(M228,$M$11:$M$653)+COUNTIF($M$11:M228,M228)-1,"")</f>
        <v/>
      </c>
      <c r="O228" s="86" t="str">
        <f>IF(A228='DATA SHEET'!$L$36,C228,IFERROR(IF(AND(ISTEXT(I228),ISBLANK(C228)),"No details",VLOOKUP(C228,DimFolder,2,FALSE)),""))</f>
        <v/>
      </c>
      <c r="P228" s="4" t="str">
        <f t="shared" si="77"/>
        <v/>
      </c>
      <c r="Q228" s="58" t="str">
        <f t="shared" si="76"/>
        <v/>
      </c>
      <c r="R228" s="4" t="e" cm="1">
        <f t="array" ref="R228">IF(INDEX(Table2[],_xlfn.XMATCH($A228,Table2[Steel Member],0),_xlfn.XMATCH(R$2,Table2[#Headers],0))=0,"",INDEX(Table2[],_xlfn.XMATCH($A228,Table2[Steel Member],0),_xlfn.XMATCH(R$2,Table2[#Headers],0)))</f>
        <v>#N/A</v>
      </c>
      <c r="S228" s="4" t="e" cm="1">
        <f t="array" ref="S228">IF(INDEX(Table2[],_xlfn.XMATCH($A228,Table2[Steel Member],0),_xlfn.XMATCH(S$2,Table2[#Headers],0))=0,"",INDEX(Table2[],_xlfn.XMATCH($A228,Table2[Steel Member],0),_xlfn.XMATCH(S$2,Table2[#Headers],0)))</f>
        <v>#N/A</v>
      </c>
      <c r="T228" s="4" t="str">
        <f t="shared" si="67"/>
        <v/>
      </c>
      <c r="U228" s="4" t="e">
        <f ca="1">VLOOKUP(N228,'COLOR CODE'!$B:$D,2,FALSE)</f>
        <v>#N/A</v>
      </c>
      <c r="V228" s="4" t="str">
        <f t="shared" si="68"/>
        <v/>
      </c>
      <c r="W228" s="4" t="e" cm="1">
        <f t="array" ref="W228">IF(INDEX(Table2[],_xlfn.XMATCH($A228,Table2[Steel Member],0),_xlfn.XMATCH(W$2,Table2[#Headers],0))=0,"",INDEX(Table2[],_xlfn.XMATCH($A228,Table2[Steel Member],0),_xlfn.XMATCH(W$2,Table2[#Headers],0)))</f>
        <v>#N/A</v>
      </c>
      <c r="X228" s="4" t="e">
        <f t="shared" si="78"/>
        <v>#N/A</v>
      </c>
      <c r="Y228" s="4" t="e" cm="1">
        <f t="array" ref="Y228">IF(INDEX(Table2[],_xlfn.XMATCH($A228,Table2[Steel Member],0),_xlfn.XMATCH(Y$2,Table2[#Headers],0))=0,"",INDEX(Table2[],_xlfn.XMATCH($A228,Table2[Steel Member],0),_xlfn.XMATCH(Y$2,Table2[#Headers],0)))</f>
        <v>#N/A</v>
      </c>
      <c r="Z228" s="4" t="e" cm="1">
        <f t="array" ref="Z228">IF(INDEX(Table2[],_xlfn.XMATCH($A228,Table2[Steel Member],0),_xlfn.XMATCH(Z$2,Table2[#Headers],0))=0,"",INDEX(Table2[],_xlfn.XMATCH($A228,Table2[Steel Member],0),_xlfn.XMATCH(Z$2,Table2[#Headers],0)))</f>
        <v>#N/A</v>
      </c>
      <c r="AA228" s="4" t="e" cm="1">
        <f t="array" ref="AA228">IF(INDEX(Table2[],_xlfn.XMATCH($A228,Table2[Steel Member],0),_xlfn.XMATCH(AA$2,Table2[#Headers],0))=0,"",INDEX(Table2[],_xlfn.XMATCH($A228,Table2[Steel Member],0),_xlfn.XMATCH(AA$2,Table2[#Headers],0)))</f>
        <v>#N/A</v>
      </c>
      <c r="AB228" s="4" t="e" cm="1">
        <f t="array" ref="AB228">IF(INDEX(Table2[],_xlfn.XMATCH($A228,Table2[Steel Member],0),_xlfn.XMATCH(AB$2,Table2[#Headers],0))=0,"",INDEX(Table2[],_xlfn.XMATCH($A228,Table2[Steel Member],0),_xlfn.XMATCH(AB$2,Table2[#Headers],0)))</f>
        <v>#N/A</v>
      </c>
      <c r="AC228" s="4" t="str" cm="1">
        <f t="array" ref="AC228">IFERROR(INDEX(Table8[],_xlfn.XMATCH($O228,Table8[Dimension Name Category],0),_xlfn.XMATCH(AC$2&amp;IF($L228," w/ tag"," w/o tag"),Table8[#Headers],0)),"")</f>
        <v/>
      </c>
      <c r="AD228" s="59" t="str">
        <f t="shared" si="69"/>
        <v/>
      </c>
      <c r="AE228" s="4" t="str">
        <f t="shared" si="70"/>
        <v/>
      </c>
      <c r="AF228" s="4" t="str">
        <f t="shared" si="71"/>
        <v/>
      </c>
      <c r="AG228" s="4" t="str" cm="1">
        <f t="array" ref="AG228">IFERROR(INDEX(Table8[],_xlfn.XMATCH($O228,Table8[Dimension Name Category],0),_xlfn.XMATCH(AG$2&amp;IF($L228," w/ tag"," w/o tag"),Table8[#Headers],0)),"")</f>
        <v/>
      </c>
      <c r="AH228" s="59" t="str">
        <f t="shared" si="72"/>
        <v/>
      </c>
      <c r="AI228" s="4"/>
      <c r="AJ228" s="4" t="str">
        <f t="shared" si="73"/>
        <v/>
      </c>
      <c r="AK228" s="4" t="str">
        <f t="shared" si="74"/>
        <v/>
      </c>
      <c r="AL228" s="4" t="e" cm="1">
        <f t="array" ref="AL228">IF(INDEX(Table2[],_xlfn.XMATCH($A228,Table2[Steel Member],0),_xlfn.XMATCH(AL$2,Table2[#Headers],0))=0,"",INDEX(Table2[],_xlfn.XMATCH($A228,Table2[Steel Member],0),_xlfn.XMATCH(AL$2,Table2[#Headers],0)))</f>
        <v>#N/A</v>
      </c>
      <c r="AM228" s="4"/>
      <c r="AN228" s="4" t="str">
        <f t="shared" si="75"/>
        <v/>
      </c>
      <c r="AO228" s="4"/>
      <c r="AP228" s="4" t="e" cm="1">
        <f t="array" ref="AP228">IF(INDEX(Table2[],_xlfn.XMATCH($A228,Table2[Steel Member],0),_xlfn.XMATCH(AP$2,Table2[#Headers],0))=0,"",INDEX(Table2[],_xlfn.XMATCH($A228,Table2[Steel Member],0),_xlfn.XMATCH(AP$2,Table2[#Headers],0)))</f>
        <v>#N/A</v>
      </c>
      <c r="AQ228" s="4"/>
      <c r="AR228" s="4"/>
      <c r="AS228" s="4"/>
      <c r="AT228" s="4"/>
    </row>
    <row r="229" spans="1:46" x14ac:dyDescent="0.25">
      <c r="A229" s="52"/>
      <c r="B229" s="52"/>
      <c r="C229" s="52"/>
      <c r="D229" s="52"/>
      <c r="E229" s="52"/>
      <c r="F229" s="64" cm="1">
        <f t="array" ref="F229">IF(COUNT(FIND(PurlinsxGirthsxBracings,$C229))&gt;0,0,ROUNDUP(IF(D229=0,0,VLOOKUP(D229,'DATA SHEET'!$B:$D,2,FALSE)),2))</f>
        <v>0</v>
      </c>
      <c r="G229" s="64" cm="1">
        <f t="array" ref="G229">IF(COUNT(FIND(PurlinsxGirthsxBracings,$C229))&gt;0,0,ROUNDUP(IF(D229=0,0,VLOOKUP(D229,'DATA SHEET'!$B:$D,3,FALSE)),2))</f>
        <v>0</v>
      </c>
      <c r="H229" s="53"/>
      <c r="I229" s="66" cm="1">
        <f t="array" ref="I229">IF(AND(ISBLANK(B229),ISBLANK(C229),ISBLANK(E229)),0,IF(COUNT(FIND(PurlinsxGirthsxBracings,$C229))&gt;0,IF(B229=0,CONCATENATE(E229," ",C229),CONCATENATE(B229," - ",E229," ",C229)),IF(B229=0,IF(ISBLANK(C229),E229,CONCATENATE(D229,", ",F229,"kg/m, ",G229,"mm surface perimeter")),IF(AND(ISBLANK(C229),ISTEXT(E229)),CONCATENATE(B229," - ",E229),IF(AND(ISBLANK(C229),ISBLANK(E229)),B229,CONCATENATE(B229," - ",D229,", ",F229,"kg/m, ",G229,"mm surface perimeter"))))&amp;IF(ISBLANK(H229),"",H229)))</f>
        <v>0</v>
      </c>
      <c r="J229" s="53"/>
      <c r="L229" s="4" t="str" cm="1">
        <f t="array" ref="L229">IF(COUNT(FIND({0,1,2,3,4,5,6,7,8,9},B229))&gt;0,COUNT(FIND({0,1,2,3,4,5,6,7,8,9},B229))&gt;0,"")</f>
        <v/>
      </c>
      <c r="M229" s="4" t="str" cm="1">
        <f t="array" aca="1" ref="M229" ca="1">IFERROR(_xlfn.IFS(R229="Count",RANDBETWEEN(1,COUNTIF($R$11:$R$653,"Count")),R229="Length",RANDBETWEEN(1,COUNTIF($R$11:$R$653,"Length"))),"")</f>
        <v/>
      </c>
      <c r="N229" s="4" t="str">
        <f ca="1">IFERROR(_xlfn.RANK.EQ(M229,$M$11:$M$653)+COUNTIF($M$11:M229,M229)-1,"")</f>
        <v/>
      </c>
      <c r="O229" s="86" t="str">
        <f>IF(A229='DATA SHEET'!$L$36,C229,IFERROR(IF(AND(ISTEXT(I229),ISBLANK(C229)),"No details",VLOOKUP(C229,DimFolder,2,FALSE)),""))</f>
        <v/>
      </c>
      <c r="P229" s="4" t="str">
        <f t="shared" si="77"/>
        <v/>
      </c>
      <c r="Q229" s="58" t="str">
        <f t="shared" si="76"/>
        <v/>
      </c>
      <c r="R229" s="4" t="e" cm="1">
        <f t="array" ref="R229">IF(INDEX(Table2[],_xlfn.XMATCH($A229,Table2[Steel Member],0),_xlfn.XMATCH(R$2,Table2[#Headers],0))=0,"",INDEX(Table2[],_xlfn.XMATCH($A229,Table2[Steel Member],0),_xlfn.XMATCH(R$2,Table2[#Headers],0)))</f>
        <v>#N/A</v>
      </c>
      <c r="S229" s="4" t="e" cm="1">
        <f t="array" ref="S229">IF(INDEX(Table2[],_xlfn.XMATCH($A229,Table2[Steel Member],0),_xlfn.XMATCH(S$2,Table2[#Headers],0))=0,"",INDEX(Table2[],_xlfn.XMATCH($A229,Table2[Steel Member],0),_xlfn.XMATCH(S$2,Table2[#Headers],0)))</f>
        <v>#N/A</v>
      </c>
      <c r="T229" s="4" t="str">
        <f t="shared" si="67"/>
        <v/>
      </c>
      <c r="U229" s="4" t="e">
        <f ca="1">VLOOKUP(N229,'COLOR CODE'!$B:$D,2,FALSE)</f>
        <v>#N/A</v>
      </c>
      <c r="V229" s="4" t="str">
        <f t="shared" si="68"/>
        <v/>
      </c>
      <c r="W229" s="4" t="e" cm="1">
        <f t="array" ref="W229">IF(INDEX(Table2[],_xlfn.XMATCH($A229,Table2[Steel Member],0),_xlfn.XMATCH(W$2,Table2[#Headers],0))=0,"",INDEX(Table2[],_xlfn.XMATCH($A229,Table2[Steel Member],0),_xlfn.XMATCH(W$2,Table2[#Headers],0)))</f>
        <v>#N/A</v>
      </c>
      <c r="X229" s="4" t="e">
        <f t="shared" si="78"/>
        <v>#N/A</v>
      </c>
      <c r="Y229" s="4" t="e" cm="1">
        <f t="array" ref="Y229">IF(INDEX(Table2[],_xlfn.XMATCH($A229,Table2[Steel Member],0),_xlfn.XMATCH(Y$2,Table2[#Headers],0))=0,"",INDEX(Table2[],_xlfn.XMATCH($A229,Table2[Steel Member],0),_xlfn.XMATCH(Y$2,Table2[#Headers],0)))</f>
        <v>#N/A</v>
      </c>
      <c r="Z229" s="4" t="e" cm="1">
        <f t="array" ref="Z229">IF(INDEX(Table2[],_xlfn.XMATCH($A229,Table2[Steel Member],0),_xlfn.XMATCH(Z$2,Table2[#Headers],0))=0,"",INDEX(Table2[],_xlfn.XMATCH($A229,Table2[Steel Member],0),_xlfn.XMATCH(Z$2,Table2[#Headers],0)))</f>
        <v>#N/A</v>
      </c>
      <c r="AA229" s="4" t="e" cm="1">
        <f t="array" ref="AA229">IF(INDEX(Table2[],_xlfn.XMATCH($A229,Table2[Steel Member],0),_xlfn.XMATCH(AA$2,Table2[#Headers],0))=0,"",INDEX(Table2[],_xlfn.XMATCH($A229,Table2[Steel Member],0),_xlfn.XMATCH(AA$2,Table2[#Headers],0)))</f>
        <v>#N/A</v>
      </c>
      <c r="AB229" s="4" t="e" cm="1">
        <f t="array" ref="AB229">IF(INDEX(Table2[],_xlfn.XMATCH($A229,Table2[Steel Member],0),_xlfn.XMATCH(AB$2,Table2[#Headers],0))=0,"",INDEX(Table2[],_xlfn.XMATCH($A229,Table2[Steel Member],0),_xlfn.XMATCH(AB$2,Table2[#Headers],0)))</f>
        <v>#N/A</v>
      </c>
      <c r="AC229" s="4" t="str" cm="1">
        <f t="array" ref="AC229">IFERROR(INDEX(Table8[],_xlfn.XMATCH($O229,Table8[Dimension Name Category],0),_xlfn.XMATCH(AC$2&amp;IF($L229," w/ tag"," w/o tag"),Table8[#Headers],0)),"")</f>
        <v/>
      </c>
      <c r="AD229" s="59" t="str">
        <f t="shared" si="69"/>
        <v/>
      </c>
      <c r="AE229" s="4" t="str">
        <f t="shared" si="70"/>
        <v/>
      </c>
      <c r="AF229" s="4" t="str">
        <f t="shared" si="71"/>
        <v/>
      </c>
      <c r="AG229" s="4" t="str" cm="1">
        <f t="array" ref="AG229">IFERROR(INDEX(Table8[],_xlfn.XMATCH($O229,Table8[Dimension Name Category],0),_xlfn.XMATCH(AG$2&amp;IF($L229," w/ tag"," w/o tag"),Table8[#Headers],0)),"")</f>
        <v/>
      </c>
      <c r="AH229" s="59" t="str">
        <f t="shared" si="72"/>
        <v/>
      </c>
      <c r="AI229" s="4"/>
      <c r="AJ229" s="4" t="str">
        <f t="shared" si="73"/>
        <v/>
      </c>
      <c r="AK229" s="4" t="str">
        <f t="shared" si="74"/>
        <v/>
      </c>
      <c r="AL229" s="4" t="e" cm="1">
        <f t="array" ref="AL229">IF(INDEX(Table2[],_xlfn.XMATCH($A229,Table2[Steel Member],0),_xlfn.XMATCH(AL$2,Table2[#Headers],0))=0,"",INDEX(Table2[],_xlfn.XMATCH($A229,Table2[Steel Member],0),_xlfn.XMATCH(AL$2,Table2[#Headers],0)))</f>
        <v>#N/A</v>
      </c>
      <c r="AM229" s="4"/>
      <c r="AN229" s="4" t="str">
        <f t="shared" si="75"/>
        <v/>
      </c>
      <c r="AO229" s="4"/>
      <c r="AP229" s="4" t="e" cm="1">
        <f t="array" ref="AP229">IF(INDEX(Table2[],_xlfn.XMATCH($A229,Table2[Steel Member],0),_xlfn.XMATCH(AP$2,Table2[#Headers],0))=0,"",INDEX(Table2[],_xlfn.XMATCH($A229,Table2[Steel Member],0),_xlfn.XMATCH(AP$2,Table2[#Headers],0)))</f>
        <v>#N/A</v>
      </c>
      <c r="AQ229" s="4"/>
      <c r="AR229" s="4"/>
      <c r="AS229" s="4"/>
      <c r="AT229" s="4"/>
    </row>
    <row r="230" spans="1:46" x14ac:dyDescent="0.25">
      <c r="A230" s="52"/>
      <c r="B230" s="52"/>
      <c r="C230" s="52"/>
      <c r="D230" s="52"/>
      <c r="E230" s="52"/>
      <c r="F230" s="64" cm="1">
        <f t="array" ref="F230">IF(COUNT(FIND(PurlinsxGirthsxBracings,$C230))&gt;0,0,ROUNDUP(IF(D230=0,0,VLOOKUP(D230,'DATA SHEET'!$B:$D,2,FALSE)),2))</f>
        <v>0</v>
      </c>
      <c r="G230" s="64" cm="1">
        <f t="array" ref="G230">IF(COUNT(FIND(PurlinsxGirthsxBracings,$C230))&gt;0,0,ROUNDUP(IF(D230=0,0,VLOOKUP(D230,'DATA SHEET'!$B:$D,3,FALSE)),2))</f>
        <v>0</v>
      </c>
      <c r="H230" s="53"/>
      <c r="I230" s="66" cm="1">
        <f t="array" ref="I230">IF(AND(ISBLANK(B230),ISBLANK(C230),ISBLANK(E230)),0,IF(COUNT(FIND(PurlinsxGirthsxBracings,$C230))&gt;0,IF(B230=0,CONCATENATE(E230," ",C230),CONCATENATE(B230," - ",E230," ",C230)),IF(B230=0,IF(ISBLANK(C230),E230,CONCATENATE(D230,", ",F230,"kg/m, ",G230,"mm surface perimeter")),IF(AND(ISBLANK(C230),ISTEXT(E230)),CONCATENATE(B230," - ",E230),IF(AND(ISBLANK(C230),ISBLANK(E230)),B230,CONCATENATE(B230," - ",D230,", ",F230,"kg/m, ",G230,"mm surface perimeter"))))&amp;IF(ISBLANK(H230),"",H230)))</f>
        <v>0</v>
      </c>
      <c r="J230" s="53"/>
      <c r="L230" s="4" t="str" cm="1">
        <f t="array" ref="L230">IF(COUNT(FIND({0,1,2,3,4,5,6,7,8,9},B230))&gt;0,COUNT(FIND({0,1,2,3,4,5,6,7,8,9},B230))&gt;0,"")</f>
        <v/>
      </c>
      <c r="M230" s="4" t="str" cm="1">
        <f t="array" aca="1" ref="M230" ca="1">IFERROR(_xlfn.IFS(R230="Count",RANDBETWEEN(1,COUNTIF($R$11:$R$653,"Count")),R230="Length",RANDBETWEEN(1,COUNTIF($R$11:$R$653,"Length"))),"")</f>
        <v/>
      </c>
      <c r="N230" s="4" t="str">
        <f ca="1">IFERROR(_xlfn.RANK.EQ(M230,$M$11:$M$653)+COUNTIF($M$11:M230,M230)-1,"")</f>
        <v/>
      </c>
      <c r="O230" s="86" t="str">
        <f>IF(A230='DATA SHEET'!$L$36,C230,IFERROR(IF(AND(ISTEXT(I230),ISBLANK(C230)),"No details",VLOOKUP(C230,DimFolder,2,FALSE)),""))</f>
        <v/>
      </c>
      <c r="P230" s="4" t="str">
        <f t="shared" si="77"/>
        <v/>
      </c>
      <c r="Q230" s="58" t="str">
        <f t="shared" si="76"/>
        <v/>
      </c>
      <c r="R230" s="4" t="e" cm="1">
        <f t="array" ref="R230">IF(INDEX(Table2[],_xlfn.XMATCH($A230,Table2[Steel Member],0),_xlfn.XMATCH(R$2,Table2[#Headers],0))=0,"",INDEX(Table2[],_xlfn.XMATCH($A230,Table2[Steel Member],0),_xlfn.XMATCH(R$2,Table2[#Headers],0)))</f>
        <v>#N/A</v>
      </c>
      <c r="S230" s="4" t="e" cm="1">
        <f t="array" ref="S230">IF(INDEX(Table2[],_xlfn.XMATCH($A230,Table2[Steel Member],0),_xlfn.XMATCH(S$2,Table2[#Headers],0))=0,"",INDEX(Table2[],_xlfn.XMATCH($A230,Table2[Steel Member],0),_xlfn.XMATCH(S$2,Table2[#Headers],0)))</f>
        <v>#N/A</v>
      </c>
      <c r="T230" s="4" t="str">
        <f t="shared" si="67"/>
        <v/>
      </c>
      <c r="U230" s="4" t="e">
        <f ca="1">VLOOKUP(N230,'COLOR CODE'!$B:$D,2,FALSE)</f>
        <v>#N/A</v>
      </c>
      <c r="V230" s="4" t="str">
        <f t="shared" si="68"/>
        <v/>
      </c>
      <c r="W230" s="4" t="e" cm="1">
        <f t="array" ref="W230">IF(INDEX(Table2[],_xlfn.XMATCH($A230,Table2[Steel Member],0),_xlfn.XMATCH(W$2,Table2[#Headers],0))=0,"",INDEX(Table2[],_xlfn.XMATCH($A230,Table2[Steel Member],0),_xlfn.XMATCH(W$2,Table2[#Headers],0)))</f>
        <v>#N/A</v>
      </c>
      <c r="X230" s="4" t="e">
        <f t="shared" si="78"/>
        <v>#N/A</v>
      </c>
      <c r="Y230" s="4" t="e" cm="1">
        <f t="array" ref="Y230">IF(INDEX(Table2[],_xlfn.XMATCH($A230,Table2[Steel Member],0),_xlfn.XMATCH(Y$2,Table2[#Headers],0))=0,"",INDEX(Table2[],_xlfn.XMATCH($A230,Table2[Steel Member],0),_xlfn.XMATCH(Y$2,Table2[#Headers],0)))</f>
        <v>#N/A</v>
      </c>
      <c r="Z230" s="4" t="e" cm="1">
        <f t="array" ref="Z230">IF(INDEX(Table2[],_xlfn.XMATCH($A230,Table2[Steel Member],0),_xlfn.XMATCH(Z$2,Table2[#Headers],0))=0,"",INDEX(Table2[],_xlfn.XMATCH($A230,Table2[Steel Member],0),_xlfn.XMATCH(Z$2,Table2[#Headers],0)))</f>
        <v>#N/A</v>
      </c>
      <c r="AA230" s="4" t="e" cm="1">
        <f t="array" ref="AA230">IF(INDEX(Table2[],_xlfn.XMATCH($A230,Table2[Steel Member],0),_xlfn.XMATCH(AA$2,Table2[#Headers],0))=0,"",INDEX(Table2[],_xlfn.XMATCH($A230,Table2[Steel Member],0),_xlfn.XMATCH(AA$2,Table2[#Headers],0)))</f>
        <v>#N/A</v>
      </c>
      <c r="AB230" s="4" t="e" cm="1">
        <f t="array" ref="AB230">IF(INDEX(Table2[],_xlfn.XMATCH($A230,Table2[Steel Member],0),_xlfn.XMATCH(AB$2,Table2[#Headers],0))=0,"",INDEX(Table2[],_xlfn.XMATCH($A230,Table2[Steel Member],0),_xlfn.XMATCH(AB$2,Table2[#Headers],0)))</f>
        <v>#N/A</v>
      </c>
      <c r="AC230" s="4" t="str" cm="1">
        <f t="array" ref="AC230">IFERROR(INDEX(Table8[],_xlfn.XMATCH($O230,Table8[Dimension Name Category],0),_xlfn.XMATCH(AC$2&amp;IF($L230," w/ tag"," w/o tag"),Table8[#Headers],0)),"")</f>
        <v/>
      </c>
      <c r="AD230" s="59" t="str">
        <f t="shared" si="69"/>
        <v/>
      </c>
      <c r="AE230" s="4" t="str">
        <f t="shared" si="70"/>
        <v/>
      </c>
      <c r="AF230" s="4" t="str">
        <f t="shared" si="71"/>
        <v/>
      </c>
      <c r="AG230" s="4" t="str" cm="1">
        <f t="array" ref="AG230">IFERROR(INDEX(Table8[],_xlfn.XMATCH($O230,Table8[Dimension Name Category],0),_xlfn.XMATCH(AG$2&amp;IF($L230," w/ tag"," w/o tag"),Table8[#Headers],0)),"")</f>
        <v/>
      </c>
      <c r="AH230" s="59" t="str">
        <f t="shared" si="72"/>
        <v/>
      </c>
      <c r="AI230" s="4"/>
      <c r="AJ230" s="4" t="str">
        <f t="shared" si="73"/>
        <v/>
      </c>
      <c r="AK230" s="4" t="str">
        <f t="shared" si="74"/>
        <v/>
      </c>
      <c r="AL230" s="4" t="e" cm="1">
        <f t="array" ref="AL230">IF(INDEX(Table2[],_xlfn.XMATCH($A230,Table2[Steel Member],0),_xlfn.XMATCH(AL$2,Table2[#Headers],0))=0,"",INDEX(Table2[],_xlfn.XMATCH($A230,Table2[Steel Member],0),_xlfn.XMATCH(AL$2,Table2[#Headers],0)))</f>
        <v>#N/A</v>
      </c>
      <c r="AM230" s="4"/>
      <c r="AN230" s="4" t="str">
        <f t="shared" si="75"/>
        <v/>
      </c>
      <c r="AO230" s="4"/>
      <c r="AP230" s="4" t="e" cm="1">
        <f t="array" ref="AP230">IF(INDEX(Table2[],_xlfn.XMATCH($A230,Table2[Steel Member],0),_xlfn.XMATCH(AP$2,Table2[#Headers],0))=0,"",INDEX(Table2[],_xlfn.XMATCH($A230,Table2[Steel Member],0),_xlfn.XMATCH(AP$2,Table2[#Headers],0)))</f>
        <v>#N/A</v>
      </c>
      <c r="AQ230" s="4"/>
      <c r="AR230" s="4"/>
      <c r="AS230" s="4"/>
      <c r="AT230" s="4"/>
    </row>
    <row r="231" spans="1:46" x14ac:dyDescent="0.25">
      <c r="A231" s="52"/>
      <c r="B231" s="52"/>
      <c r="C231" s="52"/>
      <c r="D231" s="52"/>
      <c r="E231" s="52"/>
      <c r="F231" s="64" cm="1">
        <f t="array" ref="F231">IF(COUNT(FIND(PurlinsxGirthsxBracings,$C231))&gt;0,0,ROUNDUP(IF(D231=0,0,VLOOKUP(D231,'DATA SHEET'!$B:$D,2,FALSE)),2))</f>
        <v>0</v>
      </c>
      <c r="G231" s="64" cm="1">
        <f t="array" ref="G231">IF(COUNT(FIND(PurlinsxGirthsxBracings,$C231))&gt;0,0,ROUNDUP(IF(D231=0,0,VLOOKUP(D231,'DATA SHEET'!$B:$D,3,FALSE)),2))</f>
        <v>0</v>
      </c>
      <c r="H231" s="53"/>
      <c r="I231" s="66" cm="1">
        <f t="array" ref="I231">IF(AND(ISBLANK(B231),ISBLANK(C231),ISBLANK(E231)),0,IF(COUNT(FIND(PurlinsxGirthsxBracings,$C231))&gt;0,IF(B231=0,CONCATENATE(E231," ",C231),CONCATENATE(B231," - ",E231," ",C231)),IF(B231=0,IF(ISBLANK(C231),E231,CONCATENATE(D231,", ",F231,"kg/m, ",G231,"mm surface perimeter")),IF(AND(ISBLANK(C231),ISTEXT(E231)),CONCATENATE(B231," - ",E231),IF(AND(ISBLANK(C231),ISBLANK(E231)),B231,CONCATENATE(B231," - ",D231,", ",F231,"kg/m, ",G231,"mm surface perimeter"))))&amp;IF(ISBLANK(H231),"",H231)))</f>
        <v>0</v>
      </c>
      <c r="J231" s="53"/>
      <c r="L231" s="4" t="str" cm="1">
        <f t="array" ref="L231">IF(COUNT(FIND({0,1,2,3,4,5,6,7,8,9},B231))&gt;0,COUNT(FIND({0,1,2,3,4,5,6,7,8,9},B231))&gt;0,"")</f>
        <v/>
      </c>
      <c r="M231" s="4" t="str" cm="1">
        <f t="array" aca="1" ref="M231" ca="1">IFERROR(_xlfn.IFS(R231="Count",RANDBETWEEN(1,COUNTIF($R$11:$R$653,"Count")),R231="Length",RANDBETWEEN(1,COUNTIF($R$11:$R$653,"Length"))),"")</f>
        <v/>
      </c>
      <c r="N231" s="4" t="str">
        <f ca="1">IFERROR(_xlfn.RANK.EQ(M231,$M$11:$M$653)+COUNTIF($M$11:M231,M231)-1,"")</f>
        <v/>
      </c>
      <c r="O231" s="86" t="str">
        <f>IF(A231='DATA SHEET'!$L$36,C231,IFERROR(IF(AND(ISTEXT(I231),ISBLANK(C231)),"No details",VLOOKUP(C231,DimFolder,2,FALSE)),""))</f>
        <v/>
      </c>
      <c r="P231" s="4" t="str">
        <f t="shared" si="77"/>
        <v/>
      </c>
      <c r="Q231" s="58" t="str">
        <f t="shared" si="76"/>
        <v/>
      </c>
      <c r="R231" s="4" t="e" cm="1">
        <f t="array" ref="R231">IF(INDEX(Table2[],_xlfn.XMATCH($A231,Table2[Steel Member],0),_xlfn.XMATCH(R$2,Table2[#Headers],0))=0,"",INDEX(Table2[],_xlfn.XMATCH($A231,Table2[Steel Member],0),_xlfn.XMATCH(R$2,Table2[#Headers],0)))</f>
        <v>#N/A</v>
      </c>
      <c r="S231" s="4" t="e" cm="1">
        <f t="array" ref="S231">IF(INDEX(Table2[],_xlfn.XMATCH($A231,Table2[Steel Member],0),_xlfn.XMATCH(S$2,Table2[#Headers],0))=0,"",INDEX(Table2[],_xlfn.XMATCH($A231,Table2[Steel Member],0),_xlfn.XMATCH(S$2,Table2[#Headers],0)))</f>
        <v>#N/A</v>
      </c>
      <c r="T231" s="4" t="str">
        <f t="shared" si="67"/>
        <v/>
      </c>
      <c r="U231" s="4" t="e">
        <f ca="1">VLOOKUP(N231,'COLOR CODE'!$B:$D,2,FALSE)</f>
        <v>#N/A</v>
      </c>
      <c r="V231" s="4" t="str">
        <f t="shared" si="68"/>
        <v/>
      </c>
      <c r="W231" s="4" t="e" cm="1">
        <f t="array" ref="W231">IF(INDEX(Table2[],_xlfn.XMATCH($A231,Table2[Steel Member],0),_xlfn.XMATCH(W$2,Table2[#Headers],0))=0,"",INDEX(Table2[],_xlfn.XMATCH($A231,Table2[Steel Member],0),_xlfn.XMATCH(W$2,Table2[#Headers],0)))</f>
        <v>#N/A</v>
      </c>
      <c r="X231" s="4" t="e">
        <f t="shared" si="78"/>
        <v>#N/A</v>
      </c>
      <c r="Y231" s="4" t="e" cm="1">
        <f t="array" ref="Y231">IF(INDEX(Table2[],_xlfn.XMATCH($A231,Table2[Steel Member],0),_xlfn.XMATCH(Y$2,Table2[#Headers],0))=0,"",INDEX(Table2[],_xlfn.XMATCH($A231,Table2[Steel Member],0),_xlfn.XMATCH(Y$2,Table2[#Headers],0)))</f>
        <v>#N/A</v>
      </c>
      <c r="Z231" s="4" t="e" cm="1">
        <f t="array" ref="Z231">IF(INDEX(Table2[],_xlfn.XMATCH($A231,Table2[Steel Member],0),_xlfn.XMATCH(Z$2,Table2[#Headers],0))=0,"",INDEX(Table2[],_xlfn.XMATCH($A231,Table2[Steel Member],0),_xlfn.XMATCH(Z$2,Table2[#Headers],0)))</f>
        <v>#N/A</v>
      </c>
      <c r="AA231" s="4" t="e" cm="1">
        <f t="array" ref="AA231">IF(INDEX(Table2[],_xlfn.XMATCH($A231,Table2[Steel Member],0),_xlfn.XMATCH(AA$2,Table2[#Headers],0))=0,"",INDEX(Table2[],_xlfn.XMATCH($A231,Table2[Steel Member],0),_xlfn.XMATCH(AA$2,Table2[#Headers],0)))</f>
        <v>#N/A</v>
      </c>
      <c r="AB231" s="4" t="e" cm="1">
        <f t="array" ref="AB231">IF(INDEX(Table2[],_xlfn.XMATCH($A231,Table2[Steel Member],0),_xlfn.XMATCH(AB$2,Table2[#Headers],0))=0,"",INDEX(Table2[],_xlfn.XMATCH($A231,Table2[Steel Member],0),_xlfn.XMATCH(AB$2,Table2[#Headers],0)))</f>
        <v>#N/A</v>
      </c>
      <c r="AC231" s="4" t="str" cm="1">
        <f t="array" ref="AC231">IFERROR(INDEX(Table8[],_xlfn.XMATCH($O231,Table8[Dimension Name Category],0),_xlfn.XMATCH(AC$2&amp;IF($L231," w/ tag"," w/o tag"),Table8[#Headers],0)),"")</f>
        <v/>
      </c>
      <c r="AD231" s="59" t="str">
        <f t="shared" si="69"/>
        <v/>
      </c>
      <c r="AE231" s="4" t="str">
        <f t="shared" si="70"/>
        <v/>
      </c>
      <c r="AF231" s="4" t="str">
        <f t="shared" si="71"/>
        <v/>
      </c>
      <c r="AG231" s="4" t="str" cm="1">
        <f t="array" ref="AG231">IFERROR(INDEX(Table8[],_xlfn.XMATCH($O231,Table8[Dimension Name Category],0),_xlfn.XMATCH(AG$2&amp;IF($L231," w/ tag"," w/o tag"),Table8[#Headers],0)),"")</f>
        <v/>
      </c>
      <c r="AH231" s="59" t="str">
        <f t="shared" si="72"/>
        <v/>
      </c>
      <c r="AI231" s="4"/>
      <c r="AJ231" s="4" t="str">
        <f t="shared" si="73"/>
        <v/>
      </c>
      <c r="AK231" s="4" t="str">
        <f t="shared" si="74"/>
        <v/>
      </c>
      <c r="AL231" s="4" t="e" cm="1">
        <f t="array" ref="AL231">IF(INDEX(Table2[],_xlfn.XMATCH($A231,Table2[Steel Member],0),_xlfn.XMATCH(AL$2,Table2[#Headers],0))=0,"",INDEX(Table2[],_xlfn.XMATCH($A231,Table2[Steel Member],0),_xlfn.XMATCH(AL$2,Table2[#Headers],0)))</f>
        <v>#N/A</v>
      </c>
      <c r="AM231" s="4"/>
      <c r="AN231" s="4" t="str">
        <f t="shared" si="75"/>
        <v/>
      </c>
      <c r="AO231" s="4"/>
      <c r="AP231" s="4" t="e" cm="1">
        <f t="array" ref="AP231">IF(INDEX(Table2[],_xlfn.XMATCH($A231,Table2[Steel Member],0),_xlfn.XMATCH(AP$2,Table2[#Headers],0))=0,"",INDEX(Table2[],_xlfn.XMATCH($A231,Table2[Steel Member],0),_xlfn.XMATCH(AP$2,Table2[#Headers],0)))</f>
        <v>#N/A</v>
      </c>
      <c r="AQ231" s="4"/>
      <c r="AR231" s="4"/>
      <c r="AS231" s="4"/>
      <c r="AT231" s="4"/>
    </row>
    <row r="232" spans="1:46" x14ac:dyDescent="0.25">
      <c r="A232" s="52"/>
      <c r="B232" s="52"/>
      <c r="C232" s="52"/>
      <c r="D232" s="52"/>
      <c r="E232" s="52"/>
      <c r="F232" s="64" cm="1">
        <f t="array" ref="F232">IF(COUNT(FIND(PurlinsxGirthsxBracings,$C232))&gt;0,0,ROUNDUP(IF(D232=0,0,VLOOKUP(D232,'DATA SHEET'!$B:$D,2,FALSE)),2))</f>
        <v>0</v>
      </c>
      <c r="G232" s="64" cm="1">
        <f t="array" ref="G232">IF(COUNT(FIND(PurlinsxGirthsxBracings,$C232))&gt;0,0,ROUNDUP(IF(D232=0,0,VLOOKUP(D232,'DATA SHEET'!$B:$D,3,FALSE)),2))</f>
        <v>0</v>
      </c>
      <c r="H232" s="53"/>
      <c r="I232" s="66" cm="1">
        <f t="array" ref="I232">IF(AND(ISBLANK(B232),ISBLANK(C232),ISBLANK(E232)),0,IF(COUNT(FIND(PurlinsxGirthsxBracings,$C232))&gt;0,IF(B232=0,CONCATENATE(E232," ",C232),CONCATENATE(B232," - ",E232," ",C232)),IF(B232=0,IF(ISBLANK(C232),E232,CONCATENATE(D232,", ",F232,"kg/m, ",G232,"mm surface perimeter")),IF(AND(ISBLANK(C232),ISTEXT(E232)),CONCATENATE(B232," - ",E232),IF(AND(ISBLANK(C232),ISBLANK(E232)),B232,CONCATENATE(B232," - ",D232,", ",F232,"kg/m, ",G232,"mm surface perimeter"))))&amp;IF(ISBLANK(H232),"",H232)))</f>
        <v>0</v>
      </c>
      <c r="J232" s="53"/>
      <c r="L232" s="4" t="str" cm="1">
        <f t="array" ref="L232">IF(COUNT(FIND({0,1,2,3,4,5,6,7,8,9},B232))&gt;0,COUNT(FIND({0,1,2,3,4,5,6,7,8,9},B232))&gt;0,"")</f>
        <v/>
      </c>
      <c r="M232" s="4" t="str" cm="1">
        <f t="array" aca="1" ref="M232" ca="1">IFERROR(_xlfn.IFS(R232="Count",RANDBETWEEN(1,COUNTIF($R$11:$R$653,"Count")),R232="Length",RANDBETWEEN(1,COUNTIF($R$11:$R$653,"Length"))),"")</f>
        <v/>
      </c>
      <c r="N232" s="4" t="str">
        <f ca="1">IFERROR(_xlfn.RANK.EQ(M232,$M$11:$M$653)+COUNTIF($M$11:M232,M232)-1,"")</f>
        <v/>
      </c>
      <c r="O232" s="86" t="str">
        <f>IF(A232='DATA SHEET'!$L$36,C232,IFERROR(IF(AND(ISTEXT(I232),ISBLANK(C232)),"No details",VLOOKUP(C232,DimFolder,2,FALSE)),""))</f>
        <v/>
      </c>
      <c r="P232" s="4" t="str">
        <f t="shared" si="77"/>
        <v/>
      </c>
      <c r="Q232" s="58" t="str">
        <f t="shared" si="76"/>
        <v/>
      </c>
      <c r="R232" s="4" t="e" cm="1">
        <f t="array" ref="R232">IF(INDEX(Table2[],_xlfn.XMATCH($A232,Table2[Steel Member],0),_xlfn.XMATCH(R$2,Table2[#Headers],0))=0,"",INDEX(Table2[],_xlfn.XMATCH($A232,Table2[Steel Member],0),_xlfn.XMATCH(R$2,Table2[#Headers],0)))</f>
        <v>#N/A</v>
      </c>
      <c r="S232" s="4" t="e" cm="1">
        <f t="array" ref="S232">IF(INDEX(Table2[],_xlfn.XMATCH($A232,Table2[Steel Member],0),_xlfn.XMATCH(S$2,Table2[#Headers],0))=0,"",INDEX(Table2[],_xlfn.XMATCH($A232,Table2[Steel Member],0),_xlfn.XMATCH(S$2,Table2[#Headers],0)))</f>
        <v>#N/A</v>
      </c>
      <c r="T232" s="4" t="str">
        <f t="shared" si="67"/>
        <v/>
      </c>
      <c r="U232" s="4" t="e">
        <f ca="1">VLOOKUP(N232,'COLOR CODE'!$B:$D,2,FALSE)</f>
        <v>#N/A</v>
      </c>
      <c r="V232" s="4" t="str">
        <f t="shared" si="68"/>
        <v/>
      </c>
      <c r="W232" s="4" t="e" cm="1">
        <f t="array" ref="W232">IF(INDEX(Table2[],_xlfn.XMATCH($A232,Table2[Steel Member],0),_xlfn.XMATCH(W$2,Table2[#Headers],0))=0,"",INDEX(Table2[],_xlfn.XMATCH($A232,Table2[Steel Member],0),_xlfn.XMATCH(W$2,Table2[#Headers],0)))</f>
        <v>#N/A</v>
      </c>
      <c r="X232" s="4" t="e">
        <f t="shared" si="78"/>
        <v>#N/A</v>
      </c>
      <c r="Y232" s="4" t="e" cm="1">
        <f t="array" ref="Y232">IF(INDEX(Table2[],_xlfn.XMATCH($A232,Table2[Steel Member],0),_xlfn.XMATCH(Y$2,Table2[#Headers],0))=0,"",INDEX(Table2[],_xlfn.XMATCH($A232,Table2[Steel Member],0),_xlfn.XMATCH(Y$2,Table2[#Headers],0)))</f>
        <v>#N/A</v>
      </c>
      <c r="Z232" s="4" t="e" cm="1">
        <f t="array" ref="Z232">IF(INDEX(Table2[],_xlfn.XMATCH($A232,Table2[Steel Member],0),_xlfn.XMATCH(Z$2,Table2[#Headers],0))=0,"",INDEX(Table2[],_xlfn.XMATCH($A232,Table2[Steel Member],0),_xlfn.XMATCH(Z$2,Table2[#Headers],0)))</f>
        <v>#N/A</v>
      </c>
      <c r="AA232" s="4" t="e" cm="1">
        <f t="array" ref="AA232">IF(INDEX(Table2[],_xlfn.XMATCH($A232,Table2[Steel Member],0),_xlfn.XMATCH(AA$2,Table2[#Headers],0))=0,"",INDEX(Table2[],_xlfn.XMATCH($A232,Table2[Steel Member],0),_xlfn.XMATCH(AA$2,Table2[#Headers],0)))</f>
        <v>#N/A</v>
      </c>
      <c r="AB232" s="4" t="e" cm="1">
        <f t="array" ref="AB232">IF(INDEX(Table2[],_xlfn.XMATCH($A232,Table2[Steel Member],0),_xlfn.XMATCH(AB$2,Table2[#Headers],0))=0,"",INDEX(Table2[],_xlfn.XMATCH($A232,Table2[Steel Member],0),_xlfn.XMATCH(AB$2,Table2[#Headers],0)))</f>
        <v>#N/A</v>
      </c>
      <c r="AC232" s="4" t="str" cm="1">
        <f t="array" ref="AC232">IFERROR(INDEX(Table8[],_xlfn.XMATCH($O232,Table8[Dimension Name Category],0),_xlfn.XMATCH(AC$2&amp;IF($L232," w/ tag"," w/o tag"),Table8[#Headers],0)),"")</f>
        <v/>
      </c>
      <c r="AD232" s="59" t="str">
        <f t="shared" si="69"/>
        <v/>
      </c>
      <c r="AE232" s="4" t="str">
        <f t="shared" si="70"/>
        <v/>
      </c>
      <c r="AF232" s="4" t="str">
        <f t="shared" si="71"/>
        <v/>
      </c>
      <c r="AG232" s="4" t="str" cm="1">
        <f t="array" ref="AG232">IFERROR(INDEX(Table8[],_xlfn.XMATCH($O232,Table8[Dimension Name Category],0),_xlfn.XMATCH(AG$2&amp;IF($L232," w/ tag"," w/o tag"),Table8[#Headers],0)),"")</f>
        <v/>
      </c>
      <c r="AH232" s="59" t="str">
        <f t="shared" si="72"/>
        <v/>
      </c>
      <c r="AI232" s="4"/>
      <c r="AJ232" s="4" t="str">
        <f t="shared" si="73"/>
        <v/>
      </c>
      <c r="AK232" s="4" t="str">
        <f t="shared" si="74"/>
        <v/>
      </c>
      <c r="AL232" s="4" t="e" cm="1">
        <f t="array" ref="AL232">IF(INDEX(Table2[],_xlfn.XMATCH($A232,Table2[Steel Member],0),_xlfn.XMATCH(AL$2,Table2[#Headers],0))=0,"",INDEX(Table2[],_xlfn.XMATCH($A232,Table2[Steel Member],0),_xlfn.XMATCH(AL$2,Table2[#Headers],0)))</f>
        <v>#N/A</v>
      </c>
      <c r="AM232" s="4"/>
      <c r="AN232" s="4" t="str">
        <f t="shared" si="75"/>
        <v/>
      </c>
      <c r="AO232" s="4"/>
      <c r="AP232" s="4" t="e" cm="1">
        <f t="array" ref="AP232">IF(INDEX(Table2[],_xlfn.XMATCH($A232,Table2[Steel Member],0),_xlfn.XMATCH(AP$2,Table2[#Headers],0))=0,"",INDEX(Table2[],_xlfn.XMATCH($A232,Table2[Steel Member],0),_xlfn.XMATCH(AP$2,Table2[#Headers],0)))</f>
        <v>#N/A</v>
      </c>
      <c r="AQ232" s="4"/>
      <c r="AR232" s="4"/>
      <c r="AS232" s="4"/>
      <c r="AT232" s="4"/>
    </row>
    <row r="233" spans="1:46" x14ac:dyDescent="0.25">
      <c r="A233" s="52"/>
      <c r="B233" s="52"/>
      <c r="C233" s="52"/>
      <c r="D233" s="52"/>
      <c r="E233" s="52"/>
      <c r="F233" s="64" cm="1">
        <f t="array" ref="F233">IF(COUNT(FIND(PurlinsxGirthsxBracings,$C233))&gt;0,0,ROUNDUP(IF(D233=0,0,VLOOKUP(D233,'DATA SHEET'!$B:$D,2,FALSE)),2))</f>
        <v>0</v>
      </c>
      <c r="G233" s="64" cm="1">
        <f t="array" ref="G233">IF(COUNT(FIND(PurlinsxGirthsxBracings,$C233))&gt;0,0,ROUNDUP(IF(D233=0,0,VLOOKUP(D233,'DATA SHEET'!$B:$D,3,FALSE)),2))</f>
        <v>0</v>
      </c>
      <c r="H233" s="53"/>
      <c r="I233" s="66" cm="1">
        <f t="array" ref="I233">IF(AND(ISBLANK(B233),ISBLANK(C233),ISBLANK(E233)),0,IF(COUNT(FIND(PurlinsxGirthsxBracings,$C233))&gt;0,IF(B233=0,CONCATENATE(E233," ",C233),CONCATENATE(B233," - ",E233," ",C233)),IF(B233=0,IF(ISBLANK(C233),E233,CONCATENATE(D233,", ",F233,"kg/m, ",G233,"mm surface perimeter")),IF(AND(ISBLANK(C233),ISTEXT(E233)),CONCATENATE(B233," - ",E233),IF(AND(ISBLANK(C233),ISBLANK(E233)),B233,CONCATENATE(B233," - ",D233,", ",F233,"kg/m, ",G233,"mm surface perimeter"))))&amp;IF(ISBLANK(H233),"",H233)))</f>
        <v>0</v>
      </c>
      <c r="J233" s="53"/>
      <c r="L233" s="4" t="str" cm="1">
        <f t="array" ref="L233">IF(COUNT(FIND({0,1,2,3,4,5,6,7,8,9},B233))&gt;0,COUNT(FIND({0,1,2,3,4,5,6,7,8,9},B233))&gt;0,"")</f>
        <v/>
      </c>
      <c r="M233" s="4" t="str" cm="1">
        <f t="array" aca="1" ref="M233" ca="1">IFERROR(_xlfn.IFS(R233="Count",RANDBETWEEN(1,COUNTIF($R$11:$R$653,"Count")),R233="Length",RANDBETWEEN(1,COUNTIF($R$11:$R$653,"Length"))),"")</f>
        <v/>
      </c>
      <c r="N233" s="4" t="str">
        <f ca="1">IFERROR(_xlfn.RANK.EQ(M233,$M$11:$M$653)+COUNTIF($M$11:M233,M233)-1,"")</f>
        <v/>
      </c>
      <c r="O233" s="86" t="str">
        <f>IF(A233='DATA SHEET'!$L$36,C233,IFERROR(IF(AND(ISTEXT(I233),ISBLANK(C233)),"No details",VLOOKUP(C233,DimFolder,2,FALSE)),""))</f>
        <v/>
      </c>
      <c r="P233" s="4" t="str">
        <f t="shared" si="77"/>
        <v/>
      </c>
      <c r="Q233" s="58" t="str">
        <f t="shared" si="76"/>
        <v/>
      </c>
      <c r="R233" s="4" t="e" cm="1">
        <f t="array" ref="R233">IF(INDEX(Table2[],_xlfn.XMATCH($A233,Table2[Steel Member],0),_xlfn.XMATCH(R$2,Table2[#Headers],0))=0,"",INDEX(Table2[],_xlfn.XMATCH($A233,Table2[Steel Member],0),_xlfn.XMATCH(R$2,Table2[#Headers],0)))</f>
        <v>#N/A</v>
      </c>
      <c r="S233" s="4" t="e" cm="1">
        <f t="array" ref="S233">IF(INDEX(Table2[],_xlfn.XMATCH($A233,Table2[Steel Member],0),_xlfn.XMATCH(S$2,Table2[#Headers],0))=0,"",INDEX(Table2[],_xlfn.XMATCH($A233,Table2[Steel Member],0),_xlfn.XMATCH(S$2,Table2[#Headers],0)))</f>
        <v>#N/A</v>
      </c>
      <c r="T233" s="4" t="str">
        <f t="shared" si="67"/>
        <v/>
      </c>
      <c r="U233" s="4" t="e">
        <f ca="1">VLOOKUP(N233,'COLOR CODE'!$B:$D,2,FALSE)</f>
        <v>#N/A</v>
      </c>
      <c r="V233" s="4" t="str">
        <f t="shared" si="68"/>
        <v/>
      </c>
      <c r="W233" s="4" t="e" cm="1">
        <f t="array" ref="W233">IF(INDEX(Table2[],_xlfn.XMATCH($A233,Table2[Steel Member],0),_xlfn.XMATCH(W$2,Table2[#Headers],0))=0,"",INDEX(Table2[],_xlfn.XMATCH($A233,Table2[Steel Member],0),_xlfn.XMATCH(W$2,Table2[#Headers],0)))</f>
        <v>#N/A</v>
      </c>
      <c r="X233" s="4" t="e">
        <f t="shared" si="78"/>
        <v>#N/A</v>
      </c>
      <c r="Y233" s="4" t="e" cm="1">
        <f t="array" ref="Y233">IF(INDEX(Table2[],_xlfn.XMATCH($A233,Table2[Steel Member],0),_xlfn.XMATCH(Y$2,Table2[#Headers],0))=0,"",INDEX(Table2[],_xlfn.XMATCH($A233,Table2[Steel Member],0),_xlfn.XMATCH(Y$2,Table2[#Headers],0)))</f>
        <v>#N/A</v>
      </c>
      <c r="Z233" s="4" t="e" cm="1">
        <f t="array" ref="Z233">IF(INDEX(Table2[],_xlfn.XMATCH($A233,Table2[Steel Member],0),_xlfn.XMATCH(Z$2,Table2[#Headers],0))=0,"",INDEX(Table2[],_xlfn.XMATCH($A233,Table2[Steel Member],0),_xlfn.XMATCH(Z$2,Table2[#Headers],0)))</f>
        <v>#N/A</v>
      </c>
      <c r="AA233" s="4" t="e" cm="1">
        <f t="array" ref="AA233">IF(INDEX(Table2[],_xlfn.XMATCH($A233,Table2[Steel Member],0),_xlfn.XMATCH(AA$2,Table2[#Headers],0))=0,"",INDEX(Table2[],_xlfn.XMATCH($A233,Table2[Steel Member],0),_xlfn.XMATCH(AA$2,Table2[#Headers],0)))</f>
        <v>#N/A</v>
      </c>
      <c r="AB233" s="4" t="e" cm="1">
        <f t="array" ref="AB233">IF(INDEX(Table2[],_xlfn.XMATCH($A233,Table2[Steel Member],0),_xlfn.XMATCH(AB$2,Table2[#Headers],0))=0,"",INDEX(Table2[],_xlfn.XMATCH($A233,Table2[Steel Member],0),_xlfn.XMATCH(AB$2,Table2[#Headers],0)))</f>
        <v>#N/A</v>
      </c>
      <c r="AC233" s="4" t="str" cm="1">
        <f t="array" ref="AC233">IFERROR(INDEX(Table8[],_xlfn.XMATCH($O233,Table8[Dimension Name Category],0),_xlfn.XMATCH(AC$2&amp;IF($L233," w/ tag"," w/o tag"),Table8[#Headers],0)),"")</f>
        <v/>
      </c>
      <c r="AD233" s="59" t="str">
        <f t="shared" si="69"/>
        <v/>
      </c>
      <c r="AE233" s="4" t="str">
        <f t="shared" si="70"/>
        <v/>
      </c>
      <c r="AF233" s="4" t="str">
        <f t="shared" si="71"/>
        <v/>
      </c>
      <c r="AG233" s="4" t="str" cm="1">
        <f t="array" ref="AG233">IFERROR(INDEX(Table8[],_xlfn.XMATCH($O233,Table8[Dimension Name Category],0),_xlfn.XMATCH(AG$2&amp;IF($L233," w/ tag"," w/o tag"),Table8[#Headers],0)),"")</f>
        <v/>
      </c>
      <c r="AH233" s="59" t="str">
        <f t="shared" si="72"/>
        <v/>
      </c>
      <c r="AI233" s="4"/>
      <c r="AJ233" s="4" t="str">
        <f t="shared" si="73"/>
        <v/>
      </c>
      <c r="AK233" s="4" t="str">
        <f t="shared" si="74"/>
        <v/>
      </c>
      <c r="AL233" s="4" t="e" cm="1">
        <f t="array" ref="AL233">IF(INDEX(Table2[],_xlfn.XMATCH($A233,Table2[Steel Member],0),_xlfn.XMATCH(AL$2,Table2[#Headers],0))=0,"",INDEX(Table2[],_xlfn.XMATCH($A233,Table2[Steel Member],0),_xlfn.XMATCH(AL$2,Table2[#Headers],0)))</f>
        <v>#N/A</v>
      </c>
      <c r="AM233" s="4"/>
      <c r="AN233" s="4" t="str">
        <f t="shared" si="75"/>
        <v/>
      </c>
      <c r="AO233" s="4"/>
      <c r="AP233" s="4" t="e" cm="1">
        <f t="array" ref="AP233">IF(INDEX(Table2[],_xlfn.XMATCH($A233,Table2[Steel Member],0),_xlfn.XMATCH(AP$2,Table2[#Headers],0))=0,"",INDEX(Table2[],_xlfn.XMATCH($A233,Table2[Steel Member],0),_xlfn.XMATCH(AP$2,Table2[#Headers],0)))</f>
        <v>#N/A</v>
      </c>
      <c r="AQ233" s="4"/>
      <c r="AR233" s="4"/>
      <c r="AS233" s="4"/>
      <c r="AT233" s="4"/>
    </row>
    <row r="234" spans="1:46" x14ac:dyDescent="0.25">
      <c r="A234" s="52"/>
      <c r="B234" s="52"/>
      <c r="C234" s="52"/>
      <c r="D234" s="52"/>
      <c r="E234" s="52"/>
      <c r="F234" s="64" cm="1">
        <f t="array" ref="F234">IF(COUNT(FIND(PurlinsxGirthsxBracings,$C234))&gt;0,0,ROUNDUP(IF(D234=0,0,VLOOKUP(D234,'DATA SHEET'!$B:$D,2,FALSE)),2))</f>
        <v>0</v>
      </c>
      <c r="G234" s="64" cm="1">
        <f t="array" ref="G234">IF(COUNT(FIND(PurlinsxGirthsxBracings,$C234))&gt;0,0,ROUNDUP(IF(D234=0,0,VLOOKUP(D234,'DATA SHEET'!$B:$D,3,FALSE)),2))</f>
        <v>0</v>
      </c>
      <c r="H234" s="53"/>
      <c r="I234" s="66" cm="1">
        <f t="array" ref="I234">IF(AND(ISBLANK(B234),ISBLANK(C234),ISBLANK(E234)),0,IF(COUNT(FIND(PurlinsxGirthsxBracings,$C234))&gt;0,IF(B234=0,CONCATENATE(E234," ",C234),CONCATENATE(B234," - ",E234," ",C234)),IF(B234=0,IF(ISBLANK(C234),E234,CONCATENATE(D234,", ",F234,"kg/m, ",G234,"mm surface perimeter")),IF(AND(ISBLANK(C234),ISTEXT(E234)),CONCATENATE(B234," - ",E234),IF(AND(ISBLANK(C234),ISBLANK(E234)),B234,CONCATENATE(B234," - ",D234,", ",F234,"kg/m, ",G234,"mm surface perimeter"))))&amp;IF(ISBLANK(H234),"",H234)))</f>
        <v>0</v>
      </c>
      <c r="J234" s="53"/>
      <c r="L234" s="4" t="str" cm="1">
        <f t="array" ref="L234">IF(COUNT(FIND({0,1,2,3,4,5,6,7,8,9},B234))&gt;0,COUNT(FIND({0,1,2,3,4,5,6,7,8,9},B234))&gt;0,"")</f>
        <v/>
      </c>
      <c r="M234" s="4" t="str" cm="1">
        <f t="array" aca="1" ref="M234" ca="1">IFERROR(_xlfn.IFS(R234="Count",RANDBETWEEN(1,COUNTIF($R$11:$R$653,"Count")),R234="Length",RANDBETWEEN(1,COUNTIF($R$11:$R$653,"Length"))),"")</f>
        <v/>
      </c>
      <c r="N234" s="4" t="str">
        <f ca="1">IFERROR(_xlfn.RANK.EQ(M234,$M$11:$M$653)+COUNTIF($M$11:M234,M234)-1,"")</f>
        <v/>
      </c>
      <c r="O234" s="86" t="str">
        <f>IF(A234='DATA SHEET'!$L$36,C234,IFERROR(IF(AND(ISTEXT(I234),ISBLANK(C234)),"No details",VLOOKUP(C234,DimFolder,2,FALSE)),""))</f>
        <v/>
      </c>
      <c r="P234" s="4" t="str">
        <f t="shared" si="77"/>
        <v/>
      </c>
      <c r="Q234" s="58" t="str">
        <f t="shared" si="76"/>
        <v/>
      </c>
      <c r="R234" s="4" t="e" cm="1">
        <f t="array" ref="R234">IF(INDEX(Table2[],_xlfn.XMATCH($A234,Table2[Steel Member],0),_xlfn.XMATCH(R$2,Table2[#Headers],0))=0,"",INDEX(Table2[],_xlfn.XMATCH($A234,Table2[Steel Member],0),_xlfn.XMATCH(R$2,Table2[#Headers],0)))</f>
        <v>#N/A</v>
      </c>
      <c r="S234" s="4" t="e" cm="1">
        <f t="array" ref="S234">IF(INDEX(Table2[],_xlfn.XMATCH($A234,Table2[Steel Member],0),_xlfn.XMATCH(S$2,Table2[#Headers],0))=0,"",INDEX(Table2[],_xlfn.XMATCH($A234,Table2[Steel Member],0),_xlfn.XMATCH(S$2,Table2[#Headers],0)))</f>
        <v>#N/A</v>
      </c>
      <c r="T234" s="4" t="str">
        <f t="shared" si="67"/>
        <v/>
      </c>
      <c r="U234" s="4" t="e">
        <f ca="1">VLOOKUP(N234,'COLOR CODE'!$B:$D,2,FALSE)</f>
        <v>#N/A</v>
      </c>
      <c r="V234" s="4" t="str">
        <f t="shared" si="68"/>
        <v/>
      </c>
      <c r="W234" s="4" t="e" cm="1">
        <f t="array" ref="W234">IF(INDEX(Table2[],_xlfn.XMATCH($A234,Table2[Steel Member],0),_xlfn.XMATCH(W$2,Table2[#Headers],0))=0,"",INDEX(Table2[],_xlfn.XMATCH($A234,Table2[Steel Member],0),_xlfn.XMATCH(W$2,Table2[#Headers],0)))</f>
        <v>#N/A</v>
      </c>
      <c r="X234" s="4" t="e">
        <f t="shared" si="78"/>
        <v>#N/A</v>
      </c>
      <c r="Y234" s="4" t="e" cm="1">
        <f t="array" ref="Y234">IF(INDEX(Table2[],_xlfn.XMATCH($A234,Table2[Steel Member],0),_xlfn.XMATCH(Y$2,Table2[#Headers],0))=0,"",INDEX(Table2[],_xlfn.XMATCH($A234,Table2[Steel Member],0),_xlfn.XMATCH(Y$2,Table2[#Headers],0)))</f>
        <v>#N/A</v>
      </c>
      <c r="Z234" s="4" t="e" cm="1">
        <f t="array" ref="Z234">IF(INDEX(Table2[],_xlfn.XMATCH($A234,Table2[Steel Member],0),_xlfn.XMATCH(Z$2,Table2[#Headers],0))=0,"",INDEX(Table2[],_xlfn.XMATCH($A234,Table2[Steel Member],0),_xlfn.XMATCH(Z$2,Table2[#Headers],0)))</f>
        <v>#N/A</v>
      </c>
      <c r="AA234" s="4" t="e" cm="1">
        <f t="array" ref="AA234">IF(INDEX(Table2[],_xlfn.XMATCH($A234,Table2[Steel Member],0),_xlfn.XMATCH(AA$2,Table2[#Headers],0))=0,"",INDEX(Table2[],_xlfn.XMATCH($A234,Table2[Steel Member],0),_xlfn.XMATCH(AA$2,Table2[#Headers],0)))</f>
        <v>#N/A</v>
      </c>
      <c r="AB234" s="4" t="e" cm="1">
        <f t="array" ref="AB234">IF(INDEX(Table2[],_xlfn.XMATCH($A234,Table2[Steel Member],0),_xlfn.XMATCH(AB$2,Table2[#Headers],0))=0,"",INDEX(Table2[],_xlfn.XMATCH($A234,Table2[Steel Member],0),_xlfn.XMATCH(AB$2,Table2[#Headers],0)))</f>
        <v>#N/A</v>
      </c>
      <c r="AC234" s="4" t="str" cm="1">
        <f t="array" ref="AC234">IFERROR(INDEX(Table8[],_xlfn.XMATCH($O234,Table8[Dimension Name Category],0),_xlfn.XMATCH(AC$2&amp;IF($L234," w/ tag"," w/o tag"),Table8[#Headers],0)),"")</f>
        <v/>
      </c>
      <c r="AD234" s="59" t="str">
        <f t="shared" si="69"/>
        <v/>
      </c>
      <c r="AE234" s="4" t="str">
        <f t="shared" si="70"/>
        <v/>
      </c>
      <c r="AF234" s="4" t="str">
        <f t="shared" si="71"/>
        <v/>
      </c>
      <c r="AG234" s="4" t="str" cm="1">
        <f t="array" ref="AG234">IFERROR(INDEX(Table8[],_xlfn.XMATCH($O234,Table8[Dimension Name Category],0),_xlfn.XMATCH(AG$2&amp;IF($L234," w/ tag"," w/o tag"),Table8[#Headers],0)),"")</f>
        <v/>
      </c>
      <c r="AH234" s="59" t="str">
        <f t="shared" si="72"/>
        <v/>
      </c>
      <c r="AI234" s="4"/>
      <c r="AJ234" s="4" t="str">
        <f t="shared" si="73"/>
        <v/>
      </c>
      <c r="AK234" s="4" t="str">
        <f t="shared" si="74"/>
        <v/>
      </c>
      <c r="AL234" s="4" t="e" cm="1">
        <f t="array" ref="AL234">IF(INDEX(Table2[],_xlfn.XMATCH($A234,Table2[Steel Member],0),_xlfn.XMATCH(AL$2,Table2[#Headers],0))=0,"",INDEX(Table2[],_xlfn.XMATCH($A234,Table2[Steel Member],0),_xlfn.XMATCH(AL$2,Table2[#Headers],0)))</f>
        <v>#N/A</v>
      </c>
      <c r="AM234" s="4"/>
      <c r="AN234" s="4" t="str">
        <f t="shared" si="75"/>
        <v/>
      </c>
      <c r="AO234" s="4"/>
      <c r="AP234" s="4" t="e" cm="1">
        <f t="array" ref="AP234">IF(INDEX(Table2[],_xlfn.XMATCH($A234,Table2[Steel Member],0),_xlfn.XMATCH(AP$2,Table2[#Headers],0))=0,"",INDEX(Table2[],_xlfn.XMATCH($A234,Table2[Steel Member],0),_xlfn.XMATCH(AP$2,Table2[#Headers],0)))</f>
        <v>#N/A</v>
      </c>
      <c r="AQ234" s="4"/>
      <c r="AR234" s="4"/>
      <c r="AS234" s="4"/>
      <c r="AT234" s="4"/>
    </row>
    <row r="235" spans="1:46" x14ac:dyDescent="0.25">
      <c r="A235" s="52"/>
      <c r="B235" s="52"/>
      <c r="C235" s="52"/>
      <c r="D235" s="52"/>
      <c r="E235" s="52"/>
      <c r="F235" s="64" cm="1">
        <f t="array" ref="F235">IF(COUNT(FIND(PurlinsxGirthsxBracings,$C235))&gt;0,0,ROUNDUP(IF(D235=0,0,VLOOKUP(D235,'DATA SHEET'!$B:$D,2,FALSE)),2))</f>
        <v>0</v>
      </c>
      <c r="G235" s="64" cm="1">
        <f t="array" ref="G235">IF(COUNT(FIND(PurlinsxGirthsxBracings,$C235))&gt;0,0,ROUNDUP(IF(D235=0,0,VLOOKUP(D235,'DATA SHEET'!$B:$D,3,FALSE)),2))</f>
        <v>0</v>
      </c>
      <c r="H235" s="53"/>
      <c r="I235" s="66" cm="1">
        <f t="array" ref="I235">IF(AND(ISBLANK(B235),ISBLANK(C235),ISBLANK(E235)),0,IF(COUNT(FIND(PurlinsxGirthsxBracings,$C235))&gt;0,IF(B235=0,CONCATENATE(E235," ",C235),CONCATENATE(B235," - ",E235," ",C235)),IF(B235=0,IF(ISBLANK(C235),E235,CONCATENATE(D235,", ",F235,"kg/m, ",G235,"mm surface perimeter")),IF(AND(ISBLANK(C235),ISTEXT(E235)),CONCATENATE(B235," - ",E235),IF(AND(ISBLANK(C235),ISBLANK(E235)),B235,CONCATENATE(B235," - ",D235,", ",F235,"kg/m, ",G235,"mm surface perimeter"))))&amp;IF(ISBLANK(H235),"",H235)))</f>
        <v>0</v>
      </c>
      <c r="J235" s="53"/>
      <c r="L235" s="4" t="str" cm="1">
        <f t="array" ref="L235">IF(COUNT(FIND({0,1,2,3,4,5,6,7,8,9},B235))&gt;0,COUNT(FIND({0,1,2,3,4,5,6,7,8,9},B235))&gt;0,"")</f>
        <v/>
      </c>
      <c r="M235" s="4" t="str" cm="1">
        <f t="array" aca="1" ref="M235" ca="1">IFERROR(_xlfn.IFS(R235="Count",RANDBETWEEN(1,COUNTIF($R$11:$R$653,"Count")),R235="Length",RANDBETWEEN(1,COUNTIF($R$11:$R$653,"Length"))),"")</f>
        <v/>
      </c>
      <c r="N235" s="4" t="str">
        <f ca="1">IFERROR(_xlfn.RANK.EQ(M235,$M$11:$M$653)+COUNTIF($M$11:M235,M235)-1,"")</f>
        <v/>
      </c>
      <c r="O235" s="86" t="str">
        <f>IF(A235='DATA SHEET'!$L$36,C235,IFERROR(IF(AND(ISTEXT(I235),ISBLANK(C235)),"No details",VLOOKUP(C235,DimFolder,2,FALSE)),""))</f>
        <v/>
      </c>
      <c r="P235" s="4" t="str">
        <f t="shared" si="77"/>
        <v/>
      </c>
      <c r="Q235" s="58" t="str">
        <f t="shared" si="76"/>
        <v/>
      </c>
      <c r="R235" s="4" t="e" cm="1">
        <f t="array" ref="R235">IF(INDEX(Table2[],_xlfn.XMATCH($A235,Table2[Steel Member],0),_xlfn.XMATCH(R$2,Table2[#Headers],0))=0,"",INDEX(Table2[],_xlfn.XMATCH($A235,Table2[Steel Member],0),_xlfn.XMATCH(R$2,Table2[#Headers],0)))</f>
        <v>#N/A</v>
      </c>
      <c r="S235" s="4" t="e" cm="1">
        <f t="array" ref="S235">IF(INDEX(Table2[],_xlfn.XMATCH($A235,Table2[Steel Member],0),_xlfn.XMATCH(S$2,Table2[#Headers],0))=0,"",INDEX(Table2[],_xlfn.XMATCH($A235,Table2[Steel Member],0),_xlfn.XMATCH(S$2,Table2[#Headers],0)))</f>
        <v>#N/A</v>
      </c>
      <c r="T235" s="4" t="str">
        <f t="shared" si="67"/>
        <v/>
      </c>
      <c r="U235" s="4" t="e">
        <f ca="1">VLOOKUP(N235,'COLOR CODE'!$B:$D,2,FALSE)</f>
        <v>#N/A</v>
      </c>
      <c r="V235" s="4" t="str">
        <f t="shared" si="68"/>
        <v/>
      </c>
      <c r="W235" s="4" t="e" cm="1">
        <f t="array" ref="W235">IF(INDEX(Table2[],_xlfn.XMATCH($A235,Table2[Steel Member],0),_xlfn.XMATCH(W$2,Table2[#Headers],0))=0,"",INDEX(Table2[],_xlfn.XMATCH($A235,Table2[Steel Member],0),_xlfn.XMATCH(W$2,Table2[#Headers],0)))</f>
        <v>#N/A</v>
      </c>
      <c r="X235" s="4" t="e">
        <f t="shared" si="78"/>
        <v>#N/A</v>
      </c>
      <c r="Y235" s="4" t="e" cm="1">
        <f t="array" ref="Y235">IF(INDEX(Table2[],_xlfn.XMATCH($A235,Table2[Steel Member],0),_xlfn.XMATCH(Y$2,Table2[#Headers],0))=0,"",INDEX(Table2[],_xlfn.XMATCH($A235,Table2[Steel Member],0),_xlfn.XMATCH(Y$2,Table2[#Headers],0)))</f>
        <v>#N/A</v>
      </c>
      <c r="Z235" s="4" t="e" cm="1">
        <f t="array" ref="Z235">IF(INDEX(Table2[],_xlfn.XMATCH($A235,Table2[Steel Member],0),_xlfn.XMATCH(Z$2,Table2[#Headers],0))=0,"",INDEX(Table2[],_xlfn.XMATCH($A235,Table2[Steel Member],0),_xlfn.XMATCH(Z$2,Table2[#Headers],0)))</f>
        <v>#N/A</v>
      </c>
      <c r="AA235" s="4" t="e" cm="1">
        <f t="array" ref="AA235">IF(INDEX(Table2[],_xlfn.XMATCH($A235,Table2[Steel Member],0),_xlfn.XMATCH(AA$2,Table2[#Headers],0))=0,"",INDEX(Table2[],_xlfn.XMATCH($A235,Table2[Steel Member],0),_xlfn.XMATCH(AA$2,Table2[#Headers],0)))</f>
        <v>#N/A</v>
      </c>
      <c r="AB235" s="4" t="e" cm="1">
        <f t="array" ref="AB235">IF(INDEX(Table2[],_xlfn.XMATCH($A235,Table2[Steel Member],0),_xlfn.XMATCH(AB$2,Table2[#Headers],0))=0,"",INDEX(Table2[],_xlfn.XMATCH($A235,Table2[Steel Member],0),_xlfn.XMATCH(AB$2,Table2[#Headers],0)))</f>
        <v>#N/A</v>
      </c>
      <c r="AC235" s="4" t="str" cm="1">
        <f t="array" ref="AC235">IFERROR(INDEX(Table8[],_xlfn.XMATCH($O235,Table8[Dimension Name Category],0),_xlfn.XMATCH(AC$2&amp;IF($L235," w/ tag"," w/o tag"),Table8[#Headers],0)),"")</f>
        <v/>
      </c>
      <c r="AD235" s="59" t="str">
        <f t="shared" si="69"/>
        <v/>
      </c>
      <c r="AE235" s="4" t="str">
        <f t="shared" si="70"/>
        <v/>
      </c>
      <c r="AF235" s="4" t="str">
        <f t="shared" si="71"/>
        <v/>
      </c>
      <c r="AG235" s="4" t="str" cm="1">
        <f t="array" ref="AG235">IFERROR(INDEX(Table8[],_xlfn.XMATCH($O235,Table8[Dimension Name Category],0),_xlfn.XMATCH(AG$2&amp;IF($L235," w/ tag"," w/o tag"),Table8[#Headers],0)),"")</f>
        <v/>
      </c>
      <c r="AH235" s="59" t="str">
        <f t="shared" si="72"/>
        <v/>
      </c>
      <c r="AI235" s="4"/>
      <c r="AJ235" s="4" t="str">
        <f t="shared" si="73"/>
        <v/>
      </c>
      <c r="AK235" s="4" t="str">
        <f t="shared" si="74"/>
        <v/>
      </c>
      <c r="AL235" s="4" t="e" cm="1">
        <f t="array" ref="AL235">IF(INDEX(Table2[],_xlfn.XMATCH($A235,Table2[Steel Member],0),_xlfn.XMATCH(AL$2,Table2[#Headers],0))=0,"",INDEX(Table2[],_xlfn.XMATCH($A235,Table2[Steel Member],0),_xlfn.XMATCH(AL$2,Table2[#Headers],0)))</f>
        <v>#N/A</v>
      </c>
      <c r="AM235" s="4"/>
      <c r="AN235" s="4" t="str">
        <f t="shared" si="75"/>
        <v/>
      </c>
      <c r="AO235" s="4"/>
      <c r="AP235" s="4" t="e" cm="1">
        <f t="array" ref="AP235">IF(INDEX(Table2[],_xlfn.XMATCH($A235,Table2[Steel Member],0),_xlfn.XMATCH(AP$2,Table2[#Headers],0))=0,"",INDEX(Table2[],_xlfn.XMATCH($A235,Table2[Steel Member],0),_xlfn.XMATCH(AP$2,Table2[#Headers],0)))</f>
        <v>#N/A</v>
      </c>
      <c r="AQ235" s="4"/>
      <c r="AR235" s="4"/>
      <c r="AS235" s="4"/>
      <c r="AT235" s="4"/>
    </row>
    <row r="236" spans="1:46" x14ac:dyDescent="0.25">
      <c r="A236" s="52"/>
      <c r="B236" s="52"/>
      <c r="C236" s="52"/>
      <c r="D236" s="52"/>
      <c r="E236" s="52"/>
      <c r="F236" s="64" cm="1">
        <f t="array" ref="F236">IF(COUNT(FIND(PurlinsxGirthsxBracings,$C236))&gt;0,0,ROUNDUP(IF(D236=0,0,VLOOKUP(D236,'DATA SHEET'!$B:$D,2,FALSE)),2))</f>
        <v>0</v>
      </c>
      <c r="G236" s="64" cm="1">
        <f t="array" ref="G236">IF(COUNT(FIND(PurlinsxGirthsxBracings,$C236))&gt;0,0,ROUNDUP(IF(D236=0,0,VLOOKUP(D236,'DATA SHEET'!$B:$D,3,FALSE)),2))</f>
        <v>0</v>
      </c>
      <c r="H236" s="53"/>
      <c r="I236" s="66" cm="1">
        <f t="array" ref="I236">IF(AND(ISBLANK(B236),ISBLANK(C236),ISBLANK(E236)),0,IF(COUNT(FIND(PurlinsxGirthsxBracings,$C236))&gt;0,IF(B236=0,CONCATENATE(E236," ",C236),CONCATENATE(B236," - ",E236," ",C236)),IF(B236=0,IF(ISBLANK(C236),E236,CONCATENATE(D236,", ",F236,"kg/m, ",G236,"mm surface perimeter")),IF(AND(ISBLANK(C236),ISTEXT(E236)),CONCATENATE(B236," - ",E236),IF(AND(ISBLANK(C236),ISBLANK(E236)),B236,CONCATENATE(B236," - ",D236,", ",F236,"kg/m, ",G236,"mm surface perimeter"))))&amp;IF(ISBLANK(H236),"",H236)))</f>
        <v>0</v>
      </c>
      <c r="J236" s="53"/>
      <c r="L236" s="4" t="str" cm="1">
        <f t="array" ref="L236">IF(COUNT(FIND({0,1,2,3,4,5,6,7,8,9},B236))&gt;0,COUNT(FIND({0,1,2,3,4,5,6,7,8,9},B236))&gt;0,"")</f>
        <v/>
      </c>
      <c r="M236" s="4" t="str" cm="1">
        <f t="array" aca="1" ref="M236" ca="1">IFERROR(_xlfn.IFS(R236="Count",RANDBETWEEN(1,COUNTIF($R$11:$R$653,"Count")),R236="Length",RANDBETWEEN(1,COUNTIF($R$11:$R$653,"Length"))),"")</f>
        <v/>
      </c>
      <c r="N236" s="4" t="str">
        <f ca="1">IFERROR(_xlfn.RANK.EQ(M236,$M$11:$M$653)+COUNTIF($M$11:M236,M236)-1,"")</f>
        <v/>
      </c>
      <c r="O236" s="86" t="str">
        <f>IF(A236='DATA SHEET'!$L$36,C236,IFERROR(IF(AND(ISTEXT(I236),ISBLANK(C236)),"No details",VLOOKUP(C236,DimFolder,2,FALSE)),""))</f>
        <v/>
      </c>
      <c r="P236" s="4" t="str">
        <f t="shared" si="77"/>
        <v/>
      </c>
      <c r="Q236" s="58" t="str">
        <f t="shared" si="76"/>
        <v/>
      </c>
      <c r="R236" s="4" t="e" cm="1">
        <f t="array" ref="R236">IF(INDEX(Table2[],_xlfn.XMATCH($A236,Table2[Steel Member],0),_xlfn.XMATCH(R$2,Table2[#Headers],0))=0,"",INDEX(Table2[],_xlfn.XMATCH($A236,Table2[Steel Member],0),_xlfn.XMATCH(R$2,Table2[#Headers],0)))</f>
        <v>#N/A</v>
      </c>
      <c r="S236" s="4" t="e" cm="1">
        <f t="array" ref="S236">IF(INDEX(Table2[],_xlfn.XMATCH($A236,Table2[Steel Member],0),_xlfn.XMATCH(S$2,Table2[#Headers],0))=0,"",INDEX(Table2[],_xlfn.XMATCH($A236,Table2[Steel Member],0),_xlfn.XMATCH(S$2,Table2[#Headers],0)))</f>
        <v>#N/A</v>
      </c>
      <c r="T236" s="4" t="str">
        <f t="shared" si="67"/>
        <v/>
      </c>
      <c r="U236" s="4" t="e">
        <f ca="1">VLOOKUP(N236,'COLOR CODE'!$B:$D,2,FALSE)</f>
        <v>#N/A</v>
      </c>
      <c r="V236" s="4" t="str">
        <f t="shared" si="68"/>
        <v/>
      </c>
      <c r="W236" s="4" t="e" cm="1">
        <f t="array" ref="W236">IF(INDEX(Table2[],_xlfn.XMATCH($A236,Table2[Steel Member],0),_xlfn.XMATCH(W$2,Table2[#Headers],0))=0,"",INDEX(Table2[],_xlfn.XMATCH($A236,Table2[Steel Member],0),_xlfn.XMATCH(W$2,Table2[#Headers],0)))</f>
        <v>#N/A</v>
      </c>
      <c r="X236" s="4" t="e">
        <f t="shared" si="78"/>
        <v>#N/A</v>
      </c>
      <c r="Y236" s="4" t="e" cm="1">
        <f t="array" ref="Y236">IF(INDEX(Table2[],_xlfn.XMATCH($A236,Table2[Steel Member],0),_xlfn.XMATCH(Y$2,Table2[#Headers],0))=0,"",INDEX(Table2[],_xlfn.XMATCH($A236,Table2[Steel Member],0),_xlfn.XMATCH(Y$2,Table2[#Headers],0)))</f>
        <v>#N/A</v>
      </c>
      <c r="Z236" s="4" t="e" cm="1">
        <f t="array" ref="Z236">IF(INDEX(Table2[],_xlfn.XMATCH($A236,Table2[Steel Member],0),_xlfn.XMATCH(Z$2,Table2[#Headers],0))=0,"",INDEX(Table2[],_xlfn.XMATCH($A236,Table2[Steel Member],0),_xlfn.XMATCH(Z$2,Table2[#Headers],0)))</f>
        <v>#N/A</v>
      </c>
      <c r="AA236" s="4" t="e" cm="1">
        <f t="array" ref="AA236">IF(INDEX(Table2[],_xlfn.XMATCH($A236,Table2[Steel Member],0),_xlfn.XMATCH(AA$2,Table2[#Headers],0))=0,"",INDEX(Table2[],_xlfn.XMATCH($A236,Table2[Steel Member],0),_xlfn.XMATCH(AA$2,Table2[#Headers],0)))</f>
        <v>#N/A</v>
      </c>
      <c r="AB236" s="4" t="e" cm="1">
        <f t="array" ref="AB236">IF(INDEX(Table2[],_xlfn.XMATCH($A236,Table2[Steel Member],0),_xlfn.XMATCH(AB$2,Table2[#Headers],0))=0,"",INDEX(Table2[],_xlfn.XMATCH($A236,Table2[Steel Member],0),_xlfn.XMATCH(AB$2,Table2[#Headers],0)))</f>
        <v>#N/A</v>
      </c>
      <c r="AC236" s="4" t="str" cm="1">
        <f t="array" ref="AC236">IFERROR(INDEX(Table8[],_xlfn.XMATCH($O236,Table8[Dimension Name Category],0),_xlfn.XMATCH(AC$2&amp;IF($L236," w/ tag"," w/o tag"),Table8[#Headers],0)),"")</f>
        <v/>
      </c>
      <c r="AD236" s="59" t="str">
        <f t="shared" si="69"/>
        <v/>
      </c>
      <c r="AE236" s="4" t="str">
        <f t="shared" si="70"/>
        <v/>
      </c>
      <c r="AF236" s="4" t="str">
        <f t="shared" si="71"/>
        <v/>
      </c>
      <c r="AG236" s="4" t="str" cm="1">
        <f t="array" ref="AG236">IFERROR(INDEX(Table8[],_xlfn.XMATCH($O236,Table8[Dimension Name Category],0),_xlfn.XMATCH(AG$2&amp;IF($L236," w/ tag"," w/o tag"),Table8[#Headers],0)),"")</f>
        <v/>
      </c>
      <c r="AH236" s="59" t="str">
        <f t="shared" si="72"/>
        <v/>
      </c>
      <c r="AI236" s="4"/>
      <c r="AJ236" s="4" t="str">
        <f t="shared" si="73"/>
        <v/>
      </c>
      <c r="AK236" s="4" t="str">
        <f t="shared" si="74"/>
        <v/>
      </c>
      <c r="AL236" s="4" t="e" cm="1">
        <f t="array" ref="AL236">IF(INDEX(Table2[],_xlfn.XMATCH($A236,Table2[Steel Member],0),_xlfn.XMATCH(AL$2,Table2[#Headers],0))=0,"",INDEX(Table2[],_xlfn.XMATCH($A236,Table2[Steel Member],0),_xlfn.XMATCH(AL$2,Table2[#Headers],0)))</f>
        <v>#N/A</v>
      </c>
      <c r="AM236" s="4"/>
      <c r="AN236" s="4" t="str">
        <f t="shared" si="75"/>
        <v/>
      </c>
      <c r="AO236" s="4"/>
      <c r="AP236" s="4" t="e" cm="1">
        <f t="array" ref="AP236">IF(INDEX(Table2[],_xlfn.XMATCH($A236,Table2[Steel Member],0),_xlfn.XMATCH(AP$2,Table2[#Headers],0))=0,"",INDEX(Table2[],_xlfn.XMATCH($A236,Table2[Steel Member],0),_xlfn.XMATCH(AP$2,Table2[#Headers],0)))</f>
        <v>#N/A</v>
      </c>
      <c r="AQ236" s="4"/>
      <c r="AR236" s="4"/>
      <c r="AS236" s="4"/>
      <c r="AT236" s="4"/>
    </row>
    <row r="237" spans="1:46" x14ac:dyDescent="0.25">
      <c r="A237" s="52"/>
      <c r="B237" s="52"/>
      <c r="C237" s="52"/>
      <c r="D237" s="52"/>
      <c r="E237" s="52"/>
      <c r="F237" s="64" cm="1">
        <f t="array" ref="F237">IF(COUNT(FIND(PurlinsxGirthsxBracings,$C237))&gt;0,0,ROUNDUP(IF(D237=0,0,VLOOKUP(D237,'DATA SHEET'!$B:$D,2,FALSE)),2))</f>
        <v>0</v>
      </c>
      <c r="G237" s="64" cm="1">
        <f t="array" ref="G237">IF(COUNT(FIND(PurlinsxGirthsxBracings,$C237))&gt;0,0,ROUNDUP(IF(D237=0,0,VLOOKUP(D237,'DATA SHEET'!$B:$D,3,FALSE)),2))</f>
        <v>0</v>
      </c>
      <c r="H237" s="53"/>
      <c r="I237" s="66" cm="1">
        <f t="array" ref="I237">IF(AND(ISBLANK(B237),ISBLANK(C237),ISBLANK(E237)),0,IF(COUNT(FIND(PurlinsxGirthsxBracings,$C237))&gt;0,IF(B237=0,CONCATENATE(E237," ",C237),CONCATENATE(B237," - ",E237," ",C237)),IF(B237=0,IF(ISBLANK(C237),E237,CONCATENATE(D237,", ",F237,"kg/m, ",G237,"mm surface perimeter")),IF(AND(ISBLANK(C237),ISTEXT(E237)),CONCATENATE(B237," - ",E237),IF(AND(ISBLANK(C237),ISBLANK(E237)),B237,CONCATENATE(B237," - ",D237,", ",F237,"kg/m, ",G237,"mm surface perimeter"))))&amp;IF(ISBLANK(H237),"",H237)))</f>
        <v>0</v>
      </c>
      <c r="J237" s="53"/>
      <c r="L237" s="4" t="str" cm="1">
        <f t="array" ref="L237">IF(COUNT(FIND({0,1,2,3,4,5,6,7,8,9},B237))&gt;0,COUNT(FIND({0,1,2,3,4,5,6,7,8,9},B237))&gt;0,"")</f>
        <v/>
      </c>
      <c r="M237" s="4" t="str" cm="1">
        <f t="array" aca="1" ref="M237" ca="1">IFERROR(_xlfn.IFS(R237="Count",RANDBETWEEN(1,COUNTIF($R$11:$R$653,"Count")),R237="Length",RANDBETWEEN(1,COUNTIF($R$11:$R$653,"Length"))),"")</f>
        <v/>
      </c>
      <c r="N237" s="4" t="str">
        <f ca="1">IFERROR(_xlfn.RANK.EQ(M237,$M$11:$M$653)+COUNTIF($M$11:M237,M237)-1,"")</f>
        <v/>
      </c>
      <c r="O237" s="86" t="str">
        <f>IF(A237='DATA SHEET'!$L$36,C237,IFERROR(IF(AND(ISTEXT(I237),ISBLANK(C237)),"No details",VLOOKUP(C237,DimFolder,2,FALSE)),""))</f>
        <v/>
      </c>
      <c r="P237" s="4" t="str">
        <f t="shared" si="77"/>
        <v/>
      </c>
      <c r="Q237" s="58" t="str">
        <f t="shared" si="76"/>
        <v/>
      </c>
      <c r="R237" s="4" t="e" cm="1">
        <f t="array" ref="R237">IF(INDEX(Table2[],_xlfn.XMATCH($A237,Table2[Steel Member],0),_xlfn.XMATCH(R$2,Table2[#Headers],0))=0,"",INDEX(Table2[],_xlfn.XMATCH($A237,Table2[Steel Member],0),_xlfn.XMATCH(R$2,Table2[#Headers],0)))</f>
        <v>#N/A</v>
      </c>
      <c r="S237" s="4" t="e" cm="1">
        <f t="array" ref="S237">IF(INDEX(Table2[],_xlfn.XMATCH($A237,Table2[Steel Member],0),_xlfn.XMATCH(S$2,Table2[#Headers],0))=0,"",INDEX(Table2[],_xlfn.XMATCH($A237,Table2[Steel Member],0),_xlfn.XMATCH(S$2,Table2[#Headers],0)))</f>
        <v>#N/A</v>
      </c>
      <c r="T237" s="4" t="str">
        <f t="shared" si="67"/>
        <v/>
      </c>
      <c r="U237" s="4" t="e">
        <f ca="1">VLOOKUP(N237,'COLOR CODE'!$B:$D,2,FALSE)</f>
        <v>#N/A</v>
      </c>
      <c r="V237" s="4" t="str">
        <f t="shared" si="68"/>
        <v/>
      </c>
      <c r="W237" s="4" t="e" cm="1">
        <f t="array" ref="W237">IF(INDEX(Table2[],_xlfn.XMATCH($A237,Table2[Steel Member],0),_xlfn.XMATCH(W$2,Table2[#Headers],0))=0,"",INDEX(Table2[],_xlfn.XMATCH($A237,Table2[Steel Member],0),_xlfn.XMATCH(W$2,Table2[#Headers],0)))</f>
        <v>#N/A</v>
      </c>
      <c r="X237" s="4" t="e">
        <f t="shared" si="78"/>
        <v>#N/A</v>
      </c>
      <c r="Y237" s="4" t="e" cm="1">
        <f t="array" ref="Y237">IF(INDEX(Table2[],_xlfn.XMATCH($A237,Table2[Steel Member],0),_xlfn.XMATCH(Y$2,Table2[#Headers],0))=0,"",INDEX(Table2[],_xlfn.XMATCH($A237,Table2[Steel Member],0),_xlfn.XMATCH(Y$2,Table2[#Headers],0)))</f>
        <v>#N/A</v>
      </c>
      <c r="Z237" s="4" t="e" cm="1">
        <f t="array" ref="Z237">IF(INDEX(Table2[],_xlfn.XMATCH($A237,Table2[Steel Member],0),_xlfn.XMATCH(Z$2,Table2[#Headers],0))=0,"",INDEX(Table2[],_xlfn.XMATCH($A237,Table2[Steel Member],0),_xlfn.XMATCH(Z$2,Table2[#Headers],0)))</f>
        <v>#N/A</v>
      </c>
      <c r="AA237" s="4" t="e" cm="1">
        <f t="array" ref="AA237">IF(INDEX(Table2[],_xlfn.XMATCH($A237,Table2[Steel Member],0),_xlfn.XMATCH(AA$2,Table2[#Headers],0))=0,"",INDEX(Table2[],_xlfn.XMATCH($A237,Table2[Steel Member],0),_xlfn.XMATCH(AA$2,Table2[#Headers],0)))</f>
        <v>#N/A</v>
      </c>
      <c r="AB237" s="4" t="e" cm="1">
        <f t="array" ref="AB237">IF(INDEX(Table2[],_xlfn.XMATCH($A237,Table2[Steel Member],0),_xlfn.XMATCH(AB$2,Table2[#Headers],0))=0,"",INDEX(Table2[],_xlfn.XMATCH($A237,Table2[Steel Member],0),_xlfn.XMATCH(AB$2,Table2[#Headers],0)))</f>
        <v>#N/A</v>
      </c>
      <c r="AC237" s="4" t="str" cm="1">
        <f t="array" ref="AC237">IFERROR(INDEX(Table8[],_xlfn.XMATCH($O237,Table8[Dimension Name Category],0),_xlfn.XMATCH(AC$2&amp;IF($L237," w/ tag"," w/o tag"),Table8[#Headers],0)),"")</f>
        <v/>
      </c>
      <c r="AD237" s="59" t="str">
        <f t="shared" si="69"/>
        <v/>
      </c>
      <c r="AE237" s="4" t="str">
        <f t="shared" si="70"/>
        <v/>
      </c>
      <c r="AF237" s="4" t="str">
        <f t="shared" si="71"/>
        <v/>
      </c>
      <c r="AG237" s="4" t="str" cm="1">
        <f t="array" ref="AG237">IFERROR(INDEX(Table8[],_xlfn.XMATCH($O237,Table8[Dimension Name Category],0),_xlfn.XMATCH(AG$2&amp;IF($L237," w/ tag"," w/o tag"),Table8[#Headers],0)),"")</f>
        <v/>
      </c>
      <c r="AH237" s="59" t="str">
        <f t="shared" si="72"/>
        <v/>
      </c>
      <c r="AI237" s="4"/>
      <c r="AJ237" s="4" t="str">
        <f t="shared" si="73"/>
        <v/>
      </c>
      <c r="AK237" s="4" t="str">
        <f t="shared" si="74"/>
        <v/>
      </c>
      <c r="AL237" s="4" t="e" cm="1">
        <f t="array" ref="AL237">IF(INDEX(Table2[],_xlfn.XMATCH($A237,Table2[Steel Member],0),_xlfn.XMATCH(AL$2,Table2[#Headers],0))=0,"",INDEX(Table2[],_xlfn.XMATCH($A237,Table2[Steel Member],0),_xlfn.XMATCH(AL$2,Table2[#Headers],0)))</f>
        <v>#N/A</v>
      </c>
      <c r="AM237" s="4"/>
      <c r="AN237" s="4" t="str">
        <f t="shared" si="75"/>
        <v/>
      </c>
      <c r="AO237" s="4"/>
      <c r="AP237" s="4" t="e" cm="1">
        <f t="array" ref="AP237">IF(INDEX(Table2[],_xlfn.XMATCH($A237,Table2[Steel Member],0),_xlfn.XMATCH(AP$2,Table2[#Headers],0))=0,"",INDEX(Table2[],_xlfn.XMATCH($A237,Table2[Steel Member],0),_xlfn.XMATCH(AP$2,Table2[#Headers],0)))</f>
        <v>#N/A</v>
      </c>
      <c r="AQ237" s="4"/>
      <c r="AR237" s="4"/>
      <c r="AS237" s="4"/>
      <c r="AT237" s="4"/>
    </row>
    <row r="238" spans="1:46" x14ac:dyDescent="0.25">
      <c r="A238" s="52"/>
      <c r="B238" s="52"/>
      <c r="C238" s="52"/>
      <c r="D238" s="52"/>
      <c r="E238" s="52"/>
      <c r="F238" s="64" cm="1">
        <f t="array" ref="F238">IF(COUNT(FIND(PurlinsxGirthsxBracings,$C238))&gt;0,0,ROUNDUP(IF(D238=0,0,VLOOKUP(D238,'DATA SHEET'!$B:$D,2,FALSE)),2))</f>
        <v>0</v>
      </c>
      <c r="G238" s="64" cm="1">
        <f t="array" ref="G238">IF(COUNT(FIND(PurlinsxGirthsxBracings,$C238))&gt;0,0,ROUNDUP(IF(D238=0,0,VLOOKUP(D238,'DATA SHEET'!$B:$D,3,FALSE)),2))</f>
        <v>0</v>
      </c>
      <c r="H238" s="53"/>
      <c r="I238" s="66" cm="1">
        <f t="array" ref="I238">IF(AND(ISBLANK(B238),ISBLANK(C238),ISBLANK(E238)),0,IF(COUNT(FIND(PurlinsxGirthsxBracings,$C238))&gt;0,IF(B238=0,CONCATENATE(E238," ",C238),CONCATENATE(B238," - ",E238," ",C238)),IF(B238=0,IF(ISBLANK(C238),E238,CONCATENATE(D238,", ",F238,"kg/m, ",G238,"mm surface perimeter")),IF(AND(ISBLANK(C238),ISTEXT(E238)),CONCATENATE(B238," - ",E238),IF(AND(ISBLANK(C238),ISBLANK(E238)),B238,CONCATENATE(B238," - ",D238,", ",F238,"kg/m, ",G238,"mm surface perimeter"))))&amp;IF(ISBLANK(H238),"",H238)))</f>
        <v>0</v>
      </c>
      <c r="J238" s="53"/>
      <c r="L238" s="4" t="str" cm="1">
        <f t="array" ref="L238">IF(COUNT(FIND({0,1,2,3,4,5,6,7,8,9},B238))&gt;0,COUNT(FIND({0,1,2,3,4,5,6,7,8,9},B238))&gt;0,"")</f>
        <v/>
      </c>
      <c r="M238" s="4" t="str" cm="1">
        <f t="array" aca="1" ref="M238" ca="1">IFERROR(_xlfn.IFS(R238="Count",RANDBETWEEN(1,COUNTIF($R$11:$R$653,"Count")),R238="Length",RANDBETWEEN(1,COUNTIF($R$11:$R$653,"Length"))),"")</f>
        <v/>
      </c>
      <c r="N238" s="4" t="str">
        <f ca="1">IFERROR(_xlfn.RANK.EQ(M238,$M$11:$M$653)+COUNTIF($M$11:M238,M238)-1,"")</f>
        <v/>
      </c>
      <c r="O238" s="86" t="str">
        <f>IF(A238='DATA SHEET'!$L$36,C238,IFERROR(IF(AND(ISTEXT(I238),ISBLANK(C238)),"No details",VLOOKUP(C238,DimFolder,2,FALSE)),""))</f>
        <v/>
      </c>
      <c r="P238" s="4" t="str">
        <f t="shared" si="77"/>
        <v/>
      </c>
      <c r="Q238" s="58" t="str">
        <f t="shared" si="76"/>
        <v/>
      </c>
      <c r="R238" s="4" t="e" cm="1">
        <f t="array" ref="R238">IF(INDEX(Table2[],_xlfn.XMATCH($A238,Table2[Steel Member],0),_xlfn.XMATCH(R$2,Table2[#Headers],0))=0,"",INDEX(Table2[],_xlfn.XMATCH($A238,Table2[Steel Member],0),_xlfn.XMATCH(R$2,Table2[#Headers],0)))</f>
        <v>#N/A</v>
      </c>
      <c r="S238" s="4" t="e" cm="1">
        <f t="array" ref="S238">IF(INDEX(Table2[],_xlfn.XMATCH($A238,Table2[Steel Member],0),_xlfn.XMATCH(S$2,Table2[#Headers],0))=0,"",INDEX(Table2[],_xlfn.XMATCH($A238,Table2[Steel Member],0),_xlfn.XMATCH(S$2,Table2[#Headers],0)))</f>
        <v>#N/A</v>
      </c>
      <c r="T238" s="4" t="str">
        <f t="shared" si="67"/>
        <v/>
      </c>
      <c r="U238" s="4" t="e">
        <f ca="1">VLOOKUP(N238,'COLOR CODE'!$B:$D,2,FALSE)</f>
        <v>#N/A</v>
      </c>
      <c r="V238" s="4" t="str">
        <f t="shared" si="68"/>
        <v/>
      </c>
      <c r="W238" s="4" t="e" cm="1">
        <f t="array" ref="W238">IF(INDEX(Table2[],_xlfn.XMATCH($A238,Table2[Steel Member],0),_xlfn.XMATCH(W$2,Table2[#Headers],0))=0,"",INDEX(Table2[],_xlfn.XMATCH($A238,Table2[Steel Member],0),_xlfn.XMATCH(W$2,Table2[#Headers],0)))</f>
        <v>#N/A</v>
      </c>
      <c r="X238" s="4" t="e">
        <f t="shared" si="78"/>
        <v>#N/A</v>
      </c>
      <c r="Y238" s="4" t="e" cm="1">
        <f t="array" ref="Y238">IF(INDEX(Table2[],_xlfn.XMATCH($A238,Table2[Steel Member],0),_xlfn.XMATCH(Y$2,Table2[#Headers],0))=0,"",INDEX(Table2[],_xlfn.XMATCH($A238,Table2[Steel Member],0),_xlfn.XMATCH(Y$2,Table2[#Headers],0)))</f>
        <v>#N/A</v>
      </c>
      <c r="Z238" s="4" t="e" cm="1">
        <f t="array" ref="Z238">IF(INDEX(Table2[],_xlfn.XMATCH($A238,Table2[Steel Member],0),_xlfn.XMATCH(Z$2,Table2[#Headers],0))=0,"",INDEX(Table2[],_xlfn.XMATCH($A238,Table2[Steel Member],0),_xlfn.XMATCH(Z$2,Table2[#Headers],0)))</f>
        <v>#N/A</v>
      </c>
      <c r="AA238" s="4" t="e" cm="1">
        <f t="array" ref="AA238">IF(INDEX(Table2[],_xlfn.XMATCH($A238,Table2[Steel Member],0),_xlfn.XMATCH(AA$2,Table2[#Headers],0))=0,"",INDEX(Table2[],_xlfn.XMATCH($A238,Table2[Steel Member],0),_xlfn.XMATCH(AA$2,Table2[#Headers],0)))</f>
        <v>#N/A</v>
      </c>
      <c r="AB238" s="4" t="e" cm="1">
        <f t="array" ref="AB238">IF(INDEX(Table2[],_xlfn.XMATCH($A238,Table2[Steel Member],0),_xlfn.XMATCH(AB$2,Table2[#Headers],0))=0,"",INDEX(Table2[],_xlfn.XMATCH($A238,Table2[Steel Member],0),_xlfn.XMATCH(AB$2,Table2[#Headers],0)))</f>
        <v>#N/A</v>
      </c>
      <c r="AC238" s="4" t="str" cm="1">
        <f t="array" ref="AC238">IFERROR(INDEX(Table8[],_xlfn.XMATCH($O238,Table8[Dimension Name Category],0),_xlfn.XMATCH(AC$2&amp;IF($L238," w/ tag"," w/o tag"),Table8[#Headers],0)),"")</f>
        <v/>
      </c>
      <c r="AD238" s="59" t="str">
        <f t="shared" si="69"/>
        <v/>
      </c>
      <c r="AE238" s="4" t="str">
        <f t="shared" si="70"/>
        <v/>
      </c>
      <c r="AF238" s="4" t="str">
        <f t="shared" si="71"/>
        <v/>
      </c>
      <c r="AG238" s="4" t="str" cm="1">
        <f t="array" ref="AG238">IFERROR(INDEX(Table8[],_xlfn.XMATCH($O238,Table8[Dimension Name Category],0),_xlfn.XMATCH(AG$2&amp;IF($L238," w/ tag"," w/o tag"),Table8[#Headers],0)),"")</f>
        <v/>
      </c>
      <c r="AH238" s="59" t="str">
        <f t="shared" si="72"/>
        <v/>
      </c>
      <c r="AI238" s="4"/>
      <c r="AJ238" s="4" t="str">
        <f t="shared" si="73"/>
        <v/>
      </c>
      <c r="AK238" s="4" t="str">
        <f t="shared" si="74"/>
        <v/>
      </c>
      <c r="AL238" s="4" t="e" cm="1">
        <f t="array" ref="AL238">IF(INDEX(Table2[],_xlfn.XMATCH($A238,Table2[Steel Member],0),_xlfn.XMATCH(AL$2,Table2[#Headers],0))=0,"",INDEX(Table2[],_xlfn.XMATCH($A238,Table2[Steel Member],0),_xlfn.XMATCH(AL$2,Table2[#Headers],0)))</f>
        <v>#N/A</v>
      </c>
      <c r="AM238" s="4"/>
      <c r="AN238" s="4" t="str">
        <f t="shared" si="75"/>
        <v/>
      </c>
      <c r="AO238" s="4"/>
      <c r="AP238" s="4" t="e" cm="1">
        <f t="array" ref="AP238">IF(INDEX(Table2[],_xlfn.XMATCH($A238,Table2[Steel Member],0),_xlfn.XMATCH(AP$2,Table2[#Headers],0))=0,"",INDEX(Table2[],_xlfn.XMATCH($A238,Table2[Steel Member],0),_xlfn.XMATCH(AP$2,Table2[#Headers],0)))</f>
        <v>#N/A</v>
      </c>
      <c r="AQ238" s="4"/>
      <c r="AR238" s="4"/>
      <c r="AS238" s="4"/>
      <c r="AT238" s="4"/>
    </row>
    <row r="239" spans="1:46" x14ac:dyDescent="0.25">
      <c r="A239" s="52"/>
      <c r="B239" s="52"/>
      <c r="C239" s="52"/>
      <c r="D239" s="52"/>
      <c r="E239" s="52"/>
      <c r="F239" s="64" cm="1">
        <f t="array" ref="F239">IF(COUNT(FIND(PurlinsxGirthsxBracings,$C239))&gt;0,0,ROUNDUP(IF(D239=0,0,VLOOKUP(D239,'DATA SHEET'!$B:$D,2,FALSE)),2))</f>
        <v>0</v>
      </c>
      <c r="G239" s="64" cm="1">
        <f t="array" ref="G239">IF(COUNT(FIND(PurlinsxGirthsxBracings,$C239))&gt;0,0,ROUNDUP(IF(D239=0,0,VLOOKUP(D239,'DATA SHEET'!$B:$D,3,FALSE)),2))</f>
        <v>0</v>
      </c>
      <c r="H239" s="53"/>
      <c r="I239" s="66" cm="1">
        <f t="array" ref="I239">IF(AND(ISBLANK(B239),ISBLANK(C239),ISBLANK(E239)),0,IF(COUNT(FIND(PurlinsxGirthsxBracings,$C239))&gt;0,IF(B239=0,CONCATENATE(E239," ",C239),CONCATENATE(B239," - ",E239," ",C239)),IF(B239=0,IF(ISBLANK(C239),E239,CONCATENATE(D239,", ",F239,"kg/m, ",G239,"mm surface perimeter")),IF(AND(ISBLANK(C239),ISTEXT(E239)),CONCATENATE(B239," - ",E239),IF(AND(ISBLANK(C239),ISBLANK(E239)),B239,CONCATENATE(B239," - ",D239,", ",F239,"kg/m, ",G239,"mm surface perimeter"))))&amp;IF(ISBLANK(H239),"",H239)))</f>
        <v>0</v>
      </c>
      <c r="J239" s="53"/>
      <c r="L239" s="4" t="str" cm="1">
        <f t="array" ref="L239">IF(COUNT(FIND({0,1,2,3,4,5,6,7,8,9},B239))&gt;0,COUNT(FIND({0,1,2,3,4,5,6,7,8,9},B239))&gt;0,"")</f>
        <v/>
      </c>
      <c r="M239" s="4" t="str" cm="1">
        <f t="array" aca="1" ref="M239" ca="1">IFERROR(_xlfn.IFS(R239="Count",RANDBETWEEN(1,COUNTIF($R$11:$R$653,"Count")),R239="Length",RANDBETWEEN(1,COUNTIF($R$11:$R$653,"Length"))),"")</f>
        <v/>
      </c>
      <c r="N239" s="4" t="str">
        <f ca="1">IFERROR(_xlfn.RANK.EQ(M239,$M$11:$M$653)+COUNTIF($M$11:M239,M239)-1,"")</f>
        <v/>
      </c>
      <c r="O239" s="86" t="str">
        <f>IF(A239='DATA SHEET'!$L$36,C239,IFERROR(IF(AND(ISTEXT(I239),ISBLANK(C239)),"No details",VLOOKUP(C239,DimFolder,2,FALSE)),""))</f>
        <v/>
      </c>
      <c r="P239" s="4" t="str">
        <f t="shared" si="77"/>
        <v/>
      </c>
      <c r="Q239" s="58" t="str">
        <f t="shared" si="76"/>
        <v/>
      </c>
      <c r="R239" s="4" t="e" cm="1">
        <f t="array" ref="R239">IF(INDEX(Table2[],_xlfn.XMATCH($A239,Table2[Steel Member],0),_xlfn.XMATCH(R$2,Table2[#Headers],0))=0,"",INDEX(Table2[],_xlfn.XMATCH($A239,Table2[Steel Member],0),_xlfn.XMATCH(R$2,Table2[#Headers],0)))</f>
        <v>#N/A</v>
      </c>
      <c r="S239" s="4" t="e" cm="1">
        <f t="array" ref="S239">IF(INDEX(Table2[],_xlfn.XMATCH($A239,Table2[Steel Member],0),_xlfn.XMATCH(S$2,Table2[#Headers],0))=0,"",INDEX(Table2[],_xlfn.XMATCH($A239,Table2[Steel Member],0),_xlfn.XMATCH(S$2,Table2[#Headers],0)))</f>
        <v>#N/A</v>
      </c>
      <c r="T239" s="4" t="str">
        <f t="shared" si="67"/>
        <v/>
      </c>
      <c r="U239" s="4" t="e">
        <f ca="1">VLOOKUP(N239,'COLOR CODE'!$B:$D,2,FALSE)</f>
        <v>#N/A</v>
      </c>
      <c r="V239" s="4" t="str">
        <f t="shared" si="68"/>
        <v/>
      </c>
      <c r="W239" s="4" t="e" cm="1">
        <f t="array" ref="W239">IF(INDEX(Table2[],_xlfn.XMATCH($A239,Table2[Steel Member],0),_xlfn.XMATCH(W$2,Table2[#Headers],0))=0,"",INDEX(Table2[],_xlfn.XMATCH($A239,Table2[Steel Member],0),_xlfn.XMATCH(W$2,Table2[#Headers],0)))</f>
        <v>#N/A</v>
      </c>
      <c r="X239" s="4" t="e">
        <f t="shared" si="78"/>
        <v>#N/A</v>
      </c>
      <c r="Y239" s="4" t="e" cm="1">
        <f t="array" ref="Y239">IF(INDEX(Table2[],_xlfn.XMATCH($A239,Table2[Steel Member],0),_xlfn.XMATCH(Y$2,Table2[#Headers],0))=0,"",INDEX(Table2[],_xlfn.XMATCH($A239,Table2[Steel Member],0),_xlfn.XMATCH(Y$2,Table2[#Headers],0)))</f>
        <v>#N/A</v>
      </c>
      <c r="Z239" s="4" t="e" cm="1">
        <f t="array" ref="Z239">IF(INDEX(Table2[],_xlfn.XMATCH($A239,Table2[Steel Member],0),_xlfn.XMATCH(Z$2,Table2[#Headers],0))=0,"",INDEX(Table2[],_xlfn.XMATCH($A239,Table2[Steel Member],0),_xlfn.XMATCH(Z$2,Table2[#Headers],0)))</f>
        <v>#N/A</v>
      </c>
      <c r="AA239" s="4" t="e" cm="1">
        <f t="array" ref="AA239">IF(INDEX(Table2[],_xlfn.XMATCH($A239,Table2[Steel Member],0),_xlfn.XMATCH(AA$2,Table2[#Headers],0))=0,"",INDEX(Table2[],_xlfn.XMATCH($A239,Table2[Steel Member],0),_xlfn.XMATCH(AA$2,Table2[#Headers],0)))</f>
        <v>#N/A</v>
      </c>
      <c r="AB239" s="4" t="e" cm="1">
        <f t="array" ref="AB239">IF(INDEX(Table2[],_xlfn.XMATCH($A239,Table2[Steel Member],0),_xlfn.XMATCH(AB$2,Table2[#Headers],0))=0,"",INDEX(Table2[],_xlfn.XMATCH($A239,Table2[Steel Member],0),_xlfn.XMATCH(AB$2,Table2[#Headers],0)))</f>
        <v>#N/A</v>
      </c>
      <c r="AC239" s="4" t="str" cm="1">
        <f t="array" ref="AC239">IFERROR(INDEX(Table8[],_xlfn.XMATCH($O239,Table8[Dimension Name Category],0),_xlfn.XMATCH(AC$2&amp;IF($L239," w/ tag"," w/o tag"),Table8[#Headers],0)),"")</f>
        <v/>
      </c>
      <c r="AD239" s="59" t="str">
        <f t="shared" si="69"/>
        <v/>
      </c>
      <c r="AE239" s="4" t="str">
        <f t="shared" si="70"/>
        <v/>
      </c>
      <c r="AF239" s="4" t="str">
        <f t="shared" si="71"/>
        <v/>
      </c>
      <c r="AG239" s="4" t="str" cm="1">
        <f t="array" ref="AG239">IFERROR(INDEX(Table8[],_xlfn.XMATCH($O239,Table8[Dimension Name Category],0),_xlfn.XMATCH(AG$2&amp;IF($L239," w/ tag"," w/o tag"),Table8[#Headers],0)),"")</f>
        <v/>
      </c>
      <c r="AH239" s="59" t="str">
        <f t="shared" si="72"/>
        <v/>
      </c>
      <c r="AI239" s="4"/>
      <c r="AJ239" s="4" t="str">
        <f t="shared" si="73"/>
        <v/>
      </c>
      <c r="AK239" s="4" t="str">
        <f t="shared" si="74"/>
        <v/>
      </c>
      <c r="AL239" s="4" t="e" cm="1">
        <f t="array" ref="AL239">IF(INDEX(Table2[],_xlfn.XMATCH($A239,Table2[Steel Member],0),_xlfn.XMATCH(AL$2,Table2[#Headers],0))=0,"",INDEX(Table2[],_xlfn.XMATCH($A239,Table2[Steel Member],0),_xlfn.XMATCH(AL$2,Table2[#Headers],0)))</f>
        <v>#N/A</v>
      </c>
      <c r="AM239" s="4"/>
      <c r="AN239" s="4" t="str">
        <f t="shared" si="75"/>
        <v/>
      </c>
      <c r="AO239" s="4"/>
      <c r="AP239" s="4" t="e" cm="1">
        <f t="array" ref="AP239">IF(INDEX(Table2[],_xlfn.XMATCH($A239,Table2[Steel Member],0),_xlfn.XMATCH(AP$2,Table2[#Headers],0))=0,"",INDEX(Table2[],_xlfn.XMATCH($A239,Table2[Steel Member],0),_xlfn.XMATCH(AP$2,Table2[#Headers],0)))</f>
        <v>#N/A</v>
      </c>
      <c r="AQ239" s="4"/>
      <c r="AR239" s="4"/>
      <c r="AS239" s="4"/>
      <c r="AT239" s="4"/>
    </row>
    <row r="240" spans="1:46" x14ac:dyDescent="0.25">
      <c r="A240" s="52"/>
      <c r="B240" s="52"/>
      <c r="C240" s="52"/>
      <c r="D240" s="52"/>
      <c r="E240" s="52"/>
      <c r="F240" s="64" cm="1">
        <f t="array" ref="F240">IF(COUNT(FIND(PurlinsxGirthsxBracings,$C240))&gt;0,0,ROUNDUP(IF(D240=0,0,VLOOKUP(D240,'DATA SHEET'!$B:$D,2,FALSE)),2))</f>
        <v>0</v>
      </c>
      <c r="G240" s="64" cm="1">
        <f t="array" ref="G240">IF(COUNT(FIND(PurlinsxGirthsxBracings,$C240))&gt;0,0,ROUNDUP(IF(D240=0,0,VLOOKUP(D240,'DATA SHEET'!$B:$D,3,FALSE)),2))</f>
        <v>0</v>
      </c>
      <c r="H240" s="53"/>
      <c r="I240" s="66" cm="1">
        <f t="array" ref="I240">IF(AND(ISBLANK(B240),ISBLANK(C240),ISBLANK(E240)),0,IF(COUNT(FIND(PurlinsxGirthsxBracings,$C240))&gt;0,IF(B240=0,CONCATENATE(E240," ",C240),CONCATENATE(B240," - ",E240," ",C240)),IF(B240=0,IF(ISBLANK(C240),E240,CONCATENATE(D240,", ",F240,"kg/m, ",G240,"mm surface perimeter")),IF(AND(ISBLANK(C240),ISTEXT(E240)),CONCATENATE(B240," - ",E240),IF(AND(ISBLANK(C240),ISBLANK(E240)),B240,CONCATENATE(B240," - ",D240,", ",F240,"kg/m, ",G240,"mm surface perimeter"))))&amp;IF(ISBLANK(H240),"",H240)))</f>
        <v>0</v>
      </c>
      <c r="J240" s="53"/>
      <c r="L240" s="4" t="str" cm="1">
        <f t="array" ref="L240">IF(COUNT(FIND({0,1,2,3,4,5,6,7,8,9},B240))&gt;0,COUNT(FIND({0,1,2,3,4,5,6,7,8,9},B240))&gt;0,"")</f>
        <v/>
      </c>
      <c r="M240" s="4" t="str" cm="1">
        <f t="array" aca="1" ref="M240" ca="1">IFERROR(_xlfn.IFS(R240="Count",RANDBETWEEN(1,COUNTIF($R$11:$R$653,"Count")),R240="Length",RANDBETWEEN(1,COUNTIF($R$11:$R$653,"Length"))),"")</f>
        <v/>
      </c>
      <c r="N240" s="4" t="str">
        <f ca="1">IFERROR(_xlfn.RANK.EQ(M240,$M$11:$M$653)+COUNTIF($M$11:M240,M240)-1,"")</f>
        <v/>
      </c>
      <c r="O240" s="86" t="str">
        <f>IF(A240='DATA SHEET'!$L$36,C240,IFERROR(IF(AND(ISTEXT(I240),ISBLANK(C240)),"No details",VLOOKUP(C240,DimFolder,2,FALSE)),""))</f>
        <v/>
      </c>
      <c r="P240" s="4" t="str">
        <f t="shared" si="77"/>
        <v/>
      </c>
      <c r="Q240" s="58" t="str">
        <f t="shared" si="76"/>
        <v/>
      </c>
      <c r="R240" s="4" t="e" cm="1">
        <f t="array" ref="R240">IF(INDEX(Table2[],_xlfn.XMATCH($A240,Table2[Steel Member],0),_xlfn.XMATCH(R$2,Table2[#Headers],0))=0,"",INDEX(Table2[],_xlfn.XMATCH($A240,Table2[Steel Member],0),_xlfn.XMATCH(R$2,Table2[#Headers],0)))</f>
        <v>#N/A</v>
      </c>
      <c r="S240" s="4" t="e" cm="1">
        <f t="array" ref="S240">IF(INDEX(Table2[],_xlfn.XMATCH($A240,Table2[Steel Member],0),_xlfn.XMATCH(S$2,Table2[#Headers],0))=0,"",INDEX(Table2[],_xlfn.XMATCH($A240,Table2[Steel Member],0),_xlfn.XMATCH(S$2,Table2[#Headers],0)))</f>
        <v>#N/A</v>
      </c>
      <c r="T240" s="4" t="str">
        <f t="shared" si="67"/>
        <v/>
      </c>
      <c r="U240" s="4" t="e">
        <f ca="1">VLOOKUP(N240,'COLOR CODE'!$B:$D,2,FALSE)</f>
        <v>#N/A</v>
      </c>
      <c r="V240" s="4" t="str">
        <f t="shared" si="68"/>
        <v/>
      </c>
      <c r="W240" s="4" t="e" cm="1">
        <f t="array" ref="W240">IF(INDEX(Table2[],_xlfn.XMATCH($A240,Table2[Steel Member],0),_xlfn.XMATCH(W$2,Table2[#Headers],0))=0,"",INDEX(Table2[],_xlfn.XMATCH($A240,Table2[Steel Member],0),_xlfn.XMATCH(W$2,Table2[#Headers],0)))</f>
        <v>#N/A</v>
      </c>
      <c r="X240" s="4" t="e">
        <f t="shared" si="78"/>
        <v>#N/A</v>
      </c>
      <c r="Y240" s="4" t="e" cm="1">
        <f t="array" ref="Y240">IF(INDEX(Table2[],_xlfn.XMATCH($A240,Table2[Steel Member],0),_xlfn.XMATCH(Y$2,Table2[#Headers],0))=0,"",INDEX(Table2[],_xlfn.XMATCH($A240,Table2[Steel Member],0),_xlfn.XMATCH(Y$2,Table2[#Headers],0)))</f>
        <v>#N/A</v>
      </c>
      <c r="Z240" s="4" t="e" cm="1">
        <f t="array" ref="Z240">IF(INDEX(Table2[],_xlfn.XMATCH($A240,Table2[Steel Member],0),_xlfn.XMATCH(Z$2,Table2[#Headers],0))=0,"",INDEX(Table2[],_xlfn.XMATCH($A240,Table2[Steel Member],0),_xlfn.XMATCH(Z$2,Table2[#Headers],0)))</f>
        <v>#N/A</v>
      </c>
      <c r="AA240" s="4" t="e" cm="1">
        <f t="array" ref="AA240">IF(INDEX(Table2[],_xlfn.XMATCH($A240,Table2[Steel Member],0),_xlfn.XMATCH(AA$2,Table2[#Headers],0))=0,"",INDEX(Table2[],_xlfn.XMATCH($A240,Table2[Steel Member],0),_xlfn.XMATCH(AA$2,Table2[#Headers],0)))</f>
        <v>#N/A</v>
      </c>
      <c r="AB240" s="4" t="e" cm="1">
        <f t="array" ref="AB240">IF(INDEX(Table2[],_xlfn.XMATCH($A240,Table2[Steel Member],0),_xlfn.XMATCH(AB$2,Table2[#Headers],0))=0,"",INDEX(Table2[],_xlfn.XMATCH($A240,Table2[Steel Member],0),_xlfn.XMATCH(AB$2,Table2[#Headers],0)))</f>
        <v>#N/A</v>
      </c>
      <c r="AC240" s="4" t="str" cm="1">
        <f t="array" ref="AC240">IFERROR(INDEX(Table8[],_xlfn.XMATCH($O240,Table8[Dimension Name Category],0),_xlfn.XMATCH(AC$2&amp;IF($L240," w/ tag"," w/o tag"),Table8[#Headers],0)),"")</f>
        <v/>
      </c>
      <c r="AD240" s="59" t="str">
        <f t="shared" si="69"/>
        <v/>
      </c>
      <c r="AE240" s="4" t="str">
        <f t="shared" si="70"/>
        <v/>
      </c>
      <c r="AF240" s="4" t="str">
        <f t="shared" si="71"/>
        <v/>
      </c>
      <c r="AG240" s="4" t="str" cm="1">
        <f t="array" ref="AG240">IFERROR(INDEX(Table8[],_xlfn.XMATCH($O240,Table8[Dimension Name Category],0),_xlfn.XMATCH(AG$2&amp;IF($L240," w/ tag"," w/o tag"),Table8[#Headers],0)),"")</f>
        <v/>
      </c>
      <c r="AH240" s="59" t="str">
        <f t="shared" si="72"/>
        <v/>
      </c>
      <c r="AI240" s="4"/>
      <c r="AJ240" s="4" t="str">
        <f t="shared" si="73"/>
        <v/>
      </c>
      <c r="AK240" s="4" t="str">
        <f t="shared" si="74"/>
        <v/>
      </c>
      <c r="AL240" s="4" t="e" cm="1">
        <f t="array" ref="AL240">IF(INDEX(Table2[],_xlfn.XMATCH($A240,Table2[Steel Member],0),_xlfn.XMATCH(AL$2,Table2[#Headers],0))=0,"",INDEX(Table2[],_xlfn.XMATCH($A240,Table2[Steel Member],0),_xlfn.XMATCH(AL$2,Table2[#Headers],0)))</f>
        <v>#N/A</v>
      </c>
      <c r="AM240" s="4"/>
      <c r="AN240" s="4" t="str">
        <f t="shared" si="75"/>
        <v/>
      </c>
      <c r="AO240" s="4"/>
      <c r="AP240" s="4" t="e" cm="1">
        <f t="array" ref="AP240">IF(INDEX(Table2[],_xlfn.XMATCH($A240,Table2[Steel Member],0),_xlfn.XMATCH(AP$2,Table2[#Headers],0))=0,"",INDEX(Table2[],_xlfn.XMATCH($A240,Table2[Steel Member],0),_xlfn.XMATCH(AP$2,Table2[#Headers],0)))</f>
        <v>#N/A</v>
      </c>
      <c r="AQ240" s="4"/>
      <c r="AR240" s="4"/>
      <c r="AS240" s="4"/>
      <c r="AT240" s="4"/>
    </row>
    <row r="241" spans="1:46" x14ac:dyDescent="0.25">
      <c r="A241" s="52"/>
      <c r="B241" s="52"/>
      <c r="C241" s="52"/>
      <c r="D241" s="52"/>
      <c r="E241" s="52"/>
      <c r="F241" s="64" cm="1">
        <f t="array" ref="F241">IF(COUNT(FIND(PurlinsxGirthsxBracings,$C241))&gt;0,0,ROUNDUP(IF(D241=0,0,VLOOKUP(D241,'DATA SHEET'!$B:$D,2,FALSE)),2))</f>
        <v>0</v>
      </c>
      <c r="G241" s="64" cm="1">
        <f t="array" ref="G241">IF(COUNT(FIND(PurlinsxGirthsxBracings,$C241))&gt;0,0,ROUNDUP(IF(D241=0,0,VLOOKUP(D241,'DATA SHEET'!$B:$D,3,FALSE)),2))</f>
        <v>0</v>
      </c>
      <c r="H241" s="53"/>
      <c r="I241" s="66" cm="1">
        <f t="array" ref="I241">IF(AND(ISBLANK(B241),ISBLANK(C241),ISBLANK(E241)),0,IF(COUNT(FIND(PurlinsxGirthsxBracings,$C241))&gt;0,IF(B241=0,CONCATENATE(E241," ",C241),CONCATENATE(B241," - ",E241," ",C241)),IF(B241=0,IF(ISBLANK(C241),E241,CONCATENATE(D241,", ",F241,"kg/m, ",G241,"mm surface perimeter")),IF(AND(ISBLANK(C241),ISTEXT(E241)),CONCATENATE(B241," - ",E241),IF(AND(ISBLANK(C241),ISBLANK(E241)),B241,CONCATENATE(B241," - ",D241,", ",F241,"kg/m, ",G241,"mm surface perimeter"))))&amp;IF(ISBLANK(H241),"",H241)))</f>
        <v>0</v>
      </c>
      <c r="J241" s="53"/>
      <c r="L241" s="4" t="str" cm="1">
        <f t="array" ref="L241">IF(COUNT(FIND({0,1,2,3,4,5,6,7,8,9},B241))&gt;0,COUNT(FIND({0,1,2,3,4,5,6,7,8,9},B241))&gt;0,"")</f>
        <v/>
      </c>
      <c r="M241" s="4" t="str" cm="1">
        <f t="array" aca="1" ref="M241" ca="1">IFERROR(_xlfn.IFS(R241="Count",RANDBETWEEN(1,COUNTIF($R$11:$R$653,"Count")),R241="Length",RANDBETWEEN(1,COUNTIF($R$11:$R$653,"Length"))),"")</f>
        <v/>
      </c>
      <c r="N241" s="4" t="str">
        <f ca="1">IFERROR(_xlfn.RANK.EQ(M241,$M$11:$M$653)+COUNTIF($M$11:M241,M241)-1,"")</f>
        <v/>
      </c>
      <c r="O241" s="86" t="str">
        <f>IF(A241='DATA SHEET'!$L$36,C241,IFERROR(IF(AND(ISTEXT(I241),ISBLANK(C241)),"No details",VLOOKUP(C241,DimFolder,2,FALSE)),""))</f>
        <v/>
      </c>
      <c r="P241" s="4" t="str">
        <f t="shared" si="77"/>
        <v/>
      </c>
      <c r="Q241" s="58" t="str">
        <f t="shared" si="76"/>
        <v/>
      </c>
      <c r="R241" s="4" t="e" cm="1">
        <f t="array" ref="R241">IF(INDEX(Table2[],_xlfn.XMATCH($A241,Table2[Steel Member],0),_xlfn.XMATCH(R$2,Table2[#Headers],0))=0,"",INDEX(Table2[],_xlfn.XMATCH($A241,Table2[Steel Member],0),_xlfn.XMATCH(R$2,Table2[#Headers],0)))</f>
        <v>#N/A</v>
      </c>
      <c r="S241" s="4" t="e" cm="1">
        <f t="array" ref="S241">IF(INDEX(Table2[],_xlfn.XMATCH($A241,Table2[Steel Member],0),_xlfn.XMATCH(S$2,Table2[#Headers],0))=0,"",INDEX(Table2[],_xlfn.XMATCH($A241,Table2[Steel Member],0),_xlfn.XMATCH(S$2,Table2[#Headers],0)))</f>
        <v>#N/A</v>
      </c>
      <c r="T241" s="4" t="str">
        <f t="shared" si="67"/>
        <v/>
      </c>
      <c r="U241" s="4" t="e">
        <f ca="1">VLOOKUP(N241,'COLOR CODE'!$B:$D,2,FALSE)</f>
        <v>#N/A</v>
      </c>
      <c r="V241" s="4" t="str">
        <f t="shared" si="68"/>
        <v/>
      </c>
      <c r="W241" s="4" t="e" cm="1">
        <f t="array" ref="W241">IF(INDEX(Table2[],_xlfn.XMATCH($A241,Table2[Steel Member],0),_xlfn.XMATCH(W$2,Table2[#Headers],0))=0,"",INDEX(Table2[],_xlfn.XMATCH($A241,Table2[Steel Member],0),_xlfn.XMATCH(W$2,Table2[#Headers],0)))</f>
        <v>#N/A</v>
      </c>
      <c r="X241" s="4" t="e">
        <f t="shared" si="78"/>
        <v>#N/A</v>
      </c>
      <c r="Y241" s="4" t="e" cm="1">
        <f t="array" ref="Y241">IF(INDEX(Table2[],_xlfn.XMATCH($A241,Table2[Steel Member],0),_xlfn.XMATCH(Y$2,Table2[#Headers],0))=0,"",INDEX(Table2[],_xlfn.XMATCH($A241,Table2[Steel Member],0),_xlfn.XMATCH(Y$2,Table2[#Headers],0)))</f>
        <v>#N/A</v>
      </c>
      <c r="Z241" s="4" t="e" cm="1">
        <f t="array" ref="Z241">IF(INDEX(Table2[],_xlfn.XMATCH($A241,Table2[Steel Member],0),_xlfn.XMATCH(Z$2,Table2[#Headers],0))=0,"",INDEX(Table2[],_xlfn.XMATCH($A241,Table2[Steel Member],0),_xlfn.XMATCH(Z$2,Table2[#Headers],0)))</f>
        <v>#N/A</v>
      </c>
      <c r="AA241" s="4" t="e" cm="1">
        <f t="array" ref="AA241">IF(INDEX(Table2[],_xlfn.XMATCH($A241,Table2[Steel Member],0),_xlfn.XMATCH(AA$2,Table2[#Headers],0))=0,"",INDEX(Table2[],_xlfn.XMATCH($A241,Table2[Steel Member],0),_xlfn.XMATCH(AA$2,Table2[#Headers],0)))</f>
        <v>#N/A</v>
      </c>
      <c r="AB241" s="4" t="e" cm="1">
        <f t="array" ref="AB241">IF(INDEX(Table2[],_xlfn.XMATCH($A241,Table2[Steel Member],0),_xlfn.XMATCH(AB$2,Table2[#Headers],0))=0,"",INDEX(Table2[],_xlfn.XMATCH($A241,Table2[Steel Member],0),_xlfn.XMATCH(AB$2,Table2[#Headers],0)))</f>
        <v>#N/A</v>
      </c>
      <c r="AC241" s="4" t="str" cm="1">
        <f t="array" ref="AC241">IFERROR(INDEX(Table8[],_xlfn.XMATCH($O241,Table8[Dimension Name Category],0),_xlfn.XMATCH(AC$2&amp;IF($L241," w/ tag"," w/o tag"),Table8[#Headers],0)),"")</f>
        <v/>
      </c>
      <c r="AD241" s="59" t="str">
        <f t="shared" si="69"/>
        <v/>
      </c>
      <c r="AE241" s="4" t="str">
        <f t="shared" si="70"/>
        <v/>
      </c>
      <c r="AF241" s="4" t="str">
        <f t="shared" si="71"/>
        <v/>
      </c>
      <c r="AG241" s="4" t="str" cm="1">
        <f t="array" ref="AG241">IFERROR(INDEX(Table8[],_xlfn.XMATCH($O241,Table8[Dimension Name Category],0),_xlfn.XMATCH(AG$2&amp;IF($L241," w/ tag"," w/o tag"),Table8[#Headers],0)),"")</f>
        <v/>
      </c>
      <c r="AH241" s="59" t="str">
        <f t="shared" si="72"/>
        <v/>
      </c>
      <c r="AI241" s="4"/>
      <c r="AJ241" s="4" t="str">
        <f t="shared" si="73"/>
        <v/>
      </c>
      <c r="AK241" s="4" t="str">
        <f t="shared" si="74"/>
        <v/>
      </c>
      <c r="AL241" s="4" t="e" cm="1">
        <f t="array" ref="AL241">IF(INDEX(Table2[],_xlfn.XMATCH($A241,Table2[Steel Member],0),_xlfn.XMATCH(AL$2,Table2[#Headers],0))=0,"",INDEX(Table2[],_xlfn.XMATCH($A241,Table2[Steel Member],0),_xlfn.XMATCH(AL$2,Table2[#Headers],0)))</f>
        <v>#N/A</v>
      </c>
      <c r="AM241" s="4"/>
      <c r="AN241" s="4" t="str">
        <f t="shared" si="75"/>
        <v/>
      </c>
      <c r="AO241" s="4"/>
      <c r="AP241" s="4" t="e" cm="1">
        <f t="array" ref="AP241">IF(INDEX(Table2[],_xlfn.XMATCH($A241,Table2[Steel Member],0),_xlfn.XMATCH(AP$2,Table2[#Headers],0))=0,"",INDEX(Table2[],_xlfn.XMATCH($A241,Table2[Steel Member],0),_xlfn.XMATCH(AP$2,Table2[#Headers],0)))</f>
        <v>#N/A</v>
      </c>
      <c r="AQ241" s="4"/>
      <c r="AR241" s="4"/>
      <c r="AS241" s="4"/>
      <c r="AT241" s="4"/>
    </row>
    <row r="242" spans="1:46" x14ac:dyDescent="0.25">
      <c r="A242" s="52"/>
      <c r="B242" s="52"/>
      <c r="C242" s="52"/>
      <c r="D242" s="52"/>
      <c r="E242" s="52"/>
      <c r="F242" s="64" cm="1">
        <f t="array" ref="F242">IF(COUNT(FIND(PurlinsxGirthsxBracings,$C242))&gt;0,0,ROUNDUP(IF(D242=0,0,VLOOKUP(D242,'DATA SHEET'!$B:$D,2,FALSE)),2))</f>
        <v>0</v>
      </c>
      <c r="G242" s="64" cm="1">
        <f t="array" ref="G242">IF(COUNT(FIND(PurlinsxGirthsxBracings,$C242))&gt;0,0,ROUNDUP(IF(D242=0,0,VLOOKUP(D242,'DATA SHEET'!$B:$D,3,FALSE)),2))</f>
        <v>0</v>
      </c>
      <c r="H242" s="53"/>
      <c r="I242" s="66" cm="1">
        <f t="array" ref="I242">IF(AND(ISBLANK(B242),ISBLANK(C242),ISBLANK(E242)),0,IF(COUNT(FIND(PurlinsxGirthsxBracings,$C242))&gt;0,IF(B242=0,CONCATENATE(E242," ",C242),CONCATENATE(B242," - ",E242," ",C242)),IF(B242=0,IF(ISBLANK(C242),E242,CONCATENATE(D242,", ",F242,"kg/m, ",G242,"mm surface perimeter")),IF(AND(ISBLANK(C242),ISTEXT(E242)),CONCATENATE(B242," - ",E242),IF(AND(ISBLANK(C242),ISBLANK(E242)),B242,CONCATENATE(B242," - ",D242,", ",F242,"kg/m, ",G242,"mm surface perimeter"))))&amp;IF(ISBLANK(H242),"",H242)))</f>
        <v>0</v>
      </c>
      <c r="J242" s="53"/>
      <c r="L242" s="4" t="str" cm="1">
        <f t="array" ref="L242">IF(COUNT(FIND({0,1,2,3,4,5,6,7,8,9},B242))&gt;0,COUNT(FIND({0,1,2,3,4,5,6,7,8,9},B242))&gt;0,"")</f>
        <v/>
      </c>
      <c r="M242" s="4" t="str" cm="1">
        <f t="array" aca="1" ref="M242" ca="1">IFERROR(_xlfn.IFS(R242="Count",RANDBETWEEN(1,COUNTIF($R$11:$R$653,"Count")),R242="Length",RANDBETWEEN(1,COUNTIF($R$11:$R$653,"Length"))),"")</f>
        <v/>
      </c>
      <c r="N242" s="4" t="str">
        <f ca="1">IFERROR(_xlfn.RANK.EQ(M242,$M$11:$M$653)+COUNTIF($M$11:M242,M242)-1,"")</f>
        <v/>
      </c>
      <c r="O242" s="86" t="str">
        <f>IF(A242='DATA SHEET'!$L$36,C242,IFERROR(IF(AND(ISTEXT(I242),ISBLANK(C242)),"No details",VLOOKUP(C242,DimFolder,2,FALSE)),""))</f>
        <v/>
      </c>
      <c r="P242" s="4" t="str">
        <f t="shared" si="77"/>
        <v/>
      </c>
      <c r="Q242" s="58" t="str">
        <f t="shared" si="76"/>
        <v/>
      </c>
      <c r="R242" s="4" t="e" cm="1">
        <f t="array" ref="R242">IF(INDEX(Table2[],_xlfn.XMATCH($A242,Table2[Steel Member],0),_xlfn.XMATCH(R$2,Table2[#Headers],0))=0,"",INDEX(Table2[],_xlfn.XMATCH($A242,Table2[Steel Member],0),_xlfn.XMATCH(R$2,Table2[#Headers],0)))</f>
        <v>#N/A</v>
      </c>
      <c r="S242" s="4" t="e" cm="1">
        <f t="array" ref="S242">IF(INDEX(Table2[],_xlfn.XMATCH($A242,Table2[Steel Member],0),_xlfn.XMATCH(S$2,Table2[#Headers],0))=0,"",INDEX(Table2[],_xlfn.XMATCH($A242,Table2[Steel Member],0),_xlfn.XMATCH(S$2,Table2[#Headers],0)))</f>
        <v>#N/A</v>
      </c>
      <c r="T242" s="4" t="str">
        <f t="shared" si="67"/>
        <v/>
      </c>
      <c r="U242" s="4" t="e">
        <f ca="1">VLOOKUP(N242,'COLOR CODE'!$B:$D,2,FALSE)</f>
        <v>#N/A</v>
      </c>
      <c r="V242" s="4" t="str">
        <f t="shared" si="68"/>
        <v/>
      </c>
      <c r="W242" s="4" t="e" cm="1">
        <f t="array" ref="W242">IF(INDEX(Table2[],_xlfn.XMATCH($A242,Table2[Steel Member],0),_xlfn.XMATCH(W$2,Table2[#Headers],0))=0,"",INDEX(Table2[],_xlfn.XMATCH($A242,Table2[Steel Member],0),_xlfn.XMATCH(W$2,Table2[#Headers],0)))</f>
        <v>#N/A</v>
      </c>
      <c r="X242" s="4" t="e">
        <f t="shared" si="78"/>
        <v>#N/A</v>
      </c>
      <c r="Y242" s="4" t="e" cm="1">
        <f t="array" ref="Y242">IF(INDEX(Table2[],_xlfn.XMATCH($A242,Table2[Steel Member],0),_xlfn.XMATCH(Y$2,Table2[#Headers],0))=0,"",INDEX(Table2[],_xlfn.XMATCH($A242,Table2[Steel Member],0),_xlfn.XMATCH(Y$2,Table2[#Headers],0)))</f>
        <v>#N/A</v>
      </c>
      <c r="Z242" s="4" t="e" cm="1">
        <f t="array" ref="Z242">IF(INDEX(Table2[],_xlfn.XMATCH($A242,Table2[Steel Member],0),_xlfn.XMATCH(Z$2,Table2[#Headers],0))=0,"",INDEX(Table2[],_xlfn.XMATCH($A242,Table2[Steel Member],0),_xlfn.XMATCH(Z$2,Table2[#Headers],0)))</f>
        <v>#N/A</v>
      </c>
      <c r="AA242" s="4" t="e" cm="1">
        <f t="array" ref="AA242">IF(INDEX(Table2[],_xlfn.XMATCH($A242,Table2[Steel Member],0),_xlfn.XMATCH(AA$2,Table2[#Headers],0))=0,"",INDEX(Table2[],_xlfn.XMATCH($A242,Table2[Steel Member],0),_xlfn.XMATCH(AA$2,Table2[#Headers],0)))</f>
        <v>#N/A</v>
      </c>
      <c r="AB242" s="4" t="e" cm="1">
        <f t="array" ref="AB242">IF(INDEX(Table2[],_xlfn.XMATCH($A242,Table2[Steel Member],0),_xlfn.XMATCH(AB$2,Table2[#Headers],0))=0,"",INDEX(Table2[],_xlfn.XMATCH($A242,Table2[Steel Member],0),_xlfn.XMATCH(AB$2,Table2[#Headers],0)))</f>
        <v>#N/A</v>
      </c>
      <c r="AC242" s="4" t="str" cm="1">
        <f t="array" ref="AC242">IFERROR(INDEX(Table8[],_xlfn.XMATCH($O242,Table8[Dimension Name Category],0),_xlfn.XMATCH(AC$2&amp;IF($L242," w/ tag"," w/o tag"),Table8[#Headers],0)),"")</f>
        <v/>
      </c>
      <c r="AD242" s="59" t="str">
        <f t="shared" si="69"/>
        <v/>
      </c>
      <c r="AE242" s="4" t="str">
        <f t="shared" si="70"/>
        <v/>
      </c>
      <c r="AF242" s="4" t="str">
        <f t="shared" si="71"/>
        <v/>
      </c>
      <c r="AG242" s="4" t="str" cm="1">
        <f t="array" ref="AG242">IFERROR(INDEX(Table8[],_xlfn.XMATCH($O242,Table8[Dimension Name Category],0),_xlfn.XMATCH(AG$2&amp;IF($L242," w/ tag"," w/o tag"),Table8[#Headers],0)),"")</f>
        <v/>
      </c>
      <c r="AH242" s="59" t="str">
        <f t="shared" si="72"/>
        <v/>
      </c>
      <c r="AI242" s="4"/>
      <c r="AJ242" s="4" t="str">
        <f t="shared" si="73"/>
        <v/>
      </c>
      <c r="AK242" s="4" t="str">
        <f t="shared" si="74"/>
        <v/>
      </c>
      <c r="AL242" s="4" t="e" cm="1">
        <f t="array" ref="AL242">IF(INDEX(Table2[],_xlfn.XMATCH($A242,Table2[Steel Member],0),_xlfn.XMATCH(AL$2,Table2[#Headers],0))=0,"",INDEX(Table2[],_xlfn.XMATCH($A242,Table2[Steel Member],0),_xlfn.XMATCH(AL$2,Table2[#Headers],0)))</f>
        <v>#N/A</v>
      </c>
      <c r="AM242" s="4"/>
      <c r="AN242" s="4" t="str">
        <f t="shared" si="75"/>
        <v/>
      </c>
      <c r="AO242" s="4"/>
      <c r="AP242" s="4" t="e" cm="1">
        <f t="array" ref="AP242">IF(INDEX(Table2[],_xlfn.XMATCH($A242,Table2[Steel Member],0),_xlfn.XMATCH(AP$2,Table2[#Headers],0))=0,"",INDEX(Table2[],_xlfn.XMATCH($A242,Table2[Steel Member],0),_xlfn.XMATCH(AP$2,Table2[#Headers],0)))</f>
        <v>#N/A</v>
      </c>
      <c r="AQ242" s="4"/>
      <c r="AR242" s="4"/>
      <c r="AS242" s="4"/>
      <c r="AT242" s="4"/>
    </row>
    <row r="243" spans="1:46" x14ac:dyDescent="0.25">
      <c r="A243" s="52"/>
      <c r="B243" s="52"/>
      <c r="C243" s="52"/>
      <c r="D243" s="52"/>
      <c r="E243" s="52"/>
      <c r="F243" s="64" cm="1">
        <f t="array" ref="F243">IF(COUNT(FIND(PurlinsxGirthsxBracings,$C243))&gt;0,0,ROUNDUP(IF(D243=0,0,VLOOKUP(D243,'DATA SHEET'!$B:$D,2,FALSE)),2))</f>
        <v>0</v>
      </c>
      <c r="G243" s="64" cm="1">
        <f t="array" ref="G243">IF(COUNT(FIND(PurlinsxGirthsxBracings,$C243))&gt;0,0,ROUNDUP(IF(D243=0,0,VLOOKUP(D243,'DATA SHEET'!$B:$D,3,FALSE)),2))</f>
        <v>0</v>
      </c>
      <c r="H243" s="53"/>
      <c r="I243" s="66" cm="1">
        <f t="array" ref="I243">IF(AND(ISBLANK(B243),ISBLANK(C243),ISBLANK(E243)),0,IF(COUNT(FIND(PurlinsxGirthsxBracings,$C243))&gt;0,IF(B243=0,CONCATENATE(E243," ",C243),CONCATENATE(B243," - ",E243," ",C243)),IF(B243=0,IF(ISBLANK(C243),E243,CONCATENATE(D243,", ",F243,"kg/m, ",G243,"mm surface perimeter")),IF(AND(ISBLANK(C243),ISTEXT(E243)),CONCATENATE(B243," - ",E243),IF(AND(ISBLANK(C243),ISBLANK(E243)),B243,CONCATENATE(B243," - ",D243,", ",F243,"kg/m, ",G243,"mm surface perimeter"))))&amp;IF(ISBLANK(H243),"",H243)))</f>
        <v>0</v>
      </c>
      <c r="J243" s="53"/>
      <c r="L243" s="4" t="str" cm="1">
        <f t="array" ref="L243">IF(COUNT(FIND({0,1,2,3,4,5,6,7,8,9},B243))&gt;0,COUNT(FIND({0,1,2,3,4,5,6,7,8,9},B243))&gt;0,"")</f>
        <v/>
      </c>
      <c r="M243" s="4" t="str" cm="1">
        <f t="array" aca="1" ref="M243" ca="1">IFERROR(_xlfn.IFS(R243="Count",RANDBETWEEN(1,COUNTIF($R$11:$R$653,"Count")),R243="Length",RANDBETWEEN(1,COUNTIF($R$11:$R$653,"Length"))),"")</f>
        <v/>
      </c>
      <c r="N243" s="4" t="str">
        <f ca="1">IFERROR(_xlfn.RANK.EQ(M243,$M$11:$M$653)+COUNTIF($M$11:M243,M243)-1,"")</f>
        <v/>
      </c>
      <c r="O243" s="86" t="str">
        <f>IF(A243='DATA SHEET'!$L$36,C243,IFERROR(IF(AND(ISTEXT(I243),ISBLANK(C243)),"No details",VLOOKUP(C243,DimFolder,2,FALSE)),""))</f>
        <v/>
      </c>
      <c r="P243" s="4" t="str">
        <f t="shared" si="77"/>
        <v/>
      </c>
      <c r="Q243" s="58" t="str">
        <f t="shared" si="76"/>
        <v/>
      </c>
      <c r="R243" s="4" t="e" cm="1">
        <f t="array" ref="R243">IF(INDEX(Table2[],_xlfn.XMATCH($A243,Table2[Steel Member],0),_xlfn.XMATCH(R$2,Table2[#Headers],0))=0,"",INDEX(Table2[],_xlfn.XMATCH($A243,Table2[Steel Member],0),_xlfn.XMATCH(R$2,Table2[#Headers],0)))</f>
        <v>#N/A</v>
      </c>
      <c r="S243" s="4" t="e" cm="1">
        <f t="array" ref="S243">IF(INDEX(Table2[],_xlfn.XMATCH($A243,Table2[Steel Member],0),_xlfn.XMATCH(S$2,Table2[#Headers],0))=0,"",INDEX(Table2[],_xlfn.XMATCH($A243,Table2[Steel Member],0),_xlfn.XMATCH(S$2,Table2[#Headers],0)))</f>
        <v>#N/A</v>
      </c>
      <c r="T243" s="4" t="str">
        <f t="shared" si="67"/>
        <v/>
      </c>
      <c r="U243" s="4" t="e">
        <f ca="1">VLOOKUP(N243,'COLOR CODE'!$B:$D,2,FALSE)</f>
        <v>#N/A</v>
      </c>
      <c r="V243" s="4" t="str">
        <f t="shared" si="68"/>
        <v/>
      </c>
      <c r="W243" s="4" t="e" cm="1">
        <f t="array" ref="W243">IF(INDEX(Table2[],_xlfn.XMATCH($A243,Table2[Steel Member],0),_xlfn.XMATCH(W$2,Table2[#Headers],0))=0,"",INDEX(Table2[],_xlfn.XMATCH($A243,Table2[Steel Member],0),_xlfn.XMATCH(W$2,Table2[#Headers],0)))</f>
        <v>#N/A</v>
      </c>
      <c r="X243" s="4" t="e">
        <f t="shared" si="78"/>
        <v>#N/A</v>
      </c>
      <c r="Y243" s="4" t="e" cm="1">
        <f t="array" ref="Y243">IF(INDEX(Table2[],_xlfn.XMATCH($A243,Table2[Steel Member],0),_xlfn.XMATCH(Y$2,Table2[#Headers],0))=0,"",INDEX(Table2[],_xlfn.XMATCH($A243,Table2[Steel Member],0),_xlfn.XMATCH(Y$2,Table2[#Headers],0)))</f>
        <v>#N/A</v>
      </c>
      <c r="Z243" s="4" t="e" cm="1">
        <f t="array" ref="Z243">IF(INDEX(Table2[],_xlfn.XMATCH($A243,Table2[Steel Member],0),_xlfn.XMATCH(Z$2,Table2[#Headers],0))=0,"",INDEX(Table2[],_xlfn.XMATCH($A243,Table2[Steel Member],0),_xlfn.XMATCH(Z$2,Table2[#Headers],0)))</f>
        <v>#N/A</v>
      </c>
      <c r="AA243" s="4" t="e" cm="1">
        <f t="array" ref="AA243">IF(INDEX(Table2[],_xlfn.XMATCH($A243,Table2[Steel Member],0),_xlfn.XMATCH(AA$2,Table2[#Headers],0))=0,"",INDEX(Table2[],_xlfn.XMATCH($A243,Table2[Steel Member],0),_xlfn.XMATCH(AA$2,Table2[#Headers],0)))</f>
        <v>#N/A</v>
      </c>
      <c r="AB243" s="4" t="e" cm="1">
        <f t="array" ref="AB243">IF(INDEX(Table2[],_xlfn.XMATCH($A243,Table2[Steel Member],0),_xlfn.XMATCH(AB$2,Table2[#Headers],0))=0,"",INDEX(Table2[],_xlfn.XMATCH($A243,Table2[Steel Member],0),_xlfn.XMATCH(AB$2,Table2[#Headers],0)))</f>
        <v>#N/A</v>
      </c>
      <c r="AC243" s="4" t="str" cm="1">
        <f t="array" ref="AC243">IFERROR(INDEX(Table8[],_xlfn.XMATCH($O243,Table8[Dimension Name Category],0),_xlfn.XMATCH(AC$2&amp;IF($L243," w/ tag"," w/o tag"),Table8[#Headers],0)),"")</f>
        <v/>
      </c>
      <c r="AD243" s="59" t="str">
        <f t="shared" si="69"/>
        <v/>
      </c>
      <c r="AE243" s="4" t="str">
        <f t="shared" si="70"/>
        <v/>
      </c>
      <c r="AF243" s="4" t="str">
        <f t="shared" si="71"/>
        <v/>
      </c>
      <c r="AG243" s="4" t="str" cm="1">
        <f t="array" ref="AG243">IFERROR(INDEX(Table8[],_xlfn.XMATCH($O243,Table8[Dimension Name Category],0),_xlfn.XMATCH(AG$2&amp;IF($L243," w/ tag"," w/o tag"),Table8[#Headers],0)),"")</f>
        <v/>
      </c>
      <c r="AH243" s="59" t="str">
        <f t="shared" si="72"/>
        <v/>
      </c>
      <c r="AI243" s="4"/>
      <c r="AJ243" s="4" t="str">
        <f t="shared" si="73"/>
        <v/>
      </c>
      <c r="AK243" s="4" t="str">
        <f t="shared" si="74"/>
        <v/>
      </c>
      <c r="AL243" s="4" t="e" cm="1">
        <f t="array" ref="AL243">IF(INDEX(Table2[],_xlfn.XMATCH($A243,Table2[Steel Member],0),_xlfn.XMATCH(AL$2,Table2[#Headers],0))=0,"",INDEX(Table2[],_xlfn.XMATCH($A243,Table2[Steel Member],0),_xlfn.XMATCH(AL$2,Table2[#Headers],0)))</f>
        <v>#N/A</v>
      </c>
      <c r="AM243" s="4"/>
      <c r="AN243" s="4" t="str">
        <f t="shared" si="75"/>
        <v/>
      </c>
      <c r="AO243" s="4"/>
      <c r="AP243" s="4" t="e" cm="1">
        <f t="array" ref="AP243">IF(INDEX(Table2[],_xlfn.XMATCH($A243,Table2[Steel Member],0),_xlfn.XMATCH(AP$2,Table2[#Headers],0))=0,"",INDEX(Table2[],_xlfn.XMATCH($A243,Table2[Steel Member],0),_xlfn.XMATCH(AP$2,Table2[#Headers],0)))</f>
        <v>#N/A</v>
      </c>
      <c r="AQ243" s="4"/>
      <c r="AR243" s="4"/>
      <c r="AS243" s="4"/>
      <c r="AT243" s="4"/>
    </row>
    <row r="244" spans="1:46" x14ac:dyDescent="0.25">
      <c r="A244" s="52"/>
      <c r="B244" s="52"/>
      <c r="C244" s="52"/>
      <c r="D244" s="52"/>
      <c r="E244" s="52"/>
      <c r="F244" s="64" cm="1">
        <f t="array" ref="F244">IF(COUNT(FIND(PurlinsxGirthsxBracings,$C244))&gt;0,0,ROUNDUP(IF(D244=0,0,VLOOKUP(D244,'DATA SHEET'!$B:$D,2,FALSE)),2))</f>
        <v>0</v>
      </c>
      <c r="G244" s="64" cm="1">
        <f t="array" ref="G244">IF(COUNT(FIND(PurlinsxGirthsxBracings,$C244))&gt;0,0,ROUNDUP(IF(D244=0,0,VLOOKUP(D244,'DATA SHEET'!$B:$D,3,FALSE)),2))</f>
        <v>0</v>
      </c>
      <c r="H244" s="53"/>
      <c r="I244" s="66" cm="1">
        <f t="array" ref="I244">IF(AND(ISBLANK(B244),ISBLANK(C244),ISBLANK(E244)),0,IF(COUNT(FIND(PurlinsxGirthsxBracings,$C244))&gt;0,IF(B244=0,CONCATENATE(E244," ",C244),CONCATENATE(B244," - ",E244," ",C244)),IF(B244=0,IF(ISBLANK(C244),E244,CONCATENATE(D244,", ",F244,"kg/m, ",G244,"mm surface perimeter")),IF(AND(ISBLANK(C244),ISTEXT(E244)),CONCATENATE(B244," - ",E244),IF(AND(ISBLANK(C244),ISBLANK(E244)),B244,CONCATENATE(B244," - ",D244,", ",F244,"kg/m, ",G244,"mm surface perimeter"))))&amp;IF(ISBLANK(H244),"",H244)))</f>
        <v>0</v>
      </c>
      <c r="J244" s="53"/>
      <c r="L244" s="4" t="str" cm="1">
        <f t="array" ref="L244">IF(COUNT(FIND({0,1,2,3,4,5,6,7,8,9},B244))&gt;0,COUNT(FIND({0,1,2,3,4,5,6,7,8,9},B244))&gt;0,"")</f>
        <v/>
      </c>
      <c r="M244" s="4" t="str" cm="1">
        <f t="array" aca="1" ref="M244" ca="1">IFERROR(_xlfn.IFS(R244="Count",RANDBETWEEN(1,COUNTIF($R$11:$R$653,"Count")),R244="Length",RANDBETWEEN(1,COUNTIF($R$11:$R$653,"Length"))),"")</f>
        <v/>
      </c>
      <c r="N244" s="4" t="str">
        <f ca="1">IFERROR(_xlfn.RANK.EQ(M244,$M$11:$M$653)+COUNTIF($M$11:M244,M244)-1,"")</f>
        <v/>
      </c>
      <c r="O244" s="86" t="str">
        <f>IF(A244='DATA SHEET'!$L$36,C244,IFERROR(IF(AND(ISTEXT(I244),ISBLANK(C244)),"No details",VLOOKUP(C244,DimFolder,2,FALSE)),""))</f>
        <v/>
      </c>
      <c r="P244" s="4" t="str">
        <f t="shared" si="77"/>
        <v/>
      </c>
      <c r="Q244" s="58" t="str">
        <f t="shared" si="76"/>
        <v/>
      </c>
      <c r="R244" s="4" t="e" cm="1">
        <f t="array" ref="R244">IF(INDEX(Table2[],_xlfn.XMATCH($A244,Table2[Steel Member],0),_xlfn.XMATCH(R$2,Table2[#Headers],0))=0,"",INDEX(Table2[],_xlfn.XMATCH($A244,Table2[Steel Member],0),_xlfn.XMATCH(R$2,Table2[#Headers],0)))</f>
        <v>#N/A</v>
      </c>
      <c r="S244" s="4" t="e" cm="1">
        <f t="array" ref="S244">IF(INDEX(Table2[],_xlfn.XMATCH($A244,Table2[Steel Member],0),_xlfn.XMATCH(S$2,Table2[#Headers],0))=0,"",INDEX(Table2[],_xlfn.XMATCH($A244,Table2[Steel Member],0),_xlfn.XMATCH(S$2,Table2[#Headers],0)))</f>
        <v>#N/A</v>
      </c>
      <c r="T244" s="4" t="str">
        <f t="shared" si="67"/>
        <v/>
      </c>
      <c r="U244" s="4" t="e">
        <f ca="1">VLOOKUP(N244,'COLOR CODE'!$B:$D,2,FALSE)</f>
        <v>#N/A</v>
      </c>
      <c r="V244" s="4" t="str">
        <f t="shared" si="68"/>
        <v/>
      </c>
      <c r="W244" s="4" t="e" cm="1">
        <f t="array" ref="W244">IF(INDEX(Table2[],_xlfn.XMATCH($A244,Table2[Steel Member],0),_xlfn.XMATCH(W$2,Table2[#Headers],0))=0,"",INDEX(Table2[],_xlfn.XMATCH($A244,Table2[Steel Member],0),_xlfn.XMATCH(W$2,Table2[#Headers],0)))</f>
        <v>#N/A</v>
      </c>
      <c r="X244" s="4" t="e">
        <f t="shared" si="78"/>
        <v>#N/A</v>
      </c>
      <c r="Y244" s="4" t="e" cm="1">
        <f t="array" ref="Y244">IF(INDEX(Table2[],_xlfn.XMATCH($A244,Table2[Steel Member],0),_xlfn.XMATCH(Y$2,Table2[#Headers],0))=0,"",INDEX(Table2[],_xlfn.XMATCH($A244,Table2[Steel Member],0),_xlfn.XMATCH(Y$2,Table2[#Headers],0)))</f>
        <v>#N/A</v>
      </c>
      <c r="Z244" s="4" t="e" cm="1">
        <f t="array" ref="Z244">IF(INDEX(Table2[],_xlfn.XMATCH($A244,Table2[Steel Member],0),_xlfn.XMATCH(Z$2,Table2[#Headers],0))=0,"",INDEX(Table2[],_xlfn.XMATCH($A244,Table2[Steel Member],0),_xlfn.XMATCH(Z$2,Table2[#Headers],0)))</f>
        <v>#N/A</v>
      </c>
      <c r="AA244" s="4" t="e" cm="1">
        <f t="array" ref="AA244">IF(INDEX(Table2[],_xlfn.XMATCH($A244,Table2[Steel Member],0),_xlfn.XMATCH(AA$2,Table2[#Headers],0))=0,"",INDEX(Table2[],_xlfn.XMATCH($A244,Table2[Steel Member],0),_xlfn.XMATCH(AA$2,Table2[#Headers],0)))</f>
        <v>#N/A</v>
      </c>
      <c r="AB244" s="4" t="e" cm="1">
        <f t="array" ref="AB244">IF(INDEX(Table2[],_xlfn.XMATCH($A244,Table2[Steel Member],0),_xlfn.XMATCH(AB$2,Table2[#Headers],0))=0,"",INDEX(Table2[],_xlfn.XMATCH($A244,Table2[Steel Member],0),_xlfn.XMATCH(AB$2,Table2[#Headers],0)))</f>
        <v>#N/A</v>
      </c>
      <c r="AC244" s="4" t="str" cm="1">
        <f t="array" ref="AC244">IFERROR(INDEX(Table8[],_xlfn.XMATCH($O244,Table8[Dimension Name Category],0),_xlfn.XMATCH(AC$2&amp;IF($L244," w/ tag"," w/o tag"),Table8[#Headers],0)),"")</f>
        <v/>
      </c>
      <c r="AD244" s="59" t="str">
        <f t="shared" si="69"/>
        <v/>
      </c>
      <c r="AE244" s="4" t="str">
        <f t="shared" si="70"/>
        <v/>
      </c>
      <c r="AF244" s="4" t="str">
        <f t="shared" si="71"/>
        <v/>
      </c>
      <c r="AG244" s="4" t="str" cm="1">
        <f t="array" ref="AG244">IFERROR(INDEX(Table8[],_xlfn.XMATCH($O244,Table8[Dimension Name Category],0),_xlfn.XMATCH(AG$2&amp;IF($L244," w/ tag"," w/o tag"),Table8[#Headers],0)),"")</f>
        <v/>
      </c>
      <c r="AH244" s="59" t="str">
        <f t="shared" si="72"/>
        <v/>
      </c>
      <c r="AI244" s="4"/>
      <c r="AJ244" s="4" t="str">
        <f t="shared" si="73"/>
        <v/>
      </c>
      <c r="AK244" s="4" t="str">
        <f t="shared" si="74"/>
        <v/>
      </c>
      <c r="AL244" s="4" t="e" cm="1">
        <f t="array" ref="AL244">IF(INDEX(Table2[],_xlfn.XMATCH($A244,Table2[Steel Member],0),_xlfn.XMATCH(AL$2,Table2[#Headers],0))=0,"",INDEX(Table2[],_xlfn.XMATCH($A244,Table2[Steel Member],0),_xlfn.XMATCH(AL$2,Table2[#Headers],0)))</f>
        <v>#N/A</v>
      </c>
      <c r="AM244" s="4"/>
      <c r="AN244" s="4" t="str">
        <f t="shared" si="75"/>
        <v/>
      </c>
      <c r="AO244" s="4"/>
      <c r="AP244" s="4" t="e" cm="1">
        <f t="array" ref="AP244">IF(INDEX(Table2[],_xlfn.XMATCH($A244,Table2[Steel Member],0),_xlfn.XMATCH(AP$2,Table2[#Headers],0))=0,"",INDEX(Table2[],_xlfn.XMATCH($A244,Table2[Steel Member],0),_xlfn.XMATCH(AP$2,Table2[#Headers],0)))</f>
        <v>#N/A</v>
      </c>
      <c r="AQ244" s="4"/>
      <c r="AR244" s="4"/>
      <c r="AS244" s="4"/>
      <c r="AT244" s="4"/>
    </row>
    <row r="245" spans="1:46" x14ac:dyDescent="0.25">
      <c r="A245" s="52"/>
      <c r="B245" s="52"/>
      <c r="C245" s="52"/>
      <c r="D245" s="52"/>
      <c r="E245" s="52"/>
      <c r="F245" s="64" cm="1">
        <f t="array" ref="F245">IF(COUNT(FIND(PurlinsxGirthsxBracings,$C245))&gt;0,0,ROUNDUP(IF(D245=0,0,VLOOKUP(D245,'DATA SHEET'!$B:$D,2,FALSE)),2))</f>
        <v>0</v>
      </c>
      <c r="G245" s="64" cm="1">
        <f t="array" ref="G245">IF(COUNT(FIND(PurlinsxGirthsxBracings,$C245))&gt;0,0,ROUNDUP(IF(D245=0,0,VLOOKUP(D245,'DATA SHEET'!$B:$D,3,FALSE)),2))</f>
        <v>0</v>
      </c>
      <c r="H245" s="53"/>
      <c r="I245" s="66" cm="1">
        <f t="array" ref="I245">IF(AND(ISBLANK(B245),ISBLANK(C245),ISBLANK(E245)),0,IF(COUNT(FIND(PurlinsxGirthsxBracings,$C245))&gt;0,IF(B245=0,CONCATENATE(E245," ",C245),CONCATENATE(B245," - ",E245," ",C245)),IF(B245=0,IF(ISBLANK(C245),E245,CONCATENATE(D245,", ",F245,"kg/m, ",G245,"mm surface perimeter")),IF(AND(ISBLANK(C245),ISTEXT(E245)),CONCATENATE(B245," - ",E245),IF(AND(ISBLANK(C245),ISBLANK(E245)),B245,CONCATENATE(B245," - ",D245,", ",F245,"kg/m, ",G245,"mm surface perimeter"))))&amp;IF(ISBLANK(H245),"",H245)))</f>
        <v>0</v>
      </c>
      <c r="J245" s="53"/>
      <c r="L245" s="4" t="str" cm="1">
        <f t="array" ref="L245">IF(COUNT(FIND({0,1,2,3,4,5,6,7,8,9},B245))&gt;0,COUNT(FIND({0,1,2,3,4,5,6,7,8,9},B245))&gt;0,"")</f>
        <v/>
      </c>
      <c r="M245" s="4" t="str" cm="1">
        <f t="array" aca="1" ref="M245" ca="1">IFERROR(_xlfn.IFS(R245="Count",RANDBETWEEN(1,COUNTIF($R$11:$R$653,"Count")),R245="Length",RANDBETWEEN(1,COUNTIF($R$11:$R$653,"Length"))),"")</f>
        <v/>
      </c>
      <c r="N245" s="4" t="str">
        <f ca="1">IFERROR(_xlfn.RANK.EQ(M245,$M$11:$M$653)+COUNTIF($M$11:M245,M245)-1,"")</f>
        <v/>
      </c>
      <c r="O245" s="86" t="str">
        <f>IF(A245='DATA SHEET'!$L$36,C245,IFERROR(IF(AND(ISTEXT(I245),ISBLANK(C245)),"No details",VLOOKUP(C245,DimFolder,2,FALSE)),""))</f>
        <v/>
      </c>
      <c r="P245" s="4" t="str">
        <f t="shared" si="77"/>
        <v/>
      </c>
      <c r="Q245" s="58" t="str">
        <f t="shared" si="76"/>
        <v/>
      </c>
      <c r="R245" s="4" t="e" cm="1">
        <f t="array" ref="R245">IF(INDEX(Table2[],_xlfn.XMATCH($A245,Table2[Steel Member],0),_xlfn.XMATCH(R$2,Table2[#Headers],0))=0,"",INDEX(Table2[],_xlfn.XMATCH($A245,Table2[Steel Member],0),_xlfn.XMATCH(R$2,Table2[#Headers],0)))</f>
        <v>#N/A</v>
      </c>
      <c r="S245" s="4" t="e" cm="1">
        <f t="array" ref="S245">IF(INDEX(Table2[],_xlfn.XMATCH($A245,Table2[Steel Member],0),_xlfn.XMATCH(S$2,Table2[#Headers],0))=0,"",INDEX(Table2[],_xlfn.XMATCH($A245,Table2[Steel Member],0),_xlfn.XMATCH(S$2,Table2[#Headers],0)))</f>
        <v>#N/A</v>
      </c>
      <c r="T245" s="4" t="str">
        <f t="shared" ref="T245:T308" si="79">IF(AND(ISBLANK(B245),ISBLANK(C245)),"","t")</f>
        <v/>
      </c>
      <c r="U245" s="4" t="e">
        <f ca="1">VLOOKUP(N245,'COLOR CODE'!$B:$D,2,FALSE)</f>
        <v>#N/A</v>
      </c>
      <c r="V245" s="4" t="str">
        <f t="shared" ref="V245:V308" si="80">IF(AND(ISBLANK(B245),ISBLANK(C245)),"","Red")</f>
        <v/>
      </c>
      <c r="W245" s="4" t="e" cm="1">
        <f t="array" ref="W245">IF(INDEX(Table2[],_xlfn.XMATCH($A245,Table2[Steel Member],0),_xlfn.XMATCH(W$2,Table2[#Headers],0))=0,"",INDEX(Table2[],_xlfn.XMATCH($A245,Table2[Steel Member],0),_xlfn.XMATCH(W$2,Table2[#Headers],0)))</f>
        <v>#N/A</v>
      </c>
      <c r="X245" s="4" t="e">
        <f t="shared" si="78"/>
        <v>#N/A</v>
      </c>
      <c r="Y245" s="4" t="e" cm="1">
        <f t="array" ref="Y245">IF(INDEX(Table2[],_xlfn.XMATCH($A245,Table2[Steel Member],0),_xlfn.XMATCH(Y$2,Table2[#Headers],0))=0,"",INDEX(Table2[],_xlfn.XMATCH($A245,Table2[Steel Member],0),_xlfn.XMATCH(Y$2,Table2[#Headers],0)))</f>
        <v>#N/A</v>
      </c>
      <c r="Z245" s="4" t="e" cm="1">
        <f t="array" ref="Z245">IF(INDEX(Table2[],_xlfn.XMATCH($A245,Table2[Steel Member],0),_xlfn.XMATCH(Z$2,Table2[#Headers],0))=0,"",INDEX(Table2[],_xlfn.XMATCH($A245,Table2[Steel Member],0),_xlfn.XMATCH(Z$2,Table2[#Headers],0)))</f>
        <v>#N/A</v>
      </c>
      <c r="AA245" s="4" t="e" cm="1">
        <f t="array" ref="AA245">IF(INDEX(Table2[],_xlfn.XMATCH($A245,Table2[Steel Member],0),_xlfn.XMATCH(AA$2,Table2[#Headers],0))=0,"",INDEX(Table2[],_xlfn.XMATCH($A245,Table2[Steel Member],0),_xlfn.XMATCH(AA$2,Table2[#Headers],0)))</f>
        <v>#N/A</v>
      </c>
      <c r="AB245" s="4" t="e" cm="1">
        <f t="array" ref="AB245">IF(INDEX(Table2[],_xlfn.XMATCH($A245,Table2[Steel Member],0),_xlfn.XMATCH(AB$2,Table2[#Headers],0))=0,"",INDEX(Table2[],_xlfn.XMATCH($A245,Table2[Steel Member],0),_xlfn.XMATCH(AB$2,Table2[#Headers],0)))</f>
        <v>#N/A</v>
      </c>
      <c r="AC245" s="4" t="str" cm="1">
        <f t="array" ref="AC245">IFERROR(INDEX(Table8[],_xlfn.XMATCH($O245,Table8[Dimension Name Category],0),_xlfn.XMATCH(AC$2&amp;IF($L245," w/ tag"," w/o tag"),Table8[#Headers],0)),"")</f>
        <v/>
      </c>
      <c r="AD245" s="59" t="str">
        <f t="shared" ref="AD245:AD308" si="81">IF(OR($AC245="",$AC245=0),"",IF($A245=Column,"{Length}*XNUMBER({Dimension Group Name},"&amp;$AC245&amp;")/1000","{Length}*XNUMBER({Dimension Group Name},"&amp;$AC245&amp;")/1000*{Slope Factor}"))</f>
        <v/>
      </c>
      <c r="AE245" s="4" t="str">
        <f t="shared" ref="AE245:AE308" si="82">IF(AND(ISBLANK(B245),ISBLANK(C245)),"",IF($A245=Purlins_Girths_Bracings,"","Steel Surface Area"))</f>
        <v/>
      </c>
      <c r="AF245" s="4" t="str">
        <f t="shared" ref="AF245:AF308" si="83">IF(AND(ISBLANK(B245),ISBLANK(C245)),"",IF($A245=Purlins_Girths_Bracings,"","m2"))</f>
        <v/>
      </c>
      <c r="AG245" s="4" t="str" cm="1">
        <f t="array" ref="AG245">IFERROR(INDEX(Table8[],_xlfn.XMATCH($O245,Table8[Dimension Name Category],0),_xlfn.XMATCH(AG$2&amp;IF($L245," w/ tag"," w/o tag"),Table8[#Headers],0)),"")</f>
        <v/>
      </c>
      <c r="AH245" s="59" t="str">
        <f t="shared" ref="AH245:AH308" si="84">IF(OR($AG245="",$AG245=0),"",IF($A245=Column,"{Length}*XNUMBER({Dimension Group Name},"&amp;$AG245&amp;")/1000","{Length}*XNUMBER({Dimension Group Name},"&amp;$AG245&amp;")/1000*{Slope Factor}"))</f>
        <v/>
      </c>
      <c r="AI245" s="4"/>
      <c r="AJ245" s="4" t="str">
        <f t="shared" ref="AJ245:AJ308" si="85">IF(OR($A245=Column,$A245=""),"","Slope Length")</f>
        <v/>
      </c>
      <c r="AK245" s="4" t="str">
        <f t="shared" ref="AK245:AK308" si="86">IF(OR($A245=Column,$A245=""),"","m")</f>
        <v/>
      </c>
      <c r="AL245" s="4" t="e" cm="1">
        <f t="array" ref="AL245">IF(INDEX(Table2[],_xlfn.XMATCH($A245,Table2[Steel Member],0),_xlfn.XMATCH(AL$2,Table2[#Headers],0))=0,"",INDEX(Table2[],_xlfn.XMATCH($A245,Table2[Steel Member],0),_xlfn.XMATCH(AL$2,Table2[#Headers],0)))</f>
        <v>#N/A</v>
      </c>
      <c r="AM245" s="4"/>
      <c r="AN245" s="4" t="str">
        <f t="shared" ref="AN245:AN308" si="87">IF(OR($A245=Column,$A245=""),"","Slope Factor")</f>
        <v/>
      </c>
      <c r="AO245" s="4"/>
      <c r="AP245" s="4" t="e" cm="1">
        <f t="array" ref="AP245">IF(INDEX(Table2[],_xlfn.XMATCH($A245,Table2[Steel Member],0),_xlfn.XMATCH(AP$2,Table2[#Headers],0))=0,"",INDEX(Table2[],_xlfn.XMATCH($A245,Table2[Steel Member],0),_xlfn.XMATCH(AP$2,Table2[#Headers],0)))</f>
        <v>#N/A</v>
      </c>
      <c r="AQ245" s="4"/>
      <c r="AR245" s="4"/>
      <c r="AS245" s="4"/>
      <c r="AT245" s="4"/>
    </row>
    <row r="246" spans="1:46" x14ac:dyDescent="0.25">
      <c r="A246" s="52"/>
      <c r="B246" s="52"/>
      <c r="C246" s="52"/>
      <c r="D246" s="52"/>
      <c r="E246" s="52"/>
      <c r="F246" s="64" cm="1">
        <f t="array" ref="F246">IF(COUNT(FIND(PurlinsxGirthsxBracings,$C246))&gt;0,0,ROUNDUP(IF(D246=0,0,VLOOKUP(D246,'DATA SHEET'!$B:$D,2,FALSE)),2))</f>
        <v>0</v>
      </c>
      <c r="G246" s="64" cm="1">
        <f t="array" ref="G246">IF(COUNT(FIND(PurlinsxGirthsxBracings,$C246))&gt;0,0,ROUNDUP(IF(D246=0,0,VLOOKUP(D246,'DATA SHEET'!$B:$D,3,FALSE)),2))</f>
        <v>0</v>
      </c>
      <c r="H246" s="53"/>
      <c r="I246" s="66" cm="1">
        <f t="array" ref="I246">IF(AND(ISBLANK(B246),ISBLANK(C246),ISBLANK(E246)),0,IF(COUNT(FIND(PurlinsxGirthsxBracings,$C246))&gt;0,IF(B246=0,CONCATENATE(E246," ",C246),CONCATENATE(B246," - ",E246," ",C246)),IF(B246=0,IF(ISBLANK(C246),E246,CONCATENATE(D246,", ",F246,"kg/m, ",G246,"mm surface perimeter")),IF(AND(ISBLANK(C246),ISTEXT(E246)),CONCATENATE(B246," - ",E246),IF(AND(ISBLANK(C246),ISBLANK(E246)),B246,CONCATENATE(B246," - ",D246,", ",F246,"kg/m, ",G246,"mm surface perimeter"))))&amp;IF(ISBLANK(H246),"",H246)))</f>
        <v>0</v>
      </c>
      <c r="J246" s="53"/>
      <c r="L246" s="4" t="str" cm="1">
        <f t="array" ref="L246">IF(COUNT(FIND({0,1,2,3,4,5,6,7,8,9},B246))&gt;0,COUNT(FIND({0,1,2,3,4,5,6,7,8,9},B246))&gt;0,"")</f>
        <v/>
      </c>
      <c r="M246" s="4" t="str" cm="1">
        <f t="array" aca="1" ref="M246" ca="1">IFERROR(_xlfn.IFS(R246="Count",RANDBETWEEN(1,COUNTIF($R$11:$R$653,"Count")),R246="Length",RANDBETWEEN(1,COUNTIF($R$11:$R$653,"Length"))),"")</f>
        <v/>
      </c>
      <c r="N246" s="4" t="str">
        <f ca="1">IFERROR(_xlfn.RANK.EQ(M246,$M$11:$M$653)+COUNTIF($M$11:M246,M246)-1,"")</f>
        <v/>
      </c>
      <c r="O246" s="86" t="str">
        <f>IF(A246='DATA SHEET'!$L$36,C246,IFERROR(IF(AND(ISTEXT(I246),ISBLANK(C246)),"No details",VLOOKUP(C246,DimFolder,2,FALSE)),""))</f>
        <v/>
      </c>
      <c r="P246" s="4" t="str">
        <f t="shared" si="77"/>
        <v/>
      </c>
      <c r="Q246" s="58" t="str">
        <f t="shared" ref="Q246:Q309" si="88">IF(AND(ISBLANK(B246),ISBLANK(C246)),"",I246)</f>
        <v/>
      </c>
      <c r="R246" s="4" t="e" cm="1">
        <f t="array" ref="R246">IF(INDEX(Table2[],_xlfn.XMATCH($A246,Table2[Steel Member],0),_xlfn.XMATCH(R$2,Table2[#Headers],0))=0,"",INDEX(Table2[],_xlfn.XMATCH($A246,Table2[Steel Member],0),_xlfn.XMATCH(R$2,Table2[#Headers],0)))</f>
        <v>#N/A</v>
      </c>
      <c r="S246" s="4" t="e" cm="1">
        <f t="array" ref="S246">IF(INDEX(Table2[],_xlfn.XMATCH($A246,Table2[Steel Member],0),_xlfn.XMATCH(S$2,Table2[#Headers],0))=0,"",INDEX(Table2[],_xlfn.XMATCH($A246,Table2[Steel Member],0),_xlfn.XMATCH(S$2,Table2[#Headers],0)))</f>
        <v>#N/A</v>
      </c>
      <c r="T246" s="4" t="str">
        <f t="shared" si="79"/>
        <v/>
      </c>
      <c r="U246" s="4" t="e">
        <f ca="1">VLOOKUP(N246,'COLOR CODE'!$B:$D,2,FALSE)</f>
        <v>#N/A</v>
      </c>
      <c r="V246" s="4" t="str">
        <f t="shared" si="80"/>
        <v/>
      </c>
      <c r="W246" s="4" t="e" cm="1">
        <f t="array" ref="W246">IF(INDEX(Table2[],_xlfn.XMATCH($A246,Table2[Steel Member],0),_xlfn.XMATCH(W$2,Table2[#Headers],0))=0,"",INDEX(Table2[],_xlfn.XMATCH($A246,Table2[Steel Member],0),_xlfn.XMATCH(W$2,Table2[#Headers],0)))</f>
        <v>#N/A</v>
      </c>
      <c r="X246" s="4" t="e">
        <f t="shared" si="78"/>
        <v>#N/A</v>
      </c>
      <c r="Y246" s="4" t="e" cm="1">
        <f t="array" ref="Y246">IF(INDEX(Table2[],_xlfn.XMATCH($A246,Table2[Steel Member],0),_xlfn.XMATCH(Y$2,Table2[#Headers],0))=0,"",INDEX(Table2[],_xlfn.XMATCH($A246,Table2[Steel Member],0),_xlfn.XMATCH(Y$2,Table2[#Headers],0)))</f>
        <v>#N/A</v>
      </c>
      <c r="Z246" s="4" t="e" cm="1">
        <f t="array" ref="Z246">IF(INDEX(Table2[],_xlfn.XMATCH($A246,Table2[Steel Member],0),_xlfn.XMATCH(Z$2,Table2[#Headers],0))=0,"",INDEX(Table2[],_xlfn.XMATCH($A246,Table2[Steel Member],0),_xlfn.XMATCH(Z$2,Table2[#Headers],0)))</f>
        <v>#N/A</v>
      </c>
      <c r="AA246" s="4" t="e" cm="1">
        <f t="array" ref="AA246">IF(INDEX(Table2[],_xlfn.XMATCH($A246,Table2[Steel Member],0),_xlfn.XMATCH(AA$2,Table2[#Headers],0))=0,"",INDEX(Table2[],_xlfn.XMATCH($A246,Table2[Steel Member],0),_xlfn.XMATCH(AA$2,Table2[#Headers],0)))</f>
        <v>#N/A</v>
      </c>
      <c r="AB246" s="4" t="e" cm="1">
        <f t="array" ref="AB246">IF(INDEX(Table2[],_xlfn.XMATCH($A246,Table2[Steel Member],0),_xlfn.XMATCH(AB$2,Table2[#Headers],0))=0,"",INDEX(Table2[],_xlfn.XMATCH($A246,Table2[Steel Member],0),_xlfn.XMATCH(AB$2,Table2[#Headers],0)))</f>
        <v>#N/A</v>
      </c>
      <c r="AC246" s="4" t="str" cm="1">
        <f t="array" ref="AC246">IFERROR(INDEX(Table8[],_xlfn.XMATCH($O246,Table8[Dimension Name Category],0),_xlfn.XMATCH(AC$2&amp;IF($L246," w/ tag"," w/o tag"),Table8[#Headers],0)),"")</f>
        <v/>
      </c>
      <c r="AD246" s="59" t="str">
        <f t="shared" si="81"/>
        <v/>
      </c>
      <c r="AE246" s="4" t="str">
        <f t="shared" si="82"/>
        <v/>
      </c>
      <c r="AF246" s="4" t="str">
        <f t="shared" si="83"/>
        <v/>
      </c>
      <c r="AG246" s="4" t="str" cm="1">
        <f t="array" ref="AG246">IFERROR(INDEX(Table8[],_xlfn.XMATCH($O246,Table8[Dimension Name Category],0),_xlfn.XMATCH(AG$2&amp;IF($L246," w/ tag"," w/o tag"),Table8[#Headers],0)),"")</f>
        <v/>
      </c>
      <c r="AH246" s="59" t="str">
        <f t="shared" si="84"/>
        <v/>
      </c>
      <c r="AI246" s="4"/>
      <c r="AJ246" s="4" t="str">
        <f t="shared" si="85"/>
        <v/>
      </c>
      <c r="AK246" s="4" t="str">
        <f t="shared" si="86"/>
        <v/>
      </c>
      <c r="AL246" s="4" t="e" cm="1">
        <f t="array" ref="AL246">IF(INDEX(Table2[],_xlfn.XMATCH($A246,Table2[Steel Member],0),_xlfn.XMATCH(AL$2,Table2[#Headers],0))=0,"",INDEX(Table2[],_xlfn.XMATCH($A246,Table2[Steel Member],0),_xlfn.XMATCH(AL$2,Table2[#Headers],0)))</f>
        <v>#N/A</v>
      </c>
      <c r="AM246" s="4"/>
      <c r="AN246" s="4" t="str">
        <f t="shared" si="87"/>
        <v/>
      </c>
      <c r="AO246" s="4"/>
      <c r="AP246" s="4" t="e" cm="1">
        <f t="array" ref="AP246">IF(INDEX(Table2[],_xlfn.XMATCH($A246,Table2[Steel Member],0),_xlfn.XMATCH(AP$2,Table2[#Headers],0))=0,"",INDEX(Table2[],_xlfn.XMATCH($A246,Table2[Steel Member],0),_xlfn.XMATCH(AP$2,Table2[#Headers],0)))</f>
        <v>#N/A</v>
      </c>
      <c r="AQ246" s="4"/>
      <c r="AR246" s="4"/>
      <c r="AS246" s="4"/>
      <c r="AT246" s="4"/>
    </row>
    <row r="247" spans="1:46" x14ac:dyDescent="0.25">
      <c r="A247" s="52"/>
      <c r="B247" s="52"/>
      <c r="C247" s="52"/>
      <c r="D247" s="52"/>
      <c r="E247" s="52"/>
      <c r="F247" s="64" cm="1">
        <f t="array" ref="F247">IF(COUNT(FIND(PurlinsxGirthsxBracings,$C247))&gt;0,0,ROUNDUP(IF(D247=0,0,VLOOKUP(D247,'DATA SHEET'!$B:$D,2,FALSE)),2))</f>
        <v>0</v>
      </c>
      <c r="G247" s="64" cm="1">
        <f t="array" ref="G247">IF(COUNT(FIND(PurlinsxGirthsxBracings,$C247))&gt;0,0,ROUNDUP(IF(D247=0,0,VLOOKUP(D247,'DATA SHEET'!$B:$D,3,FALSE)),2))</f>
        <v>0</v>
      </c>
      <c r="H247" s="53"/>
      <c r="I247" s="66" cm="1">
        <f t="array" ref="I247">IF(AND(ISBLANK(B247),ISBLANK(C247),ISBLANK(E247)),0,IF(COUNT(FIND(PurlinsxGirthsxBracings,$C247))&gt;0,IF(B247=0,CONCATENATE(E247," ",C247),CONCATENATE(B247," - ",E247," ",C247)),IF(B247=0,IF(ISBLANK(C247),E247,CONCATENATE(D247,", ",F247,"kg/m, ",G247,"mm surface perimeter")),IF(AND(ISBLANK(C247),ISTEXT(E247)),CONCATENATE(B247," - ",E247),IF(AND(ISBLANK(C247),ISBLANK(E247)),B247,CONCATENATE(B247," - ",D247,", ",F247,"kg/m, ",G247,"mm surface perimeter"))))&amp;IF(ISBLANK(H247),"",H247)))</f>
        <v>0</v>
      </c>
      <c r="J247" s="53"/>
      <c r="L247" s="4" t="str" cm="1">
        <f t="array" ref="L247">IF(COUNT(FIND({0,1,2,3,4,5,6,7,8,9},B247))&gt;0,COUNT(FIND({0,1,2,3,4,5,6,7,8,9},B247))&gt;0,"")</f>
        <v/>
      </c>
      <c r="M247" s="4" t="str" cm="1">
        <f t="array" aca="1" ref="M247" ca="1">IFERROR(_xlfn.IFS(R247="Count",RANDBETWEEN(1,COUNTIF($R$11:$R$653,"Count")),R247="Length",RANDBETWEEN(1,COUNTIF($R$11:$R$653,"Length"))),"")</f>
        <v/>
      </c>
      <c r="N247" s="4" t="str">
        <f ca="1">IFERROR(_xlfn.RANK.EQ(M247,$M$11:$M$653)+COUNTIF($M$11:M247,M247)-1,"")</f>
        <v/>
      </c>
      <c r="O247" s="86" t="str">
        <f>IF(A247='DATA SHEET'!$L$36,C247,IFERROR(IF(AND(ISTEXT(I247),ISBLANK(C247)),"No details",VLOOKUP(C247,DimFolder,2,FALSE)),""))</f>
        <v/>
      </c>
      <c r="P247" s="4" t="str">
        <f t="shared" si="77"/>
        <v/>
      </c>
      <c r="Q247" s="58" t="str">
        <f t="shared" si="88"/>
        <v/>
      </c>
      <c r="R247" s="4" t="e" cm="1">
        <f t="array" ref="R247">IF(INDEX(Table2[],_xlfn.XMATCH($A247,Table2[Steel Member],0),_xlfn.XMATCH(R$2,Table2[#Headers],0))=0,"",INDEX(Table2[],_xlfn.XMATCH($A247,Table2[Steel Member],0),_xlfn.XMATCH(R$2,Table2[#Headers],0)))</f>
        <v>#N/A</v>
      </c>
      <c r="S247" s="4" t="e" cm="1">
        <f t="array" ref="S247">IF(INDEX(Table2[],_xlfn.XMATCH($A247,Table2[Steel Member],0),_xlfn.XMATCH(S$2,Table2[#Headers],0))=0,"",INDEX(Table2[],_xlfn.XMATCH($A247,Table2[Steel Member],0),_xlfn.XMATCH(S$2,Table2[#Headers],0)))</f>
        <v>#N/A</v>
      </c>
      <c r="T247" s="4" t="str">
        <f t="shared" si="79"/>
        <v/>
      </c>
      <c r="U247" s="4" t="e">
        <f ca="1">VLOOKUP(N247,'COLOR CODE'!$B:$D,2,FALSE)</f>
        <v>#N/A</v>
      </c>
      <c r="V247" s="4" t="str">
        <f t="shared" si="80"/>
        <v/>
      </c>
      <c r="W247" s="4" t="e" cm="1">
        <f t="array" ref="W247">IF(INDEX(Table2[],_xlfn.XMATCH($A247,Table2[Steel Member],0),_xlfn.XMATCH(W$2,Table2[#Headers],0))=0,"",INDEX(Table2[],_xlfn.XMATCH($A247,Table2[Steel Member],0),_xlfn.XMATCH(W$2,Table2[#Headers],0)))</f>
        <v>#N/A</v>
      </c>
      <c r="X247" s="4" t="e">
        <f t="shared" si="78"/>
        <v>#N/A</v>
      </c>
      <c r="Y247" s="4" t="e" cm="1">
        <f t="array" ref="Y247">IF(INDEX(Table2[],_xlfn.XMATCH($A247,Table2[Steel Member],0),_xlfn.XMATCH(Y$2,Table2[#Headers],0))=0,"",INDEX(Table2[],_xlfn.XMATCH($A247,Table2[Steel Member],0),_xlfn.XMATCH(Y$2,Table2[#Headers],0)))</f>
        <v>#N/A</v>
      </c>
      <c r="Z247" s="4" t="e" cm="1">
        <f t="array" ref="Z247">IF(INDEX(Table2[],_xlfn.XMATCH($A247,Table2[Steel Member],0),_xlfn.XMATCH(Z$2,Table2[#Headers],0))=0,"",INDEX(Table2[],_xlfn.XMATCH($A247,Table2[Steel Member],0),_xlfn.XMATCH(Z$2,Table2[#Headers],0)))</f>
        <v>#N/A</v>
      </c>
      <c r="AA247" s="4" t="e" cm="1">
        <f t="array" ref="AA247">IF(INDEX(Table2[],_xlfn.XMATCH($A247,Table2[Steel Member],0),_xlfn.XMATCH(AA$2,Table2[#Headers],0))=0,"",INDEX(Table2[],_xlfn.XMATCH($A247,Table2[Steel Member],0),_xlfn.XMATCH(AA$2,Table2[#Headers],0)))</f>
        <v>#N/A</v>
      </c>
      <c r="AB247" s="4" t="e" cm="1">
        <f t="array" ref="AB247">IF(INDEX(Table2[],_xlfn.XMATCH($A247,Table2[Steel Member],0),_xlfn.XMATCH(AB$2,Table2[#Headers],0))=0,"",INDEX(Table2[],_xlfn.XMATCH($A247,Table2[Steel Member],0),_xlfn.XMATCH(AB$2,Table2[#Headers],0)))</f>
        <v>#N/A</v>
      </c>
      <c r="AC247" s="4" t="str" cm="1">
        <f t="array" ref="AC247">IFERROR(INDEX(Table8[],_xlfn.XMATCH($O247,Table8[Dimension Name Category],0),_xlfn.XMATCH(AC$2&amp;IF($L247," w/ tag"," w/o tag"),Table8[#Headers],0)),"")</f>
        <v/>
      </c>
      <c r="AD247" s="59" t="str">
        <f t="shared" si="81"/>
        <v/>
      </c>
      <c r="AE247" s="4" t="str">
        <f t="shared" si="82"/>
        <v/>
      </c>
      <c r="AF247" s="4" t="str">
        <f t="shared" si="83"/>
        <v/>
      </c>
      <c r="AG247" s="4" t="str" cm="1">
        <f t="array" ref="AG247">IFERROR(INDEX(Table8[],_xlfn.XMATCH($O247,Table8[Dimension Name Category],0),_xlfn.XMATCH(AG$2&amp;IF($L247," w/ tag"," w/o tag"),Table8[#Headers],0)),"")</f>
        <v/>
      </c>
      <c r="AH247" s="59" t="str">
        <f t="shared" si="84"/>
        <v/>
      </c>
      <c r="AI247" s="4"/>
      <c r="AJ247" s="4" t="str">
        <f t="shared" si="85"/>
        <v/>
      </c>
      <c r="AK247" s="4" t="str">
        <f t="shared" si="86"/>
        <v/>
      </c>
      <c r="AL247" s="4" t="e" cm="1">
        <f t="array" ref="AL247">IF(INDEX(Table2[],_xlfn.XMATCH($A247,Table2[Steel Member],0),_xlfn.XMATCH(AL$2,Table2[#Headers],0))=0,"",INDEX(Table2[],_xlfn.XMATCH($A247,Table2[Steel Member],0),_xlfn.XMATCH(AL$2,Table2[#Headers],0)))</f>
        <v>#N/A</v>
      </c>
      <c r="AM247" s="4"/>
      <c r="AN247" s="4" t="str">
        <f t="shared" si="87"/>
        <v/>
      </c>
      <c r="AO247" s="4"/>
      <c r="AP247" s="4" t="e" cm="1">
        <f t="array" ref="AP247">IF(INDEX(Table2[],_xlfn.XMATCH($A247,Table2[Steel Member],0),_xlfn.XMATCH(AP$2,Table2[#Headers],0))=0,"",INDEX(Table2[],_xlfn.XMATCH($A247,Table2[Steel Member],0),_xlfn.XMATCH(AP$2,Table2[#Headers],0)))</f>
        <v>#N/A</v>
      </c>
      <c r="AQ247" s="4"/>
      <c r="AR247" s="4"/>
      <c r="AS247" s="4"/>
      <c r="AT247" s="4"/>
    </row>
    <row r="248" spans="1:46" x14ac:dyDescent="0.25">
      <c r="A248" s="52"/>
      <c r="B248" s="52"/>
      <c r="C248" s="52"/>
      <c r="D248" s="52"/>
      <c r="E248" s="52"/>
      <c r="F248" s="64" cm="1">
        <f t="array" ref="F248">IF(COUNT(FIND(PurlinsxGirthsxBracings,$C248))&gt;0,0,ROUNDUP(IF(D248=0,0,VLOOKUP(D248,'DATA SHEET'!$B:$D,2,FALSE)),2))</f>
        <v>0</v>
      </c>
      <c r="G248" s="64" cm="1">
        <f t="array" ref="G248">IF(COUNT(FIND(PurlinsxGirthsxBracings,$C248))&gt;0,0,ROUNDUP(IF(D248=0,0,VLOOKUP(D248,'DATA SHEET'!$B:$D,3,FALSE)),2))</f>
        <v>0</v>
      </c>
      <c r="H248" s="53"/>
      <c r="I248" s="66" cm="1">
        <f t="array" ref="I248">IF(AND(ISBLANK(B248),ISBLANK(C248),ISBLANK(E248)),0,IF(COUNT(FIND(PurlinsxGirthsxBracings,$C248))&gt;0,IF(B248=0,CONCATENATE(E248," ",C248),CONCATENATE(B248," - ",E248," ",C248)),IF(B248=0,IF(ISBLANK(C248),E248,CONCATENATE(D248,", ",F248,"kg/m, ",G248,"mm surface perimeter")),IF(AND(ISBLANK(C248),ISTEXT(E248)),CONCATENATE(B248," - ",E248),IF(AND(ISBLANK(C248),ISBLANK(E248)),B248,CONCATENATE(B248," - ",D248,", ",F248,"kg/m, ",G248,"mm surface perimeter"))))&amp;IF(ISBLANK(H248),"",H248)))</f>
        <v>0</v>
      </c>
      <c r="J248" s="53"/>
      <c r="L248" s="4" t="str" cm="1">
        <f t="array" ref="L248">IF(COUNT(FIND({0,1,2,3,4,5,6,7,8,9},B248))&gt;0,COUNT(FIND({0,1,2,3,4,5,6,7,8,9},B248))&gt;0,"")</f>
        <v/>
      </c>
      <c r="M248" s="4" t="str" cm="1">
        <f t="array" aca="1" ref="M248" ca="1">IFERROR(_xlfn.IFS(R248="Count",RANDBETWEEN(1,COUNTIF($R$11:$R$653,"Count")),R248="Length",RANDBETWEEN(1,COUNTIF($R$11:$R$653,"Length"))),"")</f>
        <v/>
      </c>
      <c r="N248" s="4" t="str">
        <f ca="1">IFERROR(_xlfn.RANK.EQ(M248,$M$11:$M$653)+COUNTIF($M$11:M248,M248)-1,"")</f>
        <v/>
      </c>
      <c r="O248" s="86" t="str">
        <f>IF(A248='DATA SHEET'!$L$36,C248,IFERROR(IF(AND(ISTEXT(I248),ISBLANK(C248)),"No details",VLOOKUP(C248,DimFolder,2,FALSE)),""))</f>
        <v/>
      </c>
      <c r="P248" s="4" t="str">
        <f t="shared" si="77"/>
        <v/>
      </c>
      <c r="Q248" s="58" t="str">
        <f t="shared" si="88"/>
        <v/>
      </c>
      <c r="R248" s="4" t="e" cm="1">
        <f t="array" ref="R248">IF(INDEX(Table2[],_xlfn.XMATCH($A248,Table2[Steel Member],0),_xlfn.XMATCH(R$2,Table2[#Headers],0))=0,"",INDEX(Table2[],_xlfn.XMATCH($A248,Table2[Steel Member],0),_xlfn.XMATCH(R$2,Table2[#Headers],0)))</f>
        <v>#N/A</v>
      </c>
      <c r="S248" s="4" t="e" cm="1">
        <f t="array" ref="S248">IF(INDEX(Table2[],_xlfn.XMATCH($A248,Table2[Steel Member],0),_xlfn.XMATCH(S$2,Table2[#Headers],0))=0,"",INDEX(Table2[],_xlfn.XMATCH($A248,Table2[Steel Member],0),_xlfn.XMATCH(S$2,Table2[#Headers],0)))</f>
        <v>#N/A</v>
      </c>
      <c r="T248" s="4" t="str">
        <f t="shared" si="79"/>
        <v/>
      </c>
      <c r="U248" s="4" t="e">
        <f ca="1">VLOOKUP(N248,'COLOR CODE'!$B:$D,2,FALSE)</f>
        <v>#N/A</v>
      </c>
      <c r="V248" s="4" t="str">
        <f t="shared" si="80"/>
        <v/>
      </c>
      <c r="W248" s="4" t="e" cm="1">
        <f t="array" ref="W248">IF(INDEX(Table2[],_xlfn.XMATCH($A248,Table2[Steel Member],0),_xlfn.XMATCH(W$2,Table2[#Headers],0))=0,"",INDEX(Table2[],_xlfn.XMATCH($A248,Table2[Steel Member],0),_xlfn.XMATCH(W$2,Table2[#Headers],0)))</f>
        <v>#N/A</v>
      </c>
      <c r="X248" s="4" t="e">
        <f t="shared" si="78"/>
        <v>#N/A</v>
      </c>
      <c r="Y248" s="4" t="e" cm="1">
        <f t="array" ref="Y248">IF(INDEX(Table2[],_xlfn.XMATCH($A248,Table2[Steel Member],0),_xlfn.XMATCH(Y$2,Table2[#Headers],0))=0,"",INDEX(Table2[],_xlfn.XMATCH($A248,Table2[Steel Member],0),_xlfn.XMATCH(Y$2,Table2[#Headers],0)))</f>
        <v>#N/A</v>
      </c>
      <c r="Z248" s="4" t="e" cm="1">
        <f t="array" ref="Z248">IF(INDEX(Table2[],_xlfn.XMATCH($A248,Table2[Steel Member],0),_xlfn.XMATCH(Z$2,Table2[#Headers],0))=0,"",INDEX(Table2[],_xlfn.XMATCH($A248,Table2[Steel Member],0),_xlfn.XMATCH(Z$2,Table2[#Headers],0)))</f>
        <v>#N/A</v>
      </c>
      <c r="AA248" s="4" t="e" cm="1">
        <f t="array" ref="AA248">IF(INDEX(Table2[],_xlfn.XMATCH($A248,Table2[Steel Member],0),_xlfn.XMATCH(AA$2,Table2[#Headers],0))=0,"",INDEX(Table2[],_xlfn.XMATCH($A248,Table2[Steel Member],0),_xlfn.XMATCH(AA$2,Table2[#Headers],0)))</f>
        <v>#N/A</v>
      </c>
      <c r="AB248" s="4" t="e" cm="1">
        <f t="array" ref="AB248">IF(INDEX(Table2[],_xlfn.XMATCH($A248,Table2[Steel Member],0),_xlfn.XMATCH(AB$2,Table2[#Headers],0))=0,"",INDEX(Table2[],_xlfn.XMATCH($A248,Table2[Steel Member],0),_xlfn.XMATCH(AB$2,Table2[#Headers],0)))</f>
        <v>#N/A</v>
      </c>
      <c r="AC248" s="4" t="str" cm="1">
        <f t="array" ref="AC248">IFERROR(INDEX(Table8[],_xlfn.XMATCH($O248,Table8[Dimension Name Category],0),_xlfn.XMATCH(AC$2&amp;IF($L248," w/ tag"," w/o tag"),Table8[#Headers],0)),"")</f>
        <v/>
      </c>
      <c r="AD248" s="59" t="str">
        <f t="shared" si="81"/>
        <v/>
      </c>
      <c r="AE248" s="4" t="str">
        <f t="shared" si="82"/>
        <v/>
      </c>
      <c r="AF248" s="4" t="str">
        <f t="shared" si="83"/>
        <v/>
      </c>
      <c r="AG248" s="4" t="str" cm="1">
        <f t="array" ref="AG248">IFERROR(INDEX(Table8[],_xlfn.XMATCH($O248,Table8[Dimension Name Category],0),_xlfn.XMATCH(AG$2&amp;IF($L248," w/ tag"," w/o tag"),Table8[#Headers],0)),"")</f>
        <v/>
      </c>
      <c r="AH248" s="59" t="str">
        <f t="shared" si="84"/>
        <v/>
      </c>
      <c r="AI248" s="4"/>
      <c r="AJ248" s="4" t="str">
        <f t="shared" si="85"/>
        <v/>
      </c>
      <c r="AK248" s="4" t="str">
        <f t="shared" si="86"/>
        <v/>
      </c>
      <c r="AL248" s="4" t="e" cm="1">
        <f t="array" ref="AL248">IF(INDEX(Table2[],_xlfn.XMATCH($A248,Table2[Steel Member],0),_xlfn.XMATCH(AL$2,Table2[#Headers],0))=0,"",INDEX(Table2[],_xlfn.XMATCH($A248,Table2[Steel Member],0),_xlfn.XMATCH(AL$2,Table2[#Headers],0)))</f>
        <v>#N/A</v>
      </c>
      <c r="AM248" s="4"/>
      <c r="AN248" s="4" t="str">
        <f t="shared" si="87"/>
        <v/>
      </c>
      <c r="AO248" s="4"/>
      <c r="AP248" s="4" t="e" cm="1">
        <f t="array" ref="AP248">IF(INDEX(Table2[],_xlfn.XMATCH($A248,Table2[Steel Member],0),_xlfn.XMATCH(AP$2,Table2[#Headers],0))=0,"",INDEX(Table2[],_xlfn.XMATCH($A248,Table2[Steel Member],0),_xlfn.XMATCH(AP$2,Table2[#Headers],0)))</f>
        <v>#N/A</v>
      </c>
      <c r="AQ248" s="4"/>
      <c r="AR248" s="4"/>
      <c r="AS248" s="4"/>
      <c r="AT248" s="4"/>
    </row>
    <row r="249" spans="1:46" x14ac:dyDescent="0.25">
      <c r="A249" s="52"/>
      <c r="B249" s="52"/>
      <c r="C249" s="52"/>
      <c r="D249" s="52"/>
      <c r="E249" s="52"/>
      <c r="F249" s="64" cm="1">
        <f t="array" ref="F249">IF(COUNT(FIND(PurlinsxGirthsxBracings,$C249))&gt;0,0,ROUNDUP(IF(D249=0,0,VLOOKUP(D249,'DATA SHEET'!$B:$D,2,FALSE)),2))</f>
        <v>0</v>
      </c>
      <c r="G249" s="64" cm="1">
        <f t="array" ref="G249">IF(COUNT(FIND(PurlinsxGirthsxBracings,$C249))&gt;0,0,ROUNDUP(IF(D249=0,0,VLOOKUP(D249,'DATA SHEET'!$B:$D,3,FALSE)),2))</f>
        <v>0</v>
      </c>
      <c r="H249" s="53"/>
      <c r="I249" s="66" cm="1">
        <f t="array" ref="I249">IF(AND(ISBLANK(B249),ISBLANK(C249),ISBLANK(E249)),0,IF(COUNT(FIND(PurlinsxGirthsxBracings,$C249))&gt;0,IF(B249=0,CONCATENATE(E249," ",C249),CONCATENATE(B249," - ",E249," ",C249)),IF(B249=0,IF(ISBLANK(C249),E249,CONCATENATE(D249,", ",F249,"kg/m, ",G249,"mm surface perimeter")),IF(AND(ISBLANK(C249),ISTEXT(E249)),CONCATENATE(B249," - ",E249),IF(AND(ISBLANK(C249),ISBLANK(E249)),B249,CONCATENATE(B249," - ",D249,", ",F249,"kg/m, ",G249,"mm surface perimeter"))))&amp;IF(ISBLANK(H249),"",H249)))</f>
        <v>0</v>
      </c>
      <c r="J249" s="53"/>
      <c r="L249" s="4" t="str" cm="1">
        <f t="array" ref="L249">IF(COUNT(FIND({0,1,2,3,4,5,6,7,8,9},B249))&gt;0,COUNT(FIND({0,1,2,3,4,5,6,7,8,9},B249))&gt;0,"")</f>
        <v/>
      </c>
      <c r="M249" s="4" t="str" cm="1">
        <f t="array" aca="1" ref="M249" ca="1">IFERROR(_xlfn.IFS(R249="Count",RANDBETWEEN(1,COUNTIF($R$11:$R$653,"Count")),R249="Length",RANDBETWEEN(1,COUNTIF($R$11:$R$653,"Length"))),"")</f>
        <v/>
      </c>
      <c r="N249" s="4" t="str">
        <f ca="1">IFERROR(_xlfn.RANK.EQ(M249,$M$11:$M$653)+COUNTIF($M$11:M249,M249)-1,"")</f>
        <v/>
      </c>
      <c r="O249" s="86" t="str">
        <f>IF(A249='DATA SHEET'!$L$36,C249,IFERROR(IF(AND(ISTEXT(I249),ISBLANK(C249)),"No details",VLOOKUP(C249,DimFolder,2,FALSE)),""))</f>
        <v/>
      </c>
      <c r="P249" s="4" t="str">
        <f t="shared" si="77"/>
        <v/>
      </c>
      <c r="Q249" s="58" t="str">
        <f t="shared" si="88"/>
        <v/>
      </c>
      <c r="R249" s="4" t="e" cm="1">
        <f t="array" ref="R249">IF(INDEX(Table2[],_xlfn.XMATCH($A249,Table2[Steel Member],0),_xlfn.XMATCH(R$2,Table2[#Headers],0))=0,"",INDEX(Table2[],_xlfn.XMATCH($A249,Table2[Steel Member],0),_xlfn.XMATCH(R$2,Table2[#Headers],0)))</f>
        <v>#N/A</v>
      </c>
      <c r="S249" s="4" t="e" cm="1">
        <f t="array" ref="S249">IF(INDEX(Table2[],_xlfn.XMATCH($A249,Table2[Steel Member],0),_xlfn.XMATCH(S$2,Table2[#Headers],0))=0,"",INDEX(Table2[],_xlfn.XMATCH($A249,Table2[Steel Member],0),_xlfn.XMATCH(S$2,Table2[#Headers],0)))</f>
        <v>#N/A</v>
      </c>
      <c r="T249" s="4" t="str">
        <f t="shared" si="79"/>
        <v/>
      </c>
      <c r="U249" s="4" t="e">
        <f ca="1">VLOOKUP(N249,'COLOR CODE'!$B:$D,2,FALSE)</f>
        <v>#N/A</v>
      </c>
      <c r="V249" s="4" t="str">
        <f t="shared" si="80"/>
        <v/>
      </c>
      <c r="W249" s="4" t="e" cm="1">
        <f t="array" ref="W249">IF(INDEX(Table2[],_xlfn.XMATCH($A249,Table2[Steel Member],0),_xlfn.XMATCH(W$2,Table2[#Headers],0))=0,"",INDEX(Table2[],_xlfn.XMATCH($A249,Table2[Steel Member],0),_xlfn.XMATCH(W$2,Table2[#Headers],0)))</f>
        <v>#N/A</v>
      </c>
      <c r="X249" s="4" t="e">
        <f t="shared" si="78"/>
        <v>#N/A</v>
      </c>
      <c r="Y249" s="4" t="e" cm="1">
        <f t="array" ref="Y249">IF(INDEX(Table2[],_xlfn.XMATCH($A249,Table2[Steel Member],0),_xlfn.XMATCH(Y$2,Table2[#Headers],0))=0,"",INDEX(Table2[],_xlfn.XMATCH($A249,Table2[Steel Member],0),_xlfn.XMATCH(Y$2,Table2[#Headers],0)))</f>
        <v>#N/A</v>
      </c>
      <c r="Z249" s="4" t="e" cm="1">
        <f t="array" ref="Z249">IF(INDEX(Table2[],_xlfn.XMATCH($A249,Table2[Steel Member],0),_xlfn.XMATCH(Z$2,Table2[#Headers],0))=0,"",INDEX(Table2[],_xlfn.XMATCH($A249,Table2[Steel Member],0),_xlfn.XMATCH(Z$2,Table2[#Headers],0)))</f>
        <v>#N/A</v>
      </c>
      <c r="AA249" s="4" t="e" cm="1">
        <f t="array" ref="AA249">IF(INDEX(Table2[],_xlfn.XMATCH($A249,Table2[Steel Member],0),_xlfn.XMATCH(AA$2,Table2[#Headers],0))=0,"",INDEX(Table2[],_xlfn.XMATCH($A249,Table2[Steel Member],0),_xlfn.XMATCH(AA$2,Table2[#Headers],0)))</f>
        <v>#N/A</v>
      </c>
      <c r="AB249" s="4" t="e" cm="1">
        <f t="array" ref="AB249">IF(INDEX(Table2[],_xlfn.XMATCH($A249,Table2[Steel Member],0),_xlfn.XMATCH(AB$2,Table2[#Headers],0))=0,"",INDEX(Table2[],_xlfn.XMATCH($A249,Table2[Steel Member],0),_xlfn.XMATCH(AB$2,Table2[#Headers],0)))</f>
        <v>#N/A</v>
      </c>
      <c r="AC249" s="4" t="str" cm="1">
        <f t="array" ref="AC249">IFERROR(INDEX(Table8[],_xlfn.XMATCH($O249,Table8[Dimension Name Category],0),_xlfn.XMATCH(AC$2&amp;IF($L249," w/ tag"," w/o tag"),Table8[#Headers],0)),"")</f>
        <v/>
      </c>
      <c r="AD249" s="59" t="str">
        <f t="shared" si="81"/>
        <v/>
      </c>
      <c r="AE249" s="4" t="str">
        <f t="shared" si="82"/>
        <v/>
      </c>
      <c r="AF249" s="4" t="str">
        <f t="shared" si="83"/>
        <v/>
      </c>
      <c r="AG249" s="4" t="str" cm="1">
        <f t="array" ref="AG249">IFERROR(INDEX(Table8[],_xlfn.XMATCH($O249,Table8[Dimension Name Category],0),_xlfn.XMATCH(AG$2&amp;IF($L249," w/ tag"," w/o tag"),Table8[#Headers],0)),"")</f>
        <v/>
      </c>
      <c r="AH249" s="59" t="str">
        <f t="shared" si="84"/>
        <v/>
      </c>
      <c r="AI249" s="4"/>
      <c r="AJ249" s="4" t="str">
        <f t="shared" si="85"/>
        <v/>
      </c>
      <c r="AK249" s="4" t="str">
        <f t="shared" si="86"/>
        <v/>
      </c>
      <c r="AL249" s="4" t="e" cm="1">
        <f t="array" ref="AL249">IF(INDEX(Table2[],_xlfn.XMATCH($A249,Table2[Steel Member],0),_xlfn.XMATCH(AL$2,Table2[#Headers],0))=0,"",INDEX(Table2[],_xlfn.XMATCH($A249,Table2[Steel Member],0),_xlfn.XMATCH(AL$2,Table2[#Headers],0)))</f>
        <v>#N/A</v>
      </c>
      <c r="AM249" s="4"/>
      <c r="AN249" s="4" t="str">
        <f t="shared" si="87"/>
        <v/>
      </c>
      <c r="AO249" s="4"/>
      <c r="AP249" s="4" t="e" cm="1">
        <f t="array" ref="AP249">IF(INDEX(Table2[],_xlfn.XMATCH($A249,Table2[Steel Member],0),_xlfn.XMATCH(AP$2,Table2[#Headers],0))=0,"",INDEX(Table2[],_xlfn.XMATCH($A249,Table2[Steel Member],0),_xlfn.XMATCH(AP$2,Table2[#Headers],0)))</f>
        <v>#N/A</v>
      </c>
      <c r="AQ249" s="4"/>
      <c r="AR249" s="4"/>
      <c r="AS249" s="4"/>
      <c r="AT249" s="4"/>
    </row>
    <row r="250" spans="1:46" x14ac:dyDescent="0.25">
      <c r="A250" s="52"/>
      <c r="B250" s="52"/>
      <c r="C250" s="52"/>
      <c r="D250" s="52"/>
      <c r="E250" s="52"/>
      <c r="F250" s="64" cm="1">
        <f t="array" ref="F250">IF(COUNT(FIND(PurlinsxGirthsxBracings,$C250))&gt;0,0,ROUNDUP(IF(D250=0,0,VLOOKUP(D250,'DATA SHEET'!$B:$D,2,FALSE)),2))</f>
        <v>0</v>
      </c>
      <c r="G250" s="64" cm="1">
        <f t="array" ref="G250">IF(COUNT(FIND(PurlinsxGirthsxBracings,$C250))&gt;0,0,ROUNDUP(IF(D250=0,0,VLOOKUP(D250,'DATA SHEET'!$B:$D,3,FALSE)),2))</f>
        <v>0</v>
      </c>
      <c r="H250" s="53"/>
      <c r="I250" s="66" cm="1">
        <f t="array" ref="I250">IF(AND(ISBLANK(B250),ISBLANK(C250),ISBLANK(E250)),0,IF(COUNT(FIND(PurlinsxGirthsxBracings,$C250))&gt;0,IF(B250=0,CONCATENATE(E250," ",C250),CONCATENATE(B250," - ",E250," ",C250)),IF(B250=0,IF(ISBLANK(C250),E250,CONCATENATE(D250,", ",F250,"kg/m, ",G250,"mm surface perimeter")),IF(AND(ISBLANK(C250),ISTEXT(E250)),CONCATENATE(B250," - ",E250),IF(AND(ISBLANK(C250),ISBLANK(E250)),B250,CONCATENATE(B250," - ",D250,", ",F250,"kg/m, ",G250,"mm surface perimeter"))))&amp;IF(ISBLANK(H250),"",H250)))</f>
        <v>0</v>
      </c>
      <c r="J250" s="53"/>
      <c r="L250" s="4" t="str" cm="1">
        <f t="array" ref="L250">IF(COUNT(FIND({0,1,2,3,4,5,6,7,8,9},B250))&gt;0,COUNT(FIND({0,1,2,3,4,5,6,7,8,9},B250))&gt;0,"")</f>
        <v/>
      </c>
      <c r="M250" s="4" t="str" cm="1">
        <f t="array" aca="1" ref="M250" ca="1">IFERROR(_xlfn.IFS(R250="Count",RANDBETWEEN(1,COUNTIF($R$11:$R$653,"Count")),R250="Length",RANDBETWEEN(1,COUNTIF($R$11:$R$653,"Length"))),"")</f>
        <v/>
      </c>
      <c r="N250" s="4" t="str">
        <f ca="1">IFERROR(_xlfn.RANK.EQ(M250,$M$11:$M$653)+COUNTIF($M$11:M250,M250)-1,"")</f>
        <v/>
      </c>
      <c r="O250" s="86" t="str">
        <f>IF(A250='DATA SHEET'!$L$36,C250,IFERROR(IF(AND(ISTEXT(I250),ISBLANK(C250)),"No details",VLOOKUP(C250,DimFolder,2,FALSE)),""))</f>
        <v/>
      </c>
      <c r="P250" s="4" t="str">
        <f t="shared" si="77"/>
        <v/>
      </c>
      <c r="Q250" s="58" t="str">
        <f t="shared" si="88"/>
        <v/>
      </c>
      <c r="R250" s="4" t="e" cm="1">
        <f t="array" ref="R250">IF(INDEX(Table2[],_xlfn.XMATCH($A250,Table2[Steel Member],0),_xlfn.XMATCH(R$2,Table2[#Headers],0))=0,"",INDEX(Table2[],_xlfn.XMATCH($A250,Table2[Steel Member],0),_xlfn.XMATCH(R$2,Table2[#Headers],0)))</f>
        <v>#N/A</v>
      </c>
      <c r="S250" s="4" t="e" cm="1">
        <f t="array" ref="S250">IF(INDEX(Table2[],_xlfn.XMATCH($A250,Table2[Steel Member],0),_xlfn.XMATCH(S$2,Table2[#Headers],0))=0,"",INDEX(Table2[],_xlfn.XMATCH($A250,Table2[Steel Member],0),_xlfn.XMATCH(S$2,Table2[#Headers],0)))</f>
        <v>#N/A</v>
      </c>
      <c r="T250" s="4" t="str">
        <f t="shared" si="79"/>
        <v/>
      </c>
      <c r="U250" s="4" t="e">
        <f ca="1">VLOOKUP(N250,'COLOR CODE'!$B:$D,2,FALSE)</f>
        <v>#N/A</v>
      </c>
      <c r="V250" s="4" t="str">
        <f t="shared" si="80"/>
        <v/>
      </c>
      <c r="W250" s="4" t="e" cm="1">
        <f t="array" ref="W250">IF(INDEX(Table2[],_xlfn.XMATCH($A250,Table2[Steel Member],0),_xlfn.XMATCH(W$2,Table2[#Headers],0))=0,"",INDEX(Table2[],_xlfn.XMATCH($A250,Table2[Steel Member],0),_xlfn.XMATCH(W$2,Table2[#Headers],0)))</f>
        <v>#N/A</v>
      </c>
      <c r="X250" s="4" t="e">
        <f t="shared" si="78"/>
        <v>#N/A</v>
      </c>
      <c r="Y250" s="4" t="e" cm="1">
        <f t="array" ref="Y250">IF(INDEX(Table2[],_xlfn.XMATCH($A250,Table2[Steel Member],0),_xlfn.XMATCH(Y$2,Table2[#Headers],0))=0,"",INDEX(Table2[],_xlfn.XMATCH($A250,Table2[Steel Member],0),_xlfn.XMATCH(Y$2,Table2[#Headers],0)))</f>
        <v>#N/A</v>
      </c>
      <c r="Z250" s="4" t="e" cm="1">
        <f t="array" ref="Z250">IF(INDEX(Table2[],_xlfn.XMATCH($A250,Table2[Steel Member],0),_xlfn.XMATCH(Z$2,Table2[#Headers],0))=0,"",INDEX(Table2[],_xlfn.XMATCH($A250,Table2[Steel Member],0),_xlfn.XMATCH(Z$2,Table2[#Headers],0)))</f>
        <v>#N/A</v>
      </c>
      <c r="AA250" s="4" t="e" cm="1">
        <f t="array" ref="AA250">IF(INDEX(Table2[],_xlfn.XMATCH($A250,Table2[Steel Member],0),_xlfn.XMATCH(AA$2,Table2[#Headers],0))=0,"",INDEX(Table2[],_xlfn.XMATCH($A250,Table2[Steel Member],0),_xlfn.XMATCH(AA$2,Table2[#Headers],0)))</f>
        <v>#N/A</v>
      </c>
      <c r="AB250" s="4" t="e" cm="1">
        <f t="array" ref="AB250">IF(INDEX(Table2[],_xlfn.XMATCH($A250,Table2[Steel Member],0),_xlfn.XMATCH(AB$2,Table2[#Headers],0))=0,"",INDEX(Table2[],_xlfn.XMATCH($A250,Table2[Steel Member],0),_xlfn.XMATCH(AB$2,Table2[#Headers],0)))</f>
        <v>#N/A</v>
      </c>
      <c r="AC250" s="4" t="str" cm="1">
        <f t="array" ref="AC250">IFERROR(INDEX(Table8[],_xlfn.XMATCH($O250,Table8[Dimension Name Category],0),_xlfn.XMATCH(AC$2&amp;IF($L250," w/ tag"," w/o tag"),Table8[#Headers],0)),"")</f>
        <v/>
      </c>
      <c r="AD250" s="59" t="str">
        <f t="shared" si="81"/>
        <v/>
      </c>
      <c r="AE250" s="4" t="str">
        <f t="shared" si="82"/>
        <v/>
      </c>
      <c r="AF250" s="4" t="str">
        <f t="shared" si="83"/>
        <v/>
      </c>
      <c r="AG250" s="4" t="str" cm="1">
        <f t="array" ref="AG250">IFERROR(INDEX(Table8[],_xlfn.XMATCH($O250,Table8[Dimension Name Category],0),_xlfn.XMATCH(AG$2&amp;IF($L250," w/ tag"," w/o tag"),Table8[#Headers],0)),"")</f>
        <v/>
      </c>
      <c r="AH250" s="59" t="str">
        <f t="shared" si="84"/>
        <v/>
      </c>
      <c r="AI250" s="4"/>
      <c r="AJ250" s="4" t="str">
        <f t="shared" si="85"/>
        <v/>
      </c>
      <c r="AK250" s="4" t="str">
        <f t="shared" si="86"/>
        <v/>
      </c>
      <c r="AL250" s="4" t="e" cm="1">
        <f t="array" ref="AL250">IF(INDEX(Table2[],_xlfn.XMATCH($A250,Table2[Steel Member],0),_xlfn.XMATCH(AL$2,Table2[#Headers],0))=0,"",INDEX(Table2[],_xlfn.XMATCH($A250,Table2[Steel Member],0),_xlfn.XMATCH(AL$2,Table2[#Headers],0)))</f>
        <v>#N/A</v>
      </c>
      <c r="AM250" s="4"/>
      <c r="AN250" s="4" t="str">
        <f t="shared" si="87"/>
        <v/>
      </c>
      <c r="AO250" s="4"/>
      <c r="AP250" s="4" t="e" cm="1">
        <f t="array" ref="AP250">IF(INDEX(Table2[],_xlfn.XMATCH($A250,Table2[Steel Member],0),_xlfn.XMATCH(AP$2,Table2[#Headers],0))=0,"",INDEX(Table2[],_xlfn.XMATCH($A250,Table2[Steel Member],0),_xlfn.XMATCH(AP$2,Table2[#Headers],0)))</f>
        <v>#N/A</v>
      </c>
      <c r="AQ250" s="4"/>
      <c r="AR250" s="4"/>
      <c r="AS250" s="4"/>
      <c r="AT250" s="4"/>
    </row>
    <row r="251" spans="1:46" x14ac:dyDescent="0.25">
      <c r="A251" s="52"/>
      <c r="B251" s="52"/>
      <c r="C251" s="52"/>
      <c r="D251" s="52"/>
      <c r="E251" s="52"/>
      <c r="F251" s="64" cm="1">
        <f t="array" ref="F251">IF(COUNT(FIND(PurlinsxGirthsxBracings,$C251))&gt;0,0,ROUNDUP(IF(D251=0,0,VLOOKUP(D251,'DATA SHEET'!$B:$D,2,FALSE)),2))</f>
        <v>0</v>
      </c>
      <c r="G251" s="64" cm="1">
        <f t="array" ref="G251">IF(COUNT(FIND(PurlinsxGirthsxBracings,$C251))&gt;0,0,ROUNDUP(IF(D251=0,0,VLOOKUP(D251,'DATA SHEET'!$B:$D,3,FALSE)),2))</f>
        <v>0</v>
      </c>
      <c r="H251" s="53"/>
      <c r="I251" s="66" cm="1">
        <f t="array" ref="I251">IF(AND(ISBLANK(B251),ISBLANK(C251),ISBLANK(E251)),0,IF(COUNT(FIND(PurlinsxGirthsxBracings,$C251))&gt;0,IF(B251=0,CONCATENATE(E251," ",C251),CONCATENATE(B251," - ",E251," ",C251)),IF(B251=0,IF(ISBLANK(C251),E251,CONCATENATE(D251,", ",F251,"kg/m, ",G251,"mm surface perimeter")),IF(AND(ISBLANK(C251),ISTEXT(E251)),CONCATENATE(B251," - ",E251),IF(AND(ISBLANK(C251),ISBLANK(E251)),B251,CONCATENATE(B251," - ",D251,", ",F251,"kg/m, ",G251,"mm surface perimeter"))))&amp;IF(ISBLANK(H251),"",H251)))</f>
        <v>0</v>
      </c>
      <c r="J251" s="53"/>
      <c r="L251" s="4" t="str" cm="1">
        <f t="array" ref="L251">IF(COUNT(FIND({0,1,2,3,4,5,6,7,8,9},B251))&gt;0,COUNT(FIND({0,1,2,3,4,5,6,7,8,9},B251))&gt;0,"")</f>
        <v/>
      </c>
      <c r="M251" s="4" t="str" cm="1">
        <f t="array" aca="1" ref="M251" ca="1">IFERROR(_xlfn.IFS(R251="Count",RANDBETWEEN(1,COUNTIF($R$11:$R$653,"Count")),R251="Length",RANDBETWEEN(1,COUNTIF($R$11:$R$653,"Length"))),"")</f>
        <v/>
      </c>
      <c r="N251" s="4" t="str">
        <f ca="1">IFERROR(_xlfn.RANK.EQ(M251,$M$11:$M$653)+COUNTIF($M$11:M251,M251)-1,"")</f>
        <v/>
      </c>
      <c r="O251" s="86" t="str">
        <f>IF(A251='DATA SHEET'!$L$36,C251,IFERROR(IF(AND(ISTEXT(I251),ISBLANK(C251)),"No details",VLOOKUP(C251,DimFolder,2,FALSE)),""))</f>
        <v/>
      </c>
      <c r="P251" s="4" t="str">
        <f t="shared" si="77"/>
        <v/>
      </c>
      <c r="Q251" s="58" t="str">
        <f t="shared" si="88"/>
        <v/>
      </c>
      <c r="R251" s="4" t="e" cm="1">
        <f t="array" ref="R251">IF(INDEX(Table2[],_xlfn.XMATCH($A251,Table2[Steel Member],0),_xlfn.XMATCH(R$2,Table2[#Headers],0))=0,"",INDEX(Table2[],_xlfn.XMATCH($A251,Table2[Steel Member],0),_xlfn.XMATCH(R$2,Table2[#Headers],0)))</f>
        <v>#N/A</v>
      </c>
      <c r="S251" s="4" t="e" cm="1">
        <f t="array" ref="S251">IF(INDEX(Table2[],_xlfn.XMATCH($A251,Table2[Steel Member],0),_xlfn.XMATCH(S$2,Table2[#Headers],0))=0,"",INDEX(Table2[],_xlfn.XMATCH($A251,Table2[Steel Member],0),_xlfn.XMATCH(S$2,Table2[#Headers],0)))</f>
        <v>#N/A</v>
      </c>
      <c r="T251" s="4" t="str">
        <f t="shared" si="79"/>
        <v/>
      </c>
      <c r="U251" s="4" t="e">
        <f ca="1">VLOOKUP(N251,'COLOR CODE'!$B:$D,2,FALSE)</f>
        <v>#N/A</v>
      </c>
      <c r="V251" s="4" t="str">
        <f t="shared" si="80"/>
        <v/>
      </c>
      <c r="W251" s="4" t="e" cm="1">
        <f t="array" ref="W251">IF(INDEX(Table2[],_xlfn.XMATCH($A251,Table2[Steel Member],0),_xlfn.XMATCH(W$2,Table2[#Headers],0))=0,"",INDEX(Table2[],_xlfn.XMATCH($A251,Table2[Steel Member],0),_xlfn.XMATCH(W$2,Table2[#Headers],0)))</f>
        <v>#N/A</v>
      </c>
      <c r="X251" s="4" t="e">
        <f t="shared" si="78"/>
        <v>#N/A</v>
      </c>
      <c r="Y251" s="4" t="e" cm="1">
        <f t="array" ref="Y251">IF(INDEX(Table2[],_xlfn.XMATCH($A251,Table2[Steel Member],0),_xlfn.XMATCH(Y$2,Table2[#Headers],0))=0,"",INDEX(Table2[],_xlfn.XMATCH($A251,Table2[Steel Member],0),_xlfn.XMATCH(Y$2,Table2[#Headers],0)))</f>
        <v>#N/A</v>
      </c>
      <c r="Z251" s="4" t="e" cm="1">
        <f t="array" ref="Z251">IF(INDEX(Table2[],_xlfn.XMATCH($A251,Table2[Steel Member],0),_xlfn.XMATCH(Z$2,Table2[#Headers],0))=0,"",INDEX(Table2[],_xlfn.XMATCH($A251,Table2[Steel Member],0),_xlfn.XMATCH(Z$2,Table2[#Headers],0)))</f>
        <v>#N/A</v>
      </c>
      <c r="AA251" s="4" t="e" cm="1">
        <f t="array" ref="AA251">IF(INDEX(Table2[],_xlfn.XMATCH($A251,Table2[Steel Member],0),_xlfn.XMATCH(AA$2,Table2[#Headers],0))=0,"",INDEX(Table2[],_xlfn.XMATCH($A251,Table2[Steel Member],0),_xlfn.XMATCH(AA$2,Table2[#Headers],0)))</f>
        <v>#N/A</v>
      </c>
      <c r="AB251" s="4" t="e" cm="1">
        <f t="array" ref="AB251">IF(INDEX(Table2[],_xlfn.XMATCH($A251,Table2[Steel Member],0),_xlfn.XMATCH(AB$2,Table2[#Headers],0))=0,"",INDEX(Table2[],_xlfn.XMATCH($A251,Table2[Steel Member],0),_xlfn.XMATCH(AB$2,Table2[#Headers],0)))</f>
        <v>#N/A</v>
      </c>
      <c r="AC251" s="4" t="str" cm="1">
        <f t="array" ref="AC251">IFERROR(INDEX(Table8[],_xlfn.XMATCH($O251,Table8[Dimension Name Category],0),_xlfn.XMATCH(AC$2&amp;IF($L251," w/ tag"," w/o tag"),Table8[#Headers],0)),"")</f>
        <v/>
      </c>
      <c r="AD251" s="59" t="str">
        <f t="shared" si="81"/>
        <v/>
      </c>
      <c r="AE251" s="4" t="str">
        <f t="shared" si="82"/>
        <v/>
      </c>
      <c r="AF251" s="4" t="str">
        <f t="shared" si="83"/>
        <v/>
      </c>
      <c r="AG251" s="4" t="str" cm="1">
        <f t="array" ref="AG251">IFERROR(INDEX(Table8[],_xlfn.XMATCH($O251,Table8[Dimension Name Category],0),_xlfn.XMATCH(AG$2&amp;IF($L251," w/ tag"," w/o tag"),Table8[#Headers],0)),"")</f>
        <v/>
      </c>
      <c r="AH251" s="59" t="str">
        <f t="shared" si="84"/>
        <v/>
      </c>
      <c r="AI251" s="4"/>
      <c r="AJ251" s="4" t="str">
        <f t="shared" si="85"/>
        <v/>
      </c>
      <c r="AK251" s="4" t="str">
        <f t="shared" si="86"/>
        <v/>
      </c>
      <c r="AL251" s="4" t="e" cm="1">
        <f t="array" ref="AL251">IF(INDEX(Table2[],_xlfn.XMATCH($A251,Table2[Steel Member],0),_xlfn.XMATCH(AL$2,Table2[#Headers],0))=0,"",INDEX(Table2[],_xlfn.XMATCH($A251,Table2[Steel Member],0),_xlfn.XMATCH(AL$2,Table2[#Headers],0)))</f>
        <v>#N/A</v>
      </c>
      <c r="AM251" s="4"/>
      <c r="AN251" s="4" t="str">
        <f t="shared" si="87"/>
        <v/>
      </c>
      <c r="AO251" s="4"/>
      <c r="AP251" s="4" t="e" cm="1">
        <f t="array" ref="AP251">IF(INDEX(Table2[],_xlfn.XMATCH($A251,Table2[Steel Member],0),_xlfn.XMATCH(AP$2,Table2[#Headers],0))=0,"",INDEX(Table2[],_xlfn.XMATCH($A251,Table2[Steel Member],0),_xlfn.XMATCH(AP$2,Table2[#Headers],0)))</f>
        <v>#N/A</v>
      </c>
      <c r="AQ251" s="4"/>
      <c r="AR251" s="4"/>
      <c r="AS251" s="4"/>
      <c r="AT251" s="4"/>
    </row>
    <row r="252" spans="1:46" x14ac:dyDescent="0.25">
      <c r="A252" s="52"/>
      <c r="B252" s="52"/>
      <c r="C252" s="52"/>
      <c r="D252" s="52"/>
      <c r="E252" s="52"/>
      <c r="F252" s="64" cm="1">
        <f t="array" ref="F252">IF(COUNT(FIND(PurlinsxGirthsxBracings,$C252))&gt;0,0,ROUNDUP(IF(D252=0,0,VLOOKUP(D252,'DATA SHEET'!$B:$D,2,FALSE)),2))</f>
        <v>0</v>
      </c>
      <c r="G252" s="64" cm="1">
        <f t="array" ref="G252">IF(COUNT(FIND(PurlinsxGirthsxBracings,$C252))&gt;0,0,ROUNDUP(IF(D252=0,0,VLOOKUP(D252,'DATA SHEET'!$B:$D,3,FALSE)),2))</f>
        <v>0</v>
      </c>
      <c r="H252" s="53"/>
      <c r="I252" s="66" cm="1">
        <f t="array" ref="I252">IF(AND(ISBLANK(B252),ISBLANK(C252),ISBLANK(E252)),0,IF(COUNT(FIND(PurlinsxGirthsxBracings,$C252))&gt;0,IF(B252=0,CONCATENATE(E252," ",C252),CONCATENATE(B252," - ",E252," ",C252)),IF(B252=0,IF(ISBLANK(C252),E252,CONCATENATE(D252,", ",F252,"kg/m, ",G252,"mm surface perimeter")),IF(AND(ISBLANK(C252),ISTEXT(E252)),CONCATENATE(B252," - ",E252),IF(AND(ISBLANK(C252),ISBLANK(E252)),B252,CONCATENATE(B252," - ",D252,", ",F252,"kg/m, ",G252,"mm surface perimeter"))))&amp;IF(ISBLANK(H252),"",H252)))</f>
        <v>0</v>
      </c>
      <c r="J252" s="53"/>
      <c r="L252" s="4" t="str" cm="1">
        <f t="array" ref="L252">IF(COUNT(FIND({0,1,2,3,4,5,6,7,8,9},B252))&gt;0,COUNT(FIND({0,1,2,3,4,5,6,7,8,9},B252))&gt;0,"")</f>
        <v/>
      </c>
      <c r="M252" s="4" t="str" cm="1">
        <f t="array" aca="1" ref="M252" ca="1">IFERROR(_xlfn.IFS(R252="Count",RANDBETWEEN(1,COUNTIF($R$11:$R$653,"Count")),R252="Length",RANDBETWEEN(1,COUNTIF($R$11:$R$653,"Length"))),"")</f>
        <v/>
      </c>
      <c r="N252" s="4" t="str">
        <f ca="1">IFERROR(_xlfn.RANK.EQ(M252,$M$11:$M$653)+COUNTIF($M$11:M252,M252)-1,"")</f>
        <v/>
      </c>
      <c r="O252" s="86" t="str">
        <f>IF(A252='DATA SHEET'!$L$36,C252,IFERROR(IF(AND(ISTEXT(I252),ISBLANK(C252)),"No details",VLOOKUP(C252,DimFolder,2,FALSE)),""))</f>
        <v/>
      </c>
      <c r="P252" s="4" t="str">
        <f t="shared" si="77"/>
        <v/>
      </c>
      <c r="Q252" s="58" t="str">
        <f t="shared" si="88"/>
        <v/>
      </c>
      <c r="R252" s="4" t="e" cm="1">
        <f t="array" ref="R252">IF(INDEX(Table2[],_xlfn.XMATCH($A252,Table2[Steel Member],0),_xlfn.XMATCH(R$2,Table2[#Headers],0))=0,"",INDEX(Table2[],_xlfn.XMATCH($A252,Table2[Steel Member],0),_xlfn.XMATCH(R$2,Table2[#Headers],0)))</f>
        <v>#N/A</v>
      </c>
      <c r="S252" s="4" t="e" cm="1">
        <f t="array" ref="S252">IF(INDEX(Table2[],_xlfn.XMATCH($A252,Table2[Steel Member],0),_xlfn.XMATCH(S$2,Table2[#Headers],0))=0,"",INDEX(Table2[],_xlfn.XMATCH($A252,Table2[Steel Member],0),_xlfn.XMATCH(S$2,Table2[#Headers],0)))</f>
        <v>#N/A</v>
      </c>
      <c r="T252" s="4" t="str">
        <f t="shared" si="79"/>
        <v/>
      </c>
      <c r="U252" s="4" t="e">
        <f ca="1">VLOOKUP(N252,'COLOR CODE'!$B:$D,2,FALSE)</f>
        <v>#N/A</v>
      </c>
      <c r="V252" s="4" t="str">
        <f t="shared" si="80"/>
        <v/>
      </c>
      <c r="W252" s="4" t="e" cm="1">
        <f t="array" ref="W252">IF(INDEX(Table2[],_xlfn.XMATCH($A252,Table2[Steel Member],0),_xlfn.XMATCH(W$2,Table2[#Headers],0))=0,"",INDEX(Table2[],_xlfn.XMATCH($A252,Table2[Steel Member],0),_xlfn.XMATCH(W$2,Table2[#Headers],0)))</f>
        <v>#N/A</v>
      </c>
      <c r="X252" s="4" t="e">
        <f t="shared" si="78"/>
        <v>#N/A</v>
      </c>
      <c r="Y252" s="4" t="e" cm="1">
        <f t="array" ref="Y252">IF(INDEX(Table2[],_xlfn.XMATCH($A252,Table2[Steel Member],0),_xlfn.XMATCH(Y$2,Table2[#Headers],0))=0,"",INDEX(Table2[],_xlfn.XMATCH($A252,Table2[Steel Member],0),_xlfn.XMATCH(Y$2,Table2[#Headers],0)))</f>
        <v>#N/A</v>
      </c>
      <c r="Z252" s="4" t="e" cm="1">
        <f t="array" ref="Z252">IF(INDEX(Table2[],_xlfn.XMATCH($A252,Table2[Steel Member],0),_xlfn.XMATCH(Z$2,Table2[#Headers],0))=0,"",INDEX(Table2[],_xlfn.XMATCH($A252,Table2[Steel Member],0),_xlfn.XMATCH(Z$2,Table2[#Headers],0)))</f>
        <v>#N/A</v>
      </c>
      <c r="AA252" s="4" t="e" cm="1">
        <f t="array" ref="AA252">IF(INDEX(Table2[],_xlfn.XMATCH($A252,Table2[Steel Member],0),_xlfn.XMATCH(AA$2,Table2[#Headers],0))=0,"",INDEX(Table2[],_xlfn.XMATCH($A252,Table2[Steel Member],0),_xlfn.XMATCH(AA$2,Table2[#Headers],0)))</f>
        <v>#N/A</v>
      </c>
      <c r="AB252" s="4" t="e" cm="1">
        <f t="array" ref="AB252">IF(INDEX(Table2[],_xlfn.XMATCH($A252,Table2[Steel Member],0),_xlfn.XMATCH(AB$2,Table2[#Headers],0))=0,"",INDEX(Table2[],_xlfn.XMATCH($A252,Table2[Steel Member],0),_xlfn.XMATCH(AB$2,Table2[#Headers],0)))</f>
        <v>#N/A</v>
      </c>
      <c r="AC252" s="4" t="str" cm="1">
        <f t="array" ref="AC252">IFERROR(INDEX(Table8[],_xlfn.XMATCH($O252,Table8[Dimension Name Category],0),_xlfn.XMATCH(AC$2&amp;IF($L252," w/ tag"," w/o tag"),Table8[#Headers],0)),"")</f>
        <v/>
      </c>
      <c r="AD252" s="59" t="str">
        <f t="shared" si="81"/>
        <v/>
      </c>
      <c r="AE252" s="4" t="str">
        <f t="shared" si="82"/>
        <v/>
      </c>
      <c r="AF252" s="4" t="str">
        <f t="shared" si="83"/>
        <v/>
      </c>
      <c r="AG252" s="4" t="str" cm="1">
        <f t="array" ref="AG252">IFERROR(INDEX(Table8[],_xlfn.XMATCH($O252,Table8[Dimension Name Category],0),_xlfn.XMATCH(AG$2&amp;IF($L252," w/ tag"," w/o tag"),Table8[#Headers],0)),"")</f>
        <v/>
      </c>
      <c r="AH252" s="59" t="str">
        <f t="shared" si="84"/>
        <v/>
      </c>
      <c r="AI252" s="4"/>
      <c r="AJ252" s="4" t="str">
        <f t="shared" si="85"/>
        <v/>
      </c>
      <c r="AK252" s="4" t="str">
        <f t="shared" si="86"/>
        <v/>
      </c>
      <c r="AL252" s="4" t="e" cm="1">
        <f t="array" ref="AL252">IF(INDEX(Table2[],_xlfn.XMATCH($A252,Table2[Steel Member],0),_xlfn.XMATCH(AL$2,Table2[#Headers],0))=0,"",INDEX(Table2[],_xlfn.XMATCH($A252,Table2[Steel Member],0),_xlfn.XMATCH(AL$2,Table2[#Headers],0)))</f>
        <v>#N/A</v>
      </c>
      <c r="AM252" s="4"/>
      <c r="AN252" s="4" t="str">
        <f t="shared" si="87"/>
        <v/>
      </c>
      <c r="AO252" s="4"/>
      <c r="AP252" s="4" t="e" cm="1">
        <f t="array" ref="AP252">IF(INDEX(Table2[],_xlfn.XMATCH($A252,Table2[Steel Member],0),_xlfn.XMATCH(AP$2,Table2[#Headers],0))=0,"",INDEX(Table2[],_xlfn.XMATCH($A252,Table2[Steel Member],0),_xlfn.XMATCH(AP$2,Table2[#Headers],0)))</f>
        <v>#N/A</v>
      </c>
      <c r="AQ252" s="4"/>
      <c r="AR252" s="4"/>
      <c r="AS252" s="4"/>
      <c r="AT252" s="4"/>
    </row>
    <row r="253" spans="1:46" x14ac:dyDescent="0.25">
      <c r="A253" s="52"/>
      <c r="B253" s="52"/>
      <c r="C253" s="52"/>
      <c r="D253" s="52"/>
      <c r="E253" s="52"/>
      <c r="F253" s="64" cm="1">
        <f t="array" ref="F253">IF(COUNT(FIND(PurlinsxGirthsxBracings,$C253))&gt;0,0,ROUNDUP(IF(D253=0,0,VLOOKUP(D253,'DATA SHEET'!$B:$D,2,FALSE)),2))</f>
        <v>0</v>
      </c>
      <c r="G253" s="64" cm="1">
        <f t="array" ref="G253">IF(COUNT(FIND(PurlinsxGirthsxBracings,$C253))&gt;0,0,ROUNDUP(IF(D253=0,0,VLOOKUP(D253,'DATA SHEET'!$B:$D,3,FALSE)),2))</f>
        <v>0</v>
      </c>
      <c r="H253" s="53"/>
      <c r="I253" s="66" cm="1">
        <f t="array" ref="I253">IF(AND(ISBLANK(B253),ISBLANK(C253),ISBLANK(E253)),0,IF(COUNT(FIND(PurlinsxGirthsxBracings,$C253))&gt;0,IF(B253=0,CONCATENATE(E253," ",C253),CONCATENATE(B253," - ",E253," ",C253)),IF(B253=0,IF(ISBLANK(C253),E253,CONCATENATE(D253,", ",F253,"kg/m, ",G253,"mm surface perimeter")),IF(AND(ISBLANK(C253),ISTEXT(E253)),CONCATENATE(B253," - ",E253),IF(AND(ISBLANK(C253),ISBLANK(E253)),B253,CONCATENATE(B253," - ",D253,", ",F253,"kg/m, ",G253,"mm surface perimeter"))))&amp;IF(ISBLANK(H253),"",H253)))</f>
        <v>0</v>
      </c>
      <c r="J253" s="53"/>
      <c r="L253" s="4" t="str" cm="1">
        <f t="array" ref="L253">IF(COUNT(FIND({0,1,2,3,4,5,6,7,8,9},B253))&gt;0,COUNT(FIND({0,1,2,3,4,5,6,7,8,9},B253))&gt;0,"")</f>
        <v/>
      </c>
      <c r="M253" s="4" t="str" cm="1">
        <f t="array" aca="1" ref="M253" ca="1">IFERROR(_xlfn.IFS(R253="Count",RANDBETWEEN(1,COUNTIF($R$11:$R$653,"Count")),R253="Length",RANDBETWEEN(1,COUNTIF($R$11:$R$653,"Length"))),"")</f>
        <v/>
      </c>
      <c r="N253" s="4" t="str">
        <f ca="1">IFERROR(_xlfn.RANK.EQ(M253,$M$11:$M$653)+COUNTIF($M$11:M253,M253)-1,"")</f>
        <v/>
      </c>
      <c r="O253" s="86" t="str">
        <f>IF(A253='DATA SHEET'!$L$36,C253,IFERROR(IF(AND(ISTEXT(I253),ISBLANK(C253)),"No details",VLOOKUP(C253,DimFolder,2,FALSE)),""))</f>
        <v/>
      </c>
      <c r="P253" s="4" t="str">
        <f t="shared" si="77"/>
        <v/>
      </c>
      <c r="Q253" s="58" t="str">
        <f t="shared" si="88"/>
        <v/>
      </c>
      <c r="R253" s="4" t="e" cm="1">
        <f t="array" ref="R253">IF(INDEX(Table2[],_xlfn.XMATCH($A253,Table2[Steel Member],0),_xlfn.XMATCH(R$2,Table2[#Headers],0))=0,"",INDEX(Table2[],_xlfn.XMATCH($A253,Table2[Steel Member],0),_xlfn.XMATCH(R$2,Table2[#Headers],0)))</f>
        <v>#N/A</v>
      </c>
      <c r="S253" s="4" t="e" cm="1">
        <f t="array" ref="S253">IF(INDEX(Table2[],_xlfn.XMATCH($A253,Table2[Steel Member],0),_xlfn.XMATCH(S$2,Table2[#Headers],0))=0,"",INDEX(Table2[],_xlfn.XMATCH($A253,Table2[Steel Member],0),_xlfn.XMATCH(S$2,Table2[#Headers],0)))</f>
        <v>#N/A</v>
      </c>
      <c r="T253" s="4" t="str">
        <f t="shared" si="79"/>
        <v/>
      </c>
      <c r="U253" s="4" t="e">
        <f ca="1">VLOOKUP(N253,'COLOR CODE'!$B:$D,2,FALSE)</f>
        <v>#N/A</v>
      </c>
      <c r="V253" s="4" t="str">
        <f t="shared" si="80"/>
        <v/>
      </c>
      <c r="W253" s="4" t="e" cm="1">
        <f t="array" ref="W253">IF(INDEX(Table2[],_xlfn.XMATCH($A253,Table2[Steel Member],0),_xlfn.XMATCH(W$2,Table2[#Headers],0))=0,"",INDEX(Table2[],_xlfn.XMATCH($A253,Table2[Steel Member],0),_xlfn.XMATCH(W$2,Table2[#Headers],0)))</f>
        <v>#N/A</v>
      </c>
      <c r="X253" s="4" t="e">
        <f t="shared" si="78"/>
        <v>#N/A</v>
      </c>
      <c r="Y253" s="4" t="e" cm="1">
        <f t="array" ref="Y253">IF(INDEX(Table2[],_xlfn.XMATCH($A253,Table2[Steel Member],0),_xlfn.XMATCH(Y$2,Table2[#Headers],0))=0,"",INDEX(Table2[],_xlfn.XMATCH($A253,Table2[Steel Member],0),_xlfn.XMATCH(Y$2,Table2[#Headers],0)))</f>
        <v>#N/A</v>
      </c>
      <c r="Z253" s="4" t="e" cm="1">
        <f t="array" ref="Z253">IF(INDEX(Table2[],_xlfn.XMATCH($A253,Table2[Steel Member],0),_xlfn.XMATCH(Z$2,Table2[#Headers],0))=0,"",INDEX(Table2[],_xlfn.XMATCH($A253,Table2[Steel Member],0),_xlfn.XMATCH(Z$2,Table2[#Headers],0)))</f>
        <v>#N/A</v>
      </c>
      <c r="AA253" s="4" t="e" cm="1">
        <f t="array" ref="AA253">IF(INDEX(Table2[],_xlfn.XMATCH($A253,Table2[Steel Member],0),_xlfn.XMATCH(AA$2,Table2[#Headers],0))=0,"",INDEX(Table2[],_xlfn.XMATCH($A253,Table2[Steel Member],0),_xlfn.XMATCH(AA$2,Table2[#Headers],0)))</f>
        <v>#N/A</v>
      </c>
      <c r="AB253" s="4" t="e" cm="1">
        <f t="array" ref="AB253">IF(INDEX(Table2[],_xlfn.XMATCH($A253,Table2[Steel Member],0),_xlfn.XMATCH(AB$2,Table2[#Headers],0))=0,"",INDEX(Table2[],_xlfn.XMATCH($A253,Table2[Steel Member],0),_xlfn.XMATCH(AB$2,Table2[#Headers],0)))</f>
        <v>#N/A</v>
      </c>
      <c r="AC253" s="4" t="str" cm="1">
        <f t="array" ref="AC253">IFERROR(INDEX(Table8[],_xlfn.XMATCH($O253,Table8[Dimension Name Category],0),_xlfn.XMATCH(AC$2&amp;IF($L253," w/ tag"," w/o tag"),Table8[#Headers],0)),"")</f>
        <v/>
      </c>
      <c r="AD253" s="59" t="str">
        <f t="shared" si="81"/>
        <v/>
      </c>
      <c r="AE253" s="4" t="str">
        <f t="shared" si="82"/>
        <v/>
      </c>
      <c r="AF253" s="4" t="str">
        <f t="shared" si="83"/>
        <v/>
      </c>
      <c r="AG253" s="4" t="str" cm="1">
        <f t="array" ref="AG253">IFERROR(INDEX(Table8[],_xlfn.XMATCH($O253,Table8[Dimension Name Category],0),_xlfn.XMATCH(AG$2&amp;IF($L253," w/ tag"," w/o tag"),Table8[#Headers],0)),"")</f>
        <v/>
      </c>
      <c r="AH253" s="59" t="str">
        <f t="shared" si="84"/>
        <v/>
      </c>
      <c r="AI253" s="4"/>
      <c r="AJ253" s="4" t="str">
        <f t="shared" si="85"/>
        <v/>
      </c>
      <c r="AK253" s="4" t="str">
        <f t="shared" si="86"/>
        <v/>
      </c>
      <c r="AL253" s="4" t="e" cm="1">
        <f t="array" ref="AL253">IF(INDEX(Table2[],_xlfn.XMATCH($A253,Table2[Steel Member],0),_xlfn.XMATCH(AL$2,Table2[#Headers],0))=0,"",INDEX(Table2[],_xlfn.XMATCH($A253,Table2[Steel Member],0),_xlfn.XMATCH(AL$2,Table2[#Headers],0)))</f>
        <v>#N/A</v>
      </c>
      <c r="AM253" s="4"/>
      <c r="AN253" s="4" t="str">
        <f t="shared" si="87"/>
        <v/>
      </c>
      <c r="AO253" s="4"/>
      <c r="AP253" s="4" t="e" cm="1">
        <f t="array" ref="AP253">IF(INDEX(Table2[],_xlfn.XMATCH($A253,Table2[Steel Member],0),_xlfn.XMATCH(AP$2,Table2[#Headers],0))=0,"",INDEX(Table2[],_xlfn.XMATCH($A253,Table2[Steel Member],0),_xlfn.XMATCH(AP$2,Table2[#Headers],0)))</f>
        <v>#N/A</v>
      </c>
      <c r="AQ253" s="4"/>
      <c r="AR253" s="4"/>
      <c r="AS253" s="4"/>
      <c r="AT253" s="4"/>
    </row>
    <row r="254" spans="1:46" x14ac:dyDescent="0.25">
      <c r="A254" s="52"/>
      <c r="B254" s="52"/>
      <c r="C254" s="52"/>
      <c r="D254" s="52"/>
      <c r="E254" s="52"/>
      <c r="F254" s="64" cm="1">
        <f t="array" ref="F254">IF(COUNT(FIND(PurlinsxGirthsxBracings,$C254))&gt;0,0,ROUNDUP(IF(D254=0,0,VLOOKUP(D254,'DATA SHEET'!$B:$D,2,FALSE)),2))</f>
        <v>0</v>
      </c>
      <c r="G254" s="64" cm="1">
        <f t="array" ref="G254">IF(COUNT(FIND(PurlinsxGirthsxBracings,$C254))&gt;0,0,ROUNDUP(IF(D254=0,0,VLOOKUP(D254,'DATA SHEET'!$B:$D,3,FALSE)),2))</f>
        <v>0</v>
      </c>
      <c r="H254" s="53"/>
      <c r="I254" s="66" cm="1">
        <f t="array" ref="I254">IF(AND(ISBLANK(B254),ISBLANK(C254),ISBLANK(E254)),0,IF(COUNT(FIND(PurlinsxGirthsxBracings,$C254))&gt;0,IF(B254=0,CONCATENATE(E254," ",C254),CONCATENATE(B254," - ",E254," ",C254)),IF(B254=0,IF(ISBLANK(C254),E254,CONCATENATE(D254,", ",F254,"kg/m, ",G254,"mm surface perimeter")),IF(AND(ISBLANK(C254),ISTEXT(E254)),CONCATENATE(B254," - ",E254),IF(AND(ISBLANK(C254),ISBLANK(E254)),B254,CONCATENATE(B254," - ",D254,", ",F254,"kg/m, ",G254,"mm surface perimeter"))))&amp;IF(ISBLANK(H254),"",H254)))</f>
        <v>0</v>
      </c>
      <c r="J254" s="53"/>
      <c r="L254" s="4" t="str" cm="1">
        <f t="array" ref="L254">IF(COUNT(FIND({0,1,2,3,4,5,6,7,8,9},B254))&gt;0,COUNT(FIND({0,1,2,3,4,5,6,7,8,9},B254))&gt;0,"")</f>
        <v/>
      </c>
      <c r="M254" s="4" t="str" cm="1">
        <f t="array" aca="1" ref="M254" ca="1">IFERROR(_xlfn.IFS(R254="Count",RANDBETWEEN(1,COUNTIF($R$11:$R$653,"Count")),R254="Length",RANDBETWEEN(1,COUNTIF($R$11:$R$653,"Length"))),"")</f>
        <v/>
      </c>
      <c r="N254" s="4" t="str">
        <f ca="1">IFERROR(_xlfn.RANK.EQ(M254,$M$11:$M$653)+COUNTIF($M$11:M254,M254)-1,"")</f>
        <v/>
      </c>
      <c r="O254" s="86" t="str">
        <f>IF(A254='DATA SHEET'!$L$36,C254,IFERROR(IF(AND(ISTEXT(I254),ISBLANK(C254)),"No details",VLOOKUP(C254,DimFolder,2,FALSE)),""))</f>
        <v/>
      </c>
      <c r="P254" s="4" t="str">
        <f t="shared" si="77"/>
        <v/>
      </c>
      <c r="Q254" s="58" t="str">
        <f t="shared" si="88"/>
        <v/>
      </c>
      <c r="R254" s="4" t="e" cm="1">
        <f t="array" ref="R254">IF(INDEX(Table2[],_xlfn.XMATCH($A254,Table2[Steel Member],0),_xlfn.XMATCH(R$2,Table2[#Headers],0))=0,"",INDEX(Table2[],_xlfn.XMATCH($A254,Table2[Steel Member],0),_xlfn.XMATCH(R$2,Table2[#Headers],0)))</f>
        <v>#N/A</v>
      </c>
      <c r="S254" s="4" t="e" cm="1">
        <f t="array" ref="S254">IF(INDEX(Table2[],_xlfn.XMATCH($A254,Table2[Steel Member],0),_xlfn.XMATCH(S$2,Table2[#Headers],0))=0,"",INDEX(Table2[],_xlfn.XMATCH($A254,Table2[Steel Member],0),_xlfn.XMATCH(S$2,Table2[#Headers],0)))</f>
        <v>#N/A</v>
      </c>
      <c r="T254" s="4" t="str">
        <f t="shared" si="79"/>
        <v/>
      </c>
      <c r="U254" s="4" t="e">
        <f ca="1">VLOOKUP(N254,'COLOR CODE'!$B:$D,2,FALSE)</f>
        <v>#N/A</v>
      </c>
      <c r="V254" s="4" t="str">
        <f t="shared" si="80"/>
        <v/>
      </c>
      <c r="W254" s="4" t="e" cm="1">
        <f t="array" ref="W254">IF(INDEX(Table2[],_xlfn.XMATCH($A254,Table2[Steel Member],0),_xlfn.XMATCH(W$2,Table2[#Headers],0))=0,"",INDEX(Table2[],_xlfn.XMATCH($A254,Table2[Steel Member],0),_xlfn.XMATCH(W$2,Table2[#Headers],0)))</f>
        <v>#N/A</v>
      </c>
      <c r="X254" s="4" t="e">
        <f t="shared" si="78"/>
        <v>#N/A</v>
      </c>
      <c r="Y254" s="4" t="e" cm="1">
        <f t="array" ref="Y254">IF(INDEX(Table2[],_xlfn.XMATCH($A254,Table2[Steel Member],0),_xlfn.XMATCH(Y$2,Table2[#Headers],0))=0,"",INDEX(Table2[],_xlfn.XMATCH($A254,Table2[Steel Member],0),_xlfn.XMATCH(Y$2,Table2[#Headers],0)))</f>
        <v>#N/A</v>
      </c>
      <c r="Z254" s="4" t="e" cm="1">
        <f t="array" ref="Z254">IF(INDEX(Table2[],_xlfn.XMATCH($A254,Table2[Steel Member],0),_xlfn.XMATCH(Z$2,Table2[#Headers],0))=0,"",INDEX(Table2[],_xlfn.XMATCH($A254,Table2[Steel Member],0),_xlfn.XMATCH(Z$2,Table2[#Headers],0)))</f>
        <v>#N/A</v>
      </c>
      <c r="AA254" s="4" t="e" cm="1">
        <f t="array" ref="AA254">IF(INDEX(Table2[],_xlfn.XMATCH($A254,Table2[Steel Member],0),_xlfn.XMATCH(AA$2,Table2[#Headers],0))=0,"",INDEX(Table2[],_xlfn.XMATCH($A254,Table2[Steel Member],0),_xlfn.XMATCH(AA$2,Table2[#Headers],0)))</f>
        <v>#N/A</v>
      </c>
      <c r="AB254" s="4" t="e" cm="1">
        <f t="array" ref="AB254">IF(INDEX(Table2[],_xlfn.XMATCH($A254,Table2[Steel Member],0),_xlfn.XMATCH(AB$2,Table2[#Headers],0))=0,"",INDEX(Table2[],_xlfn.XMATCH($A254,Table2[Steel Member],0),_xlfn.XMATCH(AB$2,Table2[#Headers],0)))</f>
        <v>#N/A</v>
      </c>
      <c r="AC254" s="4" t="str" cm="1">
        <f t="array" ref="AC254">IFERROR(INDEX(Table8[],_xlfn.XMATCH($O254,Table8[Dimension Name Category],0),_xlfn.XMATCH(AC$2&amp;IF($L254," w/ tag"," w/o tag"),Table8[#Headers],0)),"")</f>
        <v/>
      </c>
      <c r="AD254" s="59" t="str">
        <f t="shared" si="81"/>
        <v/>
      </c>
      <c r="AE254" s="4" t="str">
        <f t="shared" si="82"/>
        <v/>
      </c>
      <c r="AF254" s="4" t="str">
        <f t="shared" si="83"/>
        <v/>
      </c>
      <c r="AG254" s="4" t="str" cm="1">
        <f t="array" ref="AG254">IFERROR(INDEX(Table8[],_xlfn.XMATCH($O254,Table8[Dimension Name Category],0),_xlfn.XMATCH(AG$2&amp;IF($L254," w/ tag"," w/o tag"),Table8[#Headers],0)),"")</f>
        <v/>
      </c>
      <c r="AH254" s="59" t="str">
        <f t="shared" si="84"/>
        <v/>
      </c>
      <c r="AI254" s="4"/>
      <c r="AJ254" s="4" t="str">
        <f t="shared" si="85"/>
        <v/>
      </c>
      <c r="AK254" s="4" t="str">
        <f t="shared" si="86"/>
        <v/>
      </c>
      <c r="AL254" s="4" t="e" cm="1">
        <f t="array" ref="AL254">IF(INDEX(Table2[],_xlfn.XMATCH($A254,Table2[Steel Member],0),_xlfn.XMATCH(AL$2,Table2[#Headers],0))=0,"",INDEX(Table2[],_xlfn.XMATCH($A254,Table2[Steel Member],0),_xlfn.XMATCH(AL$2,Table2[#Headers],0)))</f>
        <v>#N/A</v>
      </c>
      <c r="AM254" s="4"/>
      <c r="AN254" s="4" t="str">
        <f t="shared" si="87"/>
        <v/>
      </c>
      <c r="AO254" s="4"/>
      <c r="AP254" s="4" t="e" cm="1">
        <f t="array" ref="AP254">IF(INDEX(Table2[],_xlfn.XMATCH($A254,Table2[Steel Member],0),_xlfn.XMATCH(AP$2,Table2[#Headers],0))=0,"",INDEX(Table2[],_xlfn.XMATCH($A254,Table2[Steel Member],0),_xlfn.XMATCH(AP$2,Table2[#Headers],0)))</f>
        <v>#N/A</v>
      </c>
      <c r="AQ254" s="4"/>
      <c r="AR254" s="4"/>
      <c r="AS254" s="4"/>
      <c r="AT254" s="4"/>
    </row>
    <row r="255" spans="1:46" x14ac:dyDescent="0.25">
      <c r="A255" s="52"/>
      <c r="B255" s="52"/>
      <c r="C255" s="52"/>
      <c r="D255" s="52"/>
      <c r="E255" s="52"/>
      <c r="F255" s="64" cm="1">
        <f t="array" ref="F255">IF(COUNT(FIND(PurlinsxGirthsxBracings,$C255))&gt;0,0,ROUNDUP(IF(D255=0,0,VLOOKUP(D255,'DATA SHEET'!$B:$D,2,FALSE)),2))</f>
        <v>0</v>
      </c>
      <c r="G255" s="64" cm="1">
        <f t="array" ref="G255">IF(COUNT(FIND(PurlinsxGirthsxBracings,$C255))&gt;0,0,ROUNDUP(IF(D255=0,0,VLOOKUP(D255,'DATA SHEET'!$B:$D,3,FALSE)),2))</f>
        <v>0</v>
      </c>
      <c r="H255" s="53"/>
      <c r="I255" s="66" cm="1">
        <f t="array" ref="I255">IF(AND(ISBLANK(B255),ISBLANK(C255),ISBLANK(E255)),0,IF(COUNT(FIND(PurlinsxGirthsxBracings,$C255))&gt;0,IF(B255=0,CONCATENATE(E255," ",C255),CONCATENATE(B255," - ",E255," ",C255)),IF(B255=0,IF(ISBLANK(C255),E255,CONCATENATE(D255,", ",F255,"kg/m, ",G255,"mm surface perimeter")),IF(AND(ISBLANK(C255),ISTEXT(E255)),CONCATENATE(B255," - ",E255),IF(AND(ISBLANK(C255),ISBLANK(E255)),B255,CONCATENATE(B255," - ",D255,", ",F255,"kg/m, ",G255,"mm surface perimeter"))))&amp;IF(ISBLANK(H255),"",H255)))</f>
        <v>0</v>
      </c>
      <c r="J255" s="53"/>
      <c r="L255" s="4" t="str" cm="1">
        <f t="array" ref="L255">IF(COUNT(FIND({0,1,2,3,4,5,6,7,8,9},B255))&gt;0,COUNT(FIND({0,1,2,3,4,5,6,7,8,9},B255))&gt;0,"")</f>
        <v/>
      </c>
      <c r="M255" s="4" t="str" cm="1">
        <f t="array" aca="1" ref="M255" ca="1">IFERROR(_xlfn.IFS(R255="Count",RANDBETWEEN(1,COUNTIF($R$11:$R$653,"Count")),R255="Length",RANDBETWEEN(1,COUNTIF($R$11:$R$653,"Length"))),"")</f>
        <v/>
      </c>
      <c r="N255" s="4" t="str">
        <f ca="1">IFERROR(_xlfn.RANK.EQ(M255,$M$11:$M$653)+COUNTIF($M$11:M255,M255)-1,"")</f>
        <v/>
      </c>
      <c r="O255" s="86" t="str">
        <f>IF(A255='DATA SHEET'!$L$36,C255,IFERROR(IF(AND(ISTEXT(I255),ISBLANK(C255)),"No details",VLOOKUP(C255,DimFolder,2,FALSE)),""))</f>
        <v/>
      </c>
      <c r="P255" s="4" t="str">
        <f t="shared" si="77"/>
        <v/>
      </c>
      <c r="Q255" s="58" t="str">
        <f t="shared" si="88"/>
        <v/>
      </c>
      <c r="R255" s="4" t="e" cm="1">
        <f t="array" ref="R255">IF(INDEX(Table2[],_xlfn.XMATCH($A255,Table2[Steel Member],0),_xlfn.XMATCH(R$2,Table2[#Headers],0))=0,"",INDEX(Table2[],_xlfn.XMATCH($A255,Table2[Steel Member],0),_xlfn.XMATCH(R$2,Table2[#Headers],0)))</f>
        <v>#N/A</v>
      </c>
      <c r="S255" s="4" t="e" cm="1">
        <f t="array" ref="S255">IF(INDEX(Table2[],_xlfn.XMATCH($A255,Table2[Steel Member],0),_xlfn.XMATCH(S$2,Table2[#Headers],0))=0,"",INDEX(Table2[],_xlfn.XMATCH($A255,Table2[Steel Member],0),_xlfn.XMATCH(S$2,Table2[#Headers],0)))</f>
        <v>#N/A</v>
      </c>
      <c r="T255" s="4" t="str">
        <f t="shared" si="79"/>
        <v/>
      </c>
      <c r="U255" s="4" t="e">
        <f ca="1">VLOOKUP(N255,'COLOR CODE'!$B:$D,2,FALSE)</f>
        <v>#N/A</v>
      </c>
      <c r="V255" s="4" t="str">
        <f t="shared" si="80"/>
        <v/>
      </c>
      <c r="W255" s="4" t="e" cm="1">
        <f t="array" ref="W255">IF(INDEX(Table2[],_xlfn.XMATCH($A255,Table2[Steel Member],0),_xlfn.XMATCH(W$2,Table2[#Headers],0))=0,"",INDEX(Table2[],_xlfn.XMATCH($A255,Table2[Steel Member],0),_xlfn.XMATCH(W$2,Table2[#Headers],0)))</f>
        <v>#N/A</v>
      </c>
      <c r="X255" s="4" t="e">
        <f t="shared" si="78"/>
        <v>#N/A</v>
      </c>
      <c r="Y255" s="4" t="e" cm="1">
        <f t="array" ref="Y255">IF(INDEX(Table2[],_xlfn.XMATCH($A255,Table2[Steel Member],0),_xlfn.XMATCH(Y$2,Table2[#Headers],0))=0,"",INDEX(Table2[],_xlfn.XMATCH($A255,Table2[Steel Member],0),_xlfn.XMATCH(Y$2,Table2[#Headers],0)))</f>
        <v>#N/A</v>
      </c>
      <c r="Z255" s="4" t="e" cm="1">
        <f t="array" ref="Z255">IF(INDEX(Table2[],_xlfn.XMATCH($A255,Table2[Steel Member],0),_xlfn.XMATCH(Z$2,Table2[#Headers],0))=0,"",INDEX(Table2[],_xlfn.XMATCH($A255,Table2[Steel Member],0),_xlfn.XMATCH(Z$2,Table2[#Headers],0)))</f>
        <v>#N/A</v>
      </c>
      <c r="AA255" s="4" t="e" cm="1">
        <f t="array" ref="AA255">IF(INDEX(Table2[],_xlfn.XMATCH($A255,Table2[Steel Member],0),_xlfn.XMATCH(AA$2,Table2[#Headers],0))=0,"",INDEX(Table2[],_xlfn.XMATCH($A255,Table2[Steel Member],0),_xlfn.XMATCH(AA$2,Table2[#Headers],0)))</f>
        <v>#N/A</v>
      </c>
      <c r="AB255" s="4" t="e" cm="1">
        <f t="array" ref="AB255">IF(INDEX(Table2[],_xlfn.XMATCH($A255,Table2[Steel Member],0),_xlfn.XMATCH(AB$2,Table2[#Headers],0))=0,"",INDEX(Table2[],_xlfn.XMATCH($A255,Table2[Steel Member],0),_xlfn.XMATCH(AB$2,Table2[#Headers],0)))</f>
        <v>#N/A</v>
      </c>
      <c r="AC255" s="4" t="str" cm="1">
        <f t="array" ref="AC255">IFERROR(INDEX(Table8[],_xlfn.XMATCH($O255,Table8[Dimension Name Category],0),_xlfn.XMATCH(AC$2&amp;IF($L255," w/ tag"," w/o tag"),Table8[#Headers],0)),"")</f>
        <v/>
      </c>
      <c r="AD255" s="59" t="str">
        <f t="shared" si="81"/>
        <v/>
      </c>
      <c r="AE255" s="4" t="str">
        <f t="shared" si="82"/>
        <v/>
      </c>
      <c r="AF255" s="4" t="str">
        <f t="shared" si="83"/>
        <v/>
      </c>
      <c r="AG255" s="4" t="str" cm="1">
        <f t="array" ref="AG255">IFERROR(INDEX(Table8[],_xlfn.XMATCH($O255,Table8[Dimension Name Category],0),_xlfn.XMATCH(AG$2&amp;IF($L255," w/ tag"," w/o tag"),Table8[#Headers],0)),"")</f>
        <v/>
      </c>
      <c r="AH255" s="59" t="str">
        <f t="shared" si="84"/>
        <v/>
      </c>
      <c r="AI255" s="4"/>
      <c r="AJ255" s="4" t="str">
        <f t="shared" si="85"/>
        <v/>
      </c>
      <c r="AK255" s="4" t="str">
        <f t="shared" si="86"/>
        <v/>
      </c>
      <c r="AL255" s="4" t="e" cm="1">
        <f t="array" ref="AL255">IF(INDEX(Table2[],_xlfn.XMATCH($A255,Table2[Steel Member],0),_xlfn.XMATCH(AL$2,Table2[#Headers],0))=0,"",INDEX(Table2[],_xlfn.XMATCH($A255,Table2[Steel Member],0),_xlfn.XMATCH(AL$2,Table2[#Headers],0)))</f>
        <v>#N/A</v>
      </c>
      <c r="AM255" s="4"/>
      <c r="AN255" s="4" t="str">
        <f t="shared" si="87"/>
        <v/>
      </c>
      <c r="AO255" s="4"/>
      <c r="AP255" s="4" t="e" cm="1">
        <f t="array" ref="AP255">IF(INDEX(Table2[],_xlfn.XMATCH($A255,Table2[Steel Member],0),_xlfn.XMATCH(AP$2,Table2[#Headers],0))=0,"",INDEX(Table2[],_xlfn.XMATCH($A255,Table2[Steel Member],0),_xlfn.XMATCH(AP$2,Table2[#Headers],0)))</f>
        <v>#N/A</v>
      </c>
      <c r="AQ255" s="4"/>
      <c r="AR255" s="4"/>
      <c r="AS255" s="4"/>
      <c r="AT255" s="4"/>
    </row>
    <row r="256" spans="1:46" x14ac:dyDescent="0.25">
      <c r="A256" s="52"/>
      <c r="B256" s="52"/>
      <c r="C256" s="52"/>
      <c r="D256" s="52"/>
      <c r="E256" s="52"/>
      <c r="F256" s="64" cm="1">
        <f t="array" ref="F256">IF(COUNT(FIND(PurlinsxGirthsxBracings,$C256))&gt;0,0,ROUNDUP(IF(D256=0,0,VLOOKUP(D256,'DATA SHEET'!$B:$D,2,FALSE)),2))</f>
        <v>0</v>
      </c>
      <c r="G256" s="64" cm="1">
        <f t="array" ref="G256">IF(COUNT(FIND(PurlinsxGirthsxBracings,$C256))&gt;0,0,ROUNDUP(IF(D256=0,0,VLOOKUP(D256,'DATA SHEET'!$B:$D,3,FALSE)),2))</f>
        <v>0</v>
      </c>
      <c r="H256" s="53"/>
      <c r="I256" s="66" cm="1">
        <f t="array" ref="I256">IF(AND(ISBLANK(B256),ISBLANK(C256),ISBLANK(E256)),0,IF(COUNT(FIND(PurlinsxGirthsxBracings,$C256))&gt;0,IF(B256=0,CONCATENATE(E256," ",C256),CONCATENATE(B256," - ",E256," ",C256)),IF(B256=0,IF(ISBLANK(C256),E256,CONCATENATE(D256,", ",F256,"kg/m, ",G256,"mm surface perimeter")),IF(AND(ISBLANK(C256),ISTEXT(E256)),CONCATENATE(B256," - ",E256),IF(AND(ISBLANK(C256),ISBLANK(E256)),B256,CONCATENATE(B256," - ",D256,", ",F256,"kg/m, ",G256,"mm surface perimeter"))))&amp;IF(ISBLANK(H256),"",H256)))</f>
        <v>0</v>
      </c>
      <c r="J256" s="53"/>
      <c r="L256" s="4" t="str" cm="1">
        <f t="array" ref="L256">IF(COUNT(FIND({0,1,2,3,4,5,6,7,8,9},B256))&gt;0,COUNT(FIND({0,1,2,3,4,5,6,7,8,9},B256))&gt;0,"")</f>
        <v/>
      </c>
      <c r="M256" s="4" t="str" cm="1">
        <f t="array" aca="1" ref="M256" ca="1">IFERROR(_xlfn.IFS(R256="Count",RANDBETWEEN(1,COUNTIF($R$11:$R$653,"Count")),R256="Length",RANDBETWEEN(1,COUNTIF($R$11:$R$653,"Length"))),"")</f>
        <v/>
      </c>
      <c r="N256" s="4" t="str">
        <f ca="1">IFERROR(_xlfn.RANK.EQ(M256,$M$11:$M$653)+COUNTIF($M$11:M256,M256)-1,"")</f>
        <v/>
      </c>
      <c r="O256" s="86" t="str">
        <f>IF(A256='DATA SHEET'!$L$36,C256,IFERROR(IF(AND(ISTEXT(I256),ISBLANK(C256)),"No details",VLOOKUP(C256,DimFolder,2,FALSE)),""))</f>
        <v/>
      </c>
      <c r="P256" s="4" t="str">
        <f t="shared" si="77"/>
        <v/>
      </c>
      <c r="Q256" s="58" t="str">
        <f t="shared" si="88"/>
        <v/>
      </c>
      <c r="R256" s="4" t="e" cm="1">
        <f t="array" ref="R256">IF(INDEX(Table2[],_xlfn.XMATCH($A256,Table2[Steel Member],0),_xlfn.XMATCH(R$2,Table2[#Headers],0))=0,"",INDEX(Table2[],_xlfn.XMATCH($A256,Table2[Steel Member],0),_xlfn.XMATCH(R$2,Table2[#Headers],0)))</f>
        <v>#N/A</v>
      </c>
      <c r="S256" s="4" t="e" cm="1">
        <f t="array" ref="S256">IF(INDEX(Table2[],_xlfn.XMATCH($A256,Table2[Steel Member],0),_xlfn.XMATCH(S$2,Table2[#Headers],0))=0,"",INDEX(Table2[],_xlfn.XMATCH($A256,Table2[Steel Member],0),_xlfn.XMATCH(S$2,Table2[#Headers],0)))</f>
        <v>#N/A</v>
      </c>
      <c r="T256" s="4" t="str">
        <f t="shared" si="79"/>
        <v/>
      </c>
      <c r="U256" s="4" t="e">
        <f ca="1">VLOOKUP(N256,'COLOR CODE'!$B:$D,2,FALSE)</f>
        <v>#N/A</v>
      </c>
      <c r="V256" s="4" t="str">
        <f t="shared" si="80"/>
        <v/>
      </c>
      <c r="W256" s="4" t="e" cm="1">
        <f t="array" ref="W256">IF(INDEX(Table2[],_xlfn.XMATCH($A256,Table2[Steel Member],0),_xlfn.XMATCH(W$2,Table2[#Headers],0))=0,"",INDEX(Table2[],_xlfn.XMATCH($A256,Table2[Steel Member],0),_xlfn.XMATCH(W$2,Table2[#Headers],0)))</f>
        <v>#N/A</v>
      </c>
      <c r="X256" s="4" t="e">
        <f t="shared" si="78"/>
        <v>#N/A</v>
      </c>
      <c r="Y256" s="4" t="e" cm="1">
        <f t="array" ref="Y256">IF(INDEX(Table2[],_xlfn.XMATCH($A256,Table2[Steel Member],0),_xlfn.XMATCH(Y$2,Table2[#Headers],0))=0,"",INDEX(Table2[],_xlfn.XMATCH($A256,Table2[Steel Member],0),_xlfn.XMATCH(Y$2,Table2[#Headers],0)))</f>
        <v>#N/A</v>
      </c>
      <c r="Z256" s="4" t="e" cm="1">
        <f t="array" ref="Z256">IF(INDEX(Table2[],_xlfn.XMATCH($A256,Table2[Steel Member],0),_xlfn.XMATCH(Z$2,Table2[#Headers],0))=0,"",INDEX(Table2[],_xlfn.XMATCH($A256,Table2[Steel Member],0),_xlfn.XMATCH(Z$2,Table2[#Headers],0)))</f>
        <v>#N/A</v>
      </c>
      <c r="AA256" s="4" t="e" cm="1">
        <f t="array" ref="AA256">IF(INDEX(Table2[],_xlfn.XMATCH($A256,Table2[Steel Member],0),_xlfn.XMATCH(AA$2,Table2[#Headers],0))=0,"",INDEX(Table2[],_xlfn.XMATCH($A256,Table2[Steel Member],0),_xlfn.XMATCH(AA$2,Table2[#Headers],0)))</f>
        <v>#N/A</v>
      </c>
      <c r="AB256" s="4" t="e" cm="1">
        <f t="array" ref="AB256">IF(INDEX(Table2[],_xlfn.XMATCH($A256,Table2[Steel Member],0),_xlfn.XMATCH(AB$2,Table2[#Headers],0))=0,"",INDEX(Table2[],_xlfn.XMATCH($A256,Table2[Steel Member],0),_xlfn.XMATCH(AB$2,Table2[#Headers],0)))</f>
        <v>#N/A</v>
      </c>
      <c r="AC256" s="4" t="str" cm="1">
        <f t="array" ref="AC256">IFERROR(INDEX(Table8[],_xlfn.XMATCH($O256,Table8[Dimension Name Category],0),_xlfn.XMATCH(AC$2&amp;IF($L256," w/ tag"," w/o tag"),Table8[#Headers],0)),"")</f>
        <v/>
      </c>
      <c r="AD256" s="59" t="str">
        <f t="shared" si="81"/>
        <v/>
      </c>
      <c r="AE256" s="4" t="str">
        <f t="shared" si="82"/>
        <v/>
      </c>
      <c r="AF256" s="4" t="str">
        <f t="shared" si="83"/>
        <v/>
      </c>
      <c r="AG256" s="4" t="str" cm="1">
        <f t="array" ref="AG256">IFERROR(INDEX(Table8[],_xlfn.XMATCH($O256,Table8[Dimension Name Category],0),_xlfn.XMATCH(AG$2&amp;IF($L256," w/ tag"," w/o tag"),Table8[#Headers],0)),"")</f>
        <v/>
      </c>
      <c r="AH256" s="59" t="str">
        <f t="shared" si="84"/>
        <v/>
      </c>
      <c r="AI256" s="4"/>
      <c r="AJ256" s="4" t="str">
        <f t="shared" si="85"/>
        <v/>
      </c>
      <c r="AK256" s="4" t="str">
        <f t="shared" si="86"/>
        <v/>
      </c>
      <c r="AL256" s="4" t="e" cm="1">
        <f t="array" ref="AL256">IF(INDEX(Table2[],_xlfn.XMATCH($A256,Table2[Steel Member],0),_xlfn.XMATCH(AL$2,Table2[#Headers],0))=0,"",INDEX(Table2[],_xlfn.XMATCH($A256,Table2[Steel Member],0),_xlfn.XMATCH(AL$2,Table2[#Headers],0)))</f>
        <v>#N/A</v>
      </c>
      <c r="AM256" s="4"/>
      <c r="AN256" s="4" t="str">
        <f t="shared" si="87"/>
        <v/>
      </c>
      <c r="AO256" s="4"/>
      <c r="AP256" s="4" t="e" cm="1">
        <f t="array" ref="AP256">IF(INDEX(Table2[],_xlfn.XMATCH($A256,Table2[Steel Member],0),_xlfn.XMATCH(AP$2,Table2[#Headers],0))=0,"",INDEX(Table2[],_xlfn.XMATCH($A256,Table2[Steel Member],0),_xlfn.XMATCH(AP$2,Table2[#Headers],0)))</f>
        <v>#N/A</v>
      </c>
      <c r="AQ256" s="4"/>
      <c r="AR256" s="4"/>
      <c r="AS256" s="4"/>
      <c r="AT256" s="4"/>
    </row>
    <row r="257" spans="1:46" x14ac:dyDescent="0.25">
      <c r="A257" s="52"/>
      <c r="B257" s="52"/>
      <c r="C257" s="52"/>
      <c r="D257" s="52"/>
      <c r="E257" s="52"/>
      <c r="F257" s="64" cm="1">
        <f t="array" ref="F257">IF(COUNT(FIND(PurlinsxGirthsxBracings,$C257))&gt;0,0,ROUNDUP(IF(D257=0,0,VLOOKUP(D257,'DATA SHEET'!$B:$D,2,FALSE)),2))</f>
        <v>0</v>
      </c>
      <c r="G257" s="64" cm="1">
        <f t="array" ref="G257">IF(COUNT(FIND(PurlinsxGirthsxBracings,$C257))&gt;0,0,ROUNDUP(IF(D257=0,0,VLOOKUP(D257,'DATA SHEET'!$B:$D,3,FALSE)),2))</f>
        <v>0</v>
      </c>
      <c r="H257" s="53"/>
      <c r="I257" s="66" cm="1">
        <f t="array" ref="I257">IF(AND(ISBLANK(B257),ISBLANK(C257),ISBLANK(E257)),0,IF(COUNT(FIND(PurlinsxGirthsxBracings,$C257))&gt;0,IF(B257=0,CONCATENATE(E257," ",C257),CONCATENATE(B257," - ",E257," ",C257)),IF(B257=0,IF(ISBLANK(C257),E257,CONCATENATE(D257,", ",F257,"kg/m, ",G257,"mm surface perimeter")),IF(AND(ISBLANK(C257),ISTEXT(E257)),CONCATENATE(B257," - ",E257),IF(AND(ISBLANK(C257),ISBLANK(E257)),B257,CONCATENATE(B257," - ",D257,", ",F257,"kg/m, ",G257,"mm surface perimeter"))))&amp;IF(ISBLANK(H257),"",H257)))</f>
        <v>0</v>
      </c>
      <c r="J257" s="53"/>
      <c r="L257" s="4" t="str" cm="1">
        <f t="array" ref="L257">IF(COUNT(FIND({0,1,2,3,4,5,6,7,8,9},B257))&gt;0,COUNT(FIND({0,1,2,3,4,5,6,7,8,9},B257))&gt;0,"")</f>
        <v/>
      </c>
      <c r="M257" s="4" t="str" cm="1">
        <f t="array" aca="1" ref="M257" ca="1">IFERROR(_xlfn.IFS(R257="Count",RANDBETWEEN(1,COUNTIF($R$11:$R$653,"Count")),R257="Length",RANDBETWEEN(1,COUNTIF($R$11:$R$653,"Length"))),"")</f>
        <v/>
      </c>
      <c r="N257" s="4" t="str">
        <f ca="1">IFERROR(_xlfn.RANK.EQ(M257,$M$11:$M$653)+COUNTIF($M$11:M257,M257)-1,"")</f>
        <v/>
      </c>
      <c r="O257" s="86" t="str">
        <f>IF(A257='DATA SHEET'!$L$36,C257,IFERROR(IF(AND(ISTEXT(I257),ISBLANK(C257)),"No details",VLOOKUP(C257,DimFolder,2,FALSE)),""))</f>
        <v/>
      </c>
      <c r="P257" s="4" t="str">
        <f t="shared" si="77"/>
        <v/>
      </c>
      <c r="Q257" s="58" t="str">
        <f t="shared" si="88"/>
        <v/>
      </c>
      <c r="R257" s="4" t="e" cm="1">
        <f t="array" ref="R257">IF(INDEX(Table2[],_xlfn.XMATCH($A257,Table2[Steel Member],0),_xlfn.XMATCH(R$2,Table2[#Headers],0))=0,"",INDEX(Table2[],_xlfn.XMATCH($A257,Table2[Steel Member],0),_xlfn.XMATCH(R$2,Table2[#Headers],0)))</f>
        <v>#N/A</v>
      </c>
      <c r="S257" s="4" t="e" cm="1">
        <f t="array" ref="S257">IF(INDEX(Table2[],_xlfn.XMATCH($A257,Table2[Steel Member],0),_xlfn.XMATCH(S$2,Table2[#Headers],0))=0,"",INDEX(Table2[],_xlfn.XMATCH($A257,Table2[Steel Member],0),_xlfn.XMATCH(S$2,Table2[#Headers],0)))</f>
        <v>#N/A</v>
      </c>
      <c r="T257" s="4" t="str">
        <f t="shared" si="79"/>
        <v/>
      </c>
      <c r="U257" s="4" t="e">
        <f ca="1">VLOOKUP(N257,'COLOR CODE'!$B:$D,2,FALSE)</f>
        <v>#N/A</v>
      </c>
      <c r="V257" s="4" t="str">
        <f t="shared" si="80"/>
        <v/>
      </c>
      <c r="W257" s="4" t="e" cm="1">
        <f t="array" ref="W257">IF(INDEX(Table2[],_xlfn.XMATCH($A257,Table2[Steel Member],0),_xlfn.XMATCH(W$2,Table2[#Headers],0))=0,"",INDEX(Table2[],_xlfn.XMATCH($A257,Table2[Steel Member],0),_xlfn.XMATCH(W$2,Table2[#Headers],0)))</f>
        <v>#N/A</v>
      </c>
      <c r="X257" s="4" t="e">
        <f t="shared" si="78"/>
        <v>#N/A</v>
      </c>
      <c r="Y257" s="4" t="e" cm="1">
        <f t="array" ref="Y257">IF(INDEX(Table2[],_xlfn.XMATCH($A257,Table2[Steel Member],0),_xlfn.XMATCH(Y$2,Table2[#Headers],0))=0,"",INDEX(Table2[],_xlfn.XMATCH($A257,Table2[Steel Member],0),_xlfn.XMATCH(Y$2,Table2[#Headers],0)))</f>
        <v>#N/A</v>
      </c>
      <c r="Z257" s="4" t="e" cm="1">
        <f t="array" ref="Z257">IF(INDEX(Table2[],_xlfn.XMATCH($A257,Table2[Steel Member],0),_xlfn.XMATCH(Z$2,Table2[#Headers],0))=0,"",INDEX(Table2[],_xlfn.XMATCH($A257,Table2[Steel Member],0),_xlfn.XMATCH(Z$2,Table2[#Headers],0)))</f>
        <v>#N/A</v>
      </c>
      <c r="AA257" s="4" t="e" cm="1">
        <f t="array" ref="AA257">IF(INDEX(Table2[],_xlfn.XMATCH($A257,Table2[Steel Member],0),_xlfn.XMATCH(AA$2,Table2[#Headers],0))=0,"",INDEX(Table2[],_xlfn.XMATCH($A257,Table2[Steel Member],0),_xlfn.XMATCH(AA$2,Table2[#Headers],0)))</f>
        <v>#N/A</v>
      </c>
      <c r="AB257" s="4" t="e" cm="1">
        <f t="array" ref="AB257">IF(INDEX(Table2[],_xlfn.XMATCH($A257,Table2[Steel Member],0),_xlfn.XMATCH(AB$2,Table2[#Headers],0))=0,"",INDEX(Table2[],_xlfn.XMATCH($A257,Table2[Steel Member],0),_xlfn.XMATCH(AB$2,Table2[#Headers],0)))</f>
        <v>#N/A</v>
      </c>
      <c r="AC257" s="4" t="str" cm="1">
        <f t="array" ref="AC257">IFERROR(INDEX(Table8[],_xlfn.XMATCH($O257,Table8[Dimension Name Category],0),_xlfn.XMATCH(AC$2&amp;IF($L257," w/ tag"," w/o tag"),Table8[#Headers],0)),"")</f>
        <v/>
      </c>
      <c r="AD257" s="59" t="str">
        <f t="shared" si="81"/>
        <v/>
      </c>
      <c r="AE257" s="4" t="str">
        <f t="shared" si="82"/>
        <v/>
      </c>
      <c r="AF257" s="4" t="str">
        <f t="shared" si="83"/>
        <v/>
      </c>
      <c r="AG257" s="4" t="str" cm="1">
        <f t="array" ref="AG257">IFERROR(INDEX(Table8[],_xlfn.XMATCH($O257,Table8[Dimension Name Category],0),_xlfn.XMATCH(AG$2&amp;IF($L257," w/ tag"," w/o tag"),Table8[#Headers],0)),"")</f>
        <v/>
      </c>
      <c r="AH257" s="59" t="str">
        <f t="shared" si="84"/>
        <v/>
      </c>
      <c r="AI257" s="4"/>
      <c r="AJ257" s="4" t="str">
        <f t="shared" si="85"/>
        <v/>
      </c>
      <c r="AK257" s="4" t="str">
        <f t="shared" si="86"/>
        <v/>
      </c>
      <c r="AL257" s="4" t="e" cm="1">
        <f t="array" ref="AL257">IF(INDEX(Table2[],_xlfn.XMATCH($A257,Table2[Steel Member],0),_xlfn.XMATCH(AL$2,Table2[#Headers],0))=0,"",INDEX(Table2[],_xlfn.XMATCH($A257,Table2[Steel Member],0),_xlfn.XMATCH(AL$2,Table2[#Headers],0)))</f>
        <v>#N/A</v>
      </c>
      <c r="AM257" s="4"/>
      <c r="AN257" s="4" t="str">
        <f t="shared" si="87"/>
        <v/>
      </c>
      <c r="AO257" s="4"/>
      <c r="AP257" s="4" t="e" cm="1">
        <f t="array" ref="AP257">IF(INDEX(Table2[],_xlfn.XMATCH($A257,Table2[Steel Member],0),_xlfn.XMATCH(AP$2,Table2[#Headers],0))=0,"",INDEX(Table2[],_xlfn.XMATCH($A257,Table2[Steel Member],0),_xlfn.XMATCH(AP$2,Table2[#Headers],0)))</f>
        <v>#N/A</v>
      </c>
      <c r="AQ257" s="4"/>
      <c r="AR257" s="4"/>
      <c r="AS257" s="4"/>
      <c r="AT257" s="4"/>
    </row>
    <row r="258" spans="1:46" x14ac:dyDescent="0.25">
      <c r="A258" s="52"/>
      <c r="B258" s="52"/>
      <c r="C258" s="52"/>
      <c r="D258" s="52"/>
      <c r="E258" s="52"/>
      <c r="F258" s="64" cm="1">
        <f t="array" ref="F258">IF(COUNT(FIND(PurlinsxGirthsxBracings,$C258))&gt;0,0,ROUNDUP(IF(D258=0,0,VLOOKUP(D258,'DATA SHEET'!$B:$D,2,FALSE)),2))</f>
        <v>0</v>
      </c>
      <c r="G258" s="64" cm="1">
        <f t="array" ref="G258">IF(COUNT(FIND(PurlinsxGirthsxBracings,$C258))&gt;0,0,ROUNDUP(IF(D258=0,0,VLOOKUP(D258,'DATA SHEET'!$B:$D,3,FALSE)),2))</f>
        <v>0</v>
      </c>
      <c r="H258" s="53"/>
      <c r="I258" s="66" cm="1">
        <f t="array" ref="I258">IF(AND(ISBLANK(B258),ISBLANK(C258),ISBLANK(E258)),0,IF(COUNT(FIND(PurlinsxGirthsxBracings,$C258))&gt;0,IF(B258=0,CONCATENATE(E258," ",C258),CONCATENATE(B258," - ",E258," ",C258)),IF(B258=0,IF(ISBLANK(C258),E258,CONCATENATE(D258,", ",F258,"kg/m, ",G258,"mm surface perimeter")),IF(AND(ISBLANK(C258),ISTEXT(E258)),CONCATENATE(B258," - ",E258),IF(AND(ISBLANK(C258),ISBLANK(E258)),B258,CONCATENATE(B258," - ",D258,", ",F258,"kg/m, ",G258,"mm surface perimeter"))))&amp;IF(ISBLANK(H258),"",H258)))</f>
        <v>0</v>
      </c>
      <c r="J258" s="53"/>
      <c r="L258" s="4" t="str" cm="1">
        <f t="array" ref="L258">IF(COUNT(FIND({0,1,2,3,4,5,6,7,8,9},B258))&gt;0,COUNT(FIND({0,1,2,3,4,5,6,7,8,9},B258))&gt;0,"")</f>
        <v/>
      </c>
      <c r="M258" s="4" t="str" cm="1">
        <f t="array" aca="1" ref="M258" ca="1">IFERROR(_xlfn.IFS(R258="Count",RANDBETWEEN(1,COUNTIF($R$11:$R$653,"Count")),R258="Length",RANDBETWEEN(1,COUNTIF($R$11:$R$653,"Length"))),"")</f>
        <v/>
      </c>
      <c r="N258" s="4" t="str">
        <f ca="1">IFERROR(_xlfn.RANK.EQ(M258,$M$11:$M$653)+COUNTIF($M$11:M258,M258)-1,"")</f>
        <v/>
      </c>
      <c r="O258" s="86" t="str">
        <f>IF(A258='DATA SHEET'!$L$36,C258,IFERROR(IF(AND(ISTEXT(I258),ISBLANK(C258)),"No details",VLOOKUP(C258,DimFolder,2,FALSE)),""))</f>
        <v/>
      </c>
      <c r="P258" s="4" t="str">
        <f t="shared" si="77"/>
        <v/>
      </c>
      <c r="Q258" s="58" t="str">
        <f t="shared" si="88"/>
        <v/>
      </c>
      <c r="R258" s="4" t="e" cm="1">
        <f t="array" ref="R258">IF(INDEX(Table2[],_xlfn.XMATCH($A258,Table2[Steel Member],0),_xlfn.XMATCH(R$2,Table2[#Headers],0))=0,"",INDEX(Table2[],_xlfn.XMATCH($A258,Table2[Steel Member],0),_xlfn.XMATCH(R$2,Table2[#Headers],0)))</f>
        <v>#N/A</v>
      </c>
      <c r="S258" s="4" t="e" cm="1">
        <f t="array" ref="S258">IF(INDEX(Table2[],_xlfn.XMATCH($A258,Table2[Steel Member],0),_xlfn.XMATCH(S$2,Table2[#Headers],0))=0,"",INDEX(Table2[],_xlfn.XMATCH($A258,Table2[Steel Member],0),_xlfn.XMATCH(S$2,Table2[#Headers],0)))</f>
        <v>#N/A</v>
      </c>
      <c r="T258" s="4" t="str">
        <f t="shared" si="79"/>
        <v/>
      </c>
      <c r="U258" s="4" t="e">
        <f ca="1">VLOOKUP(N258,'COLOR CODE'!$B:$D,2,FALSE)</f>
        <v>#N/A</v>
      </c>
      <c r="V258" s="4" t="str">
        <f t="shared" si="80"/>
        <v/>
      </c>
      <c r="W258" s="4" t="e" cm="1">
        <f t="array" ref="W258">IF(INDEX(Table2[],_xlfn.XMATCH($A258,Table2[Steel Member],0),_xlfn.XMATCH(W$2,Table2[#Headers],0))=0,"",INDEX(Table2[],_xlfn.XMATCH($A258,Table2[Steel Member],0),_xlfn.XMATCH(W$2,Table2[#Headers],0)))</f>
        <v>#N/A</v>
      </c>
      <c r="X258" s="4" t="e">
        <f t="shared" si="78"/>
        <v>#N/A</v>
      </c>
      <c r="Y258" s="4" t="e" cm="1">
        <f t="array" ref="Y258">IF(INDEX(Table2[],_xlfn.XMATCH($A258,Table2[Steel Member],0),_xlfn.XMATCH(Y$2,Table2[#Headers],0))=0,"",INDEX(Table2[],_xlfn.XMATCH($A258,Table2[Steel Member],0),_xlfn.XMATCH(Y$2,Table2[#Headers],0)))</f>
        <v>#N/A</v>
      </c>
      <c r="Z258" s="4" t="e" cm="1">
        <f t="array" ref="Z258">IF(INDEX(Table2[],_xlfn.XMATCH($A258,Table2[Steel Member],0),_xlfn.XMATCH(Z$2,Table2[#Headers],0))=0,"",INDEX(Table2[],_xlfn.XMATCH($A258,Table2[Steel Member],0),_xlfn.XMATCH(Z$2,Table2[#Headers],0)))</f>
        <v>#N/A</v>
      </c>
      <c r="AA258" s="4" t="e" cm="1">
        <f t="array" ref="AA258">IF(INDEX(Table2[],_xlfn.XMATCH($A258,Table2[Steel Member],0),_xlfn.XMATCH(AA$2,Table2[#Headers],0))=0,"",INDEX(Table2[],_xlfn.XMATCH($A258,Table2[Steel Member],0),_xlfn.XMATCH(AA$2,Table2[#Headers],0)))</f>
        <v>#N/A</v>
      </c>
      <c r="AB258" s="4" t="e" cm="1">
        <f t="array" ref="AB258">IF(INDEX(Table2[],_xlfn.XMATCH($A258,Table2[Steel Member],0),_xlfn.XMATCH(AB$2,Table2[#Headers],0))=0,"",INDEX(Table2[],_xlfn.XMATCH($A258,Table2[Steel Member],0),_xlfn.XMATCH(AB$2,Table2[#Headers],0)))</f>
        <v>#N/A</v>
      </c>
      <c r="AC258" s="4" t="str" cm="1">
        <f t="array" ref="AC258">IFERROR(INDEX(Table8[],_xlfn.XMATCH($O258,Table8[Dimension Name Category],0),_xlfn.XMATCH(AC$2&amp;IF($L258," w/ tag"," w/o tag"),Table8[#Headers],0)),"")</f>
        <v/>
      </c>
      <c r="AD258" s="59" t="str">
        <f t="shared" si="81"/>
        <v/>
      </c>
      <c r="AE258" s="4" t="str">
        <f t="shared" si="82"/>
        <v/>
      </c>
      <c r="AF258" s="4" t="str">
        <f t="shared" si="83"/>
        <v/>
      </c>
      <c r="AG258" s="4" t="str" cm="1">
        <f t="array" ref="AG258">IFERROR(INDEX(Table8[],_xlfn.XMATCH($O258,Table8[Dimension Name Category],0),_xlfn.XMATCH(AG$2&amp;IF($L258," w/ tag"," w/o tag"),Table8[#Headers],0)),"")</f>
        <v/>
      </c>
      <c r="AH258" s="59" t="str">
        <f t="shared" si="84"/>
        <v/>
      </c>
      <c r="AI258" s="4"/>
      <c r="AJ258" s="4" t="str">
        <f t="shared" si="85"/>
        <v/>
      </c>
      <c r="AK258" s="4" t="str">
        <f t="shared" si="86"/>
        <v/>
      </c>
      <c r="AL258" s="4" t="e" cm="1">
        <f t="array" ref="AL258">IF(INDEX(Table2[],_xlfn.XMATCH($A258,Table2[Steel Member],0),_xlfn.XMATCH(AL$2,Table2[#Headers],0))=0,"",INDEX(Table2[],_xlfn.XMATCH($A258,Table2[Steel Member],0),_xlfn.XMATCH(AL$2,Table2[#Headers],0)))</f>
        <v>#N/A</v>
      </c>
      <c r="AM258" s="4"/>
      <c r="AN258" s="4" t="str">
        <f t="shared" si="87"/>
        <v/>
      </c>
      <c r="AO258" s="4"/>
      <c r="AP258" s="4" t="e" cm="1">
        <f t="array" ref="AP258">IF(INDEX(Table2[],_xlfn.XMATCH($A258,Table2[Steel Member],0),_xlfn.XMATCH(AP$2,Table2[#Headers],0))=0,"",INDEX(Table2[],_xlfn.XMATCH($A258,Table2[Steel Member],0),_xlfn.XMATCH(AP$2,Table2[#Headers],0)))</f>
        <v>#N/A</v>
      </c>
      <c r="AQ258" s="4"/>
      <c r="AR258" s="4"/>
      <c r="AS258" s="4"/>
      <c r="AT258" s="4"/>
    </row>
    <row r="259" spans="1:46" x14ac:dyDescent="0.25">
      <c r="A259" s="52"/>
      <c r="B259" s="52"/>
      <c r="C259" s="52"/>
      <c r="D259" s="52"/>
      <c r="E259" s="52"/>
      <c r="F259" s="64" cm="1">
        <f t="array" ref="F259">IF(COUNT(FIND(PurlinsxGirthsxBracings,$C259))&gt;0,0,ROUNDUP(IF(D259=0,0,VLOOKUP(D259,'DATA SHEET'!$B:$D,2,FALSE)),2))</f>
        <v>0</v>
      </c>
      <c r="G259" s="64" cm="1">
        <f t="array" ref="G259">IF(COUNT(FIND(PurlinsxGirthsxBracings,$C259))&gt;0,0,ROUNDUP(IF(D259=0,0,VLOOKUP(D259,'DATA SHEET'!$B:$D,3,FALSE)),2))</f>
        <v>0</v>
      </c>
      <c r="H259" s="53"/>
      <c r="I259" s="66" cm="1">
        <f t="array" ref="I259">IF(AND(ISBLANK(B259),ISBLANK(C259),ISBLANK(E259)),0,IF(COUNT(FIND(PurlinsxGirthsxBracings,$C259))&gt;0,IF(B259=0,CONCATENATE(E259," ",C259),CONCATENATE(B259," - ",E259," ",C259)),IF(B259=0,IF(ISBLANK(C259),E259,CONCATENATE(D259,", ",F259,"kg/m, ",G259,"mm surface perimeter")),IF(AND(ISBLANK(C259),ISTEXT(E259)),CONCATENATE(B259," - ",E259),IF(AND(ISBLANK(C259),ISBLANK(E259)),B259,CONCATENATE(B259," - ",D259,", ",F259,"kg/m, ",G259,"mm surface perimeter"))))&amp;IF(ISBLANK(H259),"",H259)))</f>
        <v>0</v>
      </c>
      <c r="J259" s="53"/>
      <c r="L259" s="4" t="str" cm="1">
        <f t="array" ref="L259">IF(COUNT(FIND({0,1,2,3,4,5,6,7,8,9},B259))&gt;0,COUNT(FIND({0,1,2,3,4,5,6,7,8,9},B259))&gt;0,"")</f>
        <v/>
      </c>
      <c r="M259" s="4" t="str" cm="1">
        <f t="array" aca="1" ref="M259" ca="1">IFERROR(_xlfn.IFS(R259="Count",RANDBETWEEN(1,COUNTIF($R$11:$R$653,"Count")),R259="Length",RANDBETWEEN(1,COUNTIF($R$11:$R$653,"Length"))),"")</f>
        <v/>
      </c>
      <c r="N259" s="4" t="str">
        <f ca="1">IFERROR(_xlfn.RANK.EQ(M259,$M$11:$M$653)+COUNTIF($M$11:M259,M259)-1,"")</f>
        <v/>
      </c>
      <c r="O259" s="86" t="str">
        <f>IF(A259='DATA SHEET'!$L$36,C259,IFERROR(IF(AND(ISTEXT(I259),ISBLANK(C259)),"No details",VLOOKUP(C259,DimFolder,2,FALSE)),""))</f>
        <v/>
      </c>
      <c r="P259" s="4" t="str">
        <f t="shared" si="77"/>
        <v/>
      </c>
      <c r="Q259" s="58" t="str">
        <f t="shared" si="88"/>
        <v/>
      </c>
      <c r="R259" s="4" t="e" cm="1">
        <f t="array" ref="R259">IF(INDEX(Table2[],_xlfn.XMATCH($A259,Table2[Steel Member],0),_xlfn.XMATCH(R$2,Table2[#Headers],0))=0,"",INDEX(Table2[],_xlfn.XMATCH($A259,Table2[Steel Member],0),_xlfn.XMATCH(R$2,Table2[#Headers],0)))</f>
        <v>#N/A</v>
      </c>
      <c r="S259" s="4" t="e" cm="1">
        <f t="array" ref="S259">IF(INDEX(Table2[],_xlfn.XMATCH($A259,Table2[Steel Member],0),_xlfn.XMATCH(S$2,Table2[#Headers],0))=0,"",INDEX(Table2[],_xlfn.XMATCH($A259,Table2[Steel Member],0),_xlfn.XMATCH(S$2,Table2[#Headers],0)))</f>
        <v>#N/A</v>
      </c>
      <c r="T259" s="4" t="str">
        <f t="shared" si="79"/>
        <v/>
      </c>
      <c r="U259" s="4" t="e">
        <f ca="1">VLOOKUP(N259,'COLOR CODE'!$B:$D,2,FALSE)</f>
        <v>#N/A</v>
      </c>
      <c r="V259" s="4" t="str">
        <f t="shared" si="80"/>
        <v/>
      </c>
      <c r="W259" s="4" t="e" cm="1">
        <f t="array" ref="W259">IF(INDEX(Table2[],_xlfn.XMATCH($A259,Table2[Steel Member],0),_xlfn.XMATCH(W$2,Table2[#Headers],0))=0,"",INDEX(Table2[],_xlfn.XMATCH($A259,Table2[Steel Member],0),_xlfn.XMATCH(W$2,Table2[#Headers],0)))</f>
        <v>#N/A</v>
      </c>
      <c r="X259" s="4" t="e">
        <f t="shared" si="78"/>
        <v>#N/A</v>
      </c>
      <c r="Y259" s="4" t="e" cm="1">
        <f t="array" ref="Y259">IF(INDEX(Table2[],_xlfn.XMATCH($A259,Table2[Steel Member],0),_xlfn.XMATCH(Y$2,Table2[#Headers],0))=0,"",INDEX(Table2[],_xlfn.XMATCH($A259,Table2[Steel Member],0),_xlfn.XMATCH(Y$2,Table2[#Headers],0)))</f>
        <v>#N/A</v>
      </c>
      <c r="Z259" s="4" t="e" cm="1">
        <f t="array" ref="Z259">IF(INDEX(Table2[],_xlfn.XMATCH($A259,Table2[Steel Member],0),_xlfn.XMATCH(Z$2,Table2[#Headers],0))=0,"",INDEX(Table2[],_xlfn.XMATCH($A259,Table2[Steel Member],0),_xlfn.XMATCH(Z$2,Table2[#Headers],0)))</f>
        <v>#N/A</v>
      </c>
      <c r="AA259" s="4" t="e" cm="1">
        <f t="array" ref="AA259">IF(INDEX(Table2[],_xlfn.XMATCH($A259,Table2[Steel Member],0),_xlfn.XMATCH(AA$2,Table2[#Headers],0))=0,"",INDEX(Table2[],_xlfn.XMATCH($A259,Table2[Steel Member],0),_xlfn.XMATCH(AA$2,Table2[#Headers],0)))</f>
        <v>#N/A</v>
      </c>
      <c r="AB259" s="4" t="e" cm="1">
        <f t="array" ref="AB259">IF(INDEX(Table2[],_xlfn.XMATCH($A259,Table2[Steel Member],0),_xlfn.XMATCH(AB$2,Table2[#Headers],0))=0,"",INDEX(Table2[],_xlfn.XMATCH($A259,Table2[Steel Member],0),_xlfn.XMATCH(AB$2,Table2[#Headers],0)))</f>
        <v>#N/A</v>
      </c>
      <c r="AC259" s="4" t="str" cm="1">
        <f t="array" ref="AC259">IFERROR(INDEX(Table8[],_xlfn.XMATCH($O259,Table8[Dimension Name Category],0),_xlfn.XMATCH(AC$2&amp;IF($L259," w/ tag"," w/o tag"),Table8[#Headers],0)),"")</f>
        <v/>
      </c>
      <c r="AD259" s="59" t="str">
        <f t="shared" si="81"/>
        <v/>
      </c>
      <c r="AE259" s="4" t="str">
        <f t="shared" si="82"/>
        <v/>
      </c>
      <c r="AF259" s="4" t="str">
        <f t="shared" si="83"/>
        <v/>
      </c>
      <c r="AG259" s="4" t="str" cm="1">
        <f t="array" ref="AG259">IFERROR(INDEX(Table8[],_xlfn.XMATCH($O259,Table8[Dimension Name Category],0),_xlfn.XMATCH(AG$2&amp;IF($L259," w/ tag"," w/o tag"),Table8[#Headers],0)),"")</f>
        <v/>
      </c>
      <c r="AH259" s="59" t="str">
        <f t="shared" si="84"/>
        <v/>
      </c>
      <c r="AI259" s="4"/>
      <c r="AJ259" s="4" t="str">
        <f t="shared" si="85"/>
        <v/>
      </c>
      <c r="AK259" s="4" t="str">
        <f t="shared" si="86"/>
        <v/>
      </c>
      <c r="AL259" s="4" t="e" cm="1">
        <f t="array" ref="AL259">IF(INDEX(Table2[],_xlfn.XMATCH($A259,Table2[Steel Member],0),_xlfn.XMATCH(AL$2,Table2[#Headers],0))=0,"",INDEX(Table2[],_xlfn.XMATCH($A259,Table2[Steel Member],0),_xlfn.XMATCH(AL$2,Table2[#Headers],0)))</f>
        <v>#N/A</v>
      </c>
      <c r="AM259" s="4"/>
      <c r="AN259" s="4" t="str">
        <f t="shared" si="87"/>
        <v/>
      </c>
      <c r="AO259" s="4"/>
      <c r="AP259" s="4" t="e" cm="1">
        <f t="array" ref="AP259">IF(INDEX(Table2[],_xlfn.XMATCH($A259,Table2[Steel Member],0),_xlfn.XMATCH(AP$2,Table2[#Headers],0))=0,"",INDEX(Table2[],_xlfn.XMATCH($A259,Table2[Steel Member],0),_xlfn.XMATCH(AP$2,Table2[#Headers],0)))</f>
        <v>#N/A</v>
      </c>
      <c r="AQ259" s="4"/>
      <c r="AR259" s="4"/>
      <c r="AS259" s="4"/>
      <c r="AT259" s="4"/>
    </row>
    <row r="260" spans="1:46" x14ac:dyDescent="0.25">
      <c r="A260" s="52"/>
      <c r="B260" s="52"/>
      <c r="C260" s="52"/>
      <c r="D260" s="52"/>
      <c r="E260" s="52"/>
      <c r="F260" s="64" cm="1">
        <f t="array" ref="F260">IF(COUNT(FIND(PurlinsxGirthsxBracings,$C260))&gt;0,0,ROUNDUP(IF(D260=0,0,VLOOKUP(D260,'DATA SHEET'!$B:$D,2,FALSE)),2))</f>
        <v>0</v>
      </c>
      <c r="G260" s="64" cm="1">
        <f t="array" ref="G260">IF(COUNT(FIND(PurlinsxGirthsxBracings,$C260))&gt;0,0,ROUNDUP(IF(D260=0,0,VLOOKUP(D260,'DATA SHEET'!$B:$D,3,FALSE)),2))</f>
        <v>0</v>
      </c>
      <c r="H260" s="53"/>
      <c r="I260" s="66" cm="1">
        <f t="array" ref="I260">IF(AND(ISBLANK(B260),ISBLANK(C260),ISBLANK(E260)),0,IF(COUNT(FIND(PurlinsxGirthsxBracings,$C260))&gt;0,IF(B260=0,CONCATENATE(E260," ",C260),CONCATENATE(B260," - ",E260," ",C260)),IF(B260=0,IF(ISBLANK(C260),E260,CONCATENATE(D260,", ",F260,"kg/m, ",G260,"mm surface perimeter")),IF(AND(ISBLANK(C260),ISTEXT(E260)),CONCATENATE(B260," - ",E260),IF(AND(ISBLANK(C260),ISBLANK(E260)),B260,CONCATENATE(B260," - ",D260,", ",F260,"kg/m, ",G260,"mm surface perimeter"))))&amp;IF(ISBLANK(H260),"",H260)))</f>
        <v>0</v>
      </c>
      <c r="J260" s="53"/>
      <c r="L260" s="4" t="str" cm="1">
        <f t="array" ref="L260">IF(COUNT(FIND({0,1,2,3,4,5,6,7,8,9},B260))&gt;0,COUNT(FIND({0,1,2,3,4,5,6,7,8,9},B260))&gt;0,"")</f>
        <v/>
      </c>
      <c r="M260" s="4" t="str" cm="1">
        <f t="array" aca="1" ref="M260" ca="1">IFERROR(_xlfn.IFS(R260="Count",RANDBETWEEN(1,COUNTIF($R$11:$R$653,"Count")),R260="Length",RANDBETWEEN(1,COUNTIF($R$11:$R$653,"Length"))),"")</f>
        <v/>
      </c>
      <c r="N260" s="4" t="str">
        <f ca="1">IFERROR(_xlfn.RANK.EQ(M260,$M$11:$M$653)+COUNTIF($M$11:M260,M260)-1,"")</f>
        <v/>
      </c>
      <c r="O260" s="86" t="str">
        <f>IF(A260='DATA SHEET'!$L$36,C260,IFERROR(IF(AND(ISTEXT(I260),ISBLANK(C260)),"No details",VLOOKUP(C260,DimFolder,2,FALSE)),""))</f>
        <v/>
      </c>
      <c r="P260" s="4" t="str">
        <f t="shared" si="77"/>
        <v/>
      </c>
      <c r="Q260" s="58" t="str">
        <f t="shared" si="88"/>
        <v/>
      </c>
      <c r="R260" s="4" t="e" cm="1">
        <f t="array" ref="R260">IF(INDEX(Table2[],_xlfn.XMATCH($A260,Table2[Steel Member],0),_xlfn.XMATCH(R$2,Table2[#Headers],0))=0,"",INDEX(Table2[],_xlfn.XMATCH($A260,Table2[Steel Member],0),_xlfn.XMATCH(R$2,Table2[#Headers],0)))</f>
        <v>#N/A</v>
      </c>
      <c r="S260" s="4" t="e" cm="1">
        <f t="array" ref="S260">IF(INDEX(Table2[],_xlfn.XMATCH($A260,Table2[Steel Member],0),_xlfn.XMATCH(S$2,Table2[#Headers],0))=0,"",INDEX(Table2[],_xlfn.XMATCH($A260,Table2[Steel Member],0),_xlfn.XMATCH(S$2,Table2[#Headers],0)))</f>
        <v>#N/A</v>
      </c>
      <c r="T260" s="4" t="str">
        <f t="shared" si="79"/>
        <v/>
      </c>
      <c r="U260" s="4" t="e">
        <f ca="1">VLOOKUP(N260,'COLOR CODE'!$B:$D,2,FALSE)</f>
        <v>#N/A</v>
      </c>
      <c r="V260" s="4" t="str">
        <f t="shared" si="80"/>
        <v/>
      </c>
      <c r="W260" s="4" t="e" cm="1">
        <f t="array" ref="W260">IF(INDEX(Table2[],_xlfn.XMATCH($A260,Table2[Steel Member],0),_xlfn.XMATCH(W$2,Table2[#Headers],0))=0,"",INDEX(Table2[],_xlfn.XMATCH($A260,Table2[Steel Member],0),_xlfn.XMATCH(W$2,Table2[#Headers],0)))</f>
        <v>#N/A</v>
      </c>
      <c r="X260" s="4" t="e">
        <f t="shared" si="78"/>
        <v>#N/A</v>
      </c>
      <c r="Y260" s="4" t="e" cm="1">
        <f t="array" ref="Y260">IF(INDEX(Table2[],_xlfn.XMATCH($A260,Table2[Steel Member],0),_xlfn.XMATCH(Y$2,Table2[#Headers],0))=0,"",INDEX(Table2[],_xlfn.XMATCH($A260,Table2[Steel Member],0),_xlfn.XMATCH(Y$2,Table2[#Headers],0)))</f>
        <v>#N/A</v>
      </c>
      <c r="Z260" s="4" t="e" cm="1">
        <f t="array" ref="Z260">IF(INDEX(Table2[],_xlfn.XMATCH($A260,Table2[Steel Member],0),_xlfn.XMATCH(Z$2,Table2[#Headers],0))=0,"",INDEX(Table2[],_xlfn.XMATCH($A260,Table2[Steel Member],0),_xlfn.XMATCH(Z$2,Table2[#Headers],0)))</f>
        <v>#N/A</v>
      </c>
      <c r="AA260" s="4" t="e" cm="1">
        <f t="array" ref="AA260">IF(INDEX(Table2[],_xlfn.XMATCH($A260,Table2[Steel Member],0),_xlfn.XMATCH(AA$2,Table2[#Headers],0))=0,"",INDEX(Table2[],_xlfn.XMATCH($A260,Table2[Steel Member],0),_xlfn.XMATCH(AA$2,Table2[#Headers],0)))</f>
        <v>#N/A</v>
      </c>
      <c r="AB260" s="4" t="e" cm="1">
        <f t="array" ref="AB260">IF(INDEX(Table2[],_xlfn.XMATCH($A260,Table2[Steel Member],0),_xlfn.XMATCH(AB$2,Table2[#Headers],0))=0,"",INDEX(Table2[],_xlfn.XMATCH($A260,Table2[Steel Member],0),_xlfn.XMATCH(AB$2,Table2[#Headers],0)))</f>
        <v>#N/A</v>
      </c>
      <c r="AC260" s="4" t="str" cm="1">
        <f t="array" ref="AC260">IFERROR(INDEX(Table8[],_xlfn.XMATCH($O260,Table8[Dimension Name Category],0),_xlfn.XMATCH(AC$2&amp;IF($L260," w/ tag"," w/o tag"),Table8[#Headers],0)),"")</f>
        <v/>
      </c>
      <c r="AD260" s="59" t="str">
        <f t="shared" si="81"/>
        <v/>
      </c>
      <c r="AE260" s="4" t="str">
        <f t="shared" si="82"/>
        <v/>
      </c>
      <c r="AF260" s="4" t="str">
        <f t="shared" si="83"/>
        <v/>
      </c>
      <c r="AG260" s="4" t="str" cm="1">
        <f t="array" ref="AG260">IFERROR(INDEX(Table8[],_xlfn.XMATCH($O260,Table8[Dimension Name Category],0),_xlfn.XMATCH(AG$2&amp;IF($L260," w/ tag"," w/o tag"),Table8[#Headers],0)),"")</f>
        <v/>
      </c>
      <c r="AH260" s="59" t="str">
        <f t="shared" si="84"/>
        <v/>
      </c>
      <c r="AI260" s="4"/>
      <c r="AJ260" s="4" t="str">
        <f t="shared" si="85"/>
        <v/>
      </c>
      <c r="AK260" s="4" t="str">
        <f t="shared" si="86"/>
        <v/>
      </c>
      <c r="AL260" s="4" t="e" cm="1">
        <f t="array" ref="AL260">IF(INDEX(Table2[],_xlfn.XMATCH($A260,Table2[Steel Member],0),_xlfn.XMATCH(AL$2,Table2[#Headers],0))=0,"",INDEX(Table2[],_xlfn.XMATCH($A260,Table2[Steel Member],0),_xlfn.XMATCH(AL$2,Table2[#Headers],0)))</f>
        <v>#N/A</v>
      </c>
      <c r="AM260" s="4"/>
      <c r="AN260" s="4" t="str">
        <f t="shared" si="87"/>
        <v/>
      </c>
      <c r="AO260" s="4"/>
      <c r="AP260" s="4" t="e" cm="1">
        <f t="array" ref="AP260">IF(INDEX(Table2[],_xlfn.XMATCH($A260,Table2[Steel Member],0),_xlfn.XMATCH(AP$2,Table2[#Headers],0))=0,"",INDEX(Table2[],_xlfn.XMATCH($A260,Table2[Steel Member],0),_xlfn.XMATCH(AP$2,Table2[#Headers],0)))</f>
        <v>#N/A</v>
      </c>
      <c r="AQ260" s="4"/>
      <c r="AR260" s="4"/>
      <c r="AS260" s="4"/>
      <c r="AT260" s="4"/>
    </row>
    <row r="261" spans="1:46" x14ac:dyDescent="0.25">
      <c r="A261" s="52"/>
      <c r="B261" s="52"/>
      <c r="C261" s="52"/>
      <c r="D261" s="52"/>
      <c r="E261" s="52"/>
      <c r="F261" s="64" cm="1">
        <f t="array" ref="F261">IF(COUNT(FIND(PurlinsxGirthsxBracings,$C261))&gt;0,0,ROUNDUP(IF(D261=0,0,VLOOKUP(D261,'DATA SHEET'!$B:$D,2,FALSE)),2))</f>
        <v>0</v>
      </c>
      <c r="G261" s="64" cm="1">
        <f t="array" ref="G261">IF(COUNT(FIND(PurlinsxGirthsxBracings,$C261))&gt;0,0,ROUNDUP(IF(D261=0,0,VLOOKUP(D261,'DATA SHEET'!$B:$D,3,FALSE)),2))</f>
        <v>0</v>
      </c>
      <c r="H261" s="53"/>
      <c r="I261" s="66" cm="1">
        <f t="array" ref="I261">IF(AND(ISBLANK(B261),ISBLANK(C261),ISBLANK(E261)),0,IF(COUNT(FIND(PurlinsxGirthsxBracings,$C261))&gt;0,IF(B261=0,CONCATENATE(E261," ",C261),CONCATENATE(B261," - ",E261," ",C261)),IF(B261=0,IF(ISBLANK(C261),E261,CONCATENATE(D261,", ",F261,"kg/m, ",G261,"mm surface perimeter")),IF(AND(ISBLANK(C261),ISTEXT(E261)),CONCATENATE(B261," - ",E261),IF(AND(ISBLANK(C261),ISBLANK(E261)),B261,CONCATENATE(B261," - ",D261,", ",F261,"kg/m, ",G261,"mm surface perimeter"))))&amp;IF(ISBLANK(H261),"",H261)))</f>
        <v>0</v>
      </c>
      <c r="J261" s="53"/>
      <c r="L261" s="4" t="str" cm="1">
        <f t="array" ref="L261">IF(COUNT(FIND({0,1,2,3,4,5,6,7,8,9},B261))&gt;0,COUNT(FIND({0,1,2,3,4,5,6,7,8,9},B261))&gt;0,"")</f>
        <v/>
      </c>
      <c r="M261" s="4" t="str" cm="1">
        <f t="array" aca="1" ref="M261" ca="1">IFERROR(_xlfn.IFS(R261="Count",RANDBETWEEN(1,COUNTIF($R$11:$R$653,"Count")),R261="Length",RANDBETWEEN(1,COUNTIF($R$11:$R$653,"Length"))),"")</f>
        <v/>
      </c>
      <c r="N261" s="4" t="str">
        <f ca="1">IFERROR(_xlfn.RANK.EQ(M261,$M$11:$M$653)+COUNTIF($M$11:M261,M261)-1,"")</f>
        <v/>
      </c>
      <c r="O261" s="86" t="str">
        <f>IF(A261='DATA SHEET'!$L$36,C261,IFERROR(IF(AND(ISTEXT(I261),ISBLANK(C261)),"No details",VLOOKUP(C261,DimFolder,2,FALSE)),""))</f>
        <v/>
      </c>
      <c r="P261" s="4" t="str">
        <f t="shared" si="77"/>
        <v/>
      </c>
      <c r="Q261" s="58" t="str">
        <f t="shared" si="88"/>
        <v/>
      </c>
      <c r="R261" s="4" t="e" cm="1">
        <f t="array" ref="R261">IF(INDEX(Table2[],_xlfn.XMATCH($A261,Table2[Steel Member],0),_xlfn.XMATCH(R$2,Table2[#Headers],0))=0,"",INDEX(Table2[],_xlfn.XMATCH($A261,Table2[Steel Member],0),_xlfn.XMATCH(R$2,Table2[#Headers],0)))</f>
        <v>#N/A</v>
      </c>
      <c r="S261" s="4" t="e" cm="1">
        <f t="array" ref="S261">IF(INDEX(Table2[],_xlfn.XMATCH($A261,Table2[Steel Member],0),_xlfn.XMATCH(S$2,Table2[#Headers],0))=0,"",INDEX(Table2[],_xlfn.XMATCH($A261,Table2[Steel Member],0),_xlfn.XMATCH(S$2,Table2[#Headers],0)))</f>
        <v>#N/A</v>
      </c>
      <c r="T261" s="4" t="str">
        <f t="shared" si="79"/>
        <v/>
      </c>
      <c r="U261" s="4" t="e">
        <f ca="1">VLOOKUP(N261,'COLOR CODE'!$B:$D,2,FALSE)</f>
        <v>#N/A</v>
      </c>
      <c r="V261" s="4" t="str">
        <f t="shared" si="80"/>
        <v/>
      </c>
      <c r="W261" s="4" t="e" cm="1">
        <f t="array" ref="W261">IF(INDEX(Table2[],_xlfn.XMATCH($A261,Table2[Steel Member],0),_xlfn.XMATCH(W$2,Table2[#Headers],0))=0,"",INDEX(Table2[],_xlfn.XMATCH($A261,Table2[Steel Member],0),_xlfn.XMATCH(W$2,Table2[#Headers],0)))</f>
        <v>#N/A</v>
      </c>
      <c r="X261" s="4" t="e">
        <f t="shared" si="78"/>
        <v>#N/A</v>
      </c>
      <c r="Y261" s="4" t="e" cm="1">
        <f t="array" ref="Y261">IF(INDEX(Table2[],_xlfn.XMATCH($A261,Table2[Steel Member],0),_xlfn.XMATCH(Y$2,Table2[#Headers],0))=0,"",INDEX(Table2[],_xlfn.XMATCH($A261,Table2[Steel Member],0),_xlfn.XMATCH(Y$2,Table2[#Headers],0)))</f>
        <v>#N/A</v>
      </c>
      <c r="Z261" s="4" t="e" cm="1">
        <f t="array" ref="Z261">IF(INDEX(Table2[],_xlfn.XMATCH($A261,Table2[Steel Member],0),_xlfn.XMATCH(Z$2,Table2[#Headers],0))=0,"",INDEX(Table2[],_xlfn.XMATCH($A261,Table2[Steel Member],0),_xlfn.XMATCH(Z$2,Table2[#Headers],0)))</f>
        <v>#N/A</v>
      </c>
      <c r="AA261" s="4" t="e" cm="1">
        <f t="array" ref="AA261">IF(INDEX(Table2[],_xlfn.XMATCH($A261,Table2[Steel Member],0),_xlfn.XMATCH(AA$2,Table2[#Headers],0))=0,"",INDEX(Table2[],_xlfn.XMATCH($A261,Table2[Steel Member],0),_xlfn.XMATCH(AA$2,Table2[#Headers],0)))</f>
        <v>#N/A</v>
      </c>
      <c r="AB261" s="4" t="e" cm="1">
        <f t="array" ref="AB261">IF(INDEX(Table2[],_xlfn.XMATCH($A261,Table2[Steel Member],0),_xlfn.XMATCH(AB$2,Table2[#Headers],0))=0,"",INDEX(Table2[],_xlfn.XMATCH($A261,Table2[Steel Member],0),_xlfn.XMATCH(AB$2,Table2[#Headers],0)))</f>
        <v>#N/A</v>
      </c>
      <c r="AC261" s="4" t="str" cm="1">
        <f t="array" ref="AC261">IFERROR(INDEX(Table8[],_xlfn.XMATCH($O261,Table8[Dimension Name Category],0),_xlfn.XMATCH(AC$2&amp;IF($L261," w/ tag"," w/o tag"),Table8[#Headers],0)),"")</f>
        <v/>
      </c>
      <c r="AD261" s="59" t="str">
        <f t="shared" si="81"/>
        <v/>
      </c>
      <c r="AE261" s="4" t="str">
        <f t="shared" si="82"/>
        <v/>
      </c>
      <c r="AF261" s="4" t="str">
        <f t="shared" si="83"/>
        <v/>
      </c>
      <c r="AG261" s="4" t="str" cm="1">
        <f t="array" ref="AG261">IFERROR(INDEX(Table8[],_xlfn.XMATCH($O261,Table8[Dimension Name Category],0),_xlfn.XMATCH(AG$2&amp;IF($L261," w/ tag"," w/o tag"),Table8[#Headers],0)),"")</f>
        <v/>
      </c>
      <c r="AH261" s="59" t="str">
        <f t="shared" si="84"/>
        <v/>
      </c>
      <c r="AI261" s="4"/>
      <c r="AJ261" s="4" t="str">
        <f t="shared" si="85"/>
        <v/>
      </c>
      <c r="AK261" s="4" t="str">
        <f t="shared" si="86"/>
        <v/>
      </c>
      <c r="AL261" s="4" t="e" cm="1">
        <f t="array" ref="AL261">IF(INDEX(Table2[],_xlfn.XMATCH($A261,Table2[Steel Member],0),_xlfn.XMATCH(AL$2,Table2[#Headers],0))=0,"",INDEX(Table2[],_xlfn.XMATCH($A261,Table2[Steel Member],0),_xlfn.XMATCH(AL$2,Table2[#Headers],0)))</f>
        <v>#N/A</v>
      </c>
      <c r="AM261" s="4"/>
      <c r="AN261" s="4" t="str">
        <f t="shared" si="87"/>
        <v/>
      </c>
      <c r="AO261" s="4"/>
      <c r="AP261" s="4" t="e" cm="1">
        <f t="array" ref="AP261">IF(INDEX(Table2[],_xlfn.XMATCH($A261,Table2[Steel Member],0),_xlfn.XMATCH(AP$2,Table2[#Headers],0))=0,"",INDEX(Table2[],_xlfn.XMATCH($A261,Table2[Steel Member],0),_xlfn.XMATCH(AP$2,Table2[#Headers],0)))</f>
        <v>#N/A</v>
      </c>
      <c r="AQ261" s="4"/>
      <c r="AR261" s="4"/>
      <c r="AS261" s="4"/>
      <c r="AT261" s="4"/>
    </row>
    <row r="262" spans="1:46" x14ac:dyDescent="0.25">
      <c r="A262" s="52"/>
      <c r="B262" s="52"/>
      <c r="C262" s="52"/>
      <c r="D262" s="52"/>
      <c r="E262" s="52"/>
      <c r="F262" s="64" cm="1">
        <f t="array" ref="F262">IF(COUNT(FIND(PurlinsxGirthsxBracings,$C262))&gt;0,0,ROUNDUP(IF(D262=0,0,VLOOKUP(D262,'DATA SHEET'!$B:$D,2,FALSE)),2))</f>
        <v>0</v>
      </c>
      <c r="G262" s="64" cm="1">
        <f t="array" ref="G262">IF(COUNT(FIND(PurlinsxGirthsxBracings,$C262))&gt;0,0,ROUNDUP(IF(D262=0,0,VLOOKUP(D262,'DATA SHEET'!$B:$D,3,FALSE)),2))</f>
        <v>0</v>
      </c>
      <c r="H262" s="53"/>
      <c r="I262" s="66" cm="1">
        <f t="array" ref="I262">IF(AND(ISBLANK(B262),ISBLANK(C262),ISBLANK(E262)),0,IF(COUNT(FIND(PurlinsxGirthsxBracings,$C262))&gt;0,IF(B262=0,CONCATENATE(E262," ",C262),CONCATENATE(B262," - ",E262," ",C262)),IF(B262=0,IF(ISBLANK(C262),E262,CONCATENATE(D262,", ",F262,"kg/m, ",G262,"mm surface perimeter")),IF(AND(ISBLANK(C262),ISTEXT(E262)),CONCATENATE(B262," - ",E262),IF(AND(ISBLANK(C262),ISBLANK(E262)),B262,CONCATENATE(B262," - ",D262,", ",F262,"kg/m, ",G262,"mm surface perimeter"))))&amp;IF(ISBLANK(H262),"",H262)))</f>
        <v>0</v>
      </c>
      <c r="J262" s="53"/>
      <c r="L262" s="4" t="str" cm="1">
        <f t="array" ref="L262">IF(COUNT(FIND({0,1,2,3,4,5,6,7,8,9},B262))&gt;0,COUNT(FIND({0,1,2,3,4,5,6,7,8,9},B262))&gt;0,"")</f>
        <v/>
      </c>
      <c r="M262" s="4" t="str" cm="1">
        <f t="array" aca="1" ref="M262" ca="1">IFERROR(_xlfn.IFS(R262="Count",RANDBETWEEN(1,COUNTIF($R$11:$R$653,"Count")),R262="Length",RANDBETWEEN(1,COUNTIF($R$11:$R$653,"Length"))),"")</f>
        <v/>
      </c>
      <c r="N262" s="4" t="str">
        <f ca="1">IFERROR(_xlfn.RANK.EQ(M262,$M$11:$M$653)+COUNTIF($M$11:M262,M262)-1,"")</f>
        <v/>
      </c>
      <c r="O262" s="86" t="str">
        <f>IF(A262='DATA SHEET'!$L$36,C262,IFERROR(IF(AND(ISTEXT(I262),ISBLANK(C262)),"No details",VLOOKUP(C262,DimFolder,2,FALSE)),""))</f>
        <v/>
      </c>
      <c r="P262" s="4" t="str">
        <f t="shared" si="77"/>
        <v/>
      </c>
      <c r="Q262" s="58" t="str">
        <f t="shared" si="88"/>
        <v/>
      </c>
      <c r="R262" s="4" t="e" cm="1">
        <f t="array" ref="R262">IF(INDEX(Table2[],_xlfn.XMATCH($A262,Table2[Steel Member],0),_xlfn.XMATCH(R$2,Table2[#Headers],0))=0,"",INDEX(Table2[],_xlfn.XMATCH($A262,Table2[Steel Member],0),_xlfn.XMATCH(R$2,Table2[#Headers],0)))</f>
        <v>#N/A</v>
      </c>
      <c r="S262" s="4" t="e" cm="1">
        <f t="array" ref="S262">IF(INDEX(Table2[],_xlfn.XMATCH($A262,Table2[Steel Member],0),_xlfn.XMATCH(S$2,Table2[#Headers],0))=0,"",INDEX(Table2[],_xlfn.XMATCH($A262,Table2[Steel Member],0),_xlfn.XMATCH(S$2,Table2[#Headers],0)))</f>
        <v>#N/A</v>
      </c>
      <c r="T262" s="4" t="str">
        <f t="shared" si="79"/>
        <v/>
      </c>
      <c r="U262" s="4" t="e">
        <f ca="1">VLOOKUP(N262,'COLOR CODE'!$B:$D,2,FALSE)</f>
        <v>#N/A</v>
      </c>
      <c r="V262" s="4" t="str">
        <f t="shared" si="80"/>
        <v/>
      </c>
      <c r="W262" s="4" t="e" cm="1">
        <f t="array" ref="W262">IF(INDEX(Table2[],_xlfn.XMATCH($A262,Table2[Steel Member],0),_xlfn.XMATCH(W$2,Table2[#Headers],0))=0,"",INDEX(Table2[],_xlfn.XMATCH($A262,Table2[Steel Member],0),_xlfn.XMATCH(W$2,Table2[#Headers],0)))</f>
        <v>#N/A</v>
      </c>
      <c r="X262" s="4" t="e">
        <f t="shared" si="78"/>
        <v>#N/A</v>
      </c>
      <c r="Y262" s="4" t="e" cm="1">
        <f t="array" ref="Y262">IF(INDEX(Table2[],_xlfn.XMATCH($A262,Table2[Steel Member],0),_xlfn.XMATCH(Y$2,Table2[#Headers],0))=0,"",INDEX(Table2[],_xlfn.XMATCH($A262,Table2[Steel Member],0),_xlfn.XMATCH(Y$2,Table2[#Headers],0)))</f>
        <v>#N/A</v>
      </c>
      <c r="Z262" s="4" t="e" cm="1">
        <f t="array" ref="Z262">IF(INDEX(Table2[],_xlfn.XMATCH($A262,Table2[Steel Member],0),_xlfn.XMATCH(Z$2,Table2[#Headers],0))=0,"",INDEX(Table2[],_xlfn.XMATCH($A262,Table2[Steel Member],0),_xlfn.XMATCH(Z$2,Table2[#Headers],0)))</f>
        <v>#N/A</v>
      </c>
      <c r="AA262" s="4" t="e" cm="1">
        <f t="array" ref="AA262">IF(INDEX(Table2[],_xlfn.XMATCH($A262,Table2[Steel Member],0),_xlfn.XMATCH(AA$2,Table2[#Headers],0))=0,"",INDEX(Table2[],_xlfn.XMATCH($A262,Table2[Steel Member],0),_xlfn.XMATCH(AA$2,Table2[#Headers],0)))</f>
        <v>#N/A</v>
      </c>
      <c r="AB262" s="4" t="e" cm="1">
        <f t="array" ref="AB262">IF(INDEX(Table2[],_xlfn.XMATCH($A262,Table2[Steel Member],0),_xlfn.XMATCH(AB$2,Table2[#Headers],0))=0,"",INDEX(Table2[],_xlfn.XMATCH($A262,Table2[Steel Member],0),_xlfn.XMATCH(AB$2,Table2[#Headers],0)))</f>
        <v>#N/A</v>
      </c>
      <c r="AC262" s="4" t="str" cm="1">
        <f t="array" ref="AC262">IFERROR(INDEX(Table8[],_xlfn.XMATCH($O262,Table8[Dimension Name Category],0),_xlfn.XMATCH(AC$2&amp;IF($L262," w/ tag"," w/o tag"),Table8[#Headers],0)),"")</f>
        <v/>
      </c>
      <c r="AD262" s="59" t="str">
        <f t="shared" si="81"/>
        <v/>
      </c>
      <c r="AE262" s="4" t="str">
        <f t="shared" si="82"/>
        <v/>
      </c>
      <c r="AF262" s="4" t="str">
        <f t="shared" si="83"/>
        <v/>
      </c>
      <c r="AG262" s="4" t="str" cm="1">
        <f t="array" ref="AG262">IFERROR(INDEX(Table8[],_xlfn.XMATCH($O262,Table8[Dimension Name Category],0),_xlfn.XMATCH(AG$2&amp;IF($L262," w/ tag"," w/o tag"),Table8[#Headers],0)),"")</f>
        <v/>
      </c>
      <c r="AH262" s="59" t="str">
        <f t="shared" si="84"/>
        <v/>
      </c>
      <c r="AI262" s="4"/>
      <c r="AJ262" s="4" t="str">
        <f t="shared" si="85"/>
        <v/>
      </c>
      <c r="AK262" s="4" t="str">
        <f t="shared" si="86"/>
        <v/>
      </c>
      <c r="AL262" s="4" t="e" cm="1">
        <f t="array" ref="AL262">IF(INDEX(Table2[],_xlfn.XMATCH($A262,Table2[Steel Member],0),_xlfn.XMATCH(AL$2,Table2[#Headers],0))=0,"",INDEX(Table2[],_xlfn.XMATCH($A262,Table2[Steel Member],0),_xlfn.XMATCH(AL$2,Table2[#Headers],0)))</f>
        <v>#N/A</v>
      </c>
      <c r="AM262" s="4"/>
      <c r="AN262" s="4" t="str">
        <f t="shared" si="87"/>
        <v/>
      </c>
      <c r="AO262" s="4"/>
      <c r="AP262" s="4" t="e" cm="1">
        <f t="array" ref="AP262">IF(INDEX(Table2[],_xlfn.XMATCH($A262,Table2[Steel Member],0),_xlfn.XMATCH(AP$2,Table2[#Headers],0))=0,"",INDEX(Table2[],_xlfn.XMATCH($A262,Table2[Steel Member],0),_xlfn.XMATCH(AP$2,Table2[#Headers],0)))</f>
        <v>#N/A</v>
      </c>
      <c r="AQ262" s="4"/>
      <c r="AR262" s="4"/>
      <c r="AS262" s="4"/>
      <c r="AT262" s="4"/>
    </row>
    <row r="263" spans="1:46" x14ac:dyDescent="0.25">
      <c r="A263" s="52"/>
      <c r="B263" s="52"/>
      <c r="C263" s="52"/>
      <c r="D263" s="52"/>
      <c r="E263" s="52"/>
      <c r="F263" s="64" cm="1">
        <f t="array" ref="F263">IF(COUNT(FIND(PurlinsxGirthsxBracings,$C263))&gt;0,0,ROUNDUP(IF(D263=0,0,VLOOKUP(D263,'DATA SHEET'!$B:$D,2,FALSE)),2))</f>
        <v>0</v>
      </c>
      <c r="G263" s="64" cm="1">
        <f t="array" ref="G263">IF(COUNT(FIND(PurlinsxGirthsxBracings,$C263))&gt;0,0,ROUNDUP(IF(D263=0,0,VLOOKUP(D263,'DATA SHEET'!$B:$D,3,FALSE)),2))</f>
        <v>0</v>
      </c>
      <c r="H263" s="53"/>
      <c r="I263" s="66" cm="1">
        <f t="array" ref="I263">IF(AND(ISBLANK(B263),ISBLANK(C263),ISBLANK(E263)),0,IF(COUNT(FIND(PurlinsxGirthsxBracings,$C263))&gt;0,IF(B263=0,CONCATENATE(E263," ",C263),CONCATENATE(B263," - ",E263," ",C263)),IF(B263=0,IF(ISBLANK(C263),E263,CONCATENATE(D263,", ",F263,"kg/m, ",G263,"mm surface perimeter")),IF(AND(ISBLANK(C263),ISTEXT(E263)),CONCATENATE(B263," - ",E263),IF(AND(ISBLANK(C263),ISBLANK(E263)),B263,CONCATENATE(B263," - ",D263,", ",F263,"kg/m, ",G263,"mm surface perimeter"))))&amp;IF(ISBLANK(H263),"",H263)))</f>
        <v>0</v>
      </c>
      <c r="J263" s="53"/>
      <c r="L263" s="4" t="str" cm="1">
        <f t="array" ref="L263">IF(COUNT(FIND({0,1,2,3,4,5,6,7,8,9},B263))&gt;0,COUNT(FIND({0,1,2,3,4,5,6,7,8,9},B263))&gt;0,"")</f>
        <v/>
      </c>
      <c r="M263" s="4" t="str" cm="1">
        <f t="array" aca="1" ref="M263" ca="1">IFERROR(_xlfn.IFS(R263="Count",RANDBETWEEN(1,COUNTIF($R$11:$R$653,"Count")),R263="Length",RANDBETWEEN(1,COUNTIF($R$11:$R$653,"Length"))),"")</f>
        <v/>
      </c>
      <c r="N263" s="4" t="str">
        <f ca="1">IFERROR(_xlfn.RANK.EQ(M263,$M$11:$M$653)+COUNTIF($M$11:M263,M263)-1,"")</f>
        <v/>
      </c>
      <c r="O263" s="86" t="str">
        <f>IF(A263='DATA SHEET'!$L$36,C263,IFERROR(IF(AND(ISTEXT(I263),ISBLANK(C263)),"No details",VLOOKUP(C263,DimFolder,2,FALSE)),""))</f>
        <v/>
      </c>
      <c r="P263" s="4" t="str">
        <f t="shared" si="77"/>
        <v/>
      </c>
      <c r="Q263" s="58" t="str">
        <f t="shared" si="88"/>
        <v/>
      </c>
      <c r="R263" s="4" t="e" cm="1">
        <f t="array" ref="R263">IF(INDEX(Table2[],_xlfn.XMATCH($A263,Table2[Steel Member],0),_xlfn.XMATCH(R$2,Table2[#Headers],0))=0,"",INDEX(Table2[],_xlfn.XMATCH($A263,Table2[Steel Member],0),_xlfn.XMATCH(R$2,Table2[#Headers],0)))</f>
        <v>#N/A</v>
      </c>
      <c r="S263" s="4" t="e" cm="1">
        <f t="array" ref="S263">IF(INDEX(Table2[],_xlfn.XMATCH($A263,Table2[Steel Member],0),_xlfn.XMATCH(S$2,Table2[#Headers],0))=0,"",INDEX(Table2[],_xlfn.XMATCH($A263,Table2[Steel Member],0),_xlfn.XMATCH(S$2,Table2[#Headers],0)))</f>
        <v>#N/A</v>
      </c>
      <c r="T263" s="4" t="str">
        <f t="shared" si="79"/>
        <v/>
      </c>
      <c r="U263" s="4" t="e">
        <f ca="1">VLOOKUP(N263,'COLOR CODE'!$B:$D,2,FALSE)</f>
        <v>#N/A</v>
      </c>
      <c r="V263" s="4" t="str">
        <f t="shared" si="80"/>
        <v/>
      </c>
      <c r="W263" s="4" t="e" cm="1">
        <f t="array" ref="W263">IF(INDEX(Table2[],_xlfn.XMATCH($A263,Table2[Steel Member],0),_xlfn.XMATCH(W$2,Table2[#Headers],0))=0,"",INDEX(Table2[],_xlfn.XMATCH($A263,Table2[Steel Member],0),_xlfn.XMATCH(W$2,Table2[#Headers],0)))</f>
        <v>#N/A</v>
      </c>
      <c r="X263" s="4" t="e">
        <f t="shared" si="78"/>
        <v>#N/A</v>
      </c>
      <c r="Y263" s="4" t="e" cm="1">
        <f t="array" ref="Y263">IF(INDEX(Table2[],_xlfn.XMATCH($A263,Table2[Steel Member],0),_xlfn.XMATCH(Y$2,Table2[#Headers],0))=0,"",INDEX(Table2[],_xlfn.XMATCH($A263,Table2[Steel Member],0),_xlfn.XMATCH(Y$2,Table2[#Headers],0)))</f>
        <v>#N/A</v>
      </c>
      <c r="Z263" s="4" t="e" cm="1">
        <f t="array" ref="Z263">IF(INDEX(Table2[],_xlfn.XMATCH($A263,Table2[Steel Member],0),_xlfn.XMATCH(Z$2,Table2[#Headers],0))=0,"",INDEX(Table2[],_xlfn.XMATCH($A263,Table2[Steel Member],0),_xlfn.XMATCH(Z$2,Table2[#Headers],0)))</f>
        <v>#N/A</v>
      </c>
      <c r="AA263" s="4" t="e" cm="1">
        <f t="array" ref="AA263">IF(INDEX(Table2[],_xlfn.XMATCH($A263,Table2[Steel Member],0),_xlfn.XMATCH(AA$2,Table2[#Headers],0))=0,"",INDEX(Table2[],_xlfn.XMATCH($A263,Table2[Steel Member],0),_xlfn.XMATCH(AA$2,Table2[#Headers],0)))</f>
        <v>#N/A</v>
      </c>
      <c r="AB263" s="4" t="e" cm="1">
        <f t="array" ref="AB263">IF(INDEX(Table2[],_xlfn.XMATCH($A263,Table2[Steel Member],0),_xlfn.XMATCH(AB$2,Table2[#Headers],0))=0,"",INDEX(Table2[],_xlfn.XMATCH($A263,Table2[Steel Member],0),_xlfn.XMATCH(AB$2,Table2[#Headers],0)))</f>
        <v>#N/A</v>
      </c>
      <c r="AC263" s="4" t="str" cm="1">
        <f t="array" ref="AC263">IFERROR(INDEX(Table8[],_xlfn.XMATCH($O263,Table8[Dimension Name Category],0),_xlfn.XMATCH(AC$2&amp;IF($L263," w/ tag"," w/o tag"),Table8[#Headers],0)),"")</f>
        <v/>
      </c>
      <c r="AD263" s="59" t="str">
        <f t="shared" si="81"/>
        <v/>
      </c>
      <c r="AE263" s="4" t="str">
        <f t="shared" si="82"/>
        <v/>
      </c>
      <c r="AF263" s="4" t="str">
        <f t="shared" si="83"/>
        <v/>
      </c>
      <c r="AG263" s="4" t="str" cm="1">
        <f t="array" ref="AG263">IFERROR(INDEX(Table8[],_xlfn.XMATCH($O263,Table8[Dimension Name Category],0),_xlfn.XMATCH(AG$2&amp;IF($L263," w/ tag"," w/o tag"),Table8[#Headers],0)),"")</f>
        <v/>
      </c>
      <c r="AH263" s="59" t="str">
        <f t="shared" si="84"/>
        <v/>
      </c>
      <c r="AI263" s="4"/>
      <c r="AJ263" s="4" t="str">
        <f t="shared" si="85"/>
        <v/>
      </c>
      <c r="AK263" s="4" t="str">
        <f t="shared" si="86"/>
        <v/>
      </c>
      <c r="AL263" s="4" t="e" cm="1">
        <f t="array" ref="AL263">IF(INDEX(Table2[],_xlfn.XMATCH($A263,Table2[Steel Member],0),_xlfn.XMATCH(AL$2,Table2[#Headers],0))=0,"",INDEX(Table2[],_xlfn.XMATCH($A263,Table2[Steel Member],0),_xlfn.XMATCH(AL$2,Table2[#Headers],0)))</f>
        <v>#N/A</v>
      </c>
      <c r="AM263" s="4"/>
      <c r="AN263" s="4" t="str">
        <f t="shared" si="87"/>
        <v/>
      </c>
      <c r="AO263" s="4"/>
      <c r="AP263" s="4" t="e" cm="1">
        <f t="array" ref="AP263">IF(INDEX(Table2[],_xlfn.XMATCH($A263,Table2[Steel Member],0),_xlfn.XMATCH(AP$2,Table2[#Headers],0))=0,"",INDEX(Table2[],_xlfn.XMATCH($A263,Table2[Steel Member],0),_xlfn.XMATCH(AP$2,Table2[#Headers],0)))</f>
        <v>#N/A</v>
      </c>
      <c r="AQ263" s="4"/>
      <c r="AR263" s="4"/>
      <c r="AS263" s="4"/>
      <c r="AT263" s="4"/>
    </row>
    <row r="264" spans="1:46" x14ac:dyDescent="0.25">
      <c r="A264" s="52"/>
      <c r="B264" s="52"/>
      <c r="C264" s="52"/>
      <c r="D264" s="52"/>
      <c r="E264" s="52"/>
      <c r="F264" s="64" cm="1">
        <f t="array" ref="F264">IF(COUNT(FIND(PurlinsxGirthsxBracings,$C264))&gt;0,0,ROUNDUP(IF(D264=0,0,VLOOKUP(D264,'DATA SHEET'!$B:$D,2,FALSE)),2))</f>
        <v>0</v>
      </c>
      <c r="G264" s="64" cm="1">
        <f t="array" ref="G264">IF(COUNT(FIND(PurlinsxGirthsxBracings,$C264))&gt;0,0,ROUNDUP(IF(D264=0,0,VLOOKUP(D264,'DATA SHEET'!$B:$D,3,FALSE)),2))</f>
        <v>0</v>
      </c>
      <c r="H264" s="53"/>
      <c r="I264" s="66" cm="1">
        <f t="array" ref="I264">IF(AND(ISBLANK(B264),ISBLANK(C264),ISBLANK(E264)),0,IF(COUNT(FIND(PurlinsxGirthsxBracings,$C264))&gt;0,IF(B264=0,CONCATENATE(E264," ",C264),CONCATENATE(B264," - ",E264," ",C264)),IF(B264=0,IF(ISBLANK(C264),E264,CONCATENATE(D264,", ",F264,"kg/m, ",G264,"mm surface perimeter")),IF(AND(ISBLANK(C264),ISTEXT(E264)),CONCATENATE(B264," - ",E264),IF(AND(ISBLANK(C264),ISBLANK(E264)),B264,CONCATENATE(B264," - ",D264,", ",F264,"kg/m, ",G264,"mm surface perimeter"))))&amp;IF(ISBLANK(H264),"",H264)))</f>
        <v>0</v>
      </c>
      <c r="J264" s="53"/>
      <c r="L264" s="4" t="str" cm="1">
        <f t="array" ref="L264">IF(COUNT(FIND({0,1,2,3,4,5,6,7,8,9},B264))&gt;0,COUNT(FIND({0,1,2,3,4,5,6,7,8,9},B264))&gt;0,"")</f>
        <v/>
      </c>
      <c r="M264" s="4" t="str" cm="1">
        <f t="array" aca="1" ref="M264" ca="1">IFERROR(_xlfn.IFS(R264="Count",RANDBETWEEN(1,COUNTIF($R$11:$R$653,"Count")),R264="Length",RANDBETWEEN(1,COUNTIF($R$11:$R$653,"Length"))),"")</f>
        <v/>
      </c>
      <c r="N264" s="4" t="str">
        <f ca="1">IFERROR(_xlfn.RANK.EQ(M264,$M$11:$M$653)+COUNTIF($M$11:M264,M264)-1,"")</f>
        <v/>
      </c>
      <c r="O264" s="86" t="str">
        <f>IF(A264='DATA SHEET'!$L$36,C264,IFERROR(IF(AND(ISTEXT(I264),ISBLANK(C264)),"No details",VLOOKUP(C264,DimFolder,2,FALSE)),""))</f>
        <v/>
      </c>
      <c r="P264" s="4" t="str">
        <f t="shared" si="77"/>
        <v/>
      </c>
      <c r="Q264" s="58" t="str">
        <f t="shared" si="88"/>
        <v/>
      </c>
      <c r="R264" s="4" t="e" cm="1">
        <f t="array" ref="R264">IF(INDEX(Table2[],_xlfn.XMATCH($A264,Table2[Steel Member],0),_xlfn.XMATCH(R$2,Table2[#Headers],0))=0,"",INDEX(Table2[],_xlfn.XMATCH($A264,Table2[Steel Member],0),_xlfn.XMATCH(R$2,Table2[#Headers],0)))</f>
        <v>#N/A</v>
      </c>
      <c r="S264" s="4" t="e" cm="1">
        <f t="array" ref="S264">IF(INDEX(Table2[],_xlfn.XMATCH($A264,Table2[Steel Member],0),_xlfn.XMATCH(S$2,Table2[#Headers],0))=0,"",INDEX(Table2[],_xlfn.XMATCH($A264,Table2[Steel Member],0),_xlfn.XMATCH(S$2,Table2[#Headers],0)))</f>
        <v>#N/A</v>
      </c>
      <c r="T264" s="4" t="str">
        <f t="shared" si="79"/>
        <v/>
      </c>
      <c r="U264" s="4" t="e">
        <f ca="1">VLOOKUP(N264,'COLOR CODE'!$B:$D,2,FALSE)</f>
        <v>#N/A</v>
      </c>
      <c r="V264" s="4" t="str">
        <f t="shared" si="80"/>
        <v/>
      </c>
      <c r="W264" s="4" t="e" cm="1">
        <f t="array" ref="W264">IF(INDEX(Table2[],_xlfn.XMATCH($A264,Table2[Steel Member],0),_xlfn.XMATCH(W$2,Table2[#Headers],0))=0,"",INDEX(Table2[],_xlfn.XMATCH($A264,Table2[Steel Member],0),_xlfn.XMATCH(W$2,Table2[#Headers],0)))</f>
        <v>#N/A</v>
      </c>
      <c r="X264" s="4" t="e">
        <f t="shared" si="78"/>
        <v>#N/A</v>
      </c>
      <c r="Y264" s="4" t="e" cm="1">
        <f t="array" ref="Y264">IF(INDEX(Table2[],_xlfn.XMATCH($A264,Table2[Steel Member],0),_xlfn.XMATCH(Y$2,Table2[#Headers],0))=0,"",INDEX(Table2[],_xlfn.XMATCH($A264,Table2[Steel Member],0),_xlfn.XMATCH(Y$2,Table2[#Headers],0)))</f>
        <v>#N/A</v>
      </c>
      <c r="Z264" s="4" t="e" cm="1">
        <f t="array" ref="Z264">IF(INDEX(Table2[],_xlfn.XMATCH($A264,Table2[Steel Member],0),_xlfn.XMATCH(Z$2,Table2[#Headers],0))=0,"",INDEX(Table2[],_xlfn.XMATCH($A264,Table2[Steel Member],0),_xlfn.XMATCH(Z$2,Table2[#Headers],0)))</f>
        <v>#N/A</v>
      </c>
      <c r="AA264" s="4" t="e" cm="1">
        <f t="array" ref="AA264">IF(INDEX(Table2[],_xlfn.XMATCH($A264,Table2[Steel Member],0),_xlfn.XMATCH(AA$2,Table2[#Headers],0))=0,"",INDEX(Table2[],_xlfn.XMATCH($A264,Table2[Steel Member],0),_xlfn.XMATCH(AA$2,Table2[#Headers],0)))</f>
        <v>#N/A</v>
      </c>
      <c r="AB264" s="4" t="e" cm="1">
        <f t="array" ref="AB264">IF(INDEX(Table2[],_xlfn.XMATCH($A264,Table2[Steel Member],0),_xlfn.XMATCH(AB$2,Table2[#Headers],0))=0,"",INDEX(Table2[],_xlfn.XMATCH($A264,Table2[Steel Member],0),_xlfn.XMATCH(AB$2,Table2[#Headers],0)))</f>
        <v>#N/A</v>
      </c>
      <c r="AC264" s="4" t="str" cm="1">
        <f t="array" ref="AC264">IFERROR(INDEX(Table8[],_xlfn.XMATCH($O264,Table8[Dimension Name Category],0),_xlfn.XMATCH(AC$2&amp;IF($L264," w/ tag"," w/o tag"),Table8[#Headers],0)),"")</f>
        <v/>
      </c>
      <c r="AD264" s="59" t="str">
        <f t="shared" si="81"/>
        <v/>
      </c>
      <c r="AE264" s="4" t="str">
        <f t="shared" si="82"/>
        <v/>
      </c>
      <c r="AF264" s="4" t="str">
        <f t="shared" si="83"/>
        <v/>
      </c>
      <c r="AG264" s="4" t="str" cm="1">
        <f t="array" ref="AG264">IFERROR(INDEX(Table8[],_xlfn.XMATCH($O264,Table8[Dimension Name Category],0),_xlfn.XMATCH(AG$2&amp;IF($L264," w/ tag"," w/o tag"),Table8[#Headers],0)),"")</f>
        <v/>
      </c>
      <c r="AH264" s="59" t="str">
        <f t="shared" si="84"/>
        <v/>
      </c>
      <c r="AI264" s="4"/>
      <c r="AJ264" s="4" t="str">
        <f t="shared" si="85"/>
        <v/>
      </c>
      <c r="AK264" s="4" t="str">
        <f t="shared" si="86"/>
        <v/>
      </c>
      <c r="AL264" s="4" t="e" cm="1">
        <f t="array" ref="AL264">IF(INDEX(Table2[],_xlfn.XMATCH($A264,Table2[Steel Member],0),_xlfn.XMATCH(AL$2,Table2[#Headers],0))=0,"",INDEX(Table2[],_xlfn.XMATCH($A264,Table2[Steel Member],0),_xlfn.XMATCH(AL$2,Table2[#Headers],0)))</f>
        <v>#N/A</v>
      </c>
      <c r="AM264" s="4"/>
      <c r="AN264" s="4" t="str">
        <f t="shared" si="87"/>
        <v/>
      </c>
      <c r="AO264" s="4"/>
      <c r="AP264" s="4" t="e" cm="1">
        <f t="array" ref="AP264">IF(INDEX(Table2[],_xlfn.XMATCH($A264,Table2[Steel Member],0),_xlfn.XMATCH(AP$2,Table2[#Headers],0))=0,"",INDEX(Table2[],_xlfn.XMATCH($A264,Table2[Steel Member],0),_xlfn.XMATCH(AP$2,Table2[#Headers],0)))</f>
        <v>#N/A</v>
      </c>
      <c r="AQ264" s="4"/>
      <c r="AR264" s="4"/>
      <c r="AS264" s="4"/>
      <c r="AT264" s="4"/>
    </row>
    <row r="265" spans="1:46" x14ac:dyDescent="0.25">
      <c r="A265" s="52"/>
      <c r="B265" s="52"/>
      <c r="C265" s="52"/>
      <c r="D265" s="52"/>
      <c r="E265" s="52"/>
      <c r="F265" s="64" cm="1">
        <f t="array" ref="F265">IF(COUNT(FIND(PurlinsxGirthsxBracings,$C265))&gt;0,0,ROUNDUP(IF(D265=0,0,VLOOKUP(D265,'DATA SHEET'!$B:$D,2,FALSE)),2))</f>
        <v>0</v>
      </c>
      <c r="G265" s="64" cm="1">
        <f t="array" ref="G265">IF(COUNT(FIND(PurlinsxGirthsxBracings,$C265))&gt;0,0,ROUNDUP(IF(D265=0,0,VLOOKUP(D265,'DATA SHEET'!$B:$D,3,FALSE)),2))</f>
        <v>0</v>
      </c>
      <c r="H265" s="53"/>
      <c r="I265" s="66" cm="1">
        <f t="array" ref="I265">IF(AND(ISBLANK(B265),ISBLANK(C265),ISBLANK(E265)),0,IF(COUNT(FIND(PurlinsxGirthsxBracings,$C265))&gt;0,IF(B265=0,CONCATENATE(E265," ",C265),CONCATENATE(B265," - ",E265," ",C265)),IF(B265=0,IF(ISBLANK(C265),E265,CONCATENATE(D265,", ",F265,"kg/m, ",G265,"mm surface perimeter")),IF(AND(ISBLANK(C265),ISTEXT(E265)),CONCATENATE(B265," - ",E265),IF(AND(ISBLANK(C265),ISBLANK(E265)),B265,CONCATENATE(B265," - ",D265,", ",F265,"kg/m, ",G265,"mm surface perimeter"))))&amp;IF(ISBLANK(H265),"",H265)))</f>
        <v>0</v>
      </c>
      <c r="J265" s="53"/>
      <c r="L265" s="4" t="str" cm="1">
        <f t="array" ref="L265">IF(COUNT(FIND({0,1,2,3,4,5,6,7,8,9},B265))&gt;0,COUNT(FIND({0,1,2,3,4,5,6,7,8,9},B265))&gt;0,"")</f>
        <v/>
      </c>
      <c r="M265" s="4" t="str" cm="1">
        <f t="array" aca="1" ref="M265" ca="1">IFERROR(_xlfn.IFS(R265="Count",RANDBETWEEN(1,COUNTIF($R$11:$R$653,"Count")),R265="Length",RANDBETWEEN(1,COUNTIF($R$11:$R$653,"Length"))),"")</f>
        <v/>
      </c>
      <c r="N265" s="4" t="str">
        <f ca="1">IFERROR(_xlfn.RANK.EQ(M265,$M$11:$M$653)+COUNTIF($M$11:M265,M265)-1,"")</f>
        <v/>
      </c>
      <c r="O265" s="86" t="str">
        <f>IF(A265='DATA SHEET'!$L$36,C265,IFERROR(IF(AND(ISTEXT(I265),ISBLANK(C265)),"No details",VLOOKUP(C265,DimFolder,2,FALSE)),""))</f>
        <v/>
      </c>
      <c r="P265" s="4" t="str">
        <f t="shared" si="77"/>
        <v/>
      </c>
      <c r="Q265" s="58" t="str">
        <f t="shared" si="88"/>
        <v/>
      </c>
      <c r="R265" s="4" t="e" cm="1">
        <f t="array" ref="R265">IF(INDEX(Table2[],_xlfn.XMATCH($A265,Table2[Steel Member],0),_xlfn.XMATCH(R$2,Table2[#Headers],0))=0,"",INDEX(Table2[],_xlfn.XMATCH($A265,Table2[Steel Member],0),_xlfn.XMATCH(R$2,Table2[#Headers],0)))</f>
        <v>#N/A</v>
      </c>
      <c r="S265" s="4" t="e" cm="1">
        <f t="array" ref="S265">IF(INDEX(Table2[],_xlfn.XMATCH($A265,Table2[Steel Member],0),_xlfn.XMATCH(S$2,Table2[#Headers],0))=0,"",INDEX(Table2[],_xlfn.XMATCH($A265,Table2[Steel Member],0),_xlfn.XMATCH(S$2,Table2[#Headers],0)))</f>
        <v>#N/A</v>
      </c>
      <c r="T265" s="4" t="str">
        <f t="shared" si="79"/>
        <v/>
      </c>
      <c r="U265" s="4" t="e">
        <f ca="1">VLOOKUP(N265,'COLOR CODE'!$B:$D,2,FALSE)</f>
        <v>#N/A</v>
      </c>
      <c r="V265" s="4" t="str">
        <f t="shared" si="80"/>
        <v/>
      </c>
      <c r="W265" s="4" t="e" cm="1">
        <f t="array" ref="W265">IF(INDEX(Table2[],_xlfn.XMATCH($A265,Table2[Steel Member],0),_xlfn.XMATCH(W$2,Table2[#Headers],0))=0,"",INDEX(Table2[],_xlfn.XMATCH($A265,Table2[Steel Member],0),_xlfn.XMATCH(W$2,Table2[#Headers],0)))</f>
        <v>#N/A</v>
      </c>
      <c r="X265" s="4" t="e">
        <f t="shared" si="78"/>
        <v>#N/A</v>
      </c>
      <c r="Y265" s="4" t="e" cm="1">
        <f t="array" ref="Y265">IF(INDEX(Table2[],_xlfn.XMATCH($A265,Table2[Steel Member],0),_xlfn.XMATCH(Y$2,Table2[#Headers],0))=0,"",INDEX(Table2[],_xlfn.XMATCH($A265,Table2[Steel Member],0),_xlfn.XMATCH(Y$2,Table2[#Headers],0)))</f>
        <v>#N/A</v>
      </c>
      <c r="Z265" s="4" t="e" cm="1">
        <f t="array" ref="Z265">IF(INDEX(Table2[],_xlfn.XMATCH($A265,Table2[Steel Member],0),_xlfn.XMATCH(Z$2,Table2[#Headers],0))=0,"",INDEX(Table2[],_xlfn.XMATCH($A265,Table2[Steel Member],0),_xlfn.XMATCH(Z$2,Table2[#Headers],0)))</f>
        <v>#N/A</v>
      </c>
      <c r="AA265" s="4" t="e" cm="1">
        <f t="array" ref="AA265">IF(INDEX(Table2[],_xlfn.XMATCH($A265,Table2[Steel Member],0),_xlfn.XMATCH(AA$2,Table2[#Headers],0))=0,"",INDEX(Table2[],_xlfn.XMATCH($A265,Table2[Steel Member],0),_xlfn.XMATCH(AA$2,Table2[#Headers],0)))</f>
        <v>#N/A</v>
      </c>
      <c r="AB265" s="4" t="e" cm="1">
        <f t="array" ref="AB265">IF(INDEX(Table2[],_xlfn.XMATCH($A265,Table2[Steel Member],0),_xlfn.XMATCH(AB$2,Table2[#Headers],0))=0,"",INDEX(Table2[],_xlfn.XMATCH($A265,Table2[Steel Member],0),_xlfn.XMATCH(AB$2,Table2[#Headers],0)))</f>
        <v>#N/A</v>
      </c>
      <c r="AC265" s="4" t="str" cm="1">
        <f t="array" ref="AC265">IFERROR(INDEX(Table8[],_xlfn.XMATCH($O265,Table8[Dimension Name Category],0),_xlfn.XMATCH(AC$2&amp;IF($L265," w/ tag"," w/o tag"),Table8[#Headers],0)),"")</f>
        <v/>
      </c>
      <c r="AD265" s="59" t="str">
        <f t="shared" si="81"/>
        <v/>
      </c>
      <c r="AE265" s="4" t="str">
        <f t="shared" si="82"/>
        <v/>
      </c>
      <c r="AF265" s="4" t="str">
        <f t="shared" si="83"/>
        <v/>
      </c>
      <c r="AG265" s="4" t="str" cm="1">
        <f t="array" ref="AG265">IFERROR(INDEX(Table8[],_xlfn.XMATCH($O265,Table8[Dimension Name Category],0),_xlfn.XMATCH(AG$2&amp;IF($L265," w/ tag"," w/o tag"),Table8[#Headers],0)),"")</f>
        <v/>
      </c>
      <c r="AH265" s="59" t="str">
        <f t="shared" si="84"/>
        <v/>
      </c>
      <c r="AI265" s="4"/>
      <c r="AJ265" s="4" t="str">
        <f t="shared" si="85"/>
        <v/>
      </c>
      <c r="AK265" s="4" t="str">
        <f t="shared" si="86"/>
        <v/>
      </c>
      <c r="AL265" s="4" t="e" cm="1">
        <f t="array" ref="AL265">IF(INDEX(Table2[],_xlfn.XMATCH($A265,Table2[Steel Member],0),_xlfn.XMATCH(AL$2,Table2[#Headers],0))=0,"",INDEX(Table2[],_xlfn.XMATCH($A265,Table2[Steel Member],0),_xlfn.XMATCH(AL$2,Table2[#Headers],0)))</f>
        <v>#N/A</v>
      </c>
      <c r="AM265" s="4"/>
      <c r="AN265" s="4" t="str">
        <f t="shared" si="87"/>
        <v/>
      </c>
      <c r="AO265" s="4"/>
      <c r="AP265" s="4" t="e" cm="1">
        <f t="array" ref="AP265">IF(INDEX(Table2[],_xlfn.XMATCH($A265,Table2[Steel Member],0),_xlfn.XMATCH(AP$2,Table2[#Headers],0))=0,"",INDEX(Table2[],_xlfn.XMATCH($A265,Table2[Steel Member],0),_xlfn.XMATCH(AP$2,Table2[#Headers],0)))</f>
        <v>#N/A</v>
      </c>
      <c r="AQ265" s="4"/>
      <c r="AR265" s="4"/>
      <c r="AS265" s="4"/>
      <c r="AT265" s="4"/>
    </row>
    <row r="266" spans="1:46" x14ac:dyDescent="0.25">
      <c r="A266" s="52"/>
      <c r="B266" s="52"/>
      <c r="C266" s="52"/>
      <c r="D266" s="52"/>
      <c r="E266" s="52"/>
      <c r="F266" s="64" cm="1">
        <f t="array" ref="F266">IF(COUNT(FIND(PurlinsxGirthsxBracings,$C266))&gt;0,0,ROUNDUP(IF(D266=0,0,VLOOKUP(D266,'DATA SHEET'!$B:$D,2,FALSE)),2))</f>
        <v>0</v>
      </c>
      <c r="G266" s="64" cm="1">
        <f t="array" ref="G266">IF(COUNT(FIND(PurlinsxGirthsxBracings,$C266))&gt;0,0,ROUNDUP(IF(D266=0,0,VLOOKUP(D266,'DATA SHEET'!$B:$D,3,FALSE)),2))</f>
        <v>0</v>
      </c>
      <c r="H266" s="53"/>
      <c r="I266" s="66" cm="1">
        <f t="array" ref="I266">IF(AND(ISBLANK(B266),ISBLANK(C266),ISBLANK(E266)),0,IF(COUNT(FIND(PurlinsxGirthsxBracings,$C266))&gt;0,IF(B266=0,CONCATENATE(E266," ",C266),CONCATENATE(B266," - ",E266," ",C266)),IF(B266=0,IF(ISBLANK(C266),E266,CONCATENATE(D266,", ",F266,"kg/m, ",G266,"mm surface perimeter")),IF(AND(ISBLANK(C266),ISTEXT(E266)),CONCATENATE(B266," - ",E266),IF(AND(ISBLANK(C266),ISBLANK(E266)),B266,CONCATENATE(B266," - ",D266,", ",F266,"kg/m, ",G266,"mm surface perimeter"))))&amp;IF(ISBLANK(H266),"",H266)))</f>
        <v>0</v>
      </c>
      <c r="J266" s="53"/>
      <c r="L266" s="4" t="str" cm="1">
        <f t="array" ref="L266">IF(COUNT(FIND({0,1,2,3,4,5,6,7,8,9},B266))&gt;0,COUNT(FIND({0,1,2,3,4,5,6,7,8,9},B266))&gt;0,"")</f>
        <v/>
      </c>
      <c r="M266" s="4" t="str" cm="1">
        <f t="array" aca="1" ref="M266" ca="1">IFERROR(_xlfn.IFS(R266="Count",RANDBETWEEN(1,COUNTIF($R$11:$R$653,"Count")),R266="Length",RANDBETWEEN(1,COUNTIF($R$11:$R$653,"Length"))),"")</f>
        <v/>
      </c>
      <c r="N266" s="4" t="str">
        <f ca="1">IFERROR(_xlfn.RANK.EQ(M266,$M$11:$M$653)+COUNTIF($M$11:M266,M266)-1,"")</f>
        <v/>
      </c>
      <c r="O266" s="86" t="str">
        <f>IF(A266='DATA SHEET'!$L$36,C266,IFERROR(IF(AND(ISTEXT(I266),ISBLANK(C266)),"No details",VLOOKUP(C266,DimFolder,2,FALSE)),""))</f>
        <v/>
      </c>
      <c r="P266" s="4" t="str">
        <f t="shared" si="77"/>
        <v/>
      </c>
      <c r="Q266" s="58" t="str">
        <f t="shared" si="88"/>
        <v/>
      </c>
      <c r="R266" s="4" t="e" cm="1">
        <f t="array" ref="R266">IF(INDEX(Table2[],_xlfn.XMATCH($A266,Table2[Steel Member],0),_xlfn.XMATCH(R$2,Table2[#Headers],0))=0,"",INDEX(Table2[],_xlfn.XMATCH($A266,Table2[Steel Member],0),_xlfn.XMATCH(R$2,Table2[#Headers],0)))</f>
        <v>#N/A</v>
      </c>
      <c r="S266" s="4" t="e" cm="1">
        <f t="array" ref="S266">IF(INDEX(Table2[],_xlfn.XMATCH($A266,Table2[Steel Member],0),_xlfn.XMATCH(S$2,Table2[#Headers],0))=0,"",INDEX(Table2[],_xlfn.XMATCH($A266,Table2[Steel Member],0),_xlfn.XMATCH(S$2,Table2[#Headers],0)))</f>
        <v>#N/A</v>
      </c>
      <c r="T266" s="4" t="str">
        <f t="shared" si="79"/>
        <v/>
      </c>
      <c r="U266" s="4" t="e">
        <f ca="1">VLOOKUP(N266,'COLOR CODE'!$B:$D,2,FALSE)</f>
        <v>#N/A</v>
      </c>
      <c r="V266" s="4" t="str">
        <f t="shared" si="80"/>
        <v/>
      </c>
      <c r="W266" s="4" t="e" cm="1">
        <f t="array" ref="W266">IF(INDEX(Table2[],_xlfn.XMATCH($A266,Table2[Steel Member],0),_xlfn.XMATCH(W$2,Table2[#Headers],0))=0,"",INDEX(Table2[],_xlfn.XMATCH($A266,Table2[Steel Member],0),_xlfn.XMATCH(W$2,Table2[#Headers],0)))</f>
        <v>#N/A</v>
      </c>
      <c r="X266" s="4" t="e">
        <f t="shared" si="78"/>
        <v>#N/A</v>
      </c>
      <c r="Y266" s="4" t="e" cm="1">
        <f t="array" ref="Y266">IF(INDEX(Table2[],_xlfn.XMATCH($A266,Table2[Steel Member],0),_xlfn.XMATCH(Y$2,Table2[#Headers],0))=0,"",INDEX(Table2[],_xlfn.XMATCH($A266,Table2[Steel Member],0),_xlfn.XMATCH(Y$2,Table2[#Headers],0)))</f>
        <v>#N/A</v>
      </c>
      <c r="Z266" s="4" t="e" cm="1">
        <f t="array" ref="Z266">IF(INDEX(Table2[],_xlfn.XMATCH($A266,Table2[Steel Member],0),_xlfn.XMATCH(Z$2,Table2[#Headers],0))=0,"",INDEX(Table2[],_xlfn.XMATCH($A266,Table2[Steel Member],0),_xlfn.XMATCH(Z$2,Table2[#Headers],0)))</f>
        <v>#N/A</v>
      </c>
      <c r="AA266" s="4" t="e" cm="1">
        <f t="array" ref="AA266">IF(INDEX(Table2[],_xlfn.XMATCH($A266,Table2[Steel Member],0),_xlfn.XMATCH(AA$2,Table2[#Headers],0))=0,"",INDEX(Table2[],_xlfn.XMATCH($A266,Table2[Steel Member],0),_xlfn.XMATCH(AA$2,Table2[#Headers],0)))</f>
        <v>#N/A</v>
      </c>
      <c r="AB266" s="4" t="e" cm="1">
        <f t="array" ref="AB266">IF(INDEX(Table2[],_xlfn.XMATCH($A266,Table2[Steel Member],0),_xlfn.XMATCH(AB$2,Table2[#Headers],0))=0,"",INDEX(Table2[],_xlfn.XMATCH($A266,Table2[Steel Member],0),_xlfn.XMATCH(AB$2,Table2[#Headers],0)))</f>
        <v>#N/A</v>
      </c>
      <c r="AC266" s="4" t="str" cm="1">
        <f t="array" ref="AC266">IFERROR(INDEX(Table8[],_xlfn.XMATCH($O266,Table8[Dimension Name Category],0),_xlfn.XMATCH(AC$2&amp;IF($L266," w/ tag"," w/o tag"),Table8[#Headers],0)),"")</f>
        <v/>
      </c>
      <c r="AD266" s="59" t="str">
        <f t="shared" si="81"/>
        <v/>
      </c>
      <c r="AE266" s="4" t="str">
        <f t="shared" si="82"/>
        <v/>
      </c>
      <c r="AF266" s="4" t="str">
        <f t="shared" si="83"/>
        <v/>
      </c>
      <c r="AG266" s="4" t="str" cm="1">
        <f t="array" ref="AG266">IFERROR(INDEX(Table8[],_xlfn.XMATCH($O266,Table8[Dimension Name Category],0),_xlfn.XMATCH(AG$2&amp;IF($L266," w/ tag"," w/o tag"),Table8[#Headers],0)),"")</f>
        <v/>
      </c>
      <c r="AH266" s="59" t="str">
        <f t="shared" si="84"/>
        <v/>
      </c>
      <c r="AI266" s="4"/>
      <c r="AJ266" s="4" t="str">
        <f t="shared" si="85"/>
        <v/>
      </c>
      <c r="AK266" s="4" t="str">
        <f t="shared" si="86"/>
        <v/>
      </c>
      <c r="AL266" s="4" t="e" cm="1">
        <f t="array" ref="AL266">IF(INDEX(Table2[],_xlfn.XMATCH($A266,Table2[Steel Member],0),_xlfn.XMATCH(AL$2,Table2[#Headers],0))=0,"",INDEX(Table2[],_xlfn.XMATCH($A266,Table2[Steel Member],0),_xlfn.XMATCH(AL$2,Table2[#Headers],0)))</f>
        <v>#N/A</v>
      </c>
      <c r="AM266" s="4"/>
      <c r="AN266" s="4" t="str">
        <f t="shared" si="87"/>
        <v/>
      </c>
      <c r="AO266" s="4"/>
      <c r="AP266" s="4" t="e" cm="1">
        <f t="array" ref="AP266">IF(INDEX(Table2[],_xlfn.XMATCH($A266,Table2[Steel Member],0),_xlfn.XMATCH(AP$2,Table2[#Headers],0))=0,"",INDEX(Table2[],_xlfn.XMATCH($A266,Table2[Steel Member],0),_xlfn.XMATCH(AP$2,Table2[#Headers],0)))</f>
        <v>#N/A</v>
      </c>
      <c r="AQ266" s="4"/>
      <c r="AR266" s="4"/>
      <c r="AS266" s="4"/>
      <c r="AT266" s="4"/>
    </row>
    <row r="267" spans="1:46" x14ac:dyDescent="0.25">
      <c r="A267" s="52"/>
      <c r="B267" s="52"/>
      <c r="C267" s="52"/>
      <c r="D267" s="52"/>
      <c r="E267" s="52"/>
      <c r="F267" s="64" cm="1">
        <f t="array" ref="F267">IF(COUNT(FIND(PurlinsxGirthsxBracings,$C267))&gt;0,0,ROUNDUP(IF(D267=0,0,VLOOKUP(D267,'DATA SHEET'!$B:$D,2,FALSE)),2))</f>
        <v>0</v>
      </c>
      <c r="G267" s="64" cm="1">
        <f t="array" ref="G267">IF(COUNT(FIND(PurlinsxGirthsxBracings,$C267))&gt;0,0,ROUNDUP(IF(D267=0,0,VLOOKUP(D267,'DATA SHEET'!$B:$D,3,FALSE)),2))</f>
        <v>0</v>
      </c>
      <c r="H267" s="53"/>
      <c r="I267" s="66" cm="1">
        <f t="array" ref="I267">IF(AND(ISBLANK(B267),ISBLANK(C267),ISBLANK(E267)),0,IF(COUNT(FIND(PurlinsxGirthsxBracings,$C267))&gt;0,IF(B267=0,CONCATENATE(E267," ",C267),CONCATENATE(B267," - ",E267," ",C267)),IF(B267=0,IF(ISBLANK(C267),E267,CONCATENATE(D267,", ",F267,"kg/m, ",G267,"mm surface perimeter")),IF(AND(ISBLANK(C267),ISTEXT(E267)),CONCATENATE(B267," - ",E267),IF(AND(ISBLANK(C267),ISBLANK(E267)),B267,CONCATENATE(B267," - ",D267,", ",F267,"kg/m, ",G267,"mm surface perimeter"))))&amp;IF(ISBLANK(H267),"",H267)))</f>
        <v>0</v>
      </c>
      <c r="J267" s="53"/>
      <c r="L267" s="4" t="str" cm="1">
        <f t="array" ref="L267">IF(COUNT(FIND({0,1,2,3,4,5,6,7,8,9},B267))&gt;0,COUNT(FIND({0,1,2,3,4,5,6,7,8,9},B267))&gt;0,"")</f>
        <v/>
      </c>
      <c r="M267" s="4" t="str" cm="1">
        <f t="array" aca="1" ref="M267" ca="1">IFERROR(_xlfn.IFS(R267="Count",RANDBETWEEN(1,COUNTIF($R$11:$R$653,"Count")),R267="Length",RANDBETWEEN(1,COUNTIF($R$11:$R$653,"Length"))),"")</f>
        <v/>
      </c>
      <c r="N267" s="4" t="str">
        <f ca="1">IFERROR(_xlfn.RANK.EQ(M267,$M$11:$M$653)+COUNTIF($M$11:M267,M267)-1,"")</f>
        <v/>
      </c>
      <c r="O267" s="86" t="str">
        <f>IF(A267='DATA SHEET'!$L$36,C267,IFERROR(IF(AND(ISTEXT(I267),ISBLANK(C267)),"No details",VLOOKUP(C267,DimFolder,2,FALSE)),""))</f>
        <v/>
      </c>
      <c r="P267" s="4" t="str">
        <f t="shared" ref="P267:P330" si="89">IF(AND(ISBLANK(B267),ISBLANK(C267)),"",CONCATENATE("Structural\Structural Steel\",A267,"\",O267))</f>
        <v/>
      </c>
      <c r="Q267" s="58" t="str">
        <f t="shared" si="88"/>
        <v/>
      </c>
      <c r="R267" s="4" t="e" cm="1">
        <f t="array" ref="R267">IF(INDEX(Table2[],_xlfn.XMATCH($A267,Table2[Steel Member],0),_xlfn.XMATCH(R$2,Table2[#Headers],0))=0,"",INDEX(Table2[],_xlfn.XMATCH($A267,Table2[Steel Member],0),_xlfn.XMATCH(R$2,Table2[#Headers],0)))</f>
        <v>#N/A</v>
      </c>
      <c r="S267" s="4" t="e" cm="1">
        <f t="array" ref="S267">IF(INDEX(Table2[],_xlfn.XMATCH($A267,Table2[Steel Member],0),_xlfn.XMATCH(S$2,Table2[#Headers],0))=0,"",INDEX(Table2[],_xlfn.XMATCH($A267,Table2[Steel Member],0),_xlfn.XMATCH(S$2,Table2[#Headers],0)))</f>
        <v>#N/A</v>
      </c>
      <c r="T267" s="4" t="str">
        <f t="shared" si="79"/>
        <v/>
      </c>
      <c r="U267" s="4" t="e">
        <f ca="1">VLOOKUP(N267,'COLOR CODE'!$B:$D,2,FALSE)</f>
        <v>#N/A</v>
      </c>
      <c r="V267" s="4" t="str">
        <f t="shared" si="80"/>
        <v/>
      </c>
      <c r="W267" s="4" t="e" cm="1">
        <f t="array" ref="W267">IF(INDEX(Table2[],_xlfn.XMATCH($A267,Table2[Steel Member],0),_xlfn.XMATCH(W$2,Table2[#Headers],0))=0,"",INDEX(Table2[],_xlfn.XMATCH($A267,Table2[Steel Member],0),_xlfn.XMATCH(W$2,Table2[#Headers],0)))</f>
        <v>#N/A</v>
      </c>
      <c r="X267" s="4" t="e">
        <f t="shared" si="78"/>
        <v>#N/A</v>
      </c>
      <c r="Y267" s="4" t="e" cm="1">
        <f t="array" ref="Y267">IF(INDEX(Table2[],_xlfn.XMATCH($A267,Table2[Steel Member],0),_xlfn.XMATCH(Y$2,Table2[#Headers],0))=0,"",INDEX(Table2[],_xlfn.XMATCH($A267,Table2[Steel Member],0),_xlfn.XMATCH(Y$2,Table2[#Headers],0)))</f>
        <v>#N/A</v>
      </c>
      <c r="Z267" s="4" t="e" cm="1">
        <f t="array" ref="Z267">IF(INDEX(Table2[],_xlfn.XMATCH($A267,Table2[Steel Member],0),_xlfn.XMATCH(Z$2,Table2[#Headers],0))=0,"",INDEX(Table2[],_xlfn.XMATCH($A267,Table2[Steel Member],0),_xlfn.XMATCH(Z$2,Table2[#Headers],0)))</f>
        <v>#N/A</v>
      </c>
      <c r="AA267" s="4" t="e" cm="1">
        <f t="array" ref="AA267">IF(INDEX(Table2[],_xlfn.XMATCH($A267,Table2[Steel Member],0),_xlfn.XMATCH(AA$2,Table2[#Headers],0))=0,"",INDEX(Table2[],_xlfn.XMATCH($A267,Table2[Steel Member],0),_xlfn.XMATCH(AA$2,Table2[#Headers],0)))</f>
        <v>#N/A</v>
      </c>
      <c r="AB267" s="4" t="e" cm="1">
        <f t="array" ref="AB267">IF(INDEX(Table2[],_xlfn.XMATCH($A267,Table2[Steel Member],0),_xlfn.XMATCH(AB$2,Table2[#Headers],0))=0,"",INDEX(Table2[],_xlfn.XMATCH($A267,Table2[Steel Member],0),_xlfn.XMATCH(AB$2,Table2[#Headers],0)))</f>
        <v>#N/A</v>
      </c>
      <c r="AC267" s="4" t="str" cm="1">
        <f t="array" ref="AC267">IFERROR(INDEX(Table8[],_xlfn.XMATCH($O267,Table8[Dimension Name Category],0),_xlfn.XMATCH(AC$2&amp;IF($L267," w/ tag"," w/o tag"),Table8[#Headers],0)),"")</f>
        <v/>
      </c>
      <c r="AD267" s="59" t="str">
        <f t="shared" si="81"/>
        <v/>
      </c>
      <c r="AE267" s="4" t="str">
        <f t="shared" si="82"/>
        <v/>
      </c>
      <c r="AF267" s="4" t="str">
        <f t="shared" si="83"/>
        <v/>
      </c>
      <c r="AG267" s="4" t="str" cm="1">
        <f t="array" ref="AG267">IFERROR(INDEX(Table8[],_xlfn.XMATCH($O267,Table8[Dimension Name Category],0),_xlfn.XMATCH(AG$2&amp;IF($L267," w/ tag"," w/o tag"),Table8[#Headers],0)),"")</f>
        <v/>
      </c>
      <c r="AH267" s="59" t="str">
        <f t="shared" si="84"/>
        <v/>
      </c>
      <c r="AI267" s="4"/>
      <c r="AJ267" s="4" t="str">
        <f t="shared" si="85"/>
        <v/>
      </c>
      <c r="AK267" s="4" t="str">
        <f t="shared" si="86"/>
        <v/>
      </c>
      <c r="AL267" s="4" t="e" cm="1">
        <f t="array" ref="AL267">IF(INDEX(Table2[],_xlfn.XMATCH($A267,Table2[Steel Member],0),_xlfn.XMATCH(AL$2,Table2[#Headers],0))=0,"",INDEX(Table2[],_xlfn.XMATCH($A267,Table2[Steel Member],0),_xlfn.XMATCH(AL$2,Table2[#Headers],0)))</f>
        <v>#N/A</v>
      </c>
      <c r="AM267" s="4"/>
      <c r="AN267" s="4" t="str">
        <f t="shared" si="87"/>
        <v/>
      </c>
      <c r="AO267" s="4"/>
      <c r="AP267" s="4" t="e" cm="1">
        <f t="array" ref="AP267">IF(INDEX(Table2[],_xlfn.XMATCH($A267,Table2[Steel Member],0),_xlfn.XMATCH(AP$2,Table2[#Headers],0))=0,"",INDEX(Table2[],_xlfn.XMATCH($A267,Table2[Steel Member],0),_xlfn.XMATCH(AP$2,Table2[#Headers],0)))</f>
        <v>#N/A</v>
      </c>
      <c r="AQ267" s="4"/>
      <c r="AR267" s="4"/>
      <c r="AS267" s="4"/>
      <c r="AT267" s="4"/>
    </row>
    <row r="268" spans="1:46" x14ac:dyDescent="0.25">
      <c r="A268" s="52"/>
      <c r="B268" s="52"/>
      <c r="C268" s="52"/>
      <c r="D268" s="52"/>
      <c r="E268" s="52"/>
      <c r="F268" s="64" cm="1">
        <f t="array" ref="F268">IF(COUNT(FIND(PurlinsxGirthsxBracings,$C268))&gt;0,0,ROUNDUP(IF(D268=0,0,VLOOKUP(D268,'DATA SHEET'!$B:$D,2,FALSE)),2))</f>
        <v>0</v>
      </c>
      <c r="G268" s="64" cm="1">
        <f t="array" ref="G268">IF(COUNT(FIND(PurlinsxGirthsxBracings,$C268))&gt;0,0,ROUNDUP(IF(D268=0,0,VLOOKUP(D268,'DATA SHEET'!$B:$D,3,FALSE)),2))</f>
        <v>0</v>
      </c>
      <c r="H268" s="53"/>
      <c r="I268" s="66" cm="1">
        <f t="array" ref="I268">IF(AND(ISBLANK(B268),ISBLANK(C268),ISBLANK(E268)),0,IF(COUNT(FIND(PurlinsxGirthsxBracings,$C268))&gt;0,IF(B268=0,CONCATENATE(E268," ",C268),CONCATENATE(B268," - ",E268," ",C268)),IF(B268=0,IF(ISBLANK(C268),E268,CONCATENATE(D268,", ",F268,"kg/m, ",G268,"mm surface perimeter")),IF(AND(ISBLANK(C268),ISTEXT(E268)),CONCATENATE(B268," - ",E268),IF(AND(ISBLANK(C268),ISBLANK(E268)),B268,CONCATENATE(B268," - ",D268,", ",F268,"kg/m, ",G268,"mm surface perimeter"))))&amp;IF(ISBLANK(H268),"",H268)))</f>
        <v>0</v>
      </c>
      <c r="J268" s="53"/>
      <c r="L268" s="4" t="str" cm="1">
        <f t="array" ref="L268">IF(COUNT(FIND({0,1,2,3,4,5,6,7,8,9},B268))&gt;0,COUNT(FIND({0,1,2,3,4,5,6,7,8,9},B268))&gt;0,"")</f>
        <v/>
      </c>
      <c r="M268" s="4" t="str" cm="1">
        <f t="array" aca="1" ref="M268" ca="1">IFERROR(_xlfn.IFS(R268="Count",RANDBETWEEN(1,COUNTIF($R$11:$R$653,"Count")),R268="Length",RANDBETWEEN(1,COUNTIF($R$11:$R$653,"Length"))),"")</f>
        <v/>
      </c>
      <c r="N268" s="4" t="str">
        <f ca="1">IFERROR(_xlfn.RANK.EQ(M268,$M$11:$M$653)+COUNTIF($M$11:M268,M268)-1,"")</f>
        <v/>
      </c>
      <c r="O268" s="86" t="str">
        <f>IF(A268='DATA SHEET'!$L$36,C268,IFERROR(IF(AND(ISTEXT(I268),ISBLANK(C268)),"No details",VLOOKUP(C268,DimFolder,2,FALSE)),""))</f>
        <v/>
      </c>
      <c r="P268" s="4" t="str">
        <f t="shared" si="89"/>
        <v/>
      </c>
      <c r="Q268" s="58" t="str">
        <f t="shared" si="88"/>
        <v/>
      </c>
      <c r="R268" s="4" t="e" cm="1">
        <f t="array" ref="R268">IF(INDEX(Table2[],_xlfn.XMATCH($A268,Table2[Steel Member],0),_xlfn.XMATCH(R$2,Table2[#Headers],0))=0,"",INDEX(Table2[],_xlfn.XMATCH($A268,Table2[Steel Member],0),_xlfn.XMATCH(R$2,Table2[#Headers],0)))</f>
        <v>#N/A</v>
      </c>
      <c r="S268" s="4" t="e" cm="1">
        <f t="array" ref="S268">IF(INDEX(Table2[],_xlfn.XMATCH($A268,Table2[Steel Member],0),_xlfn.XMATCH(S$2,Table2[#Headers],0))=0,"",INDEX(Table2[],_xlfn.XMATCH($A268,Table2[Steel Member],0),_xlfn.XMATCH(S$2,Table2[#Headers],0)))</f>
        <v>#N/A</v>
      </c>
      <c r="T268" s="4" t="str">
        <f t="shared" si="79"/>
        <v/>
      </c>
      <c r="U268" s="4" t="e">
        <f ca="1">VLOOKUP(N268,'COLOR CODE'!$B:$D,2,FALSE)</f>
        <v>#N/A</v>
      </c>
      <c r="V268" s="4" t="str">
        <f t="shared" si="80"/>
        <v/>
      </c>
      <c r="W268" s="4" t="e" cm="1">
        <f t="array" ref="W268">IF(INDEX(Table2[],_xlfn.XMATCH($A268,Table2[Steel Member],0),_xlfn.XMATCH(W$2,Table2[#Headers],0))=0,"",INDEX(Table2[],_xlfn.XMATCH($A268,Table2[Steel Member],0),_xlfn.XMATCH(W$2,Table2[#Headers],0)))</f>
        <v>#N/A</v>
      </c>
      <c r="X268" s="4" t="e">
        <f t="shared" si="78"/>
        <v>#N/A</v>
      </c>
      <c r="Y268" s="4" t="e" cm="1">
        <f t="array" ref="Y268">IF(INDEX(Table2[],_xlfn.XMATCH($A268,Table2[Steel Member],0),_xlfn.XMATCH(Y$2,Table2[#Headers],0))=0,"",INDEX(Table2[],_xlfn.XMATCH($A268,Table2[Steel Member],0),_xlfn.XMATCH(Y$2,Table2[#Headers],0)))</f>
        <v>#N/A</v>
      </c>
      <c r="Z268" s="4" t="e" cm="1">
        <f t="array" ref="Z268">IF(INDEX(Table2[],_xlfn.XMATCH($A268,Table2[Steel Member],0),_xlfn.XMATCH(Z$2,Table2[#Headers],0))=0,"",INDEX(Table2[],_xlfn.XMATCH($A268,Table2[Steel Member],0),_xlfn.XMATCH(Z$2,Table2[#Headers],0)))</f>
        <v>#N/A</v>
      </c>
      <c r="AA268" s="4" t="e" cm="1">
        <f t="array" ref="AA268">IF(INDEX(Table2[],_xlfn.XMATCH($A268,Table2[Steel Member],0),_xlfn.XMATCH(AA$2,Table2[#Headers],0))=0,"",INDEX(Table2[],_xlfn.XMATCH($A268,Table2[Steel Member],0),_xlfn.XMATCH(AA$2,Table2[#Headers],0)))</f>
        <v>#N/A</v>
      </c>
      <c r="AB268" s="4" t="e" cm="1">
        <f t="array" ref="AB268">IF(INDEX(Table2[],_xlfn.XMATCH($A268,Table2[Steel Member],0),_xlfn.XMATCH(AB$2,Table2[#Headers],0))=0,"",INDEX(Table2[],_xlfn.XMATCH($A268,Table2[Steel Member],0),_xlfn.XMATCH(AB$2,Table2[#Headers],0)))</f>
        <v>#N/A</v>
      </c>
      <c r="AC268" s="4" t="str" cm="1">
        <f t="array" ref="AC268">IFERROR(INDEX(Table8[],_xlfn.XMATCH($O268,Table8[Dimension Name Category],0),_xlfn.XMATCH(AC$2&amp;IF($L268," w/ tag"," w/o tag"),Table8[#Headers],0)),"")</f>
        <v/>
      </c>
      <c r="AD268" s="59" t="str">
        <f t="shared" si="81"/>
        <v/>
      </c>
      <c r="AE268" s="4" t="str">
        <f t="shared" si="82"/>
        <v/>
      </c>
      <c r="AF268" s="4" t="str">
        <f t="shared" si="83"/>
        <v/>
      </c>
      <c r="AG268" s="4" t="str" cm="1">
        <f t="array" ref="AG268">IFERROR(INDEX(Table8[],_xlfn.XMATCH($O268,Table8[Dimension Name Category],0),_xlfn.XMATCH(AG$2&amp;IF($L268," w/ tag"," w/o tag"),Table8[#Headers],0)),"")</f>
        <v/>
      </c>
      <c r="AH268" s="59" t="str">
        <f t="shared" si="84"/>
        <v/>
      </c>
      <c r="AI268" s="4"/>
      <c r="AJ268" s="4" t="str">
        <f t="shared" si="85"/>
        <v/>
      </c>
      <c r="AK268" s="4" t="str">
        <f t="shared" si="86"/>
        <v/>
      </c>
      <c r="AL268" s="4" t="e" cm="1">
        <f t="array" ref="AL268">IF(INDEX(Table2[],_xlfn.XMATCH($A268,Table2[Steel Member],0),_xlfn.XMATCH(AL$2,Table2[#Headers],0))=0,"",INDEX(Table2[],_xlfn.XMATCH($A268,Table2[Steel Member],0),_xlfn.XMATCH(AL$2,Table2[#Headers],0)))</f>
        <v>#N/A</v>
      </c>
      <c r="AM268" s="4"/>
      <c r="AN268" s="4" t="str">
        <f t="shared" si="87"/>
        <v/>
      </c>
      <c r="AO268" s="4"/>
      <c r="AP268" s="4" t="e" cm="1">
        <f t="array" ref="AP268">IF(INDEX(Table2[],_xlfn.XMATCH($A268,Table2[Steel Member],0),_xlfn.XMATCH(AP$2,Table2[#Headers],0))=0,"",INDEX(Table2[],_xlfn.XMATCH($A268,Table2[Steel Member],0),_xlfn.XMATCH(AP$2,Table2[#Headers],0)))</f>
        <v>#N/A</v>
      </c>
      <c r="AQ268" s="4"/>
      <c r="AR268" s="4"/>
      <c r="AS268" s="4"/>
      <c r="AT268" s="4"/>
    </row>
    <row r="269" spans="1:46" x14ac:dyDescent="0.25">
      <c r="A269" s="52"/>
      <c r="B269" s="52"/>
      <c r="C269" s="52"/>
      <c r="D269" s="52"/>
      <c r="E269" s="52"/>
      <c r="F269" s="64" cm="1">
        <f t="array" ref="F269">IF(COUNT(FIND(PurlinsxGirthsxBracings,$C269))&gt;0,0,ROUNDUP(IF(D269=0,0,VLOOKUP(D269,'DATA SHEET'!$B:$D,2,FALSE)),2))</f>
        <v>0</v>
      </c>
      <c r="G269" s="64" cm="1">
        <f t="array" ref="G269">IF(COUNT(FIND(PurlinsxGirthsxBracings,$C269))&gt;0,0,ROUNDUP(IF(D269=0,0,VLOOKUP(D269,'DATA SHEET'!$B:$D,3,FALSE)),2))</f>
        <v>0</v>
      </c>
      <c r="H269" s="53"/>
      <c r="I269" s="66" cm="1">
        <f t="array" ref="I269">IF(AND(ISBLANK(B269),ISBLANK(C269),ISBLANK(E269)),0,IF(COUNT(FIND(PurlinsxGirthsxBracings,$C269))&gt;0,IF(B269=0,CONCATENATE(E269," ",C269),CONCATENATE(B269," - ",E269," ",C269)),IF(B269=0,IF(ISBLANK(C269),E269,CONCATENATE(D269,", ",F269,"kg/m, ",G269,"mm surface perimeter")),IF(AND(ISBLANK(C269),ISTEXT(E269)),CONCATENATE(B269," - ",E269),IF(AND(ISBLANK(C269),ISBLANK(E269)),B269,CONCATENATE(B269," - ",D269,", ",F269,"kg/m, ",G269,"mm surface perimeter"))))&amp;IF(ISBLANK(H269),"",H269)))</f>
        <v>0</v>
      </c>
      <c r="J269" s="53"/>
      <c r="L269" s="4" t="str" cm="1">
        <f t="array" ref="L269">IF(COUNT(FIND({0,1,2,3,4,5,6,7,8,9},B269))&gt;0,COUNT(FIND({0,1,2,3,4,5,6,7,8,9},B269))&gt;0,"")</f>
        <v/>
      </c>
      <c r="M269" s="4" t="str" cm="1">
        <f t="array" aca="1" ref="M269" ca="1">IFERROR(_xlfn.IFS(R269="Count",RANDBETWEEN(1,COUNTIF($R$11:$R$653,"Count")),R269="Length",RANDBETWEEN(1,COUNTIF($R$11:$R$653,"Length"))),"")</f>
        <v/>
      </c>
      <c r="N269" s="4" t="str">
        <f ca="1">IFERROR(_xlfn.RANK.EQ(M269,$M$11:$M$653)+COUNTIF($M$11:M269,M269)-1,"")</f>
        <v/>
      </c>
      <c r="O269" s="86" t="str">
        <f>IF(A269='DATA SHEET'!$L$36,C269,IFERROR(IF(AND(ISTEXT(I269),ISBLANK(C269)),"No details",VLOOKUP(C269,DimFolder,2,FALSE)),""))</f>
        <v/>
      </c>
      <c r="P269" s="4" t="str">
        <f t="shared" si="89"/>
        <v/>
      </c>
      <c r="Q269" s="58" t="str">
        <f t="shared" si="88"/>
        <v/>
      </c>
      <c r="R269" s="4" t="e" cm="1">
        <f t="array" ref="R269">IF(INDEX(Table2[],_xlfn.XMATCH($A269,Table2[Steel Member],0),_xlfn.XMATCH(R$2,Table2[#Headers],0))=0,"",INDEX(Table2[],_xlfn.XMATCH($A269,Table2[Steel Member],0),_xlfn.XMATCH(R$2,Table2[#Headers],0)))</f>
        <v>#N/A</v>
      </c>
      <c r="S269" s="4" t="e" cm="1">
        <f t="array" ref="S269">IF(INDEX(Table2[],_xlfn.XMATCH($A269,Table2[Steel Member],0),_xlfn.XMATCH(S$2,Table2[#Headers],0))=0,"",INDEX(Table2[],_xlfn.XMATCH($A269,Table2[Steel Member],0),_xlfn.XMATCH(S$2,Table2[#Headers],0)))</f>
        <v>#N/A</v>
      </c>
      <c r="T269" s="4" t="str">
        <f t="shared" si="79"/>
        <v/>
      </c>
      <c r="U269" s="4" t="e">
        <f ca="1">VLOOKUP(N269,'COLOR CODE'!$B:$D,2,FALSE)</f>
        <v>#N/A</v>
      </c>
      <c r="V269" s="4" t="str">
        <f t="shared" si="80"/>
        <v/>
      </c>
      <c r="W269" s="4" t="e" cm="1">
        <f t="array" ref="W269">IF(INDEX(Table2[],_xlfn.XMATCH($A269,Table2[Steel Member],0),_xlfn.XMATCH(W$2,Table2[#Headers],0))=0,"",INDEX(Table2[],_xlfn.XMATCH($A269,Table2[Steel Member],0),_xlfn.XMATCH(W$2,Table2[#Headers],0)))</f>
        <v>#N/A</v>
      </c>
      <c r="X269" s="4" t="e">
        <f t="shared" si="78"/>
        <v>#N/A</v>
      </c>
      <c r="Y269" s="4" t="e" cm="1">
        <f t="array" ref="Y269">IF(INDEX(Table2[],_xlfn.XMATCH($A269,Table2[Steel Member],0),_xlfn.XMATCH(Y$2,Table2[#Headers],0))=0,"",INDEX(Table2[],_xlfn.XMATCH($A269,Table2[Steel Member],0),_xlfn.XMATCH(Y$2,Table2[#Headers],0)))</f>
        <v>#N/A</v>
      </c>
      <c r="Z269" s="4" t="e" cm="1">
        <f t="array" ref="Z269">IF(INDEX(Table2[],_xlfn.XMATCH($A269,Table2[Steel Member],0),_xlfn.XMATCH(Z$2,Table2[#Headers],0))=0,"",INDEX(Table2[],_xlfn.XMATCH($A269,Table2[Steel Member],0),_xlfn.XMATCH(Z$2,Table2[#Headers],0)))</f>
        <v>#N/A</v>
      </c>
      <c r="AA269" s="4" t="e" cm="1">
        <f t="array" ref="AA269">IF(INDEX(Table2[],_xlfn.XMATCH($A269,Table2[Steel Member],0),_xlfn.XMATCH(AA$2,Table2[#Headers],0))=0,"",INDEX(Table2[],_xlfn.XMATCH($A269,Table2[Steel Member],0),_xlfn.XMATCH(AA$2,Table2[#Headers],0)))</f>
        <v>#N/A</v>
      </c>
      <c r="AB269" s="4" t="e" cm="1">
        <f t="array" ref="AB269">IF(INDEX(Table2[],_xlfn.XMATCH($A269,Table2[Steel Member],0),_xlfn.XMATCH(AB$2,Table2[#Headers],0))=0,"",INDEX(Table2[],_xlfn.XMATCH($A269,Table2[Steel Member],0),_xlfn.XMATCH(AB$2,Table2[#Headers],0)))</f>
        <v>#N/A</v>
      </c>
      <c r="AC269" s="4" t="str" cm="1">
        <f t="array" ref="AC269">IFERROR(INDEX(Table8[],_xlfn.XMATCH($O269,Table8[Dimension Name Category],0),_xlfn.XMATCH(AC$2&amp;IF($L269," w/ tag"," w/o tag"),Table8[#Headers],0)),"")</f>
        <v/>
      </c>
      <c r="AD269" s="59" t="str">
        <f t="shared" si="81"/>
        <v/>
      </c>
      <c r="AE269" s="4" t="str">
        <f t="shared" si="82"/>
        <v/>
      </c>
      <c r="AF269" s="4" t="str">
        <f t="shared" si="83"/>
        <v/>
      </c>
      <c r="AG269" s="4" t="str" cm="1">
        <f t="array" ref="AG269">IFERROR(INDEX(Table8[],_xlfn.XMATCH($O269,Table8[Dimension Name Category],0),_xlfn.XMATCH(AG$2&amp;IF($L269," w/ tag"," w/o tag"),Table8[#Headers],0)),"")</f>
        <v/>
      </c>
      <c r="AH269" s="59" t="str">
        <f t="shared" si="84"/>
        <v/>
      </c>
      <c r="AI269" s="4"/>
      <c r="AJ269" s="4" t="str">
        <f t="shared" si="85"/>
        <v/>
      </c>
      <c r="AK269" s="4" t="str">
        <f t="shared" si="86"/>
        <v/>
      </c>
      <c r="AL269" s="4" t="e" cm="1">
        <f t="array" ref="AL269">IF(INDEX(Table2[],_xlfn.XMATCH($A269,Table2[Steel Member],0),_xlfn.XMATCH(AL$2,Table2[#Headers],0))=0,"",INDEX(Table2[],_xlfn.XMATCH($A269,Table2[Steel Member],0),_xlfn.XMATCH(AL$2,Table2[#Headers],0)))</f>
        <v>#N/A</v>
      </c>
      <c r="AM269" s="4"/>
      <c r="AN269" s="4" t="str">
        <f t="shared" si="87"/>
        <v/>
      </c>
      <c r="AO269" s="4"/>
      <c r="AP269" s="4" t="e" cm="1">
        <f t="array" ref="AP269">IF(INDEX(Table2[],_xlfn.XMATCH($A269,Table2[Steel Member],0),_xlfn.XMATCH(AP$2,Table2[#Headers],0))=0,"",INDEX(Table2[],_xlfn.XMATCH($A269,Table2[Steel Member],0),_xlfn.XMATCH(AP$2,Table2[#Headers],0)))</f>
        <v>#N/A</v>
      </c>
      <c r="AQ269" s="4"/>
      <c r="AR269" s="4"/>
      <c r="AS269" s="4"/>
      <c r="AT269" s="4"/>
    </row>
    <row r="270" spans="1:46" x14ac:dyDescent="0.25">
      <c r="A270" s="52"/>
      <c r="B270" s="52"/>
      <c r="C270" s="52"/>
      <c r="D270" s="52"/>
      <c r="E270" s="52"/>
      <c r="F270" s="64" cm="1">
        <f t="array" ref="F270">IF(COUNT(FIND(PurlinsxGirthsxBracings,$C270))&gt;0,0,ROUNDUP(IF(D270=0,0,VLOOKUP(D270,'DATA SHEET'!$B:$D,2,FALSE)),2))</f>
        <v>0</v>
      </c>
      <c r="G270" s="64" cm="1">
        <f t="array" ref="G270">IF(COUNT(FIND(PurlinsxGirthsxBracings,$C270))&gt;0,0,ROUNDUP(IF(D270=0,0,VLOOKUP(D270,'DATA SHEET'!$B:$D,3,FALSE)),2))</f>
        <v>0</v>
      </c>
      <c r="H270" s="53"/>
      <c r="I270" s="66" cm="1">
        <f t="array" ref="I270">IF(AND(ISBLANK(B270),ISBLANK(C270),ISBLANK(E270)),0,IF(COUNT(FIND(PurlinsxGirthsxBracings,$C270))&gt;0,IF(B270=0,CONCATENATE(E270," ",C270),CONCATENATE(B270," - ",E270," ",C270)),IF(B270=0,IF(ISBLANK(C270),E270,CONCATENATE(D270,", ",F270,"kg/m, ",G270,"mm surface perimeter")),IF(AND(ISBLANK(C270),ISTEXT(E270)),CONCATENATE(B270," - ",E270),IF(AND(ISBLANK(C270),ISBLANK(E270)),B270,CONCATENATE(B270," - ",D270,", ",F270,"kg/m, ",G270,"mm surface perimeter"))))&amp;IF(ISBLANK(H270),"",H270)))</f>
        <v>0</v>
      </c>
      <c r="J270" s="53"/>
      <c r="L270" s="4" t="str" cm="1">
        <f t="array" ref="L270">IF(COUNT(FIND({0,1,2,3,4,5,6,7,8,9},B270))&gt;0,COUNT(FIND({0,1,2,3,4,5,6,7,8,9},B270))&gt;0,"")</f>
        <v/>
      </c>
      <c r="M270" s="4" t="str" cm="1">
        <f t="array" aca="1" ref="M270" ca="1">IFERROR(_xlfn.IFS(R270="Count",RANDBETWEEN(1,COUNTIF($R$11:$R$653,"Count")),R270="Length",RANDBETWEEN(1,COUNTIF($R$11:$R$653,"Length"))),"")</f>
        <v/>
      </c>
      <c r="N270" s="4" t="str">
        <f ca="1">IFERROR(_xlfn.RANK.EQ(M270,$M$11:$M$653)+COUNTIF($M$11:M270,M270)-1,"")</f>
        <v/>
      </c>
      <c r="O270" s="86" t="str">
        <f>IF(A270='DATA SHEET'!$L$36,C270,IFERROR(IF(AND(ISTEXT(I270),ISBLANK(C270)),"No details",VLOOKUP(C270,DimFolder,2,FALSE)),""))</f>
        <v/>
      </c>
      <c r="P270" s="4" t="str">
        <f t="shared" si="89"/>
        <v/>
      </c>
      <c r="Q270" s="58" t="str">
        <f t="shared" si="88"/>
        <v/>
      </c>
      <c r="R270" s="4" t="e" cm="1">
        <f t="array" ref="R270">IF(INDEX(Table2[],_xlfn.XMATCH($A270,Table2[Steel Member],0),_xlfn.XMATCH(R$2,Table2[#Headers],0))=0,"",INDEX(Table2[],_xlfn.XMATCH($A270,Table2[Steel Member],0),_xlfn.XMATCH(R$2,Table2[#Headers],0)))</f>
        <v>#N/A</v>
      </c>
      <c r="S270" s="4" t="e" cm="1">
        <f t="array" ref="S270">IF(INDEX(Table2[],_xlfn.XMATCH($A270,Table2[Steel Member],0),_xlfn.XMATCH(S$2,Table2[#Headers],0))=0,"",INDEX(Table2[],_xlfn.XMATCH($A270,Table2[Steel Member],0),_xlfn.XMATCH(S$2,Table2[#Headers],0)))</f>
        <v>#N/A</v>
      </c>
      <c r="T270" s="4" t="str">
        <f t="shared" si="79"/>
        <v/>
      </c>
      <c r="U270" s="4" t="e">
        <f ca="1">VLOOKUP(N270,'COLOR CODE'!$B:$D,2,FALSE)</f>
        <v>#N/A</v>
      </c>
      <c r="V270" s="4" t="str">
        <f t="shared" si="80"/>
        <v/>
      </c>
      <c r="W270" s="4" t="e" cm="1">
        <f t="array" ref="W270">IF(INDEX(Table2[],_xlfn.XMATCH($A270,Table2[Steel Member],0),_xlfn.XMATCH(W$2,Table2[#Headers],0))=0,"",INDEX(Table2[],_xlfn.XMATCH($A270,Table2[Steel Member],0),_xlfn.XMATCH(W$2,Table2[#Headers],0)))</f>
        <v>#N/A</v>
      </c>
      <c r="X270" s="4" t="e">
        <f t="shared" si="78"/>
        <v>#N/A</v>
      </c>
      <c r="Y270" s="4" t="e" cm="1">
        <f t="array" ref="Y270">IF(INDEX(Table2[],_xlfn.XMATCH($A270,Table2[Steel Member],0),_xlfn.XMATCH(Y$2,Table2[#Headers],0))=0,"",INDEX(Table2[],_xlfn.XMATCH($A270,Table2[Steel Member],0),_xlfn.XMATCH(Y$2,Table2[#Headers],0)))</f>
        <v>#N/A</v>
      </c>
      <c r="Z270" s="4" t="e" cm="1">
        <f t="array" ref="Z270">IF(INDEX(Table2[],_xlfn.XMATCH($A270,Table2[Steel Member],0),_xlfn.XMATCH(Z$2,Table2[#Headers],0))=0,"",INDEX(Table2[],_xlfn.XMATCH($A270,Table2[Steel Member],0),_xlfn.XMATCH(Z$2,Table2[#Headers],0)))</f>
        <v>#N/A</v>
      </c>
      <c r="AA270" s="4" t="e" cm="1">
        <f t="array" ref="AA270">IF(INDEX(Table2[],_xlfn.XMATCH($A270,Table2[Steel Member],0),_xlfn.XMATCH(AA$2,Table2[#Headers],0))=0,"",INDEX(Table2[],_xlfn.XMATCH($A270,Table2[Steel Member],0),_xlfn.XMATCH(AA$2,Table2[#Headers],0)))</f>
        <v>#N/A</v>
      </c>
      <c r="AB270" s="4" t="e" cm="1">
        <f t="array" ref="AB270">IF(INDEX(Table2[],_xlfn.XMATCH($A270,Table2[Steel Member],0),_xlfn.XMATCH(AB$2,Table2[#Headers],0))=0,"",INDEX(Table2[],_xlfn.XMATCH($A270,Table2[Steel Member],0),_xlfn.XMATCH(AB$2,Table2[#Headers],0)))</f>
        <v>#N/A</v>
      </c>
      <c r="AC270" s="4" t="str" cm="1">
        <f t="array" ref="AC270">IFERROR(INDEX(Table8[],_xlfn.XMATCH($O270,Table8[Dimension Name Category],0),_xlfn.XMATCH(AC$2&amp;IF($L270," w/ tag"," w/o tag"),Table8[#Headers],0)),"")</f>
        <v/>
      </c>
      <c r="AD270" s="59" t="str">
        <f t="shared" si="81"/>
        <v/>
      </c>
      <c r="AE270" s="4" t="str">
        <f t="shared" si="82"/>
        <v/>
      </c>
      <c r="AF270" s="4" t="str">
        <f t="shared" si="83"/>
        <v/>
      </c>
      <c r="AG270" s="4" t="str" cm="1">
        <f t="array" ref="AG270">IFERROR(INDEX(Table8[],_xlfn.XMATCH($O270,Table8[Dimension Name Category],0),_xlfn.XMATCH(AG$2&amp;IF($L270," w/ tag"," w/o tag"),Table8[#Headers],0)),"")</f>
        <v/>
      </c>
      <c r="AH270" s="59" t="str">
        <f t="shared" si="84"/>
        <v/>
      </c>
      <c r="AI270" s="4"/>
      <c r="AJ270" s="4" t="str">
        <f t="shared" si="85"/>
        <v/>
      </c>
      <c r="AK270" s="4" t="str">
        <f t="shared" si="86"/>
        <v/>
      </c>
      <c r="AL270" s="4" t="e" cm="1">
        <f t="array" ref="AL270">IF(INDEX(Table2[],_xlfn.XMATCH($A270,Table2[Steel Member],0),_xlfn.XMATCH(AL$2,Table2[#Headers],0))=0,"",INDEX(Table2[],_xlfn.XMATCH($A270,Table2[Steel Member],0),_xlfn.XMATCH(AL$2,Table2[#Headers],0)))</f>
        <v>#N/A</v>
      </c>
      <c r="AM270" s="4"/>
      <c r="AN270" s="4" t="str">
        <f t="shared" si="87"/>
        <v/>
      </c>
      <c r="AO270" s="4"/>
      <c r="AP270" s="4" t="e" cm="1">
        <f t="array" ref="AP270">IF(INDEX(Table2[],_xlfn.XMATCH($A270,Table2[Steel Member],0),_xlfn.XMATCH(AP$2,Table2[#Headers],0))=0,"",INDEX(Table2[],_xlfn.XMATCH($A270,Table2[Steel Member],0),_xlfn.XMATCH(AP$2,Table2[#Headers],0)))</f>
        <v>#N/A</v>
      </c>
      <c r="AQ270" s="4"/>
      <c r="AR270" s="4"/>
      <c r="AS270" s="4"/>
      <c r="AT270" s="4"/>
    </row>
    <row r="271" spans="1:46" x14ac:dyDescent="0.25">
      <c r="A271" s="52"/>
      <c r="B271" s="52"/>
      <c r="C271" s="52"/>
      <c r="D271" s="52"/>
      <c r="E271" s="52"/>
      <c r="F271" s="64" cm="1">
        <f t="array" ref="F271">IF(COUNT(FIND(PurlinsxGirthsxBracings,$C271))&gt;0,0,ROUNDUP(IF(D271=0,0,VLOOKUP(D271,'DATA SHEET'!$B:$D,2,FALSE)),2))</f>
        <v>0</v>
      </c>
      <c r="G271" s="64" cm="1">
        <f t="array" ref="G271">IF(COUNT(FIND(PurlinsxGirthsxBracings,$C271))&gt;0,0,ROUNDUP(IF(D271=0,0,VLOOKUP(D271,'DATA SHEET'!$B:$D,3,FALSE)),2))</f>
        <v>0</v>
      </c>
      <c r="H271" s="53"/>
      <c r="I271" s="66" cm="1">
        <f t="array" ref="I271">IF(AND(ISBLANK(B271),ISBLANK(C271),ISBLANK(E271)),0,IF(COUNT(FIND(PurlinsxGirthsxBracings,$C271))&gt;0,IF(B271=0,CONCATENATE(E271," ",C271),CONCATENATE(B271," - ",E271," ",C271)),IF(B271=0,IF(ISBLANK(C271),E271,CONCATENATE(D271,", ",F271,"kg/m, ",G271,"mm surface perimeter")),IF(AND(ISBLANK(C271),ISTEXT(E271)),CONCATENATE(B271," - ",E271),IF(AND(ISBLANK(C271),ISBLANK(E271)),B271,CONCATENATE(B271," - ",D271,", ",F271,"kg/m, ",G271,"mm surface perimeter"))))&amp;IF(ISBLANK(H271),"",H271)))</f>
        <v>0</v>
      </c>
      <c r="J271" s="53"/>
      <c r="L271" s="4" t="str" cm="1">
        <f t="array" ref="L271">IF(COUNT(FIND({0,1,2,3,4,5,6,7,8,9},B271))&gt;0,COUNT(FIND({0,1,2,3,4,5,6,7,8,9},B271))&gt;0,"")</f>
        <v/>
      </c>
      <c r="M271" s="4" t="str" cm="1">
        <f t="array" aca="1" ref="M271" ca="1">IFERROR(_xlfn.IFS(R271="Count",RANDBETWEEN(1,COUNTIF($R$11:$R$653,"Count")),R271="Length",RANDBETWEEN(1,COUNTIF($R$11:$R$653,"Length"))),"")</f>
        <v/>
      </c>
      <c r="N271" s="4" t="str">
        <f ca="1">IFERROR(_xlfn.RANK.EQ(M271,$M$11:$M$653)+COUNTIF($M$11:M271,M271)-1,"")</f>
        <v/>
      </c>
      <c r="O271" s="86" t="str">
        <f>IF(A271='DATA SHEET'!$L$36,C271,IFERROR(IF(AND(ISTEXT(I271),ISBLANK(C271)),"No details",VLOOKUP(C271,DimFolder,2,FALSE)),""))</f>
        <v/>
      </c>
      <c r="P271" s="4" t="str">
        <f t="shared" si="89"/>
        <v/>
      </c>
      <c r="Q271" s="58" t="str">
        <f t="shared" si="88"/>
        <v/>
      </c>
      <c r="R271" s="4" t="e" cm="1">
        <f t="array" ref="R271">IF(INDEX(Table2[],_xlfn.XMATCH($A271,Table2[Steel Member],0),_xlfn.XMATCH(R$2,Table2[#Headers],0))=0,"",INDEX(Table2[],_xlfn.XMATCH($A271,Table2[Steel Member],0),_xlfn.XMATCH(R$2,Table2[#Headers],0)))</f>
        <v>#N/A</v>
      </c>
      <c r="S271" s="4" t="e" cm="1">
        <f t="array" ref="S271">IF(INDEX(Table2[],_xlfn.XMATCH($A271,Table2[Steel Member],0),_xlfn.XMATCH(S$2,Table2[#Headers],0))=0,"",INDEX(Table2[],_xlfn.XMATCH($A271,Table2[Steel Member],0),_xlfn.XMATCH(S$2,Table2[#Headers],0)))</f>
        <v>#N/A</v>
      </c>
      <c r="T271" s="4" t="str">
        <f t="shared" si="79"/>
        <v/>
      </c>
      <c r="U271" s="4" t="e">
        <f ca="1">VLOOKUP(N271,'COLOR CODE'!$B:$D,2,FALSE)</f>
        <v>#N/A</v>
      </c>
      <c r="V271" s="4" t="str">
        <f t="shared" si="80"/>
        <v/>
      </c>
      <c r="W271" s="4" t="e" cm="1">
        <f t="array" ref="W271">IF(INDEX(Table2[],_xlfn.XMATCH($A271,Table2[Steel Member],0),_xlfn.XMATCH(W$2,Table2[#Headers],0))=0,"",INDEX(Table2[],_xlfn.XMATCH($A271,Table2[Steel Member],0),_xlfn.XMATCH(W$2,Table2[#Headers],0)))</f>
        <v>#N/A</v>
      </c>
      <c r="X271" s="4" t="e">
        <f t="shared" ref="X271:X334" si="90">W271</f>
        <v>#N/A</v>
      </c>
      <c r="Y271" s="4" t="e" cm="1">
        <f t="array" ref="Y271">IF(INDEX(Table2[],_xlfn.XMATCH($A271,Table2[Steel Member],0),_xlfn.XMATCH(Y$2,Table2[#Headers],0))=0,"",INDEX(Table2[],_xlfn.XMATCH($A271,Table2[Steel Member],0),_xlfn.XMATCH(Y$2,Table2[#Headers],0)))</f>
        <v>#N/A</v>
      </c>
      <c r="Z271" s="4" t="e" cm="1">
        <f t="array" ref="Z271">IF(INDEX(Table2[],_xlfn.XMATCH($A271,Table2[Steel Member],0),_xlfn.XMATCH(Z$2,Table2[#Headers],0))=0,"",INDEX(Table2[],_xlfn.XMATCH($A271,Table2[Steel Member],0),_xlfn.XMATCH(Z$2,Table2[#Headers],0)))</f>
        <v>#N/A</v>
      </c>
      <c r="AA271" s="4" t="e" cm="1">
        <f t="array" ref="AA271">IF(INDEX(Table2[],_xlfn.XMATCH($A271,Table2[Steel Member],0),_xlfn.XMATCH(AA$2,Table2[#Headers],0))=0,"",INDEX(Table2[],_xlfn.XMATCH($A271,Table2[Steel Member],0),_xlfn.XMATCH(AA$2,Table2[#Headers],0)))</f>
        <v>#N/A</v>
      </c>
      <c r="AB271" s="4" t="e" cm="1">
        <f t="array" ref="AB271">IF(INDEX(Table2[],_xlfn.XMATCH($A271,Table2[Steel Member],0),_xlfn.XMATCH(AB$2,Table2[#Headers],0))=0,"",INDEX(Table2[],_xlfn.XMATCH($A271,Table2[Steel Member],0),_xlfn.XMATCH(AB$2,Table2[#Headers],0)))</f>
        <v>#N/A</v>
      </c>
      <c r="AC271" s="4" t="str" cm="1">
        <f t="array" ref="AC271">IFERROR(INDEX(Table8[],_xlfn.XMATCH($O271,Table8[Dimension Name Category],0),_xlfn.XMATCH(AC$2&amp;IF($L271," w/ tag"," w/o tag"),Table8[#Headers],0)),"")</f>
        <v/>
      </c>
      <c r="AD271" s="59" t="str">
        <f t="shared" si="81"/>
        <v/>
      </c>
      <c r="AE271" s="4" t="str">
        <f t="shared" si="82"/>
        <v/>
      </c>
      <c r="AF271" s="4" t="str">
        <f t="shared" si="83"/>
        <v/>
      </c>
      <c r="AG271" s="4" t="str" cm="1">
        <f t="array" ref="AG271">IFERROR(INDEX(Table8[],_xlfn.XMATCH($O271,Table8[Dimension Name Category],0),_xlfn.XMATCH(AG$2&amp;IF($L271," w/ tag"," w/o tag"),Table8[#Headers],0)),"")</f>
        <v/>
      </c>
      <c r="AH271" s="59" t="str">
        <f t="shared" si="84"/>
        <v/>
      </c>
      <c r="AI271" s="4"/>
      <c r="AJ271" s="4" t="str">
        <f t="shared" si="85"/>
        <v/>
      </c>
      <c r="AK271" s="4" t="str">
        <f t="shared" si="86"/>
        <v/>
      </c>
      <c r="AL271" s="4" t="e" cm="1">
        <f t="array" ref="AL271">IF(INDEX(Table2[],_xlfn.XMATCH($A271,Table2[Steel Member],0),_xlfn.XMATCH(AL$2,Table2[#Headers],0))=0,"",INDEX(Table2[],_xlfn.XMATCH($A271,Table2[Steel Member],0),_xlfn.XMATCH(AL$2,Table2[#Headers],0)))</f>
        <v>#N/A</v>
      </c>
      <c r="AM271" s="4"/>
      <c r="AN271" s="4" t="str">
        <f t="shared" si="87"/>
        <v/>
      </c>
      <c r="AO271" s="4"/>
      <c r="AP271" s="4" t="e" cm="1">
        <f t="array" ref="AP271">IF(INDEX(Table2[],_xlfn.XMATCH($A271,Table2[Steel Member],0),_xlfn.XMATCH(AP$2,Table2[#Headers],0))=0,"",INDEX(Table2[],_xlfn.XMATCH($A271,Table2[Steel Member],0),_xlfn.XMATCH(AP$2,Table2[#Headers],0)))</f>
        <v>#N/A</v>
      </c>
      <c r="AQ271" s="4"/>
      <c r="AR271" s="4"/>
      <c r="AS271" s="4"/>
      <c r="AT271" s="4"/>
    </row>
    <row r="272" spans="1:46" x14ac:dyDescent="0.25">
      <c r="A272" s="52"/>
      <c r="B272" s="52"/>
      <c r="C272" s="52"/>
      <c r="D272" s="52"/>
      <c r="E272" s="52"/>
      <c r="F272" s="64" cm="1">
        <f t="array" ref="F272">IF(COUNT(FIND(PurlinsxGirthsxBracings,$C272))&gt;0,0,ROUNDUP(IF(D272=0,0,VLOOKUP(D272,'DATA SHEET'!$B:$D,2,FALSE)),2))</f>
        <v>0</v>
      </c>
      <c r="G272" s="64" cm="1">
        <f t="array" ref="G272">IF(COUNT(FIND(PurlinsxGirthsxBracings,$C272))&gt;0,0,ROUNDUP(IF(D272=0,0,VLOOKUP(D272,'DATA SHEET'!$B:$D,3,FALSE)),2))</f>
        <v>0</v>
      </c>
      <c r="H272" s="53"/>
      <c r="I272" s="66" cm="1">
        <f t="array" ref="I272">IF(AND(ISBLANK(B272),ISBLANK(C272),ISBLANK(E272)),0,IF(COUNT(FIND(PurlinsxGirthsxBracings,$C272))&gt;0,IF(B272=0,CONCATENATE(E272," ",C272),CONCATENATE(B272," - ",E272," ",C272)),IF(B272=0,IF(ISBLANK(C272),E272,CONCATENATE(D272,", ",F272,"kg/m, ",G272,"mm surface perimeter")),IF(AND(ISBLANK(C272),ISTEXT(E272)),CONCATENATE(B272," - ",E272),IF(AND(ISBLANK(C272),ISBLANK(E272)),B272,CONCATENATE(B272," - ",D272,", ",F272,"kg/m, ",G272,"mm surface perimeter"))))&amp;IF(ISBLANK(H272),"",H272)))</f>
        <v>0</v>
      </c>
      <c r="J272" s="53"/>
      <c r="L272" s="4" t="str" cm="1">
        <f t="array" ref="L272">IF(COUNT(FIND({0,1,2,3,4,5,6,7,8,9},B272))&gt;0,COUNT(FIND({0,1,2,3,4,5,6,7,8,9},B272))&gt;0,"")</f>
        <v/>
      </c>
      <c r="M272" s="4" t="str" cm="1">
        <f t="array" aca="1" ref="M272" ca="1">IFERROR(_xlfn.IFS(R272="Count",RANDBETWEEN(1,COUNTIF($R$11:$R$653,"Count")),R272="Length",RANDBETWEEN(1,COUNTIF($R$11:$R$653,"Length"))),"")</f>
        <v/>
      </c>
      <c r="N272" s="4" t="str">
        <f ca="1">IFERROR(_xlfn.RANK.EQ(M272,$M$11:$M$653)+COUNTIF($M$11:M272,M272)-1,"")</f>
        <v/>
      </c>
      <c r="O272" s="86" t="str">
        <f>IF(A272='DATA SHEET'!$L$36,C272,IFERROR(IF(AND(ISTEXT(I272),ISBLANK(C272)),"No details",VLOOKUP(C272,DimFolder,2,FALSE)),""))</f>
        <v/>
      </c>
      <c r="P272" s="4" t="str">
        <f t="shared" si="89"/>
        <v/>
      </c>
      <c r="Q272" s="58" t="str">
        <f t="shared" si="88"/>
        <v/>
      </c>
      <c r="R272" s="4" t="e" cm="1">
        <f t="array" ref="R272">IF(INDEX(Table2[],_xlfn.XMATCH($A272,Table2[Steel Member],0),_xlfn.XMATCH(R$2,Table2[#Headers],0))=0,"",INDEX(Table2[],_xlfn.XMATCH($A272,Table2[Steel Member],0),_xlfn.XMATCH(R$2,Table2[#Headers],0)))</f>
        <v>#N/A</v>
      </c>
      <c r="S272" s="4" t="e" cm="1">
        <f t="array" ref="S272">IF(INDEX(Table2[],_xlfn.XMATCH($A272,Table2[Steel Member],0),_xlfn.XMATCH(S$2,Table2[#Headers],0))=0,"",INDEX(Table2[],_xlfn.XMATCH($A272,Table2[Steel Member],0),_xlfn.XMATCH(S$2,Table2[#Headers],0)))</f>
        <v>#N/A</v>
      </c>
      <c r="T272" s="4" t="str">
        <f t="shared" si="79"/>
        <v/>
      </c>
      <c r="U272" s="4" t="e">
        <f ca="1">VLOOKUP(N272,'COLOR CODE'!$B:$D,2,FALSE)</f>
        <v>#N/A</v>
      </c>
      <c r="V272" s="4" t="str">
        <f t="shared" si="80"/>
        <v/>
      </c>
      <c r="W272" s="4" t="e" cm="1">
        <f t="array" ref="W272">IF(INDEX(Table2[],_xlfn.XMATCH($A272,Table2[Steel Member],0),_xlfn.XMATCH(W$2,Table2[#Headers],0))=0,"",INDEX(Table2[],_xlfn.XMATCH($A272,Table2[Steel Member],0),_xlfn.XMATCH(W$2,Table2[#Headers],0)))</f>
        <v>#N/A</v>
      </c>
      <c r="X272" s="4" t="e">
        <f t="shared" si="90"/>
        <v>#N/A</v>
      </c>
      <c r="Y272" s="4" t="e" cm="1">
        <f t="array" ref="Y272">IF(INDEX(Table2[],_xlfn.XMATCH($A272,Table2[Steel Member],0),_xlfn.XMATCH(Y$2,Table2[#Headers],0))=0,"",INDEX(Table2[],_xlfn.XMATCH($A272,Table2[Steel Member],0),_xlfn.XMATCH(Y$2,Table2[#Headers],0)))</f>
        <v>#N/A</v>
      </c>
      <c r="Z272" s="4" t="e" cm="1">
        <f t="array" ref="Z272">IF(INDEX(Table2[],_xlfn.XMATCH($A272,Table2[Steel Member],0),_xlfn.XMATCH(Z$2,Table2[#Headers],0))=0,"",INDEX(Table2[],_xlfn.XMATCH($A272,Table2[Steel Member],0),_xlfn.XMATCH(Z$2,Table2[#Headers],0)))</f>
        <v>#N/A</v>
      </c>
      <c r="AA272" s="4" t="e" cm="1">
        <f t="array" ref="AA272">IF(INDEX(Table2[],_xlfn.XMATCH($A272,Table2[Steel Member],0),_xlfn.XMATCH(AA$2,Table2[#Headers],0))=0,"",INDEX(Table2[],_xlfn.XMATCH($A272,Table2[Steel Member],0),_xlfn.XMATCH(AA$2,Table2[#Headers],0)))</f>
        <v>#N/A</v>
      </c>
      <c r="AB272" s="4" t="e" cm="1">
        <f t="array" ref="AB272">IF(INDEX(Table2[],_xlfn.XMATCH($A272,Table2[Steel Member],0),_xlfn.XMATCH(AB$2,Table2[#Headers],0))=0,"",INDEX(Table2[],_xlfn.XMATCH($A272,Table2[Steel Member],0),_xlfn.XMATCH(AB$2,Table2[#Headers],0)))</f>
        <v>#N/A</v>
      </c>
      <c r="AC272" s="4" t="str" cm="1">
        <f t="array" ref="AC272">IFERROR(INDEX(Table8[],_xlfn.XMATCH($O272,Table8[Dimension Name Category],0),_xlfn.XMATCH(AC$2&amp;IF($L272," w/ tag"," w/o tag"),Table8[#Headers],0)),"")</f>
        <v/>
      </c>
      <c r="AD272" s="59" t="str">
        <f t="shared" si="81"/>
        <v/>
      </c>
      <c r="AE272" s="4" t="str">
        <f t="shared" si="82"/>
        <v/>
      </c>
      <c r="AF272" s="4" t="str">
        <f t="shared" si="83"/>
        <v/>
      </c>
      <c r="AG272" s="4" t="str" cm="1">
        <f t="array" ref="AG272">IFERROR(INDEX(Table8[],_xlfn.XMATCH($O272,Table8[Dimension Name Category],0),_xlfn.XMATCH(AG$2&amp;IF($L272," w/ tag"," w/o tag"),Table8[#Headers],0)),"")</f>
        <v/>
      </c>
      <c r="AH272" s="59" t="str">
        <f t="shared" si="84"/>
        <v/>
      </c>
      <c r="AI272" s="4"/>
      <c r="AJ272" s="4" t="str">
        <f t="shared" si="85"/>
        <v/>
      </c>
      <c r="AK272" s="4" t="str">
        <f t="shared" si="86"/>
        <v/>
      </c>
      <c r="AL272" s="4" t="e" cm="1">
        <f t="array" ref="AL272">IF(INDEX(Table2[],_xlfn.XMATCH($A272,Table2[Steel Member],0),_xlfn.XMATCH(AL$2,Table2[#Headers],0))=0,"",INDEX(Table2[],_xlfn.XMATCH($A272,Table2[Steel Member],0),_xlfn.XMATCH(AL$2,Table2[#Headers],0)))</f>
        <v>#N/A</v>
      </c>
      <c r="AM272" s="4"/>
      <c r="AN272" s="4" t="str">
        <f t="shared" si="87"/>
        <v/>
      </c>
      <c r="AO272" s="4"/>
      <c r="AP272" s="4" t="e" cm="1">
        <f t="array" ref="AP272">IF(INDEX(Table2[],_xlfn.XMATCH($A272,Table2[Steel Member],0),_xlfn.XMATCH(AP$2,Table2[#Headers],0))=0,"",INDEX(Table2[],_xlfn.XMATCH($A272,Table2[Steel Member],0),_xlfn.XMATCH(AP$2,Table2[#Headers],0)))</f>
        <v>#N/A</v>
      </c>
      <c r="AQ272" s="4"/>
      <c r="AR272" s="4"/>
      <c r="AS272" s="4"/>
      <c r="AT272" s="4"/>
    </row>
    <row r="273" spans="1:46" x14ac:dyDescent="0.25">
      <c r="A273" s="52"/>
      <c r="B273" s="52"/>
      <c r="C273" s="52"/>
      <c r="D273" s="52"/>
      <c r="E273" s="52"/>
      <c r="F273" s="64" cm="1">
        <f t="array" ref="F273">IF(COUNT(FIND(PurlinsxGirthsxBracings,$C273))&gt;0,0,ROUNDUP(IF(D273=0,0,VLOOKUP(D273,'DATA SHEET'!$B:$D,2,FALSE)),2))</f>
        <v>0</v>
      </c>
      <c r="G273" s="64" cm="1">
        <f t="array" ref="G273">IF(COUNT(FIND(PurlinsxGirthsxBracings,$C273))&gt;0,0,ROUNDUP(IF(D273=0,0,VLOOKUP(D273,'DATA SHEET'!$B:$D,3,FALSE)),2))</f>
        <v>0</v>
      </c>
      <c r="H273" s="53"/>
      <c r="I273" s="66" cm="1">
        <f t="array" ref="I273">IF(AND(ISBLANK(B273),ISBLANK(C273),ISBLANK(E273)),0,IF(COUNT(FIND(PurlinsxGirthsxBracings,$C273))&gt;0,IF(B273=0,CONCATENATE(E273," ",C273),CONCATENATE(B273," - ",E273," ",C273)),IF(B273=0,IF(ISBLANK(C273),E273,CONCATENATE(D273,", ",F273,"kg/m, ",G273,"mm surface perimeter")),IF(AND(ISBLANK(C273),ISTEXT(E273)),CONCATENATE(B273," - ",E273),IF(AND(ISBLANK(C273),ISBLANK(E273)),B273,CONCATENATE(B273," - ",D273,", ",F273,"kg/m, ",G273,"mm surface perimeter"))))&amp;IF(ISBLANK(H273),"",H273)))</f>
        <v>0</v>
      </c>
      <c r="J273" s="53"/>
      <c r="L273" s="4" t="str" cm="1">
        <f t="array" ref="L273">IF(COUNT(FIND({0,1,2,3,4,5,6,7,8,9},B273))&gt;0,COUNT(FIND({0,1,2,3,4,5,6,7,8,9},B273))&gt;0,"")</f>
        <v/>
      </c>
      <c r="M273" s="4" t="str" cm="1">
        <f t="array" aca="1" ref="M273" ca="1">IFERROR(_xlfn.IFS(R273="Count",RANDBETWEEN(1,COUNTIF($R$11:$R$653,"Count")),R273="Length",RANDBETWEEN(1,COUNTIF($R$11:$R$653,"Length"))),"")</f>
        <v/>
      </c>
      <c r="N273" s="4" t="str">
        <f ca="1">IFERROR(_xlfn.RANK.EQ(M273,$M$11:$M$653)+COUNTIF($M$11:M273,M273)-1,"")</f>
        <v/>
      </c>
      <c r="O273" s="86" t="str">
        <f>IF(A273='DATA SHEET'!$L$36,C273,IFERROR(IF(AND(ISTEXT(I273),ISBLANK(C273)),"No details",VLOOKUP(C273,DimFolder,2,FALSE)),""))</f>
        <v/>
      </c>
      <c r="P273" s="4" t="str">
        <f t="shared" si="89"/>
        <v/>
      </c>
      <c r="Q273" s="58" t="str">
        <f t="shared" si="88"/>
        <v/>
      </c>
      <c r="R273" s="4" t="e" cm="1">
        <f t="array" ref="R273">IF(INDEX(Table2[],_xlfn.XMATCH($A273,Table2[Steel Member],0),_xlfn.XMATCH(R$2,Table2[#Headers],0))=0,"",INDEX(Table2[],_xlfn.XMATCH($A273,Table2[Steel Member],0),_xlfn.XMATCH(R$2,Table2[#Headers],0)))</f>
        <v>#N/A</v>
      </c>
      <c r="S273" s="4" t="e" cm="1">
        <f t="array" ref="S273">IF(INDEX(Table2[],_xlfn.XMATCH($A273,Table2[Steel Member],0),_xlfn.XMATCH(S$2,Table2[#Headers],0))=0,"",INDEX(Table2[],_xlfn.XMATCH($A273,Table2[Steel Member],0),_xlfn.XMATCH(S$2,Table2[#Headers],0)))</f>
        <v>#N/A</v>
      </c>
      <c r="T273" s="4" t="str">
        <f t="shared" si="79"/>
        <v/>
      </c>
      <c r="U273" s="4" t="e">
        <f ca="1">VLOOKUP(N273,'COLOR CODE'!$B:$D,2,FALSE)</f>
        <v>#N/A</v>
      </c>
      <c r="V273" s="4" t="str">
        <f t="shared" si="80"/>
        <v/>
      </c>
      <c r="W273" s="4" t="e" cm="1">
        <f t="array" ref="W273">IF(INDEX(Table2[],_xlfn.XMATCH($A273,Table2[Steel Member],0),_xlfn.XMATCH(W$2,Table2[#Headers],0))=0,"",INDEX(Table2[],_xlfn.XMATCH($A273,Table2[Steel Member],0),_xlfn.XMATCH(W$2,Table2[#Headers],0)))</f>
        <v>#N/A</v>
      </c>
      <c r="X273" s="4" t="e">
        <f t="shared" si="90"/>
        <v>#N/A</v>
      </c>
      <c r="Y273" s="4" t="e" cm="1">
        <f t="array" ref="Y273">IF(INDEX(Table2[],_xlfn.XMATCH($A273,Table2[Steel Member],0),_xlfn.XMATCH(Y$2,Table2[#Headers],0))=0,"",INDEX(Table2[],_xlfn.XMATCH($A273,Table2[Steel Member],0),_xlfn.XMATCH(Y$2,Table2[#Headers],0)))</f>
        <v>#N/A</v>
      </c>
      <c r="Z273" s="4" t="e" cm="1">
        <f t="array" ref="Z273">IF(INDEX(Table2[],_xlfn.XMATCH($A273,Table2[Steel Member],0),_xlfn.XMATCH(Z$2,Table2[#Headers],0))=0,"",INDEX(Table2[],_xlfn.XMATCH($A273,Table2[Steel Member],0),_xlfn.XMATCH(Z$2,Table2[#Headers],0)))</f>
        <v>#N/A</v>
      </c>
      <c r="AA273" s="4" t="e" cm="1">
        <f t="array" ref="AA273">IF(INDEX(Table2[],_xlfn.XMATCH($A273,Table2[Steel Member],0),_xlfn.XMATCH(AA$2,Table2[#Headers],0))=0,"",INDEX(Table2[],_xlfn.XMATCH($A273,Table2[Steel Member],0),_xlfn.XMATCH(AA$2,Table2[#Headers],0)))</f>
        <v>#N/A</v>
      </c>
      <c r="AB273" s="4" t="e" cm="1">
        <f t="array" ref="AB273">IF(INDEX(Table2[],_xlfn.XMATCH($A273,Table2[Steel Member],0),_xlfn.XMATCH(AB$2,Table2[#Headers],0))=0,"",INDEX(Table2[],_xlfn.XMATCH($A273,Table2[Steel Member],0),_xlfn.XMATCH(AB$2,Table2[#Headers],0)))</f>
        <v>#N/A</v>
      </c>
      <c r="AC273" s="4" t="str" cm="1">
        <f t="array" ref="AC273">IFERROR(INDEX(Table8[],_xlfn.XMATCH($O273,Table8[Dimension Name Category],0),_xlfn.XMATCH(AC$2&amp;IF($L273," w/ tag"," w/o tag"),Table8[#Headers],0)),"")</f>
        <v/>
      </c>
      <c r="AD273" s="59" t="str">
        <f t="shared" si="81"/>
        <v/>
      </c>
      <c r="AE273" s="4" t="str">
        <f t="shared" si="82"/>
        <v/>
      </c>
      <c r="AF273" s="4" t="str">
        <f t="shared" si="83"/>
        <v/>
      </c>
      <c r="AG273" s="4" t="str" cm="1">
        <f t="array" ref="AG273">IFERROR(INDEX(Table8[],_xlfn.XMATCH($O273,Table8[Dimension Name Category],0),_xlfn.XMATCH(AG$2&amp;IF($L273," w/ tag"," w/o tag"),Table8[#Headers],0)),"")</f>
        <v/>
      </c>
      <c r="AH273" s="59" t="str">
        <f t="shared" si="84"/>
        <v/>
      </c>
      <c r="AI273" s="4"/>
      <c r="AJ273" s="4" t="str">
        <f t="shared" si="85"/>
        <v/>
      </c>
      <c r="AK273" s="4" t="str">
        <f t="shared" si="86"/>
        <v/>
      </c>
      <c r="AL273" s="4" t="e" cm="1">
        <f t="array" ref="AL273">IF(INDEX(Table2[],_xlfn.XMATCH($A273,Table2[Steel Member],0),_xlfn.XMATCH(AL$2,Table2[#Headers],0))=0,"",INDEX(Table2[],_xlfn.XMATCH($A273,Table2[Steel Member],0),_xlfn.XMATCH(AL$2,Table2[#Headers],0)))</f>
        <v>#N/A</v>
      </c>
      <c r="AM273" s="4"/>
      <c r="AN273" s="4" t="str">
        <f t="shared" si="87"/>
        <v/>
      </c>
      <c r="AO273" s="4"/>
      <c r="AP273" s="4" t="e" cm="1">
        <f t="array" ref="AP273">IF(INDEX(Table2[],_xlfn.XMATCH($A273,Table2[Steel Member],0),_xlfn.XMATCH(AP$2,Table2[#Headers],0))=0,"",INDEX(Table2[],_xlfn.XMATCH($A273,Table2[Steel Member],0),_xlfn.XMATCH(AP$2,Table2[#Headers],0)))</f>
        <v>#N/A</v>
      </c>
      <c r="AQ273" s="4"/>
      <c r="AR273" s="4"/>
      <c r="AS273" s="4"/>
      <c r="AT273" s="4"/>
    </row>
    <row r="274" spans="1:46" x14ac:dyDescent="0.25">
      <c r="A274" s="52"/>
      <c r="B274" s="52"/>
      <c r="C274" s="52"/>
      <c r="D274" s="52"/>
      <c r="E274" s="52"/>
      <c r="F274" s="64" cm="1">
        <f t="array" ref="F274">IF(COUNT(FIND(PurlinsxGirthsxBracings,$C274))&gt;0,0,ROUNDUP(IF(D274=0,0,VLOOKUP(D274,'DATA SHEET'!$B:$D,2,FALSE)),2))</f>
        <v>0</v>
      </c>
      <c r="G274" s="64" cm="1">
        <f t="array" ref="G274">IF(COUNT(FIND(PurlinsxGirthsxBracings,$C274))&gt;0,0,ROUNDUP(IF(D274=0,0,VLOOKUP(D274,'DATA SHEET'!$B:$D,3,FALSE)),2))</f>
        <v>0</v>
      </c>
      <c r="H274" s="53"/>
      <c r="I274" s="66" cm="1">
        <f t="array" ref="I274">IF(AND(ISBLANK(B274),ISBLANK(C274),ISBLANK(E274)),0,IF(COUNT(FIND(PurlinsxGirthsxBracings,$C274))&gt;0,IF(B274=0,CONCATENATE(E274," ",C274),CONCATENATE(B274," - ",E274," ",C274)),IF(B274=0,IF(ISBLANK(C274),E274,CONCATENATE(D274,", ",F274,"kg/m, ",G274,"mm surface perimeter")),IF(AND(ISBLANK(C274),ISTEXT(E274)),CONCATENATE(B274," - ",E274),IF(AND(ISBLANK(C274),ISBLANK(E274)),B274,CONCATENATE(B274," - ",D274,", ",F274,"kg/m, ",G274,"mm surface perimeter"))))&amp;IF(ISBLANK(H274),"",H274)))</f>
        <v>0</v>
      </c>
      <c r="J274" s="53"/>
      <c r="L274" s="4" t="str" cm="1">
        <f t="array" ref="L274">IF(COUNT(FIND({0,1,2,3,4,5,6,7,8,9},B274))&gt;0,COUNT(FIND({0,1,2,3,4,5,6,7,8,9},B274))&gt;0,"")</f>
        <v/>
      </c>
      <c r="M274" s="4" t="str" cm="1">
        <f t="array" aca="1" ref="M274" ca="1">IFERROR(_xlfn.IFS(R274="Count",RANDBETWEEN(1,COUNTIF($R$11:$R$653,"Count")),R274="Length",RANDBETWEEN(1,COUNTIF($R$11:$R$653,"Length"))),"")</f>
        <v/>
      </c>
      <c r="N274" s="4" t="str">
        <f ca="1">IFERROR(_xlfn.RANK.EQ(M274,$M$11:$M$653)+COUNTIF($M$11:M274,M274)-1,"")</f>
        <v/>
      </c>
      <c r="O274" s="86" t="str">
        <f>IF(A274='DATA SHEET'!$L$36,C274,IFERROR(IF(AND(ISTEXT(I274),ISBLANK(C274)),"No details",VLOOKUP(C274,DimFolder,2,FALSE)),""))</f>
        <v/>
      </c>
      <c r="P274" s="4" t="str">
        <f t="shared" si="89"/>
        <v/>
      </c>
      <c r="Q274" s="58" t="str">
        <f t="shared" si="88"/>
        <v/>
      </c>
      <c r="R274" s="4" t="e" cm="1">
        <f t="array" ref="R274">IF(INDEX(Table2[],_xlfn.XMATCH($A274,Table2[Steel Member],0),_xlfn.XMATCH(R$2,Table2[#Headers],0))=0,"",INDEX(Table2[],_xlfn.XMATCH($A274,Table2[Steel Member],0),_xlfn.XMATCH(R$2,Table2[#Headers],0)))</f>
        <v>#N/A</v>
      </c>
      <c r="S274" s="4" t="e" cm="1">
        <f t="array" ref="S274">IF(INDEX(Table2[],_xlfn.XMATCH($A274,Table2[Steel Member],0),_xlfn.XMATCH(S$2,Table2[#Headers],0))=0,"",INDEX(Table2[],_xlfn.XMATCH($A274,Table2[Steel Member],0),_xlfn.XMATCH(S$2,Table2[#Headers],0)))</f>
        <v>#N/A</v>
      </c>
      <c r="T274" s="4" t="str">
        <f t="shared" si="79"/>
        <v/>
      </c>
      <c r="U274" s="4" t="e">
        <f ca="1">VLOOKUP(N274,'COLOR CODE'!$B:$D,2,FALSE)</f>
        <v>#N/A</v>
      </c>
      <c r="V274" s="4" t="str">
        <f t="shared" si="80"/>
        <v/>
      </c>
      <c r="W274" s="4" t="e" cm="1">
        <f t="array" ref="W274">IF(INDEX(Table2[],_xlfn.XMATCH($A274,Table2[Steel Member],0),_xlfn.XMATCH(W$2,Table2[#Headers],0))=0,"",INDEX(Table2[],_xlfn.XMATCH($A274,Table2[Steel Member],0),_xlfn.XMATCH(W$2,Table2[#Headers],0)))</f>
        <v>#N/A</v>
      </c>
      <c r="X274" s="4" t="e">
        <f t="shared" si="90"/>
        <v>#N/A</v>
      </c>
      <c r="Y274" s="4" t="e" cm="1">
        <f t="array" ref="Y274">IF(INDEX(Table2[],_xlfn.XMATCH($A274,Table2[Steel Member],0),_xlfn.XMATCH(Y$2,Table2[#Headers],0))=0,"",INDEX(Table2[],_xlfn.XMATCH($A274,Table2[Steel Member],0),_xlfn.XMATCH(Y$2,Table2[#Headers],0)))</f>
        <v>#N/A</v>
      </c>
      <c r="Z274" s="4" t="e" cm="1">
        <f t="array" ref="Z274">IF(INDEX(Table2[],_xlfn.XMATCH($A274,Table2[Steel Member],0),_xlfn.XMATCH(Z$2,Table2[#Headers],0))=0,"",INDEX(Table2[],_xlfn.XMATCH($A274,Table2[Steel Member],0),_xlfn.XMATCH(Z$2,Table2[#Headers],0)))</f>
        <v>#N/A</v>
      </c>
      <c r="AA274" s="4" t="e" cm="1">
        <f t="array" ref="AA274">IF(INDEX(Table2[],_xlfn.XMATCH($A274,Table2[Steel Member],0),_xlfn.XMATCH(AA$2,Table2[#Headers],0))=0,"",INDEX(Table2[],_xlfn.XMATCH($A274,Table2[Steel Member],0),_xlfn.XMATCH(AA$2,Table2[#Headers],0)))</f>
        <v>#N/A</v>
      </c>
      <c r="AB274" s="4" t="e" cm="1">
        <f t="array" ref="AB274">IF(INDEX(Table2[],_xlfn.XMATCH($A274,Table2[Steel Member],0),_xlfn.XMATCH(AB$2,Table2[#Headers],0))=0,"",INDEX(Table2[],_xlfn.XMATCH($A274,Table2[Steel Member],0),_xlfn.XMATCH(AB$2,Table2[#Headers],0)))</f>
        <v>#N/A</v>
      </c>
      <c r="AC274" s="4" t="str" cm="1">
        <f t="array" ref="AC274">IFERROR(INDEX(Table8[],_xlfn.XMATCH($O274,Table8[Dimension Name Category],0),_xlfn.XMATCH(AC$2&amp;IF($L274," w/ tag"," w/o tag"),Table8[#Headers],0)),"")</f>
        <v/>
      </c>
      <c r="AD274" s="59" t="str">
        <f t="shared" si="81"/>
        <v/>
      </c>
      <c r="AE274" s="4" t="str">
        <f t="shared" si="82"/>
        <v/>
      </c>
      <c r="AF274" s="4" t="str">
        <f t="shared" si="83"/>
        <v/>
      </c>
      <c r="AG274" s="4" t="str" cm="1">
        <f t="array" ref="AG274">IFERROR(INDEX(Table8[],_xlfn.XMATCH($O274,Table8[Dimension Name Category],0),_xlfn.XMATCH(AG$2&amp;IF($L274," w/ tag"," w/o tag"),Table8[#Headers],0)),"")</f>
        <v/>
      </c>
      <c r="AH274" s="59" t="str">
        <f t="shared" si="84"/>
        <v/>
      </c>
      <c r="AI274" s="4"/>
      <c r="AJ274" s="4" t="str">
        <f t="shared" si="85"/>
        <v/>
      </c>
      <c r="AK274" s="4" t="str">
        <f t="shared" si="86"/>
        <v/>
      </c>
      <c r="AL274" s="4" t="e" cm="1">
        <f t="array" ref="AL274">IF(INDEX(Table2[],_xlfn.XMATCH($A274,Table2[Steel Member],0),_xlfn.XMATCH(AL$2,Table2[#Headers],0))=0,"",INDEX(Table2[],_xlfn.XMATCH($A274,Table2[Steel Member],0),_xlfn.XMATCH(AL$2,Table2[#Headers],0)))</f>
        <v>#N/A</v>
      </c>
      <c r="AM274" s="4"/>
      <c r="AN274" s="4" t="str">
        <f t="shared" si="87"/>
        <v/>
      </c>
      <c r="AO274" s="4"/>
      <c r="AP274" s="4" t="e" cm="1">
        <f t="array" ref="AP274">IF(INDEX(Table2[],_xlfn.XMATCH($A274,Table2[Steel Member],0),_xlfn.XMATCH(AP$2,Table2[#Headers],0))=0,"",INDEX(Table2[],_xlfn.XMATCH($A274,Table2[Steel Member],0),_xlfn.XMATCH(AP$2,Table2[#Headers],0)))</f>
        <v>#N/A</v>
      </c>
      <c r="AQ274" s="4"/>
      <c r="AR274" s="4"/>
      <c r="AS274" s="4"/>
      <c r="AT274" s="4"/>
    </row>
    <row r="275" spans="1:46" x14ac:dyDescent="0.25">
      <c r="A275" s="52"/>
      <c r="B275" s="52"/>
      <c r="C275" s="52"/>
      <c r="D275" s="52"/>
      <c r="E275" s="52"/>
      <c r="F275" s="64" cm="1">
        <f t="array" ref="F275">IF(COUNT(FIND(PurlinsxGirthsxBracings,$C275))&gt;0,0,ROUNDUP(IF(D275=0,0,VLOOKUP(D275,'DATA SHEET'!$B:$D,2,FALSE)),2))</f>
        <v>0</v>
      </c>
      <c r="G275" s="64" cm="1">
        <f t="array" ref="G275">IF(COUNT(FIND(PurlinsxGirthsxBracings,$C275))&gt;0,0,ROUNDUP(IF(D275=0,0,VLOOKUP(D275,'DATA SHEET'!$B:$D,3,FALSE)),2))</f>
        <v>0</v>
      </c>
      <c r="H275" s="53"/>
      <c r="I275" s="66" cm="1">
        <f t="array" ref="I275">IF(AND(ISBLANK(B275),ISBLANK(C275),ISBLANK(E275)),0,IF(COUNT(FIND(PurlinsxGirthsxBracings,$C275))&gt;0,IF(B275=0,CONCATENATE(E275," ",C275),CONCATENATE(B275," - ",E275," ",C275)),IF(B275=0,IF(ISBLANK(C275),E275,CONCATENATE(D275,", ",F275,"kg/m, ",G275,"mm surface perimeter")),IF(AND(ISBLANK(C275),ISTEXT(E275)),CONCATENATE(B275," - ",E275),IF(AND(ISBLANK(C275),ISBLANK(E275)),B275,CONCATENATE(B275," - ",D275,", ",F275,"kg/m, ",G275,"mm surface perimeter"))))&amp;IF(ISBLANK(H275),"",H275)))</f>
        <v>0</v>
      </c>
      <c r="J275" s="53"/>
      <c r="L275" s="4" t="str" cm="1">
        <f t="array" ref="L275">IF(COUNT(FIND({0,1,2,3,4,5,6,7,8,9},B275))&gt;0,COUNT(FIND({0,1,2,3,4,5,6,7,8,9},B275))&gt;0,"")</f>
        <v/>
      </c>
      <c r="M275" s="4" t="str" cm="1">
        <f t="array" aca="1" ref="M275" ca="1">IFERROR(_xlfn.IFS(R275="Count",RANDBETWEEN(1,COUNTIF($R$11:$R$653,"Count")),R275="Length",RANDBETWEEN(1,COUNTIF($R$11:$R$653,"Length"))),"")</f>
        <v/>
      </c>
      <c r="N275" s="4" t="str">
        <f ca="1">IFERROR(_xlfn.RANK.EQ(M275,$M$11:$M$653)+COUNTIF($M$11:M275,M275)-1,"")</f>
        <v/>
      </c>
      <c r="O275" s="86" t="str">
        <f>IF(A275='DATA SHEET'!$L$36,C275,IFERROR(IF(AND(ISTEXT(I275),ISBLANK(C275)),"No details",VLOOKUP(C275,DimFolder,2,FALSE)),""))</f>
        <v/>
      </c>
      <c r="P275" s="4" t="str">
        <f t="shared" si="89"/>
        <v/>
      </c>
      <c r="Q275" s="58" t="str">
        <f t="shared" si="88"/>
        <v/>
      </c>
      <c r="R275" s="4" t="e" cm="1">
        <f t="array" ref="R275">IF(INDEX(Table2[],_xlfn.XMATCH($A275,Table2[Steel Member],0),_xlfn.XMATCH(R$2,Table2[#Headers],0))=0,"",INDEX(Table2[],_xlfn.XMATCH($A275,Table2[Steel Member],0),_xlfn.XMATCH(R$2,Table2[#Headers],0)))</f>
        <v>#N/A</v>
      </c>
      <c r="S275" s="4" t="e" cm="1">
        <f t="array" ref="S275">IF(INDEX(Table2[],_xlfn.XMATCH($A275,Table2[Steel Member],0),_xlfn.XMATCH(S$2,Table2[#Headers],0))=0,"",INDEX(Table2[],_xlfn.XMATCH($A275,Table2[Steel Member],0),_xlfn.XMATCH(S$2,Table2[#Headers],0)))</f>
        <v>#N/A</v>
      </c>
      <c r="T275" s="4" t="str">
        <f t="shared" si="79"/>
        <v/>
      </c>
      <c r="U275" s="4" t="e">
        <f ca="1">VLOOKUP(N275,'COLOR CODE'!$B:$D,2,FALSE)</f>
        <v>#N/A</v>
      </c>
      <c r="V275" s="4" t="str">
        <f t="shared" si="80"/>
        <v/>
      </c>
      <c r="W275" s="4" t="e" cm="1">
        <f t="array" ref="W275">IF(INDEX(Table2[],_xlfn.XMATCH($A275,Table2[Steel Member],0),_xlfn.XMATCH(W$2,Table2[#Headers],0))=0,"",INDEX(Table2[],_xlfn.XMATCH($A275,Table2[Steel Member],0),_xlfn.XMATCH(W$2,Table2[#Headers],0)))</f>
        <v>#N/A</v>
      </c>
      <c r="X275" s="4" t="e">
        <f t="shared" si="90"/>
        <v>#N/A</v>
      </c>
      <c r="Y275" s="4" t="e" cm="1">
        <f t="array" ref="Y275">IF(INDEX(Table2[],_xlfn.XMATCH($A275,Table2[Steel Member],0),_xlfn.XMATCH(Y$2,Table2[#Headers],0))=0,"",INDEX(Table2[],_xlfn.XMATCH($A275,Table2[Steel Member],0),_xlfn.XMATCH(Y$2,Table2[#Headers],0)))</f>
        <v>#N/A</v>
      </c>
      <c r="Z275" s="4" t="e" cm="1">
        <f t="array" ref="Z275">IF(INDEX(Table2[],_xlfn.XMATCH($A275,Table2[Steel Member],0),_xlfn.XMATCH(Z$2,Table2[#Headers],0))=0,"",INDEX(Table2[],_xlfn.XMATCH($A275,Table2[Steel Member],0),_xlfn.XMATCH(Z$2,Table2[#Headers],0)))</f>
        <v>#N/A</v>
      </c>
      <c r="AA275" s="4" t="e" cm="1">
        <f t="array" ref="AA275">IF(INDEX(Table2[],_xlfn.XMATCH($A275,Table2[Steel Member],0),_xlfn.XMATCH(AA$2,Table2[#Headers],0))=0,"",INDEX(Table2[],_xlfn.XMATCH($A275,Table2[Steel Member],0),_xlfn.XMATCH(AA$2,Table2[#Headers],0)))</f>
        <v>#N/A</v>
      </c>
      <c r="AB275" s="4" t="e" cm="1">
        <f t="array" ref="AB275">IF(INDEX(Table2[],_xlfn.XMATCH($A275,Table2[Steel Member],0),_xlfn.XMATCH(AB$2,Table2[#Headers],0))=0,"",INDEX(Table2[],_xlfn.XMATCH($A275,Table2[Steel Member],0),_xlfn.XMATCH(AB$2,Table2[#Headers],0)))</f>
        <v>#N/A</v>
      </c>
      <c r="AC275" s="4" t="str" cm="1">
        <f t="array" ref="AC275">IFERROR(INDEX(Table8[],_xlfn.XMATCH($O275,Table8[Dimension Name Category],0),_xlfn.XMATCH(AC$2&amp;IF($L275," w/ tag"," w/o tag"),Table8[#Headers],0)),"")</f>
        <v/>
      </c>
      <c r="AD275" s="59" t="str">
        <f t="shared" si="81"/>
        <v/>
      </c>
      <c r="AE275" s="4" t="str">
        <f t="shared" si="82"/>
        <v/>
      </c>
      <c r="AF275" s="4" t="str">
        <f t="shared" si="83"/>
        <v/>
      </c>
      <c r="AG275" s="4" t="str" cm="1">
        <f t="array" ref="AG275">IFERROR(INDEX(Table8[],_xlfn.XMATCH($O275,Table8[Dimension Name Category],0),_xlfn.XMATCH(AG$2&amp;IF($L275," w/ tag"," w/o tag"),Table8[#Headers],0)),"")</f>
        <v/>
      </c>
      <c r="AH275" s="59" t="str">
        <f t="shared" si="84"/>
        <v/>
      </c>
      <c r="AI275" s="4"/>
      <c r="AJ275" s="4" t="str">
        <f t="shared" si="85"/>
        <v/>
      </c>
      <c r="AK275" s="4" t="str">
        <f t="shared" si="86"/>
        <v/>
      </c>
      <c r="AL275" s="4" t="e" cm="1">
        <f t="array" ref="AL275">IF(INDEX(Table2[],_xlfn.XMATCH($A275,Table2[Steel Member],0),_xlfn.XMATCH(AL$2,Table2[#Headers],0))=0,"",INDEX(Table2[],_xlfn.XMATCH($A275,Table2[Steel Member],0),_xlfn.XMATCH(AL$2,Table2[#Headers],0)))</f>
        <v>#N/A</v>
      </c>
      <c r="AM275" s="4"/>
      <c r="AN275" s="4" t="str">
        <f t="shared" si="87"/>
        <v/>
      </c>
      <c r="AO275" s="4"/>
      <c r="AP275" s="4" t="e" cm="1">
        <f t="array" ref="AP275">IF(INDEX(Table2[],_xlfn.XMATCH($A275,Table2[Steel Member],0),_xlfn.XMATCH(AP$2,Table2[#Headers],0))=0,"",INDEX(Table2[],_xlfn.XMATCH($A275,Table2[Steel Member],0),_xlfn.XMATCH(AP$2,Table2[#Headers],0)))</f>
        <v>#N/A</v>
      </c>
      <c r="AQ275" s="4"/>
      <c r="AR275" s="4"/>
      <c r="AS275" s="4"/>
      <c r="AT275" s="4"/>
    </row>
    <row r="276" spans="1:46" x14ac:dyDescent="0.25">
      <c r="A276" s="52"/>
      <c r="B276" s="52"/>
      <c r="C276" s="52"/>
      <c r="D276" s="52"/>
      <c r="E276" s="52"/>
      <c r="F276" s="64" cm="1">
        <f t="array" ref="F276">IF(COUNT(FIND(PurlinsxGirthsxBracings,$C276))&gt;0,0,ROUNDUP(IF(D276=0,0,VLOOKUP(D276,'DATA SHEET'!$B:$D,2,FALSE)),2))</f>
        <v>0</v>
      </c>
      <c r="G276" s="64" cm="1">
        <f t="array" ref="G276">IF(COUNT(FIND(PurlinsxGirthsxBracings,$C276))&gt;0,0,ROUNDUP(IF(D276=0,0,VLOOKUP(D276,'DATA SHEET'!$B:$D,3,FALSE)),2))</f>
        <v>0</v>
      </c>
      <c r="H276" s="53"/>
      <c r="I276" s="66" cm="1">
        <f t="array" ref="I276">IF(AND(ISBLANK(B276),ISBLANK(C276),ISBLANK(E276)),0,IF(COUNT(FIND(PurlinsxGirthsxBracings,$C276))&gt;0,IF(B276=0,CONCATENATE(E276," ",C276),CONCATENATE(B276," - ",E276," ",C276)),IF(B276=0,IF(ISBLANK(C276),E276,CONCATENATE(D276,", ",F276,"kg/m, ",G276,"mm surface perimeter")),IF(AND(ISBLANK(C276),ISTEXT(E276)),CONCATENATE(B276," - ",E276),IF(AND(ISBLANK(C276),ISBLANK(E276)),B276,CONCATENATE(B276," - ",D276,", ",F276,"kg/m, ",G276,"mm surface perimeter"))))&amp;IF(ISBLANK(H276),"",H276)))</f>
        <v>0</v>
      </c>
      <c r="J276" s="53"/>
      <c r="L276" s="4" t="str" cm="1">
        <f t="array" ref="L276">IF(COUNT(FIND({0,1,2,3,4,5,6,7,8,9},B276))&gt;0,COUNT(FIND({0,1,2,3,4,5,6,7,8,9},B276))&gt;0,"")</f>
        <v/>
      </c>
      <c r="M276" s="4" t="str" cm="1">
        <f t="array" aca="1" ref="M276" ca="1">IFERROR(_xlfn.IFS(R276="Count",RANDBETWEEN(1,COUNTIF($R$11:$R$653,"Count")),R276="Length",RANDBETWEEN(1,COUNTIF($R$11:$R$653,"Length"))),"")</f>
        <v/>
      </c>
      <c r="N276" s="4" t="str">
        <f ca="1">IFERROR(_xlfn.RANK.EQ(M276,$M$11:$M$653)+COUNTIF($M$11:M276,M276)-1,"")</f>
        <v/>
      </c>
      <c r="O276" s="86" t="str">
        <f>IF(A276='DATA SHEET'!$L$36,C276,IFERROR(IF(AND(ISTEXT(I276),ISBLANK(C276)),"No details",VLOOKUP(C276,DimFolder,2,FALSE)),""))</f>
        <v/>
      </c>
      <c r="P276" s="4" t="str">
        <f t="shared" si="89"/>
        <v/>
      </c>
      <c r="Q276" s="58" t="str">
        <f t="shared" si="88"/>
        <v/>
      </c>
      <c r="R276" s="4" t="e" cm="1">
        <f t="array" ref="R276">IF(INDEX(Table2[],_xlfn.XMATCH($A276,Table2[Steel Member],0),_xlfn.XMATCH(R$2,Table2[#Headers],0))=0,"",INDEX(Table2[],_xlfn.XMATCH($A276,Table2[Steel Member],0),_xlfn.XMATCH(R$2,Table2[#Headers],0)))</f>
        <v>#N/A</v>
      </c>
      <c r="S276" s="4" t="e" cm="1">
        <f t="array" ref="S276">IF(INDEX(Table2[],_xlfn.XMATCH($A276,Table2[Steel Member],0),_xlfn.XMATCH(S$2,Table2[#Headers],0))=0,"",INDEX(Table2[],_xlfn.XMATCH($A276,Table2[Steel Member],0),_xlfn.XMATCH(S$2,Table2[#Headers],0)))</f>
        <v>#N/A</v>
      </c>
      <c r="T276" s="4" t="str">
        <f t="shared" si="79"/>
        <v/>
      </c>
      <c r="U276" s="4" t="e">
        <f ca="1">VLOOKUP(N276,'COLOR CODE'!$B:$D,2,FALSE)</f>
        <v>#N/A</v>
      </c>
      <c r="V276" s="4" t="str">
        <f t="shared" si="80"/>
        <v/>
      </c>
      <c r="W276" s="4" t="e" cm="1">
        <f t="array" ref="W276">IF(INDEX(Table2[],_xlfn.XMATCH($A276,Table2[Steel Member],0),_xlfn.XMATCH(W$2,Table2[#Headers],0))=0,"",INDEX(Table2[],_xlfn.XMATCH($A276,Table2[Steel Member],0),_xlfn.XMATCH(W$2,Table2[#Headers],0)))</f>
        <v>#N/A</v>
      </c>
      <c r="X276" s="4" t="e">
        <f t="shared" si="90"/>
        <v>#N/A</v>
      </c>
      <c r="Y276" s="4" t="e" cm="1">
        <f t="array" ref="Y276">IF(INDEX(Table2[],_xlfn.XMATCH($A276,Table2[Steel Member],0),_xlfn.XMATCH(Y$2,Table2[#Headers],0))=0,"",INDEX(Table2[],_xlfn.XMATCH($A276,Table2[Steel Member],0),_xlfn.XMATCH(Y$2,Table2[#Headers],0)))</f>
        <v>#N/A</v>
      </c>
      <c r="Z276" s="4" t="e" cm="1">
        <f t="array" ref="Z276">IF(INDEX(Table2[],_xlfn.XMATCH($A276,Table2[Steel Member],0),_xlfn.XMATCH(Z$2,Table2[#Headers],0))=0,"",INDEX(Table2[],_xlfn.XMATCH($A276,Table2[Steel Member],0),_xlfn.XMATCH(Z$2,Table2[#Headers],0)))</f>
        <v>#N/A</v>
      </c>
      <c r="AA276" s="4" t="e" cm="1">
        <f t="array" ref="AA276">IF(INDEX(Table2[],_xlfn.XMATCH($A276,Table2[Steel Member],0),_xlfn.XMATCH(AA$2,Table2[#Headers],0))=0,"",INDEX(Table2[],_xlfn.XMATCH($A276,Table2[Steel Member],0),_xlfn.XMATCH(AA$2,Table2[#Headers],0)))</f>
        <v>#N/A</v>
      </c>
      <c r="AB276" s="4" t="e" cm="1">
        <f t="array" ref="AB276">IF(INDEX(Table2[],_xlfn.XMATCH($A276,Table2[Steel Member],0),_xlfn.XMATCH(AB$2,Table2[#Headers],0))=0,"",INDEX(Table2[],_xlfn.XMATCH($A276,Table2[Steel Member],0),_xlfn.XMATCH(AB$2,Table2[#Headers],0)))</f>
        <v>#N/A</v>
      </c>
      <c r="AC276" s="4" t="str" cm="1">
        <f t="array" ref="AC276">IFERROR(INDEX(Table8[],_xlfn.XMATCH($O276,Table8[Dimension Name Category],0),_xlfn.XMATCH(AC$2&amp;IF($L276," w/ tag"," w/o tag"),Table8[#Headers],0)),"")</f>
        <v/>
      </c>
      <c r="AD276" s="59" t="str">
        <f t="shared" si="81"/>
        <v/>
      </c>
      <c r="AE276" s="4" t="str">
        <f t="shared" si="82"/>
        <v/>
      </c>
      <c r="AF276" s="4" t="str">
        <f t="shared" si="83"/>
        <v/>
      </c>
      <c r="AG276" s="4" t="str" cm="1">
        <f t="array" ref="AG276">IFERROR(INDEX(Table8[],_xlfn.XMATCH($O276,Table8[Dimension Name Category],0),_xlfn.XMATCH(AG$2&amp;IF($L276," w/ tag"," w/o tag"),Table8[#Headers],0)),"")</f>
        <v/>
      </c>
      <c r="AH276" s="59" t="str">
        <f t="shared" si="84"/>
        <v/>
      </c>
      <c r="AI276" s="4"/>
      <c r="AJ276" s="4" t="str">
        <f t="shared" si="85"/>
        <v/>
      </c>
      <c r="AK276" s="4" t="str">
        <f t="shared" si="86"/>
        <v/>
      </c>
      <c r="AL276" s="4" t="e" cm="1">
        <f t="array" ref="AL276">IF(INDEX(Table2[],_xlfn.XMATCH($A276,Table2[Steel Member],0),_xlfn.XMATCH(AL$2,Table2[#Headers],0))=0,"",INDEX(Table2[],_xlfn.XMATCH($A276,Table2[Steel Member],0),_xlfn.XMATCH(AL$2,Table2[#Headers],0)))</f>
        <v>#N/A</v>
      </c>
      <c r="AM276" s="4"/>
      <c r="AN276" s="4" t="str">
        <f t="shared" si="87"/>
        <v/>
      </c>
      <c r="AO276" s="4"/>
      <c r="AP276" s="4" t="e" cm="1">
        <f t="array" ref="AP276">IF(INDEX(Table2[],_xlfn.XMATCH($A276,Table2[Steel Member],0),_xlfn.XMATCH(AP$2,Table2[#Headers],0))=0,"",INDEX(Table2[],_xlfn.XMATCH($A276,Table2[Steel Member],0),_xlfn.XMATCH(AP$2,Table2[#Headers],0)))</f>
        <v>#N/A</v>
      </c>
      <c r="AQ276" s="4"/>
      <c r="AR276" s="4"/>
      <c r="AS276" s="4"/>
      <c r="AT276" s="4"/>
    </row>
    <row r="277" spans="1:46" x14ac:dyDescent="0.25">
      <c r="A277" s="52"/>
      <c r="B277" s="52"/>
      <c r="C277" s="52"/>
      <c r="D277" s="52"/>
      <c r="E277" s="52"/>
      <c r="F277" s="64" cm="1">
        <f t="array" ref="F277">IF(COUNT(FIND(PurlinsxGirthsxBracings,$C277))&gt;0,0,ROUNDUP(IF(D277=0,0,VLOOKUP(D277,'DATA SHEET'!$B:$D,2,FALSE)),2))</f>
        <v>0</v>
      </c>
      <c r="G277" s="64" cm="1">
        <f t="array" ref="G277">IF(COUNT(FIND(PurlinsxGirthsxBracings,$C277))&gt;0,0,ROUNDUP(IF(D277=0,0,VLOOKUP(D277,'DATA SHEET'!$B:$D,3,FALSE)),2))</f>
        <v>0</v>
      </c>
      <c r="H277" s="53"/>
      <c r="I277" s="66" cm="1">
        <f t="array" ref="I277">IF(AND(ISBLANK(B277),ISBLANK(C277),ISBLANK(E277)),0,IF(COUNT(FIND(PurlinsxGirthsxBracings,$C277))&gt;0,IF(B277=0,CONCATENATE(E277," ",C277),CONCATENATE(B277," - ",E277," ",C277)),IF(B277=0,IF(ISBLANK(C277),E277,CONCATENATE(D277,", ",F277,"kg/m, ",G277,"mm surface perimeter")),IF(AND(ISBLANK(C277),ISTEXT(E277)),CONCATENATE(B277," - ",E277),IF(AND(ISBLANK(C277),ISBLANK(E277)),B277,CONCATENATE(B277," - ",D277,", ",F277,"kg/m, ",G277,"mm surface perimeter"))))&amp;IF(ISBLANK(H277),"",H277)))</f>
        <v>0</v>
      </c>
      <c r="J277" s="53"/>
      <c r="L277" s="4" t="str" cm="1">
        <f t="array" ref="L277">IF(COUNT(FIND({0,1,2,3,4,5,6,7,8,9},B277))&gt;0,COUNT(FIND({0,1,2,3,4,5,6,7,8,9},B277))&gt;0,"")</f>
        <v/>
      </c>
      <c r="M277" s="4" t="str" cm="1">
        <f t="array" aca="1" ref="M277" ca="1">IFERROR(_xlfn.IFS(R277="Count",RANDBETWEEN(1,COUNTIF($R$11:$R$653,"Count")),R277="Length",RANDBETWEEN(1,COUNTIF($R$11:$R$653,"Length"))),"")</f>
        <v/>
      </c>
      <c r="N277" s="4" t="str">
        <f ca="1">IFERROR(_xlfn.RANK.EQ(M277,$M$11:$M$653)+COUNTIF($M$11:M277,M277)-1,"")</f>
        <v/>
      </c>
      <c r="O277" s="86" t="str">
        <f>IF(A277='DATA SHEET'!$L$36,C277,IFERROR(IF(AND(ISTEXT(I277),ISBLANK(C277)),"No details",VLOOKUP(C277,DimFolder,2,FALSE)),""))</f>
        <v/>
      </c>
      <c r="P277" s="4" t="str">
        <f t="shared" si="89"/>
        <v/>
      </c>
      <c r="Q277" s="58" t="str">
        <f t="shared" si="88"/>
        <v/>
      </c>
      <c r="R277" s="4" t="e" cm="1">
        <f t="array" ref="R277">IF(INDEX(Table2[],_xlfn.XMATCH($A277,Table2[Steel Member],0),_xlfn.XMATCH(R$2,Table2[#Headers],0))=0,"",INDEX(Table2[],_xlfn.XMATCH($A277,Table2[Steel Member],0),_xlfn.XMATCH(R$2,Table2[#Headers],0)))</f>
        <v>#N/A</v>
      </c>
      <c r="S277" s="4" t="e" cm="1">
        <f t="array" ref="S277">IF(INDEX(Table2[],_xlfn.XMATCH($A277,Table2[Steel Member],0),_xlfn.XMATCH(S$2,Table2[#Headers],0))=0,"",INDEX(Table2[],_xlfn.XMATCH($A277,Table2[Steel Member],0),_xlfn.XMATCH(S$2,Table2[#Headers],0)))</f>
        <v>#N/A</v>
      </c>
      <c r="T277" s="4" t="str">
        <f t="shared" si="79"/>
        <v/>
      </c>
      <c r="U277" s="4" t="e">
        <f ca="1">VLOOKUP(N277,'COLOR CODE'!$B:$D,2,FALSE)</f>
        <v>#N/A</v>
      </c>
      <c r="V277" s="4" t="str">
        <f t="shared" si="80"/>
        <v/>
      </c>
      <c r="W277" s="4" t="e" cm="1">
        <f t="array" ref="W277">IF(INDEX(Table2[],_xlfn.XMATCH($A277,Table2[Steel Member],0),_xlfn.XMATCH(W$2,Table2[#Headers],0))=0,"",INDEX(Table2[],_xlfn.XMATCH($A277,Table2[Steel Member],0),_xlfn.XMATCH(W$2,Table2[#Headers],0)))</f>
        <v>#N/A</v>
      </c>
      <c r="X277" s="4" t="e">
        <f t="shared" si="90"/>
        <v>#N/A</v>
      </c>
      <c r="Y277" s="4" t="e" cm="1">
        <f t="array" ref="Y277">IF(INDEX(Table2[],_xlfn.XMATCH($A277,Table2[Steel Member],0),_xlfn.XMATCH(Y$2,Table2[#Headers],0))=0,"",INDEX(Table2[],_xlfn.XMATCH($A277,Table2[Steel Member],0),_xlfn.XMATCH(Y$2,Table2[#Headers],0)))</f>
        <v>#N/A</v>
      </c>
      <c r="Z277" s="4" t="e" cm="1">
        <f t="array" ref="Z277">IF(INDEX(Table2[],_xlfn.XMATCH($A277,Table2[Steel Member],0),_xlfn.XMATCH(Z$2,Table2[#Headers],0))=0,"",INDEX(Table2[],_xlfn.XMATCH($A277,Table2[Steel Member],0),_xlfn.XMATCH(Z$2,Table2[#Headers],0)))</f>
        <v>#N/A</v>
      </c>
      <c r="AA277" s="4" t="e" cm="1">
        <f t="array" ref="AA277">IF(INDEX(Table2[],_xlfn.XMATCH($A277,Table2[Steel Member],0),_xlfn.XMATCH(AA$2,Table2[#Headers],0))=0,"",INDEX(Table2[],_xlfn.XMATCH($A277,Table2[Steel Member],0),_xlfn.XMATCH(AA$2,Table2[#Headers],0)))</f>
        <v>#N/A</v>
      </c>
      <c r="AB277" s="4" t="e" cm="1">
        <f t="array" ref="AB277">IF(INDEX(Table2[],_xlfn.XMATCH($A277,Table2[Steel Member],0),_xlfn.XMATCH(AB$2,Table2[#Headers],0))=0,"",INDEX(Table2[],_xlfn.XMATCH($A277,Table2[Steel Member],0),_xlfn.XMATCH(AB$2,Table2[#Headers],0)))</f>
        <v>#N/A</v>
      </c>
      <c r="AC277" s="4" t="str" cm="1">
        <f t="array" ref="AC277">IFERROR(INDEX(Table8[],_xlfn.XMATCH($O277,Table8[Dimension Name Category],0),_xlfn.XMATCH(AC$2&amp;IF($L277," w/ tag"," w/o tag"),Table8[#Headers],0)),"")</f>
        <v/>
      </c>
      <c r="AD277" s="59" t="str">
        <f t="shared" si="81"/>
        <v/>
      </c>
      <c r="AE277" s="4" t="str">
        <f t="shared" si="82"/>
        <v/>
      </c>
      <c r="AF277" s="4" t="str">
        <f t="shared" si="83"/>
        <v/>
      </c>
      <c r="AG277" s="4" t="str" cm="1">
        <f t="array" ref="AG277">IFERROR(INDEX(Table8[],_xlfn.XMATCH($O277,Table8[Dimension Name Category],0),_xlfn.XMATCH(AG$2&amp;IF($L277," w/ tag"," w/o tag"),Table8[#Headers],0)),"")</f>
        <v/>
      </c>
      <c r="AH277" s="59" t="str">
        <f t="shared" si="84"/>
        <v/>
      </c>
      <c r="AI277" s="4"/>
      <c r="AJ277" s="4" t="str">
        <f t="shared" si="85"/>
        <v/>
      </c>
      <c r="AK277" s="4" t="str">
        <f t="shared" si="86"/>
        <v/>
      </c>
      <c r="AL277" s="4" t="e" cm="1">
        <f t="array" ref="AL277">IF(INDEX(Table2[],_xlfn.XMATCH($A277,Table2[Steel Member],0),_xlfn.XMATCH(AL$2,Table2[#Headers],0))=0,"",INDEX(Table2[],_xlfn.XMATCH($A277,Table2[Steel Member],0),_xlfn.XMATCH(AL$2,Table2[#Headers],0)))</f>
        <v>#N/A</v>
      </c>
      <c r="AM277" s="4"/>
      <c r="AN277" s="4" t="str">
        <f t="shared" si="87"/>
        <v/>
      </c>
      <c r="AO277" s="4"/>
      <c r="AP277" s="4" t="e" cm="1">
        <f t="array" ref="AP277">IF(INDEX(Table2[],_xlfn.XMATCH($A277,Table2[Steel Member],0),_xlfn.XMATCH(AP$2,Table2[#Headers],0))=0,"",INDEX(Table2[],_xlfn.XMATCH($A277,Table2[Steel Member],0),_xlfn.XMATCH(AP$2,Table2[#Headers],0)))</f>
        <v>#N/A</v>
      </c>
      <c r="AQ277" s="4"/>
      <c r="AR277" s="4"/>
      <c r="AS277" s="4"/>
      <c r="AT277" s="4"/>
    </row>
    <row r="278" spans="1:46" x14ac:dyDescent="0.25">
      <c r="A278" s="52"/>
      <c r="B278" s="52"/>
      <c r="C278" s="52"/>
      <c r="D278" s="52"/>
      <c r="E278" s="52"/>
      <c r="F278" s="64" cm="1">
        <f t="array" ref="F278">IF(COUNT(FIND(PurlinsxGirthsxBracings,$C278))&gt;0,0,ROUNDUP(IF(D278=0,0,VLOOKUP(D278,'DATA SHEET'!$B:$D,2,FALSE)),2))</f>
        <v>0</v>
      </c>
      <c r="G278" s="64" cm="1">
        <f t="array" ref="G278">IF(COUNT(FIND(PurlinsxGirthsxBracings,$C278))&gt;0,0,ROUNDUP(IF(D278=0,0,VLOOKUP(D278,'DATA SHEET'!$B:$D,3,FALSE)),2))</f>
        <v>0</v>
      </c>
      <c r="H278" s="53"/>
      <c r="I278" s="66" cm="1">
        <f t="array" ref="I278">IF(AND(ISBLANK(B278),ISBLANK(C278),ISBLANK(E278)),0,IF(COUNT(FIND(PurlinsxGirthsxBracings,$C278))&gt;0,IF(B278=0,CONCATENATE(E278," ",C278),CONCATENATE(B278," - ",E278," ",C278)),IF(B278=0,IF(ISBLANK(C278),E278,CONCATENATE(D278,", ",F278,"kg/m, ",G278,"mm surface perimeter")),IF(AND(ISBLANK(C278),ISTEXT(E278)),CONCATENATE(B278," - ",E278),IF(AND(ISBLANK(C278),ISBLANK(E278)),B278,CONCATENATE(B278," - ",D278,", ",F278,"kg/m, ",G278,"mm surface perimeter"))))&amp;IF(ISBLANK(H278),"",H278)))</f>
        <v>0</v>
      </c>
      <c r="J278" s="53"/>
      <c r="L278" s="4" t="str" cm="1">
        <f t="array" ref="L278">IF(COUNT(FIND({0,1,2,3,4,5,6,7,8,9},B278))&gt;0,COUNT(FIND({0,1,2,3,4,5,6,7,8,9},B278))&gt;0,"")</f>
        <v/>
      </c>
      <c r="M278" s="4" t="str" cm="1">
        <f t="array" aca="1" ref="M278" ca="1">IFERROR(_xlfn.IFS(R278="Count",RANDBETWEEN(1,COUNTIF($R$11:$R$653,"Count")),R278="Length",RANDBETWEEN(1,COUNTIF($R$11:$R$653,"Length"))),"")</f>
        <v/>
      </c>
      <c r="N278" s="4" t="str">
        <f ca="1">IFERROR(_xlfn.RANK.EQ(M278,$M$11:$M$653)+COUNTIF($M$11:M278,M278)-1,"")</f>
        <v/>
      </c>
      <c r="O278" s="86" t="str">
        <f>IF(A278='DATA SHEET'!$L$36,C278,IFERROR(IF(AND(ISTEXT(I278),ISBLANK(C278)),"No details",VLOOKUP(C278,DimFolder,2,FALSE)),""))</f>
        <v/>
      </c>
      <c r="P278" s="4" t="str">
        <f t="shared" si="89"/>
        <v/>
      </c>
      <c r="Q278" s="58" t="str">
        <f t="shared" si="88"/>
        <v/>
      </c>
      <c r="R278" s="4" t="e" cm="1">
        <f t="array" ref="R278">IF(INDEX(Table2[],_xlfn.XMATCH($A278,Table2[Steel Member],0),_xlfn.XMATCH(R$2,Table2[#Headers],0))=0,"",INDEX(Table2[],_xlfn.XMATCH($A278,Table2[Steel Member],0),_xlfn.XMATCH(R$2,Table2[#Headers],0)))</f>
        <v>#N/A</v>
      </c>
      <c r="S278" s="4" t="e" cm="1">
        <f t="array" ref="S278">IF(INDEX(Table2[],_xlfn.XMATCH($A278,Table2[Steel Member],0),_xlfn.XMATCH(S$2,Table2[#Headers],0))=0,"",INDEX(Table2[],_xlfn.XMATCH($A278,Table2[Steel Member],0),_xlfn.XMATCH(S$2,Table2[#Headers],0)))</f>
        <v>#N/A</v>
      </c>
      <c r="T278" s="4" t="str">
        <f t="shared" si="79"/>
        <v/>
      </c>
      <c r="U278" s="4" t="e">
        <f ca="1">VLOOKUP(N278,'COLOR CODE'!$B:$D,2,FALSE)</f>
        <v>#N/A</v>
      </c>
      <c r="V278" s="4" t="str">
        <f t="shared" si="80"/>
        <v/>
      </c>
      <c r="W278" s="4" t="e" cm="1">
        <f t="array" ref="W278">IF(INDEX(Table2[],_xlfn.XMATCH($A278,Table2[Steel Member],0),_xlfn.XMATCH(W$2,Table2[#Headers],0))=0,"",INDEX(Table2[],_xlfn.XMATCH($A278,Table2[Steel Member],0),_xlfn.XMATCH(W$2,Table2[#Headers],0)))</f>
        <v>#N/A</v>
      </c>
      <c r="X278" s="4" t="e">
        <f t="shared" si="90"/>
        <v>#N/A</v>
      </c>
      <c r="Y278" s="4" t="e" cm="1">
        <f t="array" ref="Y278">IF(INDEX(Table2[],_xlfn.XMATCH($A278,Table2[Steel Member],0),_xlfn.XMATCH(Y$2,Table2[#Headers],0))=0,"",INDEX(Table2[],_xlfn.XMATCH($A278,Table2[Steel Member],0),_xlfn.XMATCH(Y$2,Table2[#Headers],0)))</f>
        <v>#N/A</v>
      </c>
      <c r="Z278" s="4" t="e" cm="1">
        <f t="array" ref="Z278">IF(INDEX(Table2[],_xlfn.XMATCH($A278,Table2[Steel Member],0),_xlfn.XMATCH(Z$2,Table2[#Headers],0))=0,"",INDEX(Table2[],_xlfn.XMATCH($A278,Table2[Steel Member],0),_xlfn.XMATCH(Z$2,Table2[#Headers],0)))</f>
        <v>#N/A</v>
      </c>
      <c r="AA278" s="4" t="e" cm="1">
        <f t="array" ref="AA278">IF(INDEX(Table2[],_xlfn.XMATCH($A278,Table2[Steel Member],0),_xlfn.XMATCH(AA$2,Table2[#Headers],0))=0,"",INDEX(Table2[],_xlfn.XMATCH($A278,Table2[Steel Member],0),_xlfn.XMATCH(AA$2,Table2[#Headers],0)))</f>
        <v>#N/A</v>
      </c>
      <c r="AB278" s="4" t="e" cm="1">
        <f t="array" ref="AB278">IF(INDEX(Table2[],_xlfn.XMATCH($A278,Table2[Steel Member],0),_xlfn.XMATCH(AB$2,Table2[#Headers],0))=0,"",INDEX(Table2[],_xlfn.XMATCH($A278,Table2[Steel Member],0),_xlfn.XMATCH(AB$2,Table2[#Headers],0)))</f>
        <v>#N/A</v>
      </c>
      <c r="AC278" s="4" t="str" cm="1">
        <f t="array" ref="AC278">IFERROR(INDEX(Table8[],_xlfn.XMATCH($O278,Table8[Dimension Name Category],0),_xlfn.XMATCH(AC$2&amp;IF($L278," w/ tag"," w/o tag"),Table8[#Headers],0)),"")</f>
        <v/>
      </c>
      <c r="AD278" s="59" t="str">
        <f t="shared" si="81"/>
        <v/>
      </c>
      <c r="AE278" s="4" t="str">
        <f t="shared" si="82"/>
        <v/>
      </c>
      <c r="AF278" s="4" t="str">
        <f t="shared" si="83"/>
        <v/>
      </c>
      <c r="AG278" s="4" t="str" cm="1">
        <f t="array" ref="AG278">IFERROR(INDEX(Table8[],_xlfn.XMATCH($O278,Table8[Dimension Name Category],0),_xlfn.XMATCH(AG$2&amp;IF($L278," w/ tag"," w/o tag"),Table8[#Headers],0)),"")</f>
        <v/>
      </c>
      <c r="AH278" s="59" t="str">
        <f t="shared" si="84"/>
        <v/>
      </c>
      <c r="AI278" s="4"/>
      <c r="AJ278" s="4" t="str">
        <f t="shared" si="85"/>
        <v/>
      </c>
      <c r="AK278" s="4" t="str">
        <f t="shared" si="86"/>
        <v/>
      </c>
      <c r="AL278" s="4" t="e" cm="1">
        <f t="array" ref="AL278">IF(INDEX(Table2[],_xlfn.XMATCH($A278,Table2[Steel Member],0),_xlfn.XMATCH(AL$2,Table2[#Headers],0))=0,"",INDEX(Table2[],_xlfn.XMATCH($A278,Table2[Steel Member],0),_xlfn.XMATCH(AL$2,Table2[#Headers],0)))</f>
        <v>#N/A</v>
      </c>
      <c r="AM278" s="4"/>
      <c r="AN278" s="4" t="str">
        <f t="shared" si="87"/>
        <v/>
      </c>
      <c r="AO278" s="4"/>
      <c r="AP278" s="4" t="e" cm="1">
        <f t="array" ref="AP278">IF(INDEX(Table2[],_xlfn.XMATCH($A278,Table2[Steel Member],0),_xlfn.XMATCH(AP$2,Table2[#Headers],0))=0,"",INDEX(Table2[],_xlfn.XMATCH($A278,Table2[Steel Member],0),_xlfn.XMATCH(AP$2,Table2[#Headers],0)))</f>
        <v>#N/A</v>
      </c>
      <c r="AQ278" s="4"/>
      <c r="AR278" s="4"/>
      <c r="AS278" s="4"/>
      <c r="AT278" s="4"/>
    </row>
    <row r="279" spans="1:46" x14ac:dyDescent="0.25">
      <c r="A279" s="52"/>
      <c r="B279" s="52"/>
      <c r="C279" s="52"/>
      <c r="D279" s="52"/>
      <c r="E279" s="52"/>
      <c r="F279" s="64" cm="1">
        <f t="array" ref="F279">IF(COUNT(FIND(PurlinsxGirthsxBracings,$C279))&gt;0,0,ROUNDUP(IF(D279=0,0,VLOOKUP(D279,'DATA SHEET'!$B:$D,2,FALSE)),2))</f>
        <v>0</v>
      </c>
      <c r="G279" s="64" cm="1">
        <f t="array" ref="G279">IF(COUNT(FIND(PurlinsxGirthsxBracings,$C279))&gt;0,0,ROUNDUP(IF(D279=0,0,VLOOKUP(D279,'DATA SHEET'!$B:$D,3,FALSE)),2))</f>
        <v>0</v>
      </c>
      <c r="H279" s="53"/>
      <c r="I279" s="66" cm="1">
        <f t="array" ref="I279">IF(AND(ISBLANK(B279),ISBLANK(C279),ISBLANK(E279)),0,IF(COUNT(FIND(PurlinsxGirthsxBracings,$C279))&gt;0,IF(B279=0,CONCATENATE(E279," ",C279),CONCATENATE(B279," - ",E279," ",C279)),IF(B279=0,IF(ISBLANK(C279),E279,CONCATENATE(D279,", ",F279,"kg/m, ",G279,"mm surface perimeter")),IF(AND(ISBLANK(C279),ISTEXT(E279)),CONCATENATE(B279," - ",E279),IF(AND(ISBLANK(C279),ISBLANK(E279)),B279,CONCATENATE(B279," - ",D279,", ",F279,"kg/m, ",G279,"mm surface perimeter"))))&amp;IF(ISBLANK(H279),"",H279)))</f>
        <v>0</v>
      </c>
      <c r="J279" s="53"/>
      <c r="L279" s="4" t="str" cm="1">
        <f t="array" ref="L279">IF(COUNT(FIND({0,1,2,3,4,5,6,7,8,9},B279))&gt;0,COUNT(FIND({0,1,2,3,4,5,6,7,8,9},B279))&gt;0,"")</f>
        <v/>
      </c>
      <c r="M279" s="4" t="str" cm="1">
        <f t="array" aca="1" ref="M279" ca="1">IFERROR(_xlfn.IFS(R279="Count",RANDBETWEEN(1,COUNTIF($R$11:$R$653,"Count")),R279="Length",RANDBETWEEN(1,COUNTIF($R$11:$R$653,"Length"))),"")</f>
        <v/>
      </c>
      <c r="N279" s="4" t="str">
        <f ca="1">IFERROR(_xlfn.RANK.EQ(M279,$M$11:$M$653)+COUNTIF($M$11:M279,M279)-1,"")</f>
        <v/>
      </c>
      <c r="O279" s="86" t="str">
        <f>IF(A279='DATA SHEET'!$L$36,C279,IFERROR(IF(AND(ISTEXT(I279),ISBLANK(C279)),"No details",VLOOKUP(C279,DimFolder,2,FALSE)),""))</f>
        <v/>
      </c>
      <c r="P279" s="4" t="str">
        <f t="shared" si="89"/>
        <v/>
      </c>
      <c r="Q279" s="58" t="str">
        <f t="shared" si="88"/>
        <v/>
      </c>
      <c r="R279" s="4" t="e" cm="1">
        <f t="array" ref="R279">IF(INDEX(Table2[],_xlfn.XMATCH($A279,Table2[Steel Member],0),_xlfn.XMATCH(R$2,Table2[#Headers],0))=0,"",INDEX(Table2[],_xlfn.XMATCH($A279,Table2[Steel Member],0),_xlfn.XMATCH(R$2,Table2[#Headers],0)))</f>
        <v>#N/A</v>
      </c>
      <c r="S279" s="4" t="e" cm="1">
        <f t="array" ref="S279">IF(INDEX(Table2[],_xlfn.XMATCH($A279,Table2[Steel Member],0),_xlfn.XMATCH(S$2,Table2[#Headers],0))=0,"",INDEX(Table2[],_xlfn.XMATCH($A279,Table2[Steel Member],0),_xlfn.XMATCH(S$2,Table2[#Headers],0)))</f>
        <v>#N/A</v>
      </c>
      <c r="T279" s="4" t="str">
        <f t="shared" si="79"/>
        <v/>
      </c>
      <c r="U279" s="4" t="e">
        <f ca="1">VLOOKUP(N279,'COLOR CODE'!$B:$D,2,FALSE)</f>
        <v>#N/A</v>
      </c>
      <c r="V279" s="4" t="str">
        <f t="shared" si="80"/>
        <v/>
      </c>
      <c r="W279" s="4" t="e" cm="1">
        <f t="array" ref="W279">IF(INDEX(Table2[],_xlfn.XMATCH($A279,Table2[Steel Member],0),_xlfn.XMATCH(W$2,Table2[#Headers],0))=0,"",INDEX(Table2[],_xlfn.XMATCH($A279,Table2[Steel Member],0),_xlfn.XMATCH(W$2,Table2[#Headers],0)))</f>
        <v>#N/A</v>
      </c>
      <c r="X279" s="4" t="e">
        <f t="shared" si="90"/>
        <v>#N/A</v>
      </c>
      <c r="Y279" s="4" t="e" cm="1">
        <f t="array" ref="Y279">IF(INDEX(Table2[],_xlfn.XMATCH($A279,Table2[Steel Member],0),_xlfn.XMATCH(Y$2,Table2[#Headers],0))=0,"",INDEX(Table2[],_xlfn.XMATCH($A279,Table2[Steel Member],0),_xlfn.XMATCH(Y$2,Table2[#Headers],0)))</f>
        <v>#N/A</v>
      </c>
      <c r="Z279" s="4" t="e" cm="1">
        <f t="array" ref="Z279">IF(INDEX(Table2[],_xlfn.XMATCH($A279,Table2[Steel Member],0),_xlfn.XMATCH(Z$2,Table2[#Headers],0))=0,"",INDEX(Table2[],_xlfn.XMATCH($A279,Table2[Steel Member],0),_xlfn.XMATCH(Z$2,Table2[#Headers],0)))</f>
        <v>#N/A</v>
      </c>
      <c r="AA279" s="4" t="e" cm="1">
        <f t="array" ref="AA279">IF(INDEX(Table2[],_xlfn.XMATCH($A279,Table2[Steel Member],0),_xlfn.XMATCH(AA$2,Table2[#Headers],0))=0,"",INDEX(Table2[],_xlfn.XMATCH($A279,Table2[Steel Member],0),_xlfn.XMATCH(AA$2,Table2[#Headers],0)))</f>
        <v>#N/A</v>
      </c>
      <c r="AB279" s="4" t="e" cm="1">
        <f t="array" ref="AB279">IF(INDEX(Table2[],_xlfn.XMATCH($A279,Table2[Steel Member],0),_xlfn.XMATCH(AB$2,Table2[#Headers],0))=0,"",INDEX(Table2[],_xlfn.XMATCH($A279,Table2[Steel Member],0),_xlfn.XMATCH(AB$2,Table2[#Headers],0)))</f>
        <v>#N/A</v>
      </c>
      <c r="AC279" s="4" t="str" cm="1">
        <f t="array" ref="AC279">IFERROR(INDEX(Table8[],_xlfn.XMATCH($O279,Table8[Dimension Name Category],0),_xlfn.XMATCH(AC$2&amp;IF($L279," w/ tag"," w/o tag"),Table8[#Headers],0)),"")</f>
        <v/>
      </c>
      <c r="AD279" s="59" t="str">
        <f t="shared" si="81"/>
        <v/>
      </c>
      <c r="AE279" s="4" t="str">
        <f t="shared" si="82"/>
        <v/>
      </c>
      <c r="AF279" s="4" t="str">
        <f t="shared" si="83"/>
        <v/>
      </c>
      <c r="AG279" s="4" t="str" cm="1">
        <f t="array" ref="AG279">IFERROR(INDEX(Table8[],_xlfn.XMATCH($O279,Table8[Dimension Name Category],0),_xlfn.XMATCH(AG$2&amp;IF($L279," w/ tag"," w/o tag"),Table8[#Headers],0)),"")</f>
        <v/>
      </c>
      <c r="AH279" s="59" t="str">
        <f t="shared" si="84"/>
        <v/>
      </c>
      <c r="AI279" s="4"/>
      <c r="AJ279" s="4" t="str">
        <f t="shared" si="85"/>
        <v/>
      </c>
      <c r="AK279" s="4" t="str">
        <f t="shared" si="86"/>
        <v/>
      </c>
      <c r="AL279" s="4" t="e" cm="1">
        <f t="array" ref="AL279">IF(INDEX(Table2[],_xlfn.XMATCH($A279,Table2[Steel Member],0),_xlfn.XMATCH(AL$2,Table2[#Headers],0))=0,"",INDEX(Table2[],_xlfn.XMATCH($A279,Table2[Steel Member],0),_xlfn.XMATCH(AL$2,Table2[#Headers],0)))</f>
        <v>#N/A</v>
      </c>
      <c r="AM279" s="4"/>
      <c r="AN279" s="4" t="str">
        <f t="shared" si="87"/>
        <v/>
      </c>
      <c r="AO279" s="4"/>
      <c r="AP279" s="4" t="e" cm="1">
        <f t="array" ref="AP279">IF(INDEX(Table2[],_xlfn.XMATCH($A279,Table2[Steel Member],0),_xlfn.XMATCH(AP$2,Table2[#Headers],0))=0,"",INDEX(Table2[],_xlfn.XMATCH($A279,Table2[Steel Member],0),_xlfn.XMATCH(AP$2,Table2[#Headers],0)))</f>
        <v>#N/A</v>
      </c>
      <c r="AQ279" s="4"/>
      <c r="AR279" s="4"/>
      <c r="AS279" s="4"/>
      <c r="AT279" s="4"/>
    </row>
    <row r="280" spans="1:46" x14ac:dyDescent="0.25">
      <c r="A280" s="52"/>
      <c r="B280" s="52"/>
      <c r="C280" s="52"/>
      <c r="D280" s="52"/>
      <c r="E280" s="52"/>
      <c r="F280" s="64" cm="1">
        <f t="array" ref="F280">IF(COUNT(FIND(PurlinsxGirthsxBracings,$C280))&gt;0,0,ROUNDUP(IF(D280=0,0,VLOOKUP(D280,'DATA SHEET'!$B:$D,2,FALSE)),2))</f>
        <v>0</v>
      </c>
      <c r="G280" s="64" cm="1">
        <f t="array" ref="G280">IF(COUNT(FIND(PurlinsxGirthsxBracings,$C280))&gt;0,0,ROUNDUP(IF(D280=0,0,VLOOKUP(D280,'DATA SHEET'!$B:$D,3,FALSE)),2))</f>
        <v>0</v>
      </c>
      <c r="H280" s="53"/>
      <c r="I280" s="66" cm="1">
        <f t="array" ref="I280">IF(AND(ISBLANK(B280),ISBLANK(C280),ISBLANK(E280)),0,IF(COUNT(FIND(PurlinsxGirthsxBracings,$C280))&gt;0,IF(B280=0,CONCATENATE(E280," ",C280),CONCATENATE(B280," - ",E280," ",C280)),IF(B280=0,IF(ISBLANK(C280),E280,CONCATENATE(D280,", ",F280,"kg/m, ",G280,"mm surface perimeter")),IF(AND(ISBLANK(C280),ISTEXT(E280)),CONCATENATE(B280," - ",E280),IF(AND(ISBLANK(C280),ISBLANK(E280)),B280,CONCATENATE(B280," - ",D280,", ",F280,"kg/m, ",G280,"mm surface perimeter"))))&amp;IF(ISBLANK(H280),"",H280)))</f>
        <v>0</v>
      </c>
      <c r="J280" s="53"/>
      <c r="L280" s="4" t="str" cm="1">
        <f t="array" ref="L280">IF(COUNT(FIND({0,1,2,3,4,5,6,7,8,9},B280))&gt;0,COUNT(FIND({0,1,2,3,4,5,6,7,8,9},B280))&gt;0,"")</f>
        <v/>
      </c>
      <c r="M280" s="4" t="str" cm="1">
        <f t="array" aca="1" ref="M280" ca="1">IFERROR(_xlfn.IFS(R280="Count",RANDBETWEEN(1,COUNTIF($R$11:$R$653,"Count")),R280="Length",RANDBETWEEN(1,COUNTIF($R$11:$R$653,"Length"))),"")</f>
        <v/>
      </c>
      <c r="N280" s="4" t="str">
        <f ca="1">IFERROR(_xlfn.RANK.EQ(M280,$M$11:$M$653)+COUNTIF($M$11:M280,M280)-1,"")</f>
        <v/>
      </c>
      <c r="O280" s="86" t="str">
        <f>IF(A280='DATA SHEET'!$L$36,C280,IFERROR(IF(AND(ISTEXT(I280),ISBLANK(C280)),"No details",VLOOKUP(C280,DimFolder,2,FALSE)),""))</f>
        <v/>
      </c>
      <c r="P280" s="4" t="str">
        <f t="shared" si="89"/>
        <v/>
      </c>
      <c r="Q280" s="58" t="str">
        <f t="shared" si="88"/>
        <v/>
      </c>
      <c r="R280" s="4" t="e" cm="1">
        <f t="array" ref="R280">IF(INDEX(Table2[],_xlfn.XMATCH($A280,Table2[Steel Member],0),_xlfn.XMATCH(R$2,Table2[#Headers],0))=0,"",INDEX(Table2[],_xlfn.XMATCH($A280,Table2[Steel Member],0),_xlfn.XMATCH(R$2,Table2[#Headers],0)))</f>
        <v>#N/A</v>
      </c>
      <c r="S280" s="4" t="e" cm="1">
        <f t="array" ref="S280">IF(INDEX(Table2[],_xlfn.XMATCH($A280,Table2[Steel Member],0),_xlfn.XMATCH(S$2,Table2[#Headers],0))=0,"",INDEX(Table2[],_xlfn.XMATCH($A280,Table2[Steel Member],0),_xlfn.XMATCH(S$2,Table2[#Headers],0)))</f>
        <v>#N/A</v>
      </c>
      <c r="T280" s="4" t="str">
        <f t="shared" si="79"/>
        <v/>
      </c>
      <c r="U280" s="4" t="e">
        <f ca="1">VLOOKUP(N280,'COLOR CODE'!$B:$D,2,FALSE)</f>
        <v>#N/A</v>
      </c>
      <c r="V280" s="4" t="str">
        <f t="shared" si="80"/>
        <v/>
      </c>
      <c r="W280" s="4" t="e" cm="1">
        <f t="array" ref="W280">IF(INDEX(Table2[],_xlfn.XMATCH($A280,Table2[Steel Member],0),_xlfn.XMATCH(W$2,Table2[#Headers],0))=0,"",INDEX(Table2[],_xlfn.XMATCH($A280,Table2[Steel Member],0),_xlfn.XMATCH(W$2,Table2[#Headers],0)))</f>
        <v>#N/A</v>
      </c>
      <c r="X280" s="4" t="e">
        <f t="shared" si="90"/>
        <v>#N/A</v>
      </c>
      <c r="Y280" s="4" t="e" cm="1">
        <f t="array" ref="Y280">IF(INDEX(Table2[],_xlfn.XMATCH($A280,Table2[Steel Member],0),_xlfn.XMATCH(Y$2,Table2[#Headers],0))=0,"",INDEX(Table2[],_xlfn.XMATCH($A280,Table2[Steel Member],0),_xlfn.XMATCH(Y$2,Table2[#Headers],0)))</f>
        <v>#N/A</v>
      </c>
      <c r="Z280" s="4" t="e" cm="1">
        <f t="array" ref="Z280">IF(INDEX(Table2[],_xlfn.XMATCH($A280,Table2[Steel Member],0),_xlfn.XMATCH(Z$2,Table2[#Headers],0))=0,"",INDEX(Table2[],_xlfn.XMATCH($A280,Table2[Steel Member],0),_xlfn.XMATCH(Z$2,Table2[#Headers],0)))</f>
        <v>#N/A</v>
      </c>
      <c r="AA280" s="4" t="e" cm="1">
        <f t="array" ref="AA280">IF(INDEX(Table2[],_xlfn.XMATCH($A280,Table2[Steel Member],0),_xlfn.XMATCH(AA$2,Table2[#Headers],0))=0,"",INDEX(Table2[],_xlfn.XMATCH($A280,Table2[Steel Member],0),_xlfn.XMATCH(AA$2,Table2[#Headers],0)))</f>
        <v>#N/A</v>
      </c>
      <c r="AB280" s="4" t="e" cm="1">
        <f t="array" ref="AB280">IF(INDEX(Table2[],_xlfn.XMATCH($A280,Table2[Steel Member],0),_xlfn.XMATCH(AB$2,Table2[#Headers],0))=0,"",INDEX(Table2[],_xlfn.XMATCH($A280,Table2[Steel Member],0),_xlfn.XMATCH(AB$2,Table2[#Headers],0)))</f>
        <v>#N/A</v>
      </c>
      <c r="AC280" s="4" t="str" cm="1">
        <f t="array" ref="AC280">IFERROR(INDEX(Table8[],_xlfn.XMATCH($O280,Table8[Dimension Name Category],0),_xlfn.XMATCH(AC$2&amp;IF($L280," w/ tag"," w/o tag"),Table8[#Headers],0)),"")</f>
        <v/>
      </c>
      <c r="AD280" s="59" t="str">
        <f t="shared" si="81"/>
        <v/>
      </c>
      <c r="AE280" s="4" t="str">
        <f t="shared" si="82"/>
        <v/>
      </c>
      <c r="AF280" s="4" t="str">
        <f t="shared" si="83"/>
        <v/>
      </c>
      <c r="AG280" s="4" t="str" cm="1">
        <f t="array" ref="AG280">IFERROR(INDEX(Table8[],_xlfn.XMATCH($O280,Table8[Dimension Name Category],0),_xlfn.XMATCH(AG$2&amp;IF($L280," w/ tag"," w/o tag"),Table8[#Headers],0)),"")</f>
        <v/>
      </c>
      <c r="AH280" s="59" t="str">
        <f t="shared" si="84"/>
        <v/>
      </c>
      <c r="AI280" s="4"/>
      <c r="AJ280" s="4" t="str">
        <f t="shared" si="85"/>
        <v/>
      </c>
      <c r="AK280" s="4" t="str">
        <f t="shared" si="86"/>
        <v/>
      </c>
      <c r="AL280" s="4" t="e" cm="1">
        <f t="array" ref="AL280">IF(INDEX(Table2[],_xlfn.XMATCH($A280,Table2[Steel Member],0),_xlfn.XMATCH(AL$2,Table2[#Headers],0))=0,"",INDEX(Table2[],_xlfn.XMATCH($A280,Table2[Steel Member],0),_xlfn.XMATCH(AL$2,Table2[#Headers],0)))</f>
        <v>#N/A</v>
      </c>
      <c r="AM280" s="4"/>
      <c r="AN280" s="4" t="str">
        <f t="shared" si="87"/>
        <v/>
      </c>
      <c r="AO280" s="4"/>
      <c r="AP280" s="4" t="e" cm="1">
        <f t="array" ref="AP280">IF(INDEX(Table2[],_xlfn.XMATCH($A280,Table2[Steel Member],0),_xlfn.XMATCH(AP$2,Table2[#Headers],0))=0,"",INDEX(Table2[],_xlfn.XMATCH($A280,Table2[Steel Member],0),_xlfn.XMATCH(AP$2,Table2[#Headers],0)))</f>
        <v>#N/A</v>
      </c>
      <c r="AQ280" s="4"/>
      <c r="AR280" s="4"/>
      <c r="AS280" s="4"/>
      <c r="AT280" s="4"/>
    </row>
    <row r="281" spans="1:46" x14ac:dyDescent="0.25">
      <c r="A281" s="52"/>
      <c r="B281" s="52"/>
      <c r="C281" s="52"/>
      <c r="D281" s="52"/>
      <c r="E281" s="52"/>
      <c r="F281" s="64" cm="1">
        <f t="array" ref="F281">IF(COUNT(FIND(PurlinsxGirthsxBracings,$C281))&gt;0,0,ROUNDUP(IF(D281=0,0,VLOOKUP(D281,'DATA SHEET'!$B:$D,2,FALSE)),2))</f>
        <v>0</v>
      </c>
      <c r="G281" s="64" cm="1">
        <f t="array" ref="G281">IF(COUNT(FIND(PurlinsxGirthsxBracings,$C281))&gt;0,0,ROUNDUP(IF(D281=0,0,VLOOKUP(D281,'DATA SHEET'!$B:$D,3,FALSE)),2))</f>
        <v>0</v>
      </c>
      <c r="H281" s="53"/>
      <c r="I281" s="66" cm="1">
        <f t="array" ref="I281">IF(AND(ISBLANK(B281),ISBLANK(C281),ISBLANK(E281)),0,IF(COUNT(FIND(PurlinsxGirthsxBracings,$C281))&gt;0,IF(B281=0,CONCATENATE(E281," ",C281),CONCATENATE(B281," - ",E281," ",C281)),IF(B281=0,IF(ISBLANK(C281),E281,CONCATENATE(D281,", ",F281,"kg/m, ",G281,"mm surface perimeter")),IF(AND(ISBLANK(C281),ISTEXT(E281)),CONCATENATE(B281," - ",E281),IF(AND(ISBLANK(C281),ISBLANK(E281)),B281,CONCATENATE(B281," - ",D281,", ",F281,"kg/m, ",G281,"mm surface perimeter"))))&amp;IF(ISBLANK(H281),"",H281)))</f>
        <v>0</v>
      </c>
      <c r="J281" s="53"/>
      <c r="L281" s="4" t="str" cm="1">
        <f t="array" ref="L281">IF(COUNT(FIND({0,1,2,3,4,5,6,7,8,9},B281))&gt;0,COUNT(FIND({0,1,2,3,4,5,6,7,8,9},B281))&gt;0,"")</f>
        <v/>
      </c>
      <c r="M281" s="4" t="str" cm="1">
        <f t="array" aca="1" ref="M281" ca="1">IFERROR(_xlfn.IFS(R281="Count",RANDBETWEEN(1,COUNTIF($R$11:$R$653,"Count")),R281="Length",RANDBETWEEN(1,COUNTIF($R$11:$R$653,"Length"))),"")</f>
        <v/>
      </c>
      <c r="N281" s="4" t="str">
        <f ca="1">IFERROR(_xlfn.RANK.EQ(M281,$M$11:$M$653)+COUNTIF($M$11:M281,M281)-1,"")</f>
        <v/>
      </c>
      <c r="O281" s="86" t="str">
        <f>IF(A281='DATA SHEET'!$L$36,C281,IFERROR(IF(AND(ISTEXT(I281),ISBLANK(C281)),"No details",VLOOKUP(C281,DimFolder,2,FALSE)),""))</f>
        <v/>
      </c>
      <c r="P281" s="4" t="str">
        <f t="shared" si="89"/>
        <v/>
      </c>
      <c r="Q281" s="58" t="str">
        <f t="shared" si="88"/>
        <v/>
      </c>
      <c r="R281" s="4" t="e" cm="1">
        <f t="array" ref="R281">IF(INDEX(Table2[],_xlfn.XMATCH($A281,Table2[Steel Member],0),_xlfn.XMATCH(R$2,Table2[#Headers],0))=0,"",INDEX(Table2[],_xlfn.XMATCH($A281,Table2[Steel Member],0),_xlfn.XMATCH(R$2,Table2[#Headers],0)))</f>
        <v>#N/A</v>
      </c>
      <c r="S281" s="4" t="e" cm="1">
        <f t="array" ref="S281">IF(INDEX(Table2[],_xlfn.XMATCH($A281,Table2[Steel Member],0),_xlfn.XMATCH(S$2,Table2[#Headers],0))=0,"",INDEX(Table2[],_xlfn.XMATCH($A281,Table2[Steel Member],0),_xlfn.XMATCH(S$2,Table2[#Headers],0)))</f>
        <v>#N/A</v>
      </c>
      <c r="T281" s="4" t="str">
        <f t="shared" si="79"/>
        <v/>
      </c>
      <c r="U281" s="4" t="e">
        <f ca="1">VLOOKUP(N281,'COLOR CODE'!$B:$D,2,FALSE)</f>
        <v>#N/A</v>
      </c>
      <c r="V281" s="4" t="str">
        <f t="shared" si="80"/>
        <v/>
      </c>
      <c r="W281" s="4" t="e" cm="1">
        <f t="array" ref="W281">IF(INDEX(Table2[],_xlfn.XMATCH($A281,Table2[Steel Member],0),_xlfn.XMATCH(W$2,Table2[#Headers],0))=0,"",INDEX(Table2[],_xlfn.XMATCH($A281,Table2[Steel Member],0),_xlfn.XMATCH(W$2,Table2[#Headers],0)))</f>
        <v>#N/A</v>
      </c>
      <c r="X281" s="4" t="e">
        <f t="shared" si="90"/>
        <v>#N/A</v>
      </c>
      <c r="Y281" s="4" t="e" cm="1">
        <f t="array" ref="Y281">IF(INDEX(Table2[],_xlfn.XMATCH($A281,Table2[Steel Member],0),_xlfn.XMATCH(Y$2,Table2[#Headers],0))=0,"",INDEX(Table2[],_xlfn.XMATCH($A281,Table2[Steel Member],0),_xlfn.XMATCH(Y$2,Table2[#Headers],0)))</f>
        <v>#N/A</v>
      </c>
      <c r="Z281" s="4" t="e" cm="1">
        <f t="array" ref="Z281">IF(INDEX(Table2[],_xlfn.XMATCH($A281,Table2[Steel Member],0),_xlfn.XMATCH(Z$2,Table2[#Headers],0))=0,"",INDEX(Table2[],_xlfn.XMATCH($A281,Table2[Steel Member],0),_xlfn.XMATCH(Z$2,Table2[#Headers],0)))</f>
        <v>#N/A</v>
      </c>
      <c r="AA281" s="4" t="e" cm="1">
        <f t="array" ref="AA281">IF(INDEX(Table2[],_xlfn.XMATCH($A281,Table2[Steel Member],0),_xlfn.XMATCH(AA$2,Table2[#Headers],0))=0,"",INDEX(Table2[],_xlfn.XMATCH($A281,Table2[Steel Member],0),_xlfn.XMATCH(AA$2,Table2[#Headers],0)))</f>
        <v>#N/A</v>
      </c>
      <c r="AB281" s="4" t="e" cm="1">
        <f t="array" ref="AB281">IF(INDEX(Table2[],_xlfn.XMATCH($A281,Table2[Steel Member],0),_xlfn.XMATCH(AB$2,Table2[#Headers],0))=0,"",INDEX(Table2[],_xlfn.XMATCH($A281,Table2[Steel Member],0),_xlfn.XMATCH(AB$2,Table2[#Headers],0)))</f>
        <v>#N/A</v>
      </c>
      <c r="AC281" s="4" t="str" cm="1">
        <f t="array" ref="AC281">IFERROR(INDEX(Table8[],_xlfn.XMATCH($O281,Table8[Dimension Name Category],0),_xlfn.XMATCH(AC$2&amp;IF($L281," w/ tag"," w/o tag"),Table8[#Headers],0)),"")</f>
        <v/>
      </c>
      <c r="AD281" s="59" t="str">
        <f t="shared" si="81"/>
        <v/>
      </c>
      <c r="AE281" s="4" t="str">
        <f t="shared" si="82"/>
        <v/>
      </c>
      <c r="AF281" s="4" t="str">
        <f t="shared" si="83"/>
        <v/>
      </c>
      <c r="AG281" s="4" t="str" cm="1">
        <f t="array" ref="AG281">IFERROR(INDEX(Table8[],_xlfn.XMATCH($O281,Table8[Dimension Name Category],0),_xlfn.XMATCH(AG$2&amp;IF($L281," w/ tag"," w/o tag"),Table8[#Headers],0)),"")</f>
        <v/>
      </c>
      <c r="AH281" s="59" t="str">
        <f t="shared" si="84"/>
        <v/>
      </c>
      <c r="AI281" s="4"/>
      <c r="AJ281" s="4" t="str">
        <f t="shared" si="85"/>
        <v/>
      </c>
      <c r="AK281" s="4" t="str">
        <f t="shared" si="86"/>
        <v/>
      </c>
      <c r="AL281" s="4" t="e" cm="1">
        <f t="array" ref="AL281">IF(INDEX(Table2[],_xlfn.XMATCH($A281,Table2[Steel Member],0),_xlfn.XMATCH(AL$2,Table2[#Headers],0))=0,"",INDEX(Table2[],_xlfn.XMATCH($A281,Table2[Steel Member],0),_xlfn.XMATCH(AL$2,Table2[#Headers],0)))</f>
        <v>#N/A</v>
      </c>
      <c r="AM281" s="4"/>
      <c r="AN281" s="4" t="str">
        <f t="shared" si="87"/>
        <v/>
      </c>
      <c r="AO281" s="4"/>
      <c r="AP281" s="4" t="e" cm="1">
        <f t="array" ref="AP281">IF(INDEX(Table2[],_xlfn.XMATCH($A281,Table2[Steel Member],0),_xlfn.XMATCH(AP$2,Table2[#Headers],0))=0,"",INDEX(Table2[],_xlfn.XMATCH($A281,Table2[Steel Member],0),_xlfn.XMATCH(AP$2,Table2[#Headers],0)))</f>
        <v>#N/A</v>
      </c>
      <c r="AQ281" s="4"/>
      <c r="AR281" s="4"/>
      <c r="AS281" s="4"/>
      <c r="AT281" s="4"/>
    </row>
    <row r="282" spans="1:46" x14ac:dyDescent="0.25">
      <c r="A282" s="52"/>
      <c r="B282" s="52"/>
      <c r="C282" s="52"/>
      <c r="D282" s="52"/>
      <c r="E282" s="52"/>
      <c r="F282" s="64" cm="1">
        <f t="array" ref="F282">IF(COUNT(FIND(PurlinsxGirthsxBracings,$C282))&gt;0,0,ROUNDUP(IF(D282=0,0,VLOOKUP(D282,'DATA SHEET'!$B:$D,2,FALSE)),2))</f>
        <v>0</v>
      </c>
      <c r="G282" s="64" cm="1">
        <f t="array" ref="G282">IF(COUNT(FIND(PurlinsxGirthsxBracings,$C282))&gt;0,0,ROUNDUP(IF(D282=0,0,VLOOKUP(D282,'DATA SHEET'!$B:$D,3,FALSE)),2))</f>
        <v>0</v>
      </c>
      <c r="H282" s="53"/>
      <c r="I282" s="66" cm="1">
        <f t="array" ref="I282">IF(AND(ISBLANK(B282),ISBLANK(C282),ISBLANK(E282)),0,IF(COUNT(FIND(PurlinsxGirthsxBracings,$C282))&gt;0,IF(B282=0,CONCATENATE(E282," ",C282),CONCATENATE(B282," - ",E282," ",C282)),IF(B282=0,IF(ISBLANK(C282),E282,CONCATENATE(D282,", ",F282,"kg/m, ",G282,"mm surface perimeter")),IF(AND(ISBLANK(C282),ISTEXT(E282)),CONCATENATE(B282," - ",E282),IF(AND(ISBLANK(C282),ISBLANK(E282)),B282,CONCATENATE(B282," - ",D282,", ",F282,"kg/m, ",G282,"mm surface perimeter"))))&amp;IF(ISBLANK(H282),"",H282)))</f>
        <v>0</v>
      </c>
      <c r="J282" s="53"/>
      <c r="L282" s="4" t="str" cm="1">
        <f t="array" ref="L282">IF(COUNT(FIND({0,1,2,3,4,5,6,7,8,9},B282))&gt;0,COUNT(FIND({0,1,2,3,4,5,6,7,8,9},B282))&gt;0,"")</f>
        <v/>
      </c>
      <c r="M282" s="4" t="str" cm="1">
        <f t="array" aca="1" ref="M282" ca="1">IFERROR(_xlfn.IFS(R282="Count",RANDBETWEEN(1,COUNTIF($R$11:$R$653,"Count")),R282="Length",RANDBETWEEN(1,COUNTIF($R$11:$R$653,"Length"))),"")</f>
        <v/>
      </c>
      <c r="N282" s="4" t="str">
        <f ca="1">IFERROR(_xlfn.RANK.EQ(M282,$M$11:$M$653)+COUNTIF($M$11:M282,M282)-1,"")</f>
        <v/>
      </c>
      <c r="O282" s="86" t="str">
        <f>IF(A282='DATA SHEET'!$L$36,C282,IFERROR(IF(AND(ISTEXT(I282),ISBLANK(C282)),"No details",VLOOKUP(C282,DimFolder,2,FALSE)),""))</f>
        <v/>
      </c>
      <c r="P282" s="4" t="str">
        <f t="shared" si="89"/>
        <v/>
      </c>
      <c r="Q282" s="58" t="str">
        <f t="shared" si="88"/>
        <v/>
      </c>
      <c r="R282" s="4" t="e" cm="1">
        <f t="array" ref="R282">IF(INDEX(Table2[],_xlfn.XMATCH($A282,Table2[Steel Member],0),_xlfn.XMATCH(R$2,Table2[#Headers],0))=0,"",INDEX(Table2[],_xlfn.XMATCH($A282,Table2[Steel Member],0),_xlfn.XMATCH(R$2,Table2[#Headers],0)))</f>
        <v>#N/A</v>
      </c>
      <c r="S282" s="4" t="e" cm="1">
        <f t="array" ref="S282">IF(INDEX(Table2[],_xlfn.XMATCH($A282,Table2[Steel Member],0),_xlfn.XMATCH(S$2,Table2[#Headers],0))=0,"",INDEX(Table2[],_xlfn.XMATCH($A282,Table2[Steel Member],0),_xlfn.XMATCH(S$2,Table2[#Headers],0)))</f>
        <v>#N/A</v>
      </c>
      <c r="T282" s="4" t="str">
        <f t="shared" si="79"/>
        <v/>
      </c>
      <c r="U282" s="4" t="e">
        <f ca="1">VLOOKUP(N282,'COLOR CODE'!$B:$D,2,FALSE)</f>
        <v>#N/A</v>
      </c>
      <c r="V282" s="4" t="str">
        <f t="shared" si="80"/>
        <v/>
      </c>
      <c r="W282" s="4" t="e" cm="1">
        <f t="array" ref="W282">IF(INDEX(Table2[],_xlfn.XMATCH($A282,Table2[Steel Member],0),_xlfn.XMATCH(W$2,Table2[#Headers],0))=0,"",INDEX(Table2[],_xlfn.XMATCH($A282,Table2[Steel Member],0),_xlfn.XMATCH(W$2,Table2[#Headers],0)))</f>
        <v>#N/A</v>
      </c>
      <c r="X282" s="4" t="e">
        <f t="shared" si="90"/>
        <v>#N/A</v>
      </c>
      <c r="Y282" s="4" t="e" cm="1">
        <f t="array" ref="Y282">IF(INDEX(Table2[],_xlfn.XMATCH($A282,Table2[Steel Member],0),_xlfn.XMATCH(Y$2,Table2[#Headers],0))=0,"",INDEX(Table2[],_xlfn.XMATCH($A282,Table2[Steel Member],0),_xlfn.XMATCH(Y$2,Table2[#Headers],0)))</f>
        <v>#N/A</v>
      </c>
      <c r="Z282" s="4" t="e" cm="1">
        <f t="array" ref="Z282">IF(INDEX(Table2[],_xlfn.XMATCH($A282,Table2[Steel Member],0),_xlfn.XMATCH(Z$2,Table2[#Headers],0))=0,"",INDEX(Table2[],_xlfn.XMATCH($A282,Table2[Steel Member],0),_xlfn.XMATCH(Z$2,Table2[#Headers],0)))</f>
        <v>#N/A</v>
      </c>
      <c r="AA282" s="4" t="e" cm="1">
        <f t="array" ref="AA282">IF(INDEX(Table2[],_xlfn.XMATCH($A282,Table2[Steel Member],0),_xlfn.XMATCH(AA$2,Table2[#Headers],0))=0,"",INDEX(Table2[],_xlfn.XMATCH($A282,Table2[Steel Member],0),_xlfn.XMATCH(AA$2,Table2[#Headers],0)))</f>
        <v>#N/A</v>
      </c>
      <c r="AB282" s="4" t="e" cm="1">
        <f t="array" ref="AB282">IF(INDEX(Table2[],_xlfn.XMATCH($A282,Table2[Steel Member],0),_xlfn.XMATCH(AB$2,Table2[#Headers],0))=0,"",INDEX(Table2[],_xlfn.XMATCH($A282,Table2[Steel Member],0),_xlfn.XMATCH(AB$2,Table2[#Headers],0)))</f>
        <v>#N/A</v>
      </c>
      <c r="AC282" s="4" t="str" cm="1">
        <f t="array" ref="AC282">IFERROR(INDEX(Table8[],_xlfn.XMATCH($O282,Table8[Dimension Name Category],0),_xlfn.XMATCH(AC$2&amp;IF($L282," w/ tag"," w/o tag"),Table8[#Headers],0)),"")</f>
        <v/>
      </c>
      <c r="AD282" s="59" t="str">
        <f t="shared" si="81"/>
        <v/>
      </c>
      <c r="AE282" s="4" t="str">
        <f t="shared" si="82"/>
        <v/>
      </c>
      <c r="AF282" s="4" t="str">
        <f t="shared" si="83"/>
        <v/>
      </c>
      <c r="AG282" s="4" t="str" cm="1">
        <f t="array" ref="AG282">IFERROR(INDEX(Table8[],_xlfn.XMATCH($O282,Table8[Dimension Name Category],0),_xlfn.XMATCH(AG$2&amp;IF($L282," w/ tag"," w/o tag"),Table8[#Headers],0)),"")</f>
        <v/>
      </c>
      <c r="AH282" s="59" t="str">
        <f t="shared" si="84"/>
        <v/>
      </c>
      <c r="AI282" s="4"/>
      <c r="AJ282" s="4" t="str">
        <f t="shared" si="85"/>
        <v/>
      </c>
      <c r="AK282" s="4" t="str">
        <f t="shared" si="86"/>
        <v/>
      </c>
      <c r="AL282" s="4" t="e" cm="1">
        <f t="array" ref="AL282">IF(INDEX(Table2[],_xlfn.XMATCH($A282,Table2[Steel Member],0),_xlfn.XMATCH(AL$2,Table2[#Headers],0))=0,"",INDEX(Table2[],_xlfn.XMATCH($A282,Table2[Steel Member],0),_xlfn.XMATCH(AL$2,Table2[#Headers],0)))</f>
        <v>#N/A</v>
      </c>
      <c r="AM282" s="4"/>
      <c r="AN282" s="4" t="str">
        <f t="shared" si="87"/>
        <v/>
      </c>
      <c r="AO282" s="4"/>
      <c r="AP282" s="4" t="e" cm="1">
        <f t="array" ref="AP282">IF(INDEX(Table2[],_xlfn.XMATCH($A282,Table2[Steel Member],0),_xlfn.XMATCH(AP$2,Table2[#Headers],0))=0,"",INDEX(Table2[],_xlfn.XMATCH($A282,Table2[Steel Member],0),_xlfn.XMATCH(AP$2,Table2[#Headers],0)))</f>
        <v>#N/A</v>
      </c>
      <c r="AQ282" s="4"/>
      <c r="AR282" s="4"/>
      <c r="AS282" s="4"/>
      <c r="AT282" s="4"/>
    </row>
    <row r="283" spans="1:46" x14ac:dyDescent="0.25">
      <c r="A283" s="52"/>
      <c r="B283" s="52"/>
      <c r="C283" s="52"/>
      <c r="D283" s="52"/>
      <c r="E283" s="52"/>
      <c r="F283" s="64" cm="1">
        <f t="array" ref="F283">IF(COUNT(FIND(PurlinsxGirthsxBracings,$C283))&gt;0,0,ROUNDUP(IF(D283=0,0,VLOOKUP(D283,'DATA SHEET'!$B:$D,2,FALSE)),2))</f>
        <v>0</v>
      </c>
      <c r="G283" s="64" cm="1">
        <f t="array" ref="G283">IF(COUNT(FIND(PurlinsxGirthsxBracings,$C283))&gt;0,0,ROUNDUP(IF(D283=0,0,VLOOKUP(D283,'DATA SHEET'!$B:$D,3,FALSE)),2))</f>
        <v>0</v>
      </c>
      <c r="H283" s="53"/>
      <c r="I283" s="66" cm="1">
        <f t="array" ref="I283">IF(AND(ISBLANK(B283),ISBLANK(C283),ISBLANK(E283)),0,IF(COUNT(FIND(PurlinsxGirthsxBracings,$C283))&gt;0,IF(B283=0,CONCATENATE(E283," ",C283),CONCATENATE(B283," - ",E283," ",C283)),IF(B283=0,IF(ISBLANK(C283),E283,CONCATENATE(D283,", ",F283,"kg/m, ",G283,"mm surface perimeter")),IF(AND(ISBLANK(C283),ISTEXT(E283)),CONCATENATE(B283," - ",E283),IF(AND(ISBLANK(C283),ISBLANK(E283)),B283,CONCATENATE(B283," - ",D283,", ",F283,"kg/m, ",G283,"mm surface perimeter"))))&amp;IF(ISBLANK(H283),"",H283)))</f>
        <v>0</v>
      </c>
      <c r="J283" s="53"/>
      <c r="L283" s="4" t="str" cm="1">
        <f t="array" ref="L283">IF(COUNT(FIND({0,1,2,3,4,5,6,7,8,9},B283))&gt;0,COUNT(FIND({0,1,2,3,4,5,6,7,8,9},B283))&gt;0,"")</f>
        <v/>
      </c>
      <c r="M283" s="4" t="str" cm="1">
        <f t="array" aca="1" ref="M283" ca="1">IFERROR(_xlfn.IFS(R283="Count",RANDBETWEEN(1,COUNTIF($R$11:$R$653,"Count")),R283="Length",RANDBETWEEN(1,COUNTIF($R$11:$R$653,"Length"))),"")</f>
        <v/>
      </c>
      <c r="N283" s="4" t="str">
        <f ca="1">IFERROR(_xlfn.RANK.EQ(M283,$M$11:$M$653)+COUNTIF($M$11:M283,M283)-1,"")</f>
        <v/>
      </c>
      <c r="O283" s="86" t="str">
        <f>IF(A283='DATA SHEET'!$L$36,C283,IFERROR(IF(AND(ISTEXT(I283),ISBLANK(C283)),"No details",VLOOKUP(C283,DimFolder,2,FALSE)),""))</f>
        <v/>
      </c>
      <c r="P283" s="4" t="str">
        <f t="shared" si="89"/>
        <v/>
      </c>
      <c r="Q283" s="58" t="str">
        <f t="shared" si="88"/>
        <v/>
      </c>
      <c r="R283" s="4" t="e" cm="1">
        <f t="array" ref="R283">IF(INDEX(Table2[],_xlfn.XMATCH($A283,Table2[Steel Member],0),_xlfn.XMATCH(R$2,Table2[#Headers],0))=0,"",INDEX(Table2[],_xlfn.XMATCH($A283,Table2[Steel Member],0),_xlfn.XMATCH(R$2,Table2[#Headers],0)))</f>
        <v>#N/A</v>
      </c>
      <c r="S283" s="4" t="e" cm="1">
        <f t="array" ref="S283">IF(INDEX(Table2[],_xlfn.XMATCH($A283,Table2[Steel Member],0),_xlfn.XMATCH(S$2,Table2[#Headers],0))=0,"",INDEX(Table2[],_xlfn.XMATCH($A283,Table2[Steel Member],0),_xlfn.XMATCH(S$2,Table2[#Headers],0)))</f>
        <v>#N/A</v>
      </c>
      <c r="T283" s="4" t="str">
        <f t="shared" si="79"/>
        <v/>
      </c>
      <c r="U283" s="4" t="e">
        <f ca="1">VLOOKUP(N283,'COLOR CODE'!$B:$D,2,FALSE)</f>
        <v>#N/A</v>
      </c>
      <c r="V283" s="4" t="str">
        <f t="shared" si="80"/>
        <v/>
      </c>
      <c r="W283" s="4" t="e" cm="1">
        <f t="array" ref="W283">IF(INDEX(Table2[],_xlfn.XMATCH($A283,Table2[Steel Member],0),_xlfn.XMATCH(W$2,Table2[#Headers],0))=0,"",INDEX(Table2[],_xlfn.XMATCH($A283,Table2[Steel Member],0),_xlfn.XMATCH(W$2,Table2[#Headers],0)))</f>
        <v>#N/A</v>
      </c>
      <c r="X283" s="4" t="e">
        <f t="shared" si="90"/>
        <v>#N/A</v>
      </c>
      <c r="Y283" s="4" t="e" cm="1">
        <f t="array" ref="Y283">IF(INDEX(Table2[],_xlfn.XMATCH($A283,Table2[Steel Member],0),_xlfn.XMATCH(Y$2,Table2[#Headers],0))=0,"",INDEX(Table2[],_xlfn.XMATCH($A283,Table2[Steel Member],0),_xlfn.XMATCH(Y$2,Table2[#Headers],0)))</f>
        <v>#N/A</v>
      </c>
      <c r="Z283" s="4" t="e" cm="1">
        <f t="array" ref="Z283">IF(INDEX(Table2[],_xlfn.XMATCH($A283,Table2[Steel Member],0),_xlfn.XMATCH(Z$2,Table2[#Headers],0))=0,"",INDEX(Table2[],_xlfn.XMATCH($A283,Table2[Steel Member],0),_xlfn.XMATCH(Z$2,Table2[#Headers],0)))</f>
        <v>#N/A</v>
      </c>
      <c r="AA283" s="4" t="e" cm="1">
        <f t="array" ref="AA283">IF(INDEX(Table2[],_xlfn.XMATCH($A283,Table2[Steel Member],0),_xlfn.XMATCH(AA$2,Table2[#Headers],0))=0,"",INDEX(Table2[],_xlfn.XMATCH($A283,Table2[Steel Member],0),_xlfn.XMATCH(AA$2,Table2[#Headers],0)))</f>
        <v>#N/A</v>
      </c>
      <c r="AB283" s="4" t="e" cm="1">
        <f t="array" ref="AB283">IF(INDEX(Table2[],_xlfn.XMATCH($A283,Table2[Steel Member],0),_xlfn.XMATCH(AB$2,Table2[#Headers],0))=0,"",INDEX(Table2[],_xlfn.XMATCH($A283,Table2[Steel Member],0),_xlfn.XMATCH(AB$2,Table2[#Headers],0)))</f>
        <v>#N/A</v>
      </c>
      <c r="AC283" s="4" t="str" cm="1">
        <f t="array" ref="AC283">IFERROR(INDEX(Table8[],_xlfn.XMATCH($O283,Table8[Dimension Name Category],0),_xlfn.XMATCH(AC$2&amp;IF($L283," w/ tag"," w/o tag"),Table8[#Headers],0)),"")</f>
        <v/>
      </c>
      <c r="AD283" s="59" t="str">
        <f t="shared" si="81"/>
        <v/>
      </c>
      <c r="AE283" s="4" t="str">
        <f t="shared" si="82"/>
        <v/>
      </c>
      <c r="AF283" s="4" t="str">
        <f t="shared" si="83"/>
        <v/>
      </c>
      <c r="AG283" s="4" t="str" cm="1">
        <f t="array" ref="AG283">IFERROR(INDEX(Table8[],_xlfn.XMATCH($O283,Table8[Dimension Name Category],0),_xlfn.XMATCH(AG$2&amp;IF($L283," w/ tag"," w/o tag"),Table8[#Headers],0)),"")</f>
        <v/>
      </c>
      <c r="AH283" s="59" t="str">
        <f t="shared" si="84"/>
        <v/>
      </c>
      <c r="AI283" s="4"/>
      <c r="AJ283" s="4" t="str">
        <f t="shared" si="85"/>
        <v/>
      </c>
      <c r="AK283" s="4" t="str">
        <f t="shared" si="86"/>
        <v/>
      </c>
      <c r="AL283" s="4" t="e" cm="1">
        <f t="array" ref="AL283">IF(INDEX(Table2[],_xlfn.XMATCH($A283,Table2[Steel Member],0),_xlfn.XMATCH(AL$2,Table2[#Headers],0))=0,"",INDEX(Table2[],_xlfn.XMATCH($A283,Table2[Steel Member],0),_xlfn.XMATCH(AL$2,Table2[#Headers],0)))</f>
        <v>#N/A</v>
      </c>
      <c r="AM283" s="4"/>
      <c r="AN283" s="4" t="str">
        <f t="shared" si="87"/>
        <v/>
      </c>
      <c r="AO283" s="4"/>
      <c r="AP283" s="4" t="e" cm="1">
        <f t="array" ref="AP283">IF(INDEX(Table2[],_xlfn.XMATCH($A283,Table2[Steel Member],0),_xlfn.XMATCH(AP$2,Table2[#Headers],0))=0,"",INDEX(Table2[],_xlfn.XMATCH($A283,Table2[Steel Member],0),_xlfn.XMATCH(AP$2,Table2[#Headers],0)))</f>
        <v>#N/A</v>
      </c>
      <c r="AQ283" s="4"/>
      <c r="AR283" s="4"/>
      <c r="AS283" s="4"/>
      <c r="AT283" s="4"/>
    </row>
    <row r="284" spans="1:46" x14ac:dyDescent="0.25">
      <c r="A284" s="52"/>
      <c r="B284" s="52"/>
      <c r="C284" s="52"/>
      <c r="D284" s="52"/>
      <c r="E284" s="52"/>
      <c r="F284" s="64" cm="1">
        <f t="array" ref="F284">IF(COUNT(FIND(PurlinsxGirthsxBracings,$C284))&gt;0,0,ROUNDUP(IF(D284=0,0,VLOOKUP(D284,'DATA SHEET'!$B:$D,2,FALSE)),2))</f>
        <v>0</v>
      </c>
      <c r="G284" s="64" cm="1">
        <f t="array" ref="G284">IF(COUNT(FIND(PurlinsxGirthsxBracings,$C284))&gt;0,0,ROUNDUP(IF(D284=0,0,VLOOKUP(D284,'DATA SHEET'!$B:$D,3,FALSE)),2))</f>
        <v>0</v>
      </c>
      <c r="H284" s="53"/>
      <c r="I284" s="66" cm="1">
        <f t="array" ref="I284">IF(AND(ISBLANK(B284),ISBLANK(C284),ISBLANK(E284)),0,IF(COUNT(FIND(PurlinsxGirthsxBracings,$C284))&gt;0,IF(B284=0,CONCATENATE(E284," ",C284),CONCATENATE(B284," - ",E284," ",C284)),IF(B284=0,IF(ISBLANK(C284),E284,CONCATENATE(D284,", ",F284,"kg/m, ",G284,"mm surface perimeter")),IF(AND(ISBLANK(C284),ISTEXT(E284)),CONCATENATE(B284," - ",E284),IF(AND(ISBLANK(C284),ISBLANK(E284)),B284,CONCATENATE(B284," - ",D284,", ",F284,"kg/m, ",G284,"mm surface perimeter"))))&amp;IF(ISBLANK(H284),"",H284)))</f>
        <v>0</v>
      </c>
      <c r="J284" s="53"/>
      <c r="L284" s="4" t="str" cm="1">
        <f t="array" ref="L284">IF(COUNT(FIND({0,1,2,3,4,5,6,7,8,9},B284))&gt;0,COUNT(FIND({0,1,2,3,4,5,6,7,8,9},B284))&gt;0,"")</f>
        <v/>
      </c>
      <c r="M284" s="4" t="str" cm="1">
        <f t="array" aca="1" ref="M284" ca="1">IFERROR(_xlfn.IFS(R284="Count",RANDBETWEEN(1,COUNTIF($R$11:$R$653,"Count")),R284="Length",RANDBETWEEN(1,COUNTIF($R$11:$R$653,"Length"))),"")</f>
        <v/>
      </c>
      <c r="N284" s="4" t="str">
        <f ca="1">IFERROR(_xlfn.RANK.EQ(M284,$M$11:$M$653)+COUNTIF($M$11:M284,M284)-1,"")</f>
        <v/>
      </c>
      <c r="O284" s="86" t="str">
        <f>IF(A284='DATA SHEET'!$L$36,C284,IFERROR(IF(AND(ISTEXT(I284),ISBLANK(C284)),"No details",VLOOKUP(C284,DimFolder,2,FALSE)),""))</f>
        <v/>
      </c>
      <c r="P284" s="4" t="str">
        <f t="shared" si="89"/>
        <v/>
      </c>
      <c r="Q284" s="58" t="str">
        <f t="shared" si="88"/>
        <v/>
      </c>
      <c r="R284" s="4" t="e" cm="1">
        <f t="array" ref="R284">IF(INDEX(Table2[],_xlfn.XMATCH($A284,Table2[Steel Member],0),_xlfn.XMATCH(R$2,Table2[#Headers],0))=0,"",INDEX(Table2[],_xlfn.XMATCH($A284,Table2[Steel Member],0),_xlfn.XMATCH(R$2,Table2[#Headers],0)))</f>
        <v>#N/A</v>
      </c>
      <c r="S284" s="4" t="e" cm="1">
        <f t="array" ref="S284">IF(INDEX(Table2[],_xlfn.XMATCH($A284,Table2[Steel Member],0),_xlfn.XMATCH(S$2,Table2[#Headers],0))=0,"",INDEX(Table2[],_xlfn.XMATCH($A284,Table2[Steel Member],0),_xlfn.XMATCH(S$2,Table2[#Headers],0)))</f>
        <v>#N/A</v>
      </c>
      <c r="T284" s="4" t="str">
        <f t="shared" si="79"/>
        <v/>
      </c>
      <c r="U284" s="4" t="e">
        <f ca="1">VLOOKUP(N284,'COLOR CODE'!$B:$D,2,FALSE)</f>
        <v>#N/A</v>
      </c>
      <c r="V284" s="4" t="str">
        <f t="shared" si="80"/>
        <v/>
      </c>
      <c r="W284" s="4" t="e" cm="1">
        <f t="array" ref="W284">IF(INDEX(Table2[],_xlfn.XMATCH($A284,Table2[Steel Member],0),_xlfn.XMATCH(W$2,Table2[#Headers],0))=0,"",INDEX(Table2[],_xlfn.XMATCH($A284,Table2[Steel Member],0),_xlfn.XMATCH(W$2,Table2[#Headers],0)))</f>
        <v>#N/A</v>
      </c>
      <c r="X284" s="4" t="e">
        <f t="shared" si="90"/>
        <v>#N/A</v>
      </c>
      <c r="Y284" s="4" t="e" cm="1">
        <f t="array" ref="Y284">IF(INDEX(Table2[],_xlfn.XMATCH($A284,Table2[Steel Member],0),_xlfn.XMATCH(Y$2,Table2[#Headers],0))=0,"",INDEX(Table2[],_xlfn.XMATCH($A284,Table2[Steel Member],0),_xlfn.XMATCH(Y$2,Table2[#Headers],0)))</f>
        <v>#N/A</v>
      </c>
      <c r="Z284" s="4" t="e" cm="1">
        <f t="array" ref="Z284">IF(INDEX(Table2[],_xlfn.XMATCH($A284,Table2[Steel Member],0),_xlfn.XMATCH(Z$2,Table2[#Headers],0))=0,"",INDEX(Table2[],_xlfn.XMATCH($A284,Table2[Steel Member],0),_xlfn.XMATCH(Z$2,Table2[#Headers],0)))</f>
        <v>#N/A</v>
      </c>
      <c r="AA284" s="4" t="e" cm="1">
        <f t="array" ref="AA284">IF(INDEX(Table2[],_xlfn.XMATCH($A284,Table2[Steel Member],0),_xlfn.XMATCH(AA$2,Table2[#Headers],0))=0,"",INDEX(Table2[],_xlfn.XMATCH($A284,Table2[Steel Member],0),_xlfn.XMATCH(AA$2,Table2[#Headers],0)))</f>
        <v>#N/A</v>
      </c>
      <c r="AB284" s="4" t="e" cm="1">
        <f t="array" ref="AB284">IF(INDEX(Table2[],_xlfn.XMATCH($A284,Table2[Steel Member],0),_xlfn.XMATCH(AB$2,Table2[#Headers],0))=0,"",INDEX(Table2[],_xlfn.XMATCH($A284,Table2[Steel Member],0),_xlfn.XMATCH(AB$2,Table2[#Headers],0)))</f>
        <v>#N/A</v>
      </c>
      <c r="AC284" s="4" t="str" cm="1">
        <f t="array" ref="AC284">IFERROR(INDEX(Table8[],_xlfn.XMATCH($O284,Table8[Dimension Name Category],0),_xlfn.XMATCH(AC$2&amp;IF($L284," w/ tag"," w/o tag"),Table8[#Headers],0)),"")</f>
        <v/>
      </c>
      <c r="AD284" s="59" t="str">
        <f t="shared" si="81"/>
        <v/>
      </c>
      <c r="AE284" s="4" t="str">
        <f t="shared" si="82"/>
        <v/>
      </c>
      <c r="AF284" s="4" t="str">
        <f t="shared" si="83"/>
        <v/>
      </c>
      <c r="AG284" s="4" t="str" cm="1">
        <f t="array" ref="AG284">IFERROR(INDEX(Table8[],_xlfn.XMATCH($O284,Table8[Dimension Name Category],0),_xlfn.XMATCH(AG$2&amp;IF($L284," w/ tag"," w/o tag"),Table8[#Headers],0)),"")</f>
        <v/>
      </c>
      <c r="AH284" s="59" t="str">
        <f t="shared" si="84"/>
        <v/>
      </c>
      <c r="AI284" s="4"/>
      <c r="AJ284" s="4" t="str">
        <f t="shared" si="85"/>
        <v/>
      </c>
      <c r="AK284" s="4" t="str">
        <f t="shared" si="86"/>
        <v/>
      </c>
      <c r="AL284" s="4" t="e" cm="1">
        <f t="array" ref="AL284">IF(INDEX(Table2[],_xlfn.XMATCH($A284,Table2[Steel Member],0),_xlfn.XMATCH(AL$2,Table2[#Headers],0))=0,"",INDEX(Table2[],_xlfn.XMATCH($A284,Table2[Steel Member],0),_xlfn.XMATCH(AL$2,Table2[#Headers],0)))</f>
        <v>#N/A</v>
      </c>
      <c r="AM284" s="4"/>
      <c r="AN284" s="4" t="str">
        <f t="shared" si="87"/>
        <v/>
      </c>
      <c r="AO284" s="4"/>
      <c r="AP284" s="4" t="e" cm="1">
        <f t="array" ref="AP284">IF(INDEX(Table2[],_xlfn.XMATCH($A284,Table2[Steel Member],0),_xlfn.XMATCH(AP$2,Table2[#Headers],0))=0,"",INDEX(Table2[],_xlfn.XMATCH($A284,Table2[Steel Member],0),_xlfn.XMATCH(AP$2,Table2[#Headers],0)))</f>
        <v>#N/A</v>
      </c>
      <c r="AQ284" s="4"/>
      <c r="AR284" s="4"/>
      <c r="AS284" s="4"/>
      <c r="AT284" s="4"/>
    </row>
    <row r="285" spans="1:46" x14ac:dyDescent="0.25">
      <c r="A285" s="52"/>
      <c r="B285" s="52"/>
      <c r="C285" s="52"/>
      <c r="D285" s="52"/>
      <c r="E285" s="52"/>
      <c r="F285" s="64" cm="1">
        <f t="array" ref="F285">IF(COUNT(FIND(PurlinsxGirthsxBracings,$C285))&gt;0,0,ROUNDUP(IF(D285=0,0,VLOOKUP(D285,'DATA SHEET'!$B:$D,2,FALSE)),2))</f>
        <v>0</v>
      </c>
      <c r="G285" s="64" cm="1">
        <f t="array" ref="G285">IF(COUNT(FIND(PurlinsxGirthsxBracings,$C285))&gt;0,0,ROUNDUP(IF(D285=0,0,VLOOKUP(D285,'DATA SHEET'!$B:$D,3,FALSE)),2))</f>
        <v>0</v>
      </c>
      <c r="H285" s="53"/>
      <c r="I285" s="66" cm="1">
        <f t="array" ref="I285">IF(AND(ISBLANK(B285),ISBLANK(C285),ISBLANK(E285)),0,IF(COUNT(FIND(PurlinsxGirthsxBracings,$C285))&gt;0,IF(B285=0,CONCATENATE(E285," ",C285),CONCATENATE(B285," - ",E285," ",C285)),IF(B285=0,IF(ISBLANK(C285),E285,CONCATENATE(D285,", ",F285,"kg/m, ",G285,"mm surface perimeter")),IF(AND(ISBLANK(C285),ISTEXT(E285)),CONCATENATE(B285," - ",E285),IF(AND(ISBLANK(C285),ISBLANK(E285)),B285,CONCATENATE(B285," - ",D285,", ",F285,"kg/m, ",G285,"mm surface perimeter"))))&amp;IF(ISBLANK(H285),"",H285)))</f>
        <v>0</v>
      </c>
      <c r="J285" s="53"/>
      <c r="L285" s="4" t="str" cm="1">
        <f t="array" ref="L285">IF(COUNT(FIND({0,1,2,3,4,5,6,7,8,9},B285))&gt;0,COUNT(FIND({0,1,2,3,4,5,6,7,8,9},B285))&gt;0,"")</f>
        <v/>
      </c>
      <c r="M285" s="4" t="str" cm="1">
        <f t="array" aca="1" ref="M285" ca="1">IFERROR(_xlfn.IFS(R285="Count",RANDBETWEEN(1,COUNTIF($R$11:$R$653,"Count")),R285="Length",RANDBETWEEN(1,COUNTIF($R$11:$R$653,"Length"))),"")</f>
        <v/>
      </c>
      <c r="N285" s="4" t="str">
        <f ca="1">IFERROR(_xlfn.RANK.EQ(M285,$M$11:$M$653)+COUNTIF($M$11:M285,M285)-1,"")</f>
        <v/>
      </c>
      <c r="O285" s="86" t="str">
        <f>IF(A285='DATA SHEET'!$L$36,C285,IFERROR(IF(AND(ISTEXT(I285),ISBLANK(C285)),"No details",VLOOKUP(C285,DimFolder,2,FALSE)),""))</f>
        <v/>
      </c>
      <c r="P285" s="4" t="str">
        <f t="shared" si="89"/>
        <v/>
      </c>
      <c r="Q285" s="58" t="str">
        <f t="shared" si="88"/>
        <v/>
      </c>
      <c r="R285" s="4" t="e" cm="1">
        <f t="array" ref="R285">IF(INDEX(Table2[],_xlfn.XMATCH($A285,Table2[Steel Member],0),_xlfn.XMATCH(R$2,Table2[#Headers],0))=0,"",INDEX(Table2[],_xlfn.XMATCH($A285,Table2[Steel Member],0),_xlfn.XMATCH(R$2,Table2[#Headers],0)))</f>
        <v>#N/A</v>
      </c>
      <c r="S285" s="4" t="e" cm="1">
        <f t="array" ref="S285">IF(INDEX(Table2[],_xlfn.XMATCH($A285,Table2[Steel Member],0),_xlfn.XMATCH(S$2,Table2[#Headers],0))=0,"",INDEX(Table2[],_xlfn.XMATCH($A285,Table2[Steel Member],0),_xlfn.XMATCH(S$2,Table2[#Headers],0)))</f>
        <v>#N/A</v>
      </c>
      <c r="T285" s="4" t="str">
        <f t="shared" si="79"/>
        <v/>
      </c>
      <c r="U285" s="4" t="e">
        <f ca="1">VLOOKUP(N285,'COLOR CODE'!$B:$D,2,FALSE)</f>
        <v>#N/A</v>
      </c>
      <c r="V285" s="4" t="str">
        <f t="shared" si="80"/>
        <v/>
      </c>
      <c r="W285" s="4" t="e" cm="1">
        <f t="array" ref="W285">IF(INDEX(Table2[],_xlfn.XMATCH($A285,Table2[Steel Member],0),_xlfn.XMATCH(W$2,Table2[#Headers],0))=0,"",INDEX(Table2[],_xlfn.XMATCH($A285,Table2[Steel Member],0),_xlfn.XMATCH(W$2,Table2[#Headers],0)))</f>
        <v>#N/A</v>
      </c>
      <c r="X285" s="4" t="e">
        <f t="shared" si="90"/>
        <v>#N/A</v>
      </c>
      <c r="Y285" s="4" t="e" cm="1">
        <f t="array" ref="Y285">IF(INDEX(Table2[],_xlfn.XMATCH($A285,Table2[Steel Member],0),_xlfn.XMATCH(Y$2,Table2[#Headers],0))=0,"",INDEX(Table2[],_xlfn.XMATCH($A285,Table2[Steel Member],0),_xlfn.XMATCH(Y$2,Table2[#Headers],0)))</f>
        <v>#N/A</v>
      </c>
      <c r="Z285" s="4" t="e" cm="1">
        <f t="array" ref="Z285">IF(INDEX(Table2[],_xlfn.XMATCH($A285,Table2[Steel Member],0),_xlfn.XMATCH(Z$2,Table2[#Headers],0))=0,"",INDEX(Table2[],_xlfn.XMATCH($A285,Table2[Steel Member],0),_xlfn.XMATCH(Z$2,Table2[#Headers],0)))</f>
        <v>#N/A</v>
      </c>
      <c r="AA285" s="4" t="e" cm="1">
        <f t="array" ref="AA285">IF(INDEX(Table2[],_xlfn.XMATCH($A285,Table2[Steel Member],0),_xlfn.XMATCH(AA$2,Table2[#Headers],0))=0,"",INDEX(Table2[],_xlfn.XMATCH($A285,Table2[Steel Member],0),_xlfn.XMATCH(AA$2,Table2[#Headers],0)))</f>
        <v>#N/A</v>
      </c>
      <c r="AB285" s="4" t="e" cm="1">
        <f t="array" ref="AB285">IF(INDEX(Table2[],_xlfn.XMATCH($A285,Table2[Steel Member],0),_xlfn.XMATCH(AB$2,Table2[#Headers],0))=0,"",INDEX(Table2[],_xlfn.XMATCH($A285,Table2[Steel Member],0),_xlfn.XMATCH(AB$2,Table2[#Headers],0)))</f>
        <v>#N/A</v>
      </c>
      <c r="AC285" s="4" t="str" cm="1">
        <f t="array" ref="AC285">IFERROR(INDEX(Table8[],_xlfn.XMATCH($O285,Table8[Dimension Name Category],0),_xlfn.XMATCH(AC$2&amp;IF($L285," w/ tag"," w/o tag"),Table8[#Headers],0)),"")</f>
        <v/>
      </c>
      <c r="AD285" s="59" t="str">
        <f t="shared" si="81"/>
        <v/>
      </c>
      <c r="AE285" s="4" t="str">
        <f t="shared" si="82"/>
        <v/>
      </c>
      <c r="AF285" s="4" t="str">
        <f t="shared" si="83"/>
        <v/>
      </c>
      <c r="AG285" s="4" t="str" cm="1">
        <f t="array" ref="AG285">IFERROR(INDEX(Table8[],_xlfn.XMATCH($O285,Table8[Dimension Name Category],0),_xlfn.XMATCH(AG$2&amp;IF($L285," w/ tag"," w/o tag"),Table8[#Headers],0)),"")</f>
        <v/>
      </c>
      <c r="AH285" s="59" t="str">
        <f t="shared" si="84"/>
        <v/>
      </c>
      <c r="AI285" s="4"/>
      <c r="AJ285" s="4" t="str">
        <f t="shared" si="85"/>
        <v/>
      </c>
      <c r="AK285" s="4" t="str">
        <f t="shared" si="86"/>
        <v/>
      </c>
      <c r="AL285" s="4" t="e" cm="1">
        <f t="array" ref="AL285">IF(INDEX(Table2[],_xlfn.XMATCH($A285,Table2[Steel Member],0),_xlfn.XMATCH(AL$2,Table2[#Headers],0))=0,"",INDEX(Table2[],_xlfn.XMATCH($A285,Table2[Steel Member],0),_xlfn.XMATCH(AL$2,Table2[#Headers],0)))</f>
        <v>#N/A</v>
      </c>
      <c r="AM285" s="4"/>
      <c r="AN285" s="4" t="str">
        <f t="shared" si="87"/>
        <v/>
      </c>
      <c r="AO285" s="4"/>
      <c r="AP285" s="4" t="e" cm="1">
        <f t="array" ref="AP285">IF(INDEX(Table2[],_xlfn.XMATCH($A285,Table2[Steel Member],0),_xlfn.XMATCH(AP$2,Table2[#Headers],0))=0,"",INDEX(Table2[],_xlfn.XMATCH($A285,Table2[Steel Member],0),_xlfn.XMATCH(AP$2,Table2[#Headers],0)))</f>
        <v>#N/A</v>
      </c>
      <c r="AQ285" s="4"/>
      <c r="AR285" s="4"/>
      <c r="AS285" s="4"/>
      <c r="AT285" s="4"/>
    </row>
    <row r="286" spans="1:46" x14ac:dyDescent="0.25">
      <c r="A286" s="52"/>
      <c r="B286" s="52"/>
      <c r="C286" s="52"/>
      <c r="D286" s="52"/>
      <c r="E286" s="52"/>
      <c r="F286" s="64" cm="1">
        <f t="array" ref="F286">IF(COUNT(FIND(PurlinsxGirthsxBracings,$C286))&gt;0,0,ROUNDUP(IF(D286=0,0,VLOOKUP(D286,'DATA SHEET'!$B:$D,2,FALSE)),2))</f>
        <v>0</v>
      </c>
      <c r="G286" s="64" cm="1">
        <f t="array" ref="G286">IF(COUNT(FIND(PurlinsxGirthsxBracings,$C286))&gt;0,0,ROUNDUP(IF(D286=0,0,VLOOKUP(D286,'DATA SHEET'!$B:$D,3,FALSE)),2))</f>
        <v>0</v>
      </c>
      <c r="H286" s="53"/>
      <c r="I286" s="66" cm="1">
        <f t="array" ref="I286">IF(AND(ISBLANK(B286),ISBLANK(C286),ISBLANK(E286)),0,IF(COUNT(FIND(PurlinsxGirthsxBracings,$C286))&gt;0,IF(B286=0,CONCATENATE(E286," ",C286),CONCATENATE(B286," - ",E286," ",C286)),IF(B286=0,IF(ISBLANK(C286),E286,CONCATENATE(D286,", ",F286,"kg/m, ",G286,"mm surface perimeter")),IF(AND(ISBLANK(C286),ISTEXT(E286)),CONCATENATE(B286," - ",E286),IF(AND(ISBLANK(C286),ISBLANK(E286)),B286,CONCATENATE(B286," - ",D286,", ",F286,"kg/m, ",G286,"mm surface perimeter"))))&amp;IF(ISBLANK(H286),"",H286)))</f>
        <v>0</v>
      </c>
      <c r="J286" s="53"/>
      <c r="L286" s="4" t="str" cm="1">
        <f t="array" ref="L286">IF(COUNT(FIND({0,1,2,3,4,5,6,7,8,9},B286))&gt;0,COUNT(FIND({0,1,2,3,4,5,6,7,8,9},B286))&gt;0,"")</f>
        <v/>
      </c>
      <c r="M286" s="4" t="str" cm="1">
        <f t="array" aca="1" ref="M286" ca="1">IFERROR(_xlfn.IFS(R286="Count",RANDBETWEEN(1,COUNTIF($R$11:$R$653,"Count")),R286="Length",RANDBETWEEN(1,COUNTIF($R$11:$R$653,"Length"))),"")</f>
        <v/>
      </c>
      <c r="N286" s="4" t="str">
        <f ca="1">IFERROR(_xlfn.RANK.EQ(M286,$M$11:$M$653)+COUNTIF($M$11:M286,M286)-1,"")</f>
        <v/>
      </c>
      <c r="O286" s="86" t="str">
        <f>IF(A286='DATA SHEET'!$L$36,C286,IFERROR(IF(AND(ISTEXT(I286),ISBLANK(C286)),"No details",VLOOKUP(C286,DimFolder,2,FALSE)),""))</f>
        <v/>
      </c>
      <c r="P286" s="4" t="str">
        <f t="shared" si="89"/>
        <v/>
      </c>
      <c r="Q286" s="58" t="str">
        <f t="shared" si="88"/>
        <v/>
      </c>
      <c r="R286" s="4" t="e" cm="1">
        <f t="array" ref="R286">IF(INDEX(Table2[],_xlfn.XMATCH($A286,Table2[Steel Member],0),_xlfn.XMATCH(R$2,Table2[#Headers],0))=0,"",INDEX(Table2[],_xlfn.XMATCH($A286,Table2[Steel Member],0),_xlfn.XMATCH(R$2,Table2[#Headers],0)))</f>
        <v>#N/A</v>
      </c>
      <c r="S286" s="4" t="e" cm="1">
        <f t="array" ref="S286">IF(INDEX(Table2[],_xlfn.XMATCH($A286,Table2[Steel Member],0),_xlfn.XMATCH(S$2,Table2[#Headers],0))=0,"",INDEX(Table2[],_xlfn.XMATCH($A286,Table2[Steel Member],0),_xlfn.XMATCH(S$2,Table2[#Headers],0)))</f>
        <v>#N/A</v>
      </c>
      <c r="T286" s="4" t="str">
        <f t="shared" si="79"/>
        <v/>
      </c>
      <c r="U286" s="4" t="e">
        <f ca="1">VLOOKUP(N286,'COLOR CODE'!$B:$D,2,FALSE)</f>
        <v>#N/A</v>
      </c>
      <c r="V286" s="4" t="str">
        <f t="shared" si="80"/>
        <v/>
      </c>
      <c r="W286" s="4" t="e" cm="1">
        <f t="array" ref="W286">IF(INDEX(Table2[],_xlfn.XMATCH($A286,Table2[Steel Member],0),_xlfn.XMATCH(W$2,Table2[#Headers],0))=0,"",INDEX(Table2[],_xlfn.XMATCH($A286,Table2[Steel Member],0),_xlfn.XMATCH(W$2,Table2[#Headers],0)))</f>
        <v>#N/A</v>
      </c>
      <c r="X286" s="4" t="e">
        <f t="shared" si="90"/>
        <v>#N/A</v>
      </c>
      <c r="Y286" s="4" t="e" cm="1">
        <f t="array" ref="Y286">IF(INDEX(Table2[],_xlfn.XMATCH($A286,Table2[Steel Member],0),_xlfn.XMATCH(Y$2,Table2[#Headers],0))=0,"",INDEX(Table2[],_xlfn.XMATCH($A286,Table2[Steel Member],0),_xlfn.XMATCH(Y$2,Table2[#Headers],0)))</f>
        <v>#N/A</v>
      </c>
      <c r="Z286" s="4" t="e" cm="1">
        <f t="array" ref="Z286">IF(INDEX(Table2[],_xlfn.XMATCH($A286,Table2[Steel Member],0),_xlfn.XMATCH(Z$2,Table2[#Headers],0))=0,"",INDEX(Table2[],_xlfn.XMATCH($A286,Table2[Steel Member],0),_xlfn.XMATCH(Z$2,Table2[#Headers],0)))</f>
        <v>#N/A</v>
      </c>
      <c r="AA286" s="4" t="e" cm="1">
        <f t="array" ref="AA286">IF(INDEX(Table2[],_xlfn.XMATCH($A286,Table2[Steel Member],0),_xlfn.XMATCH(AA$2,Table2[#Headers],0))=0,"",INDEX(Table2[],_xlfn.XMATCH($A286,Table2[Steel Member],0),_xlfn.XMATCH(AA$2,Table2[#Headers],0)))</f>
        <v>#N/A</v>
      </c>
      <c r="AB286" s="4" t="e" cm="1">
        <f t="array" ref="AB286">IF(INDEX(Table2[],_xlfn.XMATCH($A286,Table2[Steel Member],0),_xlfn.XMATCH(AB$2,Table2[#Headers],0))=0,"",INDEX(Table2[],_xlfn.XMATCH($A286,Table2[Steel Member],0),_xlfn.XMATCH(AB$2,Table2[#Headers],0)))</f>
        <v>#N/A</v>
      </c>
      <c r="AC286" s="4" t="str" cm="1">
        <f t="array" ref="AC286">IFERROR(INDEX(Table8[],_xlfn.XMATCH($O286,Table8[Dimension Name Category],0),_xlfn.XMATCH(AC$2&amp;IF($L286," w/ tag"," w/o tag"),Table8[#Headers],0)),"")</f>
        <v/>
      </c>
      <c r="AD286" s="59" t="str">
        <f t="shared" si="81"/>
        <v/>
      </c>
      <c r="AE286" s="4" t="str">
        <f t="shared" si="82"/>
        <v/>
      </c>
      <c r="AF286" s="4" t="str">
        <f t="shared" si="83"/>
        <v/>
      </c>
      <c r="AG286" s="4" t="str" cm="1">
        <f t="array" ref="AG286">IFERROR(INDEX(Table8[],_xlfn.XMATCH($O286,Table8[Dimension Name Category],0),_xlfn.XMATCH(AG$2&amp;IF($L286," w/ tag"," w/o tag"),Table8[#Headers],0)),"")</f>
        <v/>
      </c>
      <c r="AH286" s="59" t="str">
        <f t="shared" si="84"/>
        <v/>
      </c>
      <c r="AI286" s="4"/>
      <c r="AJ286" s="4" t="str">
        <f t="shared" si="85"/>
        <v/>
      </c>
      <c r="AK286" s="4" t="str">
        <f t="shared" si="86"/>
        <v/>
      </c>
      <c r="AL286" s="4" t="e" cm="1">
        <f t="array" ref="AL286">IF(INDEX(Table2[],_xlfn.XMATCH($A286,Table2[Steel Member],0),_xlfn.XMATCH(AL$2,Table2[#Headers],0))=0,"",INDEX(Table2[],_xlfn.XMATCH($A286,Table2[Steel Member],0),_xlfn.XMATCH(AL$2,Table2[#Headers],0)))</f>
        <v>#N/A</v>
      </c>
      <c r="AM286" s="4"/>
      <c r="AN286" s="4" t="str">
        <f t="shared" si="87"/>
        <v/>
      </c>
      <c r="AO286" s="4"/>
      <c r="AP286" s="4" t="e" cm="1">
        <f t="array" ref="AP286">IF(INDEX(Table2[],_xlfn.XMATCH($A286,Table2[Steel Member],0),_xlfn.XMATCH(AP$2,Table2[#Headers],0))=0,"",INDEX(Table2[],_xlfn.XMATCH($A286,Table2[Steel Member],0),_xlfn.XMATCH(AP$2,Table2[#Headers],0)))</f>
        <v>#N/A</v>
      </c>
      <c r="AQ286" s="4"/>
      <c r="AR286" s="4"/>
      <c r="AS286" s="4"/>
      <c r="AT286" s="4"/>
    </row>
    <row r="287" spans="1:46" x14ac:dyDescent="0.25">
      <c r="A287" s="52"/>
      <c r="B287" s="52"/>
      <c r="C287" s="52"/>
      <c r="D287" s="52"/>
      <c r="E287" s="52"/>
      <c r="F287" s="64" cm="1">
        <f t="array" ref="F287">IF(COUNT(FIND(PurlinsxGirthsxBracings,$C287))&gt;0,0,ROUNDUP(IF(D287=0,0,VLOOKUP(D287,'DATA SHEET'!$B:$D,2,FALSE)),2))</f>
        <v>0</v>
      </c>
      <c r="G287" s="64" cm="1">
        <f t="array" ref="G287">IF(COUNT(FIND(PurlinsxGirthsxBracings,$C287))&gt;0,0,ROUNDUP(IF(D287=0,0,VLOOKUP(D287,'DATA SHEET'!$B:$D,3,FALSE)),2))</f>
        <v>0</v>
      </c>
      <c r="H287" s="53"/>
      <c r="I287" s="66" cm="1">
        <f t="array" ref="I287">IF(AND(ISBLANK(B287),ISBLANK(C287),ISBLANK(E287)),0,IF(COUNT(FIND(PurlinsxGirthsxBracings,$C287))&gt;0,IF(B287=0,CONCATENATE(E287," ",C287),CONCATENATE(B287," - ",E287," ",C287)),IF(B287=0,IF(ISBLANK(C287),E287,CONCATENATE(D287,", ",F287,"kg/m, ",G287,"mm surface perimeter")),IF(AND(ISBLANK(C287),ISTEXT(E287)),CONCATENATE(B287," - ",E287),IF(AND(ISBLANK(C287),ISBLANK(E287)),B287,CONCATENATE(B287," - ",D287,", ",F287,"kg/m, ",G287,"mm surface perimeter"))))&amp;IF(ISBLANK(H287),"",H287)))</f>
        <v>0</v>
      </c>
      <c r="J287" s="53"/>
      <c r="L287" s="4" t="str" cm="1">
        <f t="array" ref="L287">IF(COUNT(FIND({0,1,2,3,4,5,6,7,8,9},B287))&gt;0,COUNT(FIND({0,1,2,3,4,5,6,7,8,9},B287))&gt;0,"")</f>
        <v/>
      </c>
      <c r="M287" s="4" t="str" cm="1">
        <f t="array" aca="1" ref="M287" ca="1">IFERROR(_xlfn.IFS(R287="Count",RANDBETWEEN(1,COUNTIF($R$11:$R$653,"Count")),R287="Length",RANDBETWEEN(1,COUNTIF($R$11:$R$653,"Length"))),"")</f>
        <v/>
      </c>
      <c r="N287" s="4" t="str">
        <f ca="1">IFERROR(_xlfn.RANK.EQ(M287,$M$11:$M$653)+COUNTIF($M$11:M287,M287)-1,"")</f>
        <v/>
      </c>
      <c r="O287" s="86" t="str">
        <f>IF(A287='DATA SHEET'!$L$36,C287,IFERROR(IF(AND(ISTEXT(I287),ISBLANK(C287)),"No details",VLOOKUP(C287,DimFolder,2,FALSE)),""))</f>
        <v/>
      </c>
      <c r="P287" s="4" t="str">
        <f t="shared" si="89"/>
        <v/>
      </c>
      <c r="Q287" s="58" t="str">
        <f t="shared" si="88"/>
        <v/>
      </c>
      <c r="R287" s="4" t="e" cm="1">
        <f t="array" ref="R287">IF(INDEX(Table2[],_xlfn.XMATCH($A287,Table2[Steel Member],0),_xlfn.XMATCH(R$2,Table2[#Headers],0))=0,"",INDEX(Table2[],_xlfn.XMATCH($A287,Table2[Steel Member],0),_xlfn.XMATCH(R$2,Table2[#Headers],0)))</f>
        <v>#N/A</v>
      </c>
      <c r="S287" s="4" t="e" cm="1">
        <f t="array" ref="S287">IF(INDEX(Table2[],_xlfn.XMATCH($A287,Table2[Steel Member],0),_xlfn.XMATCH(S$2,Table2[#Headers],0))=0,"",INDEX(Table2[],_xlfn.XMATCH($A287,Table2[Steel Member],0),_xlfn.XMATCH(S$2,Table2[#Headers],0)))</f>
        <v>#N/A</v>
      </c>
      <c r="T287" s="4" t="str">
        <f t="shared" si="79"/>
        <v/>
      </c>
      <c r="U287" s="4" t="e">
        <f ca="1">VLOOKUP(N287,'COLOR CODE'!$B:$D,2,FALSE)</f>
        <v>#N/A</v>
      </c>
      <c r="V287" s="4" t="str">
        <f t="shared" si="80"/>
        <v/>
      </c>
      <c r="W287" s="4" t="e" cm="1">
        <f t="array" ref="W287">IF(INDEX(Table2[],_xlfn.XMATCH($A287,Table2[Steel Member],0),_xlfn.XMATCH(W$2,Table2[#Headers],0))=0,"",INDEX(Table2[],_xlfn.XMATCH($A287,Table2[Steel Member],0),_xlfn.XMATCH(W$2,Table2[#Headers],0)))</f>
        <v>#N/A</v>
      </c>
      <c r="X287" s="4" t="e">
        <f t="shared" si="90"/>
        <v>#N/A</v>
      </c>
      <c r="Y287" s="4" t="e" cm="1">
        <f t="array" ref="Y287">IF(INDEX(Table2[],_xlfn.XMATCH($A287,Table2[Steel Member],0),_xlfn.XMATCH(Y$2,Table2[#Headers],0))=0,"",INDEX(Table2[],_xlfn.XMATCH($A287,Table2[Steel Member],0),_xlfn.XMATCH(Y$2,Table2[#Headers],0)))</f>
        <v>#N/A</v>
      </c>
      <c r="Z287" s="4" t="e" cm="1">
        <f t="array" ref="Z287">IF(INDEX(Table2[],_xlfn.XMATCH($A287,Table2[Steel Member],0),_xlfn.XMATCH(Z$2,Table2[#Headers],0))=0,"",INDEX(Table2[],_xlfn.XMATCH($A287,Table2[Steel Member],0),_xlfn.XMATCH(Z$2,Table2[#Headers],0)))</f>
        <v>#N/A</v>
      </c>
      <c r="AA287" s="4" t="e" cm="1">
        <f t="array" ref="AA287">IF(INDEX(Table2[],_xlfn.XMATCH($A287,Table2[Steel Member],0),_xlfn.XMATCH(AA$2,Table2[#Headers],0))=0,"",INDEX(Table2[],_xlfn.XMATCH($A287,Table2[Steel Member],0),_xlfn.XMATCH(AA$2,Table2[#Headers],0)))</f>
        <v>#N/A</v>
      </c>
      <c r="AB287" s="4" t="e" cm="1">
        <f t="array" ref="AB287">IF(INDEX(Table2[],_xlfn.XMATCH($A287,Table2[Steel Member],0),_xlfn.XMATCH(AB$2,Table2[#Headers],0))=0,"",INDEX(Table2[],_xlfn.XMATCH($A287,Table2[Steel Member],0),_xlfn.XMATCH(AB$2,Table2[#Headers],0)))</f>
        <v>#N/A</v>
      </c>
      <c r="AC287" s="4" t="str" cm="1">
        <f t="array" ref="AC287">IFERROR(INDEX(Table8[],_xlfn.XMATCH($O287,Table8[Dimension Name Category],0),_xlfn.XMATCH(AC$2&amp;IF($L287," w/ tag"," w/o tag"),Table8[#Headers],0)),"")</f>
        <v/>
      </c>
      <c r="AD287" s="59" t="str">
        <f t="shared" si="81"/>
        <v/>
      </c>
      <c r="AE287" s="4" t="str">
        <f t="shared" si="82"/>
        <v/>
      </c>
      <c r="AF287" s="4" t="str">
        <f t="shared" si="83"/>
        <v/>
      </c>
      <c r="AG287" s="4" t="str" cm="1">
        <f t="array" ref="AG287">IFERROR(INDEX(Table8[],_xlfn.XMATCH($O287,Table8[Dimension Name Category],0),_xlfn.XMATCH(AG$2&amp;IF($L287," w/ tag"," w/o tag"),Table8[#Headers],0)),"")</f>
        <v/>
      </c>
      <c r="AH287" s="59" t="str">
        <f t="shared" si="84"/>
        <v/>
      </c>
      <c r="AI287" s="4"/>
      <c r="AJ287" s="4" t="str">
        <f t="shared" si="85"/>
        <v/>
      </c>
      <c r="AK287" s="4" t="str">
        <f t="shared" si="86"/>
        <v/>
      </c>
      <c r="AL287" s="4" t="e" cm="1">
        <f t="array" ref="AL287">IF(INDEX(Table2[],_xlfn.XMATCH($A287,Table2[Steel Member],0),_xlfn.XMATCH(AL$2,Table2[#Headers],0))=0,"",INDEX(Table2[],_xlfn.XMATCH($A287,Table2[Steel Member],0),_xlfn.XMATCH(AL$2,Table2[#Headers],0)))</f>
        <v>#N/A</v>
      </c>
      <c r="AM287" s="4"/>
      <c r="AN287" s="4" t="str">
        <f t="shared" si="87"/>
        <v/>
      </c>
      <c r="AO287" s="4"/>
      <c r="AP287" s="4" t="e" cm="1">
        <f t="array" ref="AP287">IF(INDEX(Table2[],_xlfn.XMATCH($A287,Table2[Steel Member],0),_xlfn.XMATCH(AP$2,Table2[#Headers],0))=0,"",INDEX(Table2[],_xlfn.XMATCH($A287,Table2[Steel Member],0),_xlfn.XMATCH(AP$2,Table2[#Headers],0)))</f>
        <v>#N/A</v>
      </c>
      <c r="AQ287" s="4"/>
      <c r="AR287" s="4"/>
      <c r="AS287" s="4"/>
      <c r="AT287" s="4"/>
    </row>
    <row r="288" spans="1:46" x14ac:dyDescent="0.25">
      <c r="A288" s="52"/>
      <c r="B288" s="52"/>
      <c r="C288" s="52"/>
      <c r="D288" s="52"/>
      <c r="E288" s="52"/>
      <c r="F288" s="64" cm="1">
        <f t="array" ref="F288">IF(COUNT(FIND(PurlinsxGirthsxBracings,$C288))&gt;0,0,ROUNDUP(IF(D288=0,0,VLOOKUP(D288,'DATA SHEET'!$B:$D,2,FALSE)),2))</f>
        <v>0</v>
      </c>
      <c r="G288" s="64" cm="1">
        <f t="array" ref="G288">IF(COUNT(FIND(PurlinsxGirthsxBracings,$C288))&gt;0,0,ROUNDUP(IF(D288=0,0,VLOOKUP(D288,'DATA SHEET'!$B:$D,3,FALSE)),2))</f>
        <v>0</v>
      </c>
      <c r="H288" s="53"/>
      <c r="I288" s="66" cm="1">
        <f t="array" ref="I288">IF(AND(ISBLANK(B288),ISBLANK(C288),ISBLANK(E288)),0,IF(COUNT(FIND(PurlinsxGirthsxBracings,$C288))&gt;0,IF(B288=0,CONCATENATE(E288," ",C288),CONCATENATE(B288," - ",E288," ",C288)),IF(B288=0,IF(ISBLANK(C288),E288,CONCATENATE(D288,", ",F288,"kg/m, ",G288,"mm surface perimeter")),IF(AND(ISBLANK(C288),ISTEXT(E288)),CONCATENATE(B288," - ",E288),IF(AND(ISBLANK(C288),ISBLANK(E288)),B288,CONCATENATE(B288," - ",D288,", ",F288,"kg/m, ",G288,"mm surface perimeter"))))&amp;IF(ISBLANK(H288),"",H288)))</f>
        <v>0</v>
      </c>
      <c r="J288" s="53"/>
      <c r="L288" s="4" t="str" cm="1">
        <f t="array" ref="L288">IF(COUNT(FIND({0,1,2,3,4,5,6,7,8,9},B288))&gt;0,COUNT(FIND({0,1,2,3,4,5,6,7,8,9},B288))&gt;0,"")</f>
        <v/>
      </c>
      <c r="M288" s="4" t="str" cm="1">
        <f t="array" aca="1" ref="M288" ca="1">IFERROR(_xlfn.IFS(R288="Count",RANDBETWEEN(1,COUNTIF($R$11:$R$653,"Count")),R288="Length",RANDBETWEEN(1,COUNTIF($R$11:$R$653,"Length"))),"")</f>
        <v/>
      </c>
      <c r="N288" s="4" t="str">
        <f ca="1">IFERROR(_xlfn.RANK.EQ(M288,$M$11:$M$653)+COUNTIF($M$11:M288,M288)-1,"")</f>
        <v/>
      </c>
      <c r="O288" s="86" t="str">
        <f>IF(A288='DATA SHEET'!$L$36,C288,IFERROR(IF(AND(ISTEXT(I288),ISBLANK(C288)),"No details",VLOOKUP(C288,DimFolder,2,FALSE)),""))</f>
        <v/>
      </c>
      <c r="P288" s="4" t="str">
        <f t="shared" si="89"/>
        <v/>
      </c>
      <c r="Q288" s="58" t="str">
        <f t="shared" si="88"/>
        <v/>
      </c>
      <c r="R288" s="4" t="e" cm="1">
        <f t="array" ref="R288">IF(INDEX(Table2[],_xlfn.XMATCH($A288,Table2[Steel Member],0),_xlfn.XMATCH(R$2,Table2[#Headers],0))=0,"",INDEX(Table2[],_xlfn.XMATCH($A288,Table2[Steel Member],0),_xlfn.XMATCH(R$2,Table2[#Headers],0)))</f>
        <v>#N/A</v>
      </c>
      <c r="S288" s="4" t="e" cm="1">
        <f t="array" ref="S288">IF(INDEX(Table2[],_xlfn.XMATCH($A288,Table2[Steel Member],0),_xlfn.XMATCH(S$2,Table2[#Headers],0))=0,"",INDEX(Table2[],_xlfn.XMATCH($A288,Table2[Steel Member],0),_xlfn.XMATCH(S$2,Table2[#Headers],0)))</f>
        <v>#N/A</v>
      </c>
      <c r="T288" s="4" t="str">
        <f t="shared" si="79"/>
        <v/>
      </c>
      <c r="U288" s="4" t="e">
        <f ca="1">VLOOKUP(N288,'COLOR CODE'!$B:$D,2,FALSE)</f>
        <v>#N/A</v>
      </c>
      <c r="V288" s="4" t="str">
        <f t="shared" si="80"/>
        <v/>
      </c>
      <c r="W288" s="4" t="e" cm="1">
        <f t="array" ref="W288">IF(INDEX(Table2[],_xlfn.XMATCH($A288,Table2[Steel Member],0),_xlfn.XMATCH(W$2,Table2[#Headers],0))=0,"",INDEX(Table2[],_xlfn.XMATCH($A288,Table2[Steel Member],0),_xlfn.XMATCH(W$2,Table2[#Headers],0)))</f>
        <v>#N/A</v>
      </c>
      <c r="X288" s="4" t="e">
        <f t="shared" si="90"/>
        <v>#N/A</v>
      </c>
      <c r="Y288" s="4" t="e" cm="1">
        <f t="array" ref="Y288">IF(INDEX(Table2[],_xlfn.XMATCH($A288,Table2[Steel Member],0),_xlfn.XMATCH(Y$2,Table2[#Headers],0))=0,"",INDEX(Table2[],_xlfn.XMATCH($A288,Table2[Steel Member],0),_xlfn.XMATCH(Y$2,Table2[#Headers],0)))</f>
        <v>#N/A</v>
      </c>
      <c r="Z288" s="4" t="e" cm="1">
        <f t="array" ref="Z288">IF(INDEX(Table2[],_xlfn.XMATCH($A288,Table2[Steel Member],0),_xlfn.XMATCH(Z$2,Table2[#Headers],0))=0,"",INDEX(Table2[],_xlfn.XMATCH($A288,Table2[Steel Member],0),_xlfn.XMATCH(Z$2,Table2[#Headers],0)))</f>
        <v>#N/A</v>
      </c>
      <c r="AA288" s="4" t="e" cm="1">
        <f t="array" ref="AA288">IF(INDEX(Table2[],_xlfn.XMATCH($A288,Table2[Steel Member],0),_xlfn.XMATCH(AA$2,Table2[#Headers],0))=0,"",INDEX(Table2[],_xlfn.XMATCH($A288,Table2[Steel Member],0),_xlfn.XMATCH(AA$2,Table2[#Headers],0)))</f>
        <v>#N/A</v>
      </c>
      <c r="AB288" s="4" t="e" cm="1">
        <f t="array" ref="AB288">IF(INDEX(Table2[],_xlfn.XMATCH($A288,Table2[Steel Member],0),_xlfn.XMATCH(AB$2,Table2[#Headers],0))=0,"",INDEX(Table2[],_xlfn.XMATCH($A288,Table2[Steel Member],0),_xlfn.XMATCH(AB$2,Table2[#Headers],0)))</f>
        <v>#N/A</v>
      </c>
      <c r="AC288" s="4" t="str" cm="1">
        <f t="array" ref="AC288">IFERROR(INDEX(Table8[],_xlfn.XMATCH($O288,Table8[Dimension Name Category],0),_xlfn.XMATCH(AC$2&amp;IF($L288," w/ tag"," w/o tag"),Table8[#Headers],0)),"")</f>
        <v/>
      </c>
      <c r="AD288" s="59" t="str">
        <f t="shared" si="81"/>
        <v/>
      </c>
      <c r="AE288" s="4" t="str">
        <f t="shared" si="82"/>
        <v/>
      </c>
      <c r="AF288" s="4" t="str">
        <f t="shared" si="83"/>
        <v/>
      </c>
      <c r="AG288" s="4" t="str" cm="1">
        <f t="array" ref="AG288">IFERROR(INDEX(Table8[],_xlfn.XMATCH($O288,Table8[Dimension Name Category],0),_xlfn.XMATCH(AG$2&amp;IF($L288," w/ tag"," w/o tag"),Table8[#Headers],0)),"")</f>
        <v/>
      </c>
      <c r="AH288" s="59" t="str">
        <f t="shared" si="84"/>
        <v/>
      </c>
      <c r="AI288" s="4"/>
      <c r="AJ288" s="4" t="str">
        <f t="shared" si="85"/>
        <v/>
      </c>
      <c r="AK288" s="4" t="str">
        <f t="shared" si="86"/>
        <v/>
      </c>
      <c r="AL288" s="4" t="e" cm="1">
        <f t="array" ref="AL288">IF(INDEX(Table2[],_xlfn.XMATCH($A288,Table2[Steel Member],0),_xlfn.XMATCH(AL$2,Table2[#Headers],0))=0,"",INDEX(Table2[],_xlfn.XMATCH($A288,Table2[Steel Member],0),_xlfn.XMATCH(AL$2,Table2[#Headers],0)))</f>
        <v>#N/A</v>
      </c>
      <c r="AM288" s="4"/>
      <c r="AN288" s="4" t="str">
        <f t="shared" si="87"/>
        <v/>
      </c>
      <c r="AO288" s="4"/>
      <c r="AP288" s="4" t="e" cm="1">
        <f t="array" ref="AP288">IF(INDEX(Table2[],_xlfn.XMATCH($A288,Table2[Steel Member],0),_xlfn.XMATCH(AP$2,Table2[#Headers],0))=0,"",INDEX(Table2[],_xlfn.XMATCH($A288,Table2[Steel Member],0),_xlfn.XMATCH(AP$2,Table2[#Headers],0)))</f>
        <v>#N/A</v>
      </c>
      <c r="AQ288" s="4"/>
      <c r="AR288" s="4"/>
      <c r="AS288" s="4"/>
      <c r="AT288" s="4"/>
    </row>
    <row r="289" spans="1:46" x14ac:dyDescent="0.25">
      <c r="A289" s="52"/>
      <c r="B289" s="52"/>
      <c r="C289" s="52"/>
      <c r="D289" s="52"/>
      <c r="E289" s="52"/>
      <c r="F289" s="64" cm="1">
        <f t="array" ref="F289">IF(COUNT(FIND(PurlinsxGirthsxBracings,$C289))&gt;0,0,ROUNDUP(IF(D289=0,0,VLOOKUP(D289,'DATA SHEET'!$B:$D,2,FALSE)),2))</f>
        <v>0</v>
      </c>
      <c r="G289" s="64" cm="1">
        <f t="array" ref="G289">IF(COUNT(FIND(PurlinsxGirthsxBracings,$C289))&gt;0,0,ROUNDUP(IF(D289=0,0,VLOOKUP(D289,'DATA SHEET'!$B:$D,3,FALSE)),2))</f>
        <v>0</v>
      </c>
      <c r="H289" s="53"/>
      <c r="I289" s="66" cm="1">
        <f t="array" ref="I289">IF(AND(ISBLANK(B289),ISBLANK(C289),ISBLANK(E289)),0,IF(COUNT(FIND(PurlinsxGirthsxBracings,$C289))&gt;0,IF(B289=0,CONCATENATE(E289," ",C289),CONCATENATE(B289," - ",E289," ",C289)),IF(B289=0,IF(ISBLANK(C289),E289,CONCATENATE(D289,", ",F289,"kg/m, ",G289,"mm surface perimeter")),IF(AND(ISBLANK(C289),ISTEXT(E289)),CONCATENATE(B289," - ",E289),IF(AND(ISBLANK(C289),ISBLANK(E289)),B289,CONCATENATE(B289," - ",D289,", ",F289,"kg/m, ",G289,"mm surface perimeter"))))&amp;IF(ISBLANK(H289),"",H289)))</f>
        <v>0</v>
      </c>
      <c r="J289" s="53"/>
      <c r="L289" s="4" t="str" cm="1">
        <f t="array" ref="L289">IF(COUNT(FIND({0,1,2,3,4,5,6,7,8,9},B289))&gt;0,COUNT(FIND({0,1,2,3,4,5,6,7,8,9},B289))&gt;0,"")</f>
        <v/>
      </c>
      <c r="M289" s="4" t="str" cm="1">
        <f t="array" aca="1" ref="M289" ca="1">IFERROR(_xlfn.IFS(R289="Count",RANDBETWEEN(1,COUNTIF($R$11:$R$653,"Count")),R289="Length",RANDBETWEEN(1,COUNTIF($R$11:$R$653,"Length"))),"")</f>
        <v/>
      </c>
      <c r="N289" s="4" t="str">
        <f ca="1">IFERROR(_xlfn.RANK.EQ(M289,$M$11:$M$653)+COUNTIF($M$11:M289,M289)-1,"")</f>
        <v/>
      </c>
      <c r="O289" s="86" t="str">
        <f>IF(A289='DATA SHEET'!$L$36,C289,IFERROR(IF(AND(ISTEXT(I289),ISBLANK(C289)),"No details",VLOOKUP(C289,DimFolder,2,FALSE)),""))</f>
        <v/>
      </c>
      <c r="P289" s="4" t="str">
        <f t="shared" si="89"/>
        <v/>
      </c>
      <c r="Q289" s="58" t="str">
        <f t="shared" si="88"/>
        <v/>
      </c>
      <c r="R289" s="4" t="e" cm="1">
        <f t="array" ref="R289">IF(INDEX(Table2[],_xlfn.XMATCH($A289,Table2[Steel Member],0),_xlfn.XMATCH(R$2,Table2[#Headers],0))=0,"",INDEX(Table2[],_xlfn.XMATCH($A289,Table2[Steel Member],0),_xlfn.XMATCH(R$2,Table2[#Headers],0)))</f>
        <v>#N/A</v>
      </c>
      <c r="S289" s="4" t="e" cm="1">
        <f t="array" ref="S289">IF(INDEX(Table2[],_xlfn.XMATCH($A289,Table2[Steel Member],0),_xlfn.XMATCH(S$2,Table2[#Headers],0))=0,"",INDEX(Table2[],_xlfn.XMATCH($A289,Table2[Steel Member],0),_xlfn.XMATCH(S$2,Table2[#Headers],0)))</f>
        <v>#N/A</v>
      </c>
      <c r="T289" s="4" t="str">
        <f t="shared" si="79"/>
        <v/>
      </c>
      <c r="U289" s="4" t="e">
        <f ca="1">VLOOKUP(N289,'COLOR CODE'!$B:$D,2,FALSE)</f>
        <v>#N/A</v>
      </c>
      <c r="V289" s="4" t="str">
        <f t="shared" si="80"/>
        <v/>
      </c>
      <c r="W289" s="4" t="e" cm="1">
        <f t="array" ref="W289">IF(INDEX(Table2[],_xlfn.XMATCH($A289,Table2[Steel Member],0),_xlfn.XMATCH(W$2,Table2[#Headers],0))=0,"",INDEX(Table2[],_xlfn.XMATCH($A289,Table2[Steel Member],0),_xlfn.XMATCH(W$2,Table2[#Headers],0)))</f>
        <v>#N/A</v>
      </c>
      <c r="X289" s="4" t="e">
        <f t="shared" si="90"/>
        <v>#N/A</v>
      </c>
      <c r="Y289" s="4" t="e" cm="1">
        <f t="array" ref="Y289">IF(INDEX(Table2[],_xlfn.XMATCH($A289,Table2[Steel Member],0),_xlfn.XMATCH(Y$2,Table2[#Headers],0))=0,"",INDEX(Table2[],_xlfn.XMATCH($A289,Table2[Steel Member],0),_xlfn.XMATCH(Y$2,Table2[#Headers],0)))</f>
        <v>#N/A</v>
      </c>
      <c r="Z289" s="4" t="e" cm="1">
        <f t="array" ref="Z289">IF(INDEX(Table2[],_xlfn.XMATCH($A289,Table2[Steel Member],0),_xlfn.XMATCH(Z$2,Table2[#Headers],0))=0,"",INDEX(Table2[],_xlfn.XMATCH($A289,Table2[Steel Member],0),_xlfn.XMATCH(Z$2,Table2[#Headers],0)))</f>
        <v>#N/A</v>
      </c>
      <c r="AA289" s="4" t="e" cm="1">
        <f t="array" ref="AA289">IF(INDEX(Table2[],_xlfn.XMATCH($A289,Table2[Steel Member],0),_xlfn.XMATCH(AA$2,Table2[#Headers],0))=0,"",INDEX(Table2[],_xlfn.XMATCH($A289,Table2[Steel Member],0),_xlfn.XMATCH(AA$2,Table2[#Headers],0)))</f>
        <v>#N/A</v>
      </c>
      <c r="AB289" s="4" t="e" cm="1">
        <f t="array" ref="AB289">IF(INDEX(Table2[],_xlfn.XMATCH($A289,Table2[Steel Member],0),_xlfn.XMATCH(AB$2,Table2[#Headers],0))=0,"",INDEX(Table2[],_xlfn.XMATCH($A289,Table2[Steel Member],0),_xlfn.XMATCH(AB$2,Table2[#Headers],0)))</f>
        <v>#N/A</v>
      </c>
      <c r="AC289" s="4" t="str" cm="1">
        <f t="array" ref="AC289">IFERROR(INDEX(Table8[],_xlfn.XMATCH($O289,Table8[Dimension Name Category],0),_xlfn.XMATCH(AC$2&amp;IF($L289," w/ tag"," w/o tag"),Table8[#Headers],0)),"")</f>
        <v/>
      </c>
      <c r="AD289" s="59" t="str">
        <f t="shared" si="81"/>
        <v/>
      </c>
      <c r="AE289" s="4" t="str">
        <f t="shared" si="82"/>
        <v/>
      </c>
      <c r="AF289" s="4" t="str">
        <f t="shared" si="83"/>
        <v/>
      </c>
      <c r="AG289" s="4" t="str" cm="1">
        <f t="array" ref="AG289">IFERROR(INDEX(Table8[],_xlfn.XMATCH($O289,Table8[Dimension Name Category],0),_xlfn.XMATCH(AG$2&amp;IF($L289," w/ tag"," w/o tag"),Table8[#Headers],0)),"")</f>
        <v/>
      </c>
      <c r="AH289" s="59" t="str">
        <f t="shared" si="84"/>
        <v/>
      </c>
      <c r="AI289" s="4"/>
      <c r="AJ289" s="4" t="str">
        <f t="shared" si="85"/>
        <v/>
      </c>
      <c r="AK289" s="4" t="str">
        <f t="shared" si="86"/>
        <v/>
      </c>
      <c r="AL289" s="4" t="e" cm="1">
        <f t="array" ref="AL289">IF(INDEX(Table2[],_xlfn.XMATCH($A289,Table2[Steel Member],0),_xlfn.XMATCH(AL$2,Table2[#Headers],0))=0,"",INDEX(Table2[],_xlfn.XMATCH($A289,Table2[Steel Member],0),_xlfn.XMATCH(AL$2,Table2[#Headers],0)))</f>
        <v>#N/A</v>
      </c>
      <c r="AM289" s="4"/>
      <c r="AN289" s="4" t="str">
        <f t="shared" si="87"/>
        <v/>
      </c>
      <c r="AO289" s="4"/>
      <c r="AP289" s="4" t="e" cm="1">
        <f t="array" ref="AP289">IF(INDEX(Table2[],_xlfn.XMATCH($A289,Table2[Steel Member],0),_xlfn.XMATCH(AP$2,Table2[#Headers],0))=0,"",INDEX(Table2[],_xlfn.XMATCH($A289,Table2[Steel Member],0),_xlfn.XMATCH(AP$2,Table2[#Headers],0)))</f>
        <v>#N/A</v>
      </c>
      <c r="AQ289" s="4"/>
      <c r="AR289" s="4"/>
      <c r="AS289" s="4"/>
      <c r="AT289" s="4"/>
    </row>
    <row r="290" spans="1:46" x14ac:dyDescent="0.25">
      <c r="A290" s="52"/>
      <c r="B290" s="52"/>
      <c r="C290" s="52"/>
      <c r="D290" s="52"/>
      <c r="E290" s="52"/>
      <c r="F290" s="64" cm="1">
        <f t="array" ref="F290">IF(COUNT(FIND(PurlinsxGirthsxBracings,$C290))&gt;0,0,ROUNDUP(IF(D290=0,0,VLOOKUP(D290,'DATA SHEET'!$B:$D,2,FALSE)),2))</f>
        <v>0</v>
      </c>
      <c r="G290" s="64" cm="1">
        <f t="array" ref="G290">IF(COUNT(FIND(PurlinsxGirthsxBracings,$C290))&gt;0,0,ROUNDUP(IF(D290=0,0,VLOOKUP(D290,'DATA SHEET'!$B:$D,3,FALSE)),2))</f>
        <v>0</v>
      </c>
      <c r="H290" s="53"/>
      <c r="I290" s="66" cm="1">
        <f t="array" ref="I290">IF(AND(ISBLANK(B290),ISBLANK(C290),ISBLANK(E290)),0,IF(COUNT(FIND(PurlinsxGirthsxBracings,$C290))&gt;0,IF(B290=0,CONCATENATE(E290," ",C290),CONCATENATE(B290," - ",E290," ",C290)),IF(B290=0,IF(ISBLANK(C290),E290,CONCATENATE(D290,", ",F290,"kg/m, ",G290,"mm surface perimeter")),IF(AND(ISBLANK(C290),ISTEXT(E290)),CONCATENATE(B290," - ",E290),IF(AND(ISBLANK(C290),ISBLANK(E290)),B290,CONCATENATE(B290," - ",D290,", ",F290,"kg/m, ",G290,"mm surface perimeter"))))&amp;IF(ISBLANK(H290),"",H290)))</f>
        <v>0</v>
      </c>
      <c r="J290" s="53"/>
      <c r="L290" s="4" t="str" cm="1">
        <f t="array" ref="L290">IF(COUNT(FIND({0,1,2,3,4,5,6,7,8,9},B290))&gt;0,COUNT(FIND({0,1,2,3,4,5,6,7,8,9},B290))&gt;0,"")</f>
        <v/>
      </c>
      <c r="M290" s="4" t="str" cm="1">
        <f t="array" aca="1" ref="M290" ca="1">IFERROR(_xlfn.IFS(R290="Count",RANDBETWEEN(1,COUNTIF($R$11:$R$653,"Count")),R290="Length",RANDBETWEEN(1,COUNTIF($R$11:$R$653,"Length"))),"")</f>
        <v/>
      </c>
      <c r="N290" s="4" t="str">
        <f ca="1">IFERROR(_xlfn.RANK.EQ(M290,$M$11:$M$653)+COUNTIF($M$11:M290,M290)-1,"")</f>
        <v/>
      </c>
      <c r="O290" s="86" t="str">
        <f>IF(A290='DATA SHEET'!$L$36,C290,IFERROR(IF(AND(ISTEXT(I290),ISBLANK(C290)),"No details",VLOOKUP(C290,DimFolder,2,FALSE)),""))</f>
        <v/>
      </c>
      <c r="P290" s="4" t="str">
        <f t="shared" si="89"/>
        <v/>
      </c>
      <c r="Q290" s="58" t="str">
        <f t="shared" si="88"/>
        <v/>
      </c>
      <c r="R290" s="4" t="e" cm="1">
        <f t="array" ref="R290">IF(INDEX(Table2[],_xlfn.XMATCH($A290,Table2[Steel Member],0),_xlfn.XMATCH(R$2,Table2[#Headers],0))=0,"",INDEX(Table2[],_xlfn.XMATCH($A290,Table2[Steel Member],0),_xlfn.XMATCH(R$2,Table2[#Headers],0)))</f>
        <v>#N/A</v>
      </c>
      <c r="S290" s="4" t="e" cm="1">
        <f t="array" ref="S290">IF(INDEX(Table2[],_xlfn.XMATCH($A290,Table2[Steel Member],0),_xlfn.XMATCH(S$2,Table2[#Headers],0))=0,"",INDEX(Table2[],_xlfn.XMATCH($A290,Table2[Steel Member],0),_xlfn.XMATCH(S$2,Table2[#Headers],0)))</f>
        <v>#N/A</v>
      </c>
      <c r="T290" s="4" t="str">
        <f t="shared" si="79"/>
        <v/>
      </c>
      <c r="U290" s="4" t="e">
        <f ca="1">VLOOKUP(N290,'COLOR CODE'!$B:$D,2,FALSE)</f>
        <v>#N/A</v>
      </c>
      <c r="V290" s="4" t="str">
        <f t="shared" si="80"/>
        <v/>
      </c>
      <c r="W290" s="4" t="e" cm="1">
        <f t="array" ref="W290">IF(INDEX(Table2[],_xlfn.XMATCH($A290,Table2[Steel Member],0),_xlfn.XMATCH(W$2,Table2[#Headers],0))=0,"",INDEX(Table2[],_xlfn.XMATCH($A290,Table2[Steel Member],0),_xlfn.XMATCH(W$2,Table2[#Headers],0)))</f>
        <v>#N/A</v>
      </c>
      <c r="X290" s="4" t="e">
        <f t="shared" si="90"/>
        <v>#N/A</v>
      </c>
      <c r="Y290" s="4" t="e" cm="1">
        <f t="array" ref="Y290">IF(INDEX(Table2[],_xlfn.XMATCH($A290,Table2[Steel Member],0),_xlfn.XMATCH(Y$2,Table2[#Headers],0))=0,"",INDEX(Table2[],_xlfn.XMATCH($A290,Table2[Steel Member],0),_xlfn.XMATCH(Y$2,Table2[#Headers],0)))</f>
        <v>#N/A</v>
      </c>
      <c r="Z290" s="4" t="e" cm="1">
        <f t="array" ref="Z290">IF(INDEX(Table2[],_xlfn.XMATCH($A290,Table2[Steel Member],0),_xlfn.XMATCH(Z$2,Table2[#Headers],0))=0,"",INDEX(Table2[],_xlfn.XMATCH($A290,Table2[Steel Member],0),_xlfn.XMATCH(Z$2,Table2[#Headers],0)))</f>
        <v>#N/A</v>
      </c>
      <c r="AA290" s="4" t="e" cm="1">
        <f t="array" ref="AA290">IF(INDEX(Table2[],_xlfn.XMATCH($A290,Table2[Steel Member],0),_xlfn.XMATCH(AA$2,Table2[#Headers],0))=0,"",INDEX(Table2[],_xlfn.XMATCH($A290,Table2[Steel Member],0),_xlfn.XMATCH(AA$2,Table2[#Headers],0)))</f>
        <v>#N/A</v>
      </c>
      <c r="AB290" s="4" t="e" cm="1">
        <f t="array" ref="AB290">IF(INDEX(Table2[],_xlfn.XMATCH($A290,Table2[Steel Member],0),_xlfn.XMATCH(AB$2,Table2[#Headers],0))=0,"",INDEX(Table2[],_xlfn.XMATCH($A290,Table2[Steel Member],0),_xlfn.XMATCH(AB$2,Table2[#Headers],0)))</f>
        <v>#N/A</v>
      </c>
      <c r="AC290" s="4" t="str" cm="1">
        <f t="array" ref="AC290">IFERROR(INDEX(Table8[],_xlfn.XMATCH($O290,Table8[Dimension Name Category],0),_xlfn.XMATCH(AC$2&amp;IF($L290," w/ tag"," w/o tag"),Table8[#Headers],0)),"")</f>
        <v/>
      </c>
      <c r="AD290" s="59" t="str">
        <f t="shared" si="81"/>
        <v/>
      </c>
      <c r="AE290" s="4" t="str">
        <f t="shared" si="82"/>
        <v/>
      </c>
      <c r="AF290" s="4" t="str">
        <f t="shared" si="83"/>
        <v/>
      </c>
      <c r="AG290" s="4" t="str" cm="1">
        <f t="array" ref="AG290">IFERROR(INDEX(Table8[],_xlfn.XMATCH($O290,Table8[Dimension Name Category],0),_xlfn.XMATCH(AG$2&amp;IF($L290," w/ tag"," w/o tag"),Table8[#Headers],0)),"")</f>
        <v/>
      </c>
      <c r="AH290" s="59" t="str">
        <f t="shared" si="84"/>
        <v/>
      </c>
      <c r="AI290" s="4"/>
      <c r="AJ290" s="4" t="str">
        <f t="shared" si="85"/>
        <v/>
      </c>
      <c r="AK290" s="4" t="str">
        <f t="shared" si="86"/>
        <v/>
      </c>
      <c r="AL290" s="4" t="e" cm="1">
        <f t="array" ref="AL290">IF(INDEX(Table2[],_xlfn.XMATCH($A290,Table2[Steel Member],0),_xlfn.XMATCH(AL$2,Table2[#Headers],0))=0,"",INDEX(Table2[],_xlfn.XMATCH($A290,Table2[Steel Member],0),_xlfn.XMATCH(AL$2,Table2[#Headers],0)))</f>
        <v>#N/A</v>
      </c>
      <c r="AM290" s="4"/>
      <c r="AN290" s="4" t="str">
        <f t="shared" si="87"/>
        <v/>
      </c>
      <c r="AO290" s="4"/>
      <c r="AP290" s="4" t="e" cm="1">
        <f t="array" ref="AP290">IF(INDEX(Table2[],_xlfn.XMATCH($A290,Table2[Steel Member],0),_xlfn.XMATCH(AP$2,Table2[#Headers],0))=0,"",INDEX(Table2[],_xlfn.XMATCH($A290,Table2[Steel Member],0),_xlfn.XMATCH(AP$2,Table2[#Headers],0)))</f>
        <v>#N/A</v>
      </c>
      <c r="AQ290" s="4"/>
      <c r="AR290" s="4"/>
      <c r="AS290" s="4"/>
      <c r="AT290" s="4"/>
    </row>
    <row r="291" spans="1:46" x14ac:dyDescent="0.25">
      <c r="A291" s="52"/>
      <c r="B291" s="52"/>
      <c r="C291" s="52"/>
      <c r="D291" s="52"/>
      <c r="E291" s="52"/>
      <c r="F291" s="64" cm="1">
        <f t="array" ref="F291">IF(COUNT(FIND(PurlinsxGirthsxBracings,$C291))&gt;0,0,ROUNDUP(IF(D291=0,0,VLOOKUP(D291,'DATA SHEET'!$B:$D,2,FALSE)),2))</f>
        <v>0</v>
      </c>
      <c r="G291" s="64" cm="1">
        <f t="array" ref="G291">IF(COUNT(FIND(PurlinsxGirthsxBracings,$C291))&gt;0,0,ROUNDUP(IF(D291=0,0,VLOOKUP(D291,'DATA SHEET'!$B:$D,3,FALSE)),2))</f>
        <v>0</v>
      </c>
      <c r="H291" s="53"/>
      <c r="I291" s="66" cm="1">
        <f t="array" ref="I291">IF(AND(ISBLANK(B291),ISBLANK(C291),ISBLANK(E291)),0,IF(COUNT(FIND(PurlinsxGirthsxBracings,$C291))&gt;0,IF(B291=0,CONCATENATE(E291," ",C291),CONCATENATE(B291," - ",E291," ",C291)),IF(B291=0,IF(ISBLANK(C291),E291,CONCATENATE(D291,", ",F291,"kg/m, ",G291,"mm surface perimeter")),IF(AND(ISBLANK(C291),ISTEXT(E291)),CONCATENATE(B291," - ",E291),IF(AND(ISBLANK(C291),ISBLANK(E291)),B291,CONCATENATE(B291," - ",D291,", ",F291,"kg/m, ",G291,"mm surface perimeter"))))&amp;IF(ISBLANK(H291),"",H291)))</f>
        <v>0</v>
      </c>
      <c r="J291" s="53"/>
      <c r="L291" s="4" t="str" cm="1">
        <f t="array" ref="L291">IF(COUNT(FIND({0,1,2,3,4,5,6,7,8,9},B291))&gt;0,COUNT(FIND({0,1,2,3,4,5,6,7,8,9},B291))&gt;0,"")</f>
        <v/>
      </c>
      <c r="M291" s="4" t="str" cm="1">
        <f t="array" aca="1" ref="M291" ca="1">IFERROR(_xlfn.IFS(R291="Count",RANDBETWEEN(1,COUNTIF($R$11:$R$653,"Count")),R291="Length",RANDBETWEEN(1,COUNTIF($R$11:$R$653,"Length"))),"")</f>
        <v/>
      </c>
      <c r="N291" s="4" t="str">
        <f ca="1">IFERROR(_xlfn.RANK.EQ(M291,$M$11:$M$653)+COUNTIF($M$11:M291,M291)-1,"")</f>
        <v/>
      </c>
      <c r="O291" s="86" t="str">
        <f>IF(A291='DATA SHEET'!$L$36,C291,IFERROR(IF(AND(ISTEXT(I291),ISBLANK(C291)),"No details",VLOOKUP(C291,DimFolder,2,FALSE)),""))</f>
        <v/>
      </c>
      <c r="P291" s="4" t="str">
        <f t="shared" si="89"/>
        <v/>
      </c>
      <c r="Q291" s="58" t="str">
        <f t="shared" si="88"/>
        <v/>
      </c>
      <c r="R291" s="4" t="e" cm="1">
        <f t="array" ref="R291">IF(INDEX(Table2[],_xlfn.XMATCH($A291,Table2[Steel Member],0),_xlfn.XMATCH(R$2,Table2[#Headers],0))=0,"",INDEX(Table2[],_xlfn.XMATCH($A291,Table2[Steel Member],0),_xlfn.XMATCH(R$2,Table2[#Headers],0)))</f>
        <v>#N/A</v>
      </c>
      <c r="S291" s="4" t="e" cm="1">
        <f t="array" ref="S291">IF(INDEX(Table2[],_xlfn.XMATCH($A291,Table2[Steel Member],0),_xlfn.XMATCH(S$2,Table2[#Headers],0))=0,"",INDEX(Table2[],_xlfn.XMATCH($A291,Table2[Steel Member],0),_xlfn.XMATCH(S$2,Table2[#Headers],0)))</f>
        <v>#N/A</v>
      </c>
      <c r="T291" s="4" t="str">
        <f t="shared" si="79"/>
        <v/>
      </c>
      <c r="U291" s="4" t="e">
        <f ca="1">VLOOKUP(N291,'COLOR CODE'!$B:$D,2,FALSE)</f>
        <v>#N/A</v>
      </c>
      <c r="V291" s="4" t="str">
        <f t="shared" si="80"/>
        <v/>
      </c>
      <c r="W291" s="4" t="e" cm="1">
        <f t="array" ref="W291">IF(INDEX(Table2[],_xlfn.XMATCH($A291,Table2[Steel Member],0),_xlfn.XMATCH(W$2,Table2[#Headers],0))=0,"",INDEX(Table2[],_xlfn.XMATCH($A291,Table2[Steel Member],0),_xlfn.XMATCH(W$2,Table2[#Headers],0)))</f>
        <v>#N/A</v>
      </c>
      <c r="X291" s="4" t="e">
        <f t="shared" si="90"/>
        <v>#N/A</v>
      </c>
      <c r="Y291" s="4" t="e" cm="1">
        <f t="array" ref="Y291">IF(INDEX(Table2[],_xlfn.XMATCH($A291,Table2[Steel Member],0),_xlfn.XMATCH(Y$2,Table2[#Headers],0))=0,"",INDEX(Table2[],_xlfn.XMATCH($A291,Table2[Steel Member],0),_xlfn.XMATCH(Y$2,Table2[#Headers],0)))</f>
        <v>#N/A</v>
      </c>
      <c r="Z291" s="4" t="e" cm="1">
        <f t="array" ref="Z291">IF(INDEX(Table2[],_xlfn.XMATCH($A291,Table2[Steel Member],0),_xlfn.XMATCH(Z$2,Table2[#Headers],0))=0,"",INDEX(Table2[],_xlfn.XMATCH($A291,Table2[Steel Member],0),_xlfn.XMATCH(Z$2,Table2[#Headers],0)))</f>
        <v>#N/A</v>
      </c>
      <c r="AA291" s="4" t="e" cm="1">
        <f t="array" ref="AA291">IF(INDEX(Table2[],_xlfn.XMATCH($A291,Table2[Steel Member],0),_xlfn.XMATCH(AA$2,Table2[#Headers],0))=0,"",INDEX(Table2[],_xlfn.XMATCH($A291,Table2[Steel Member],0),_xlfn.XMATCH(AA$2,Table2[#Headers],0)))</f>
        <v>#N/A</v>
      </c>
      <c r="AB291" s="4" t="e" cm="1">
        <f t="array" ref="AB291">IF(INDEX(Table2[],_xlfn.XMATCH($A291,Table2[Steel Member],0),_xlfn.XMATCH(AB$2,Table2[#Headers],0))=0,"",INDEX(Table2[],_xlfn.XMATCH($A291,Table2[Steel Member],0),_xlfn.XMATCH(AB$2,Table2[#Headers],0)))</f>
        <v>#N/A</v>
      </c>
      <c r="AC291" s="4" t="str" cm="1">
        <f t="array" ref="AC291">IFERROR(INDEX(Table8[],_xlfn.XMATCH($O291,Table8[Dimension Name Category],0),_xlfn.XMATCH(AC$2&amp;IF($L291," w/ tag"," w/o tag"),Table8[#Headers],0)),"")</f>
        <v/>
      </c>
      <c r="AD291" s="59" t="str">
        <f t="shared" si="81"/>
        <v/>
      </c>
      <c r="AE291" s="4" t="str">
        <f t="shared" si="82"/>
        <v/>
      </c>
      <c r="AF291" s="4" t="str">
        <f t="shared" si="83"/>
        <v/>
      </c>
      <c r="AG291" s="4" t="str" cm="1">
        <f t="array" ref="AG291">IFERROR(INDEX(Table8[],_xlfn.XMATCH($O291,Table8[Dimension Name Category],0),_xlfn.XMATCH(AG$2&amp;IF($L291," w/ tag"," w/o tag"),Table8[#Headers],0)),"")</f>
        <v/>
      </c>
      <c r="AH291" s="59" t="str">
        <f t="shared" si="84"/>
        <v/>
      </c>
      <c r="AI291" s="4"/>
      <c r="AJ291" s="4" t="str">
        <f t="shared" si="85"/>
        <v/>
      </c>
      <c r="AK291" s="4" t="str">
        <f t="shared" si="86"/>
        <v/>
      </c>
      <c r="AL291" s="4" t="e" cm="1">
        <f t="array" ref="AL291">IF(INDEX(Table2[],_xlfn.XMATCH($A291,Table2[Steel Member],0),_xlfn.XMATCH(AL$2,Table2[#Headers],0))=0,"",INDEX(Table2[],_xlfn.XMATCH($A291,Table2[Steel Member],0),_xlfn.XMATCH(AL$2,Table2[#Headers],0)))</f>
        <v>#N/A</v>
      </c>
      <c r="AM291" s="4"/>
      <c r="AN291" s="4" t="str">
        <f t="shared" si="87"/>
        <v/>
      </c>
      <c r="AO291" s="4"/>
      <c r="AP291" s="4" t="e" cm="1">
        <f t="array" ref="AP291">IF(INDEX(Table2[],_xlfn.XMATCH($A291,Table2[Steel Member],0),_xlfn.XMATCH(AP$2,Table2[#Headers],0))=0,"",INDEX(Table2[],_xlfn.XMATCH($A291,Table2[Steel Member],0),_xlfn.XMATCH(AP$2,Table2[#Headers],0)))</f>
        <v>#N/A</v>
      </c>
      <c r="AQ291" s="4"/>
      <c r="AR291" s="4"/>
      <c r="AS291" s="4"/>
      <c r="AT291" s="4"/>
    </row>
    <row r="292" spans="1:46" x14ac:dyDescent="0.25">
      <c r="A292" s="52"/>
      <c r="B292" s="52"/>
      <c r="C292" s="52"/>
      <c r="D292" s="52"/>
      <c r="E292" s="52"/>
      <c r="F292" s="64" cm="1">
        <f t="array" ref="F292">IF(COUNT(FIND(PurlinsxGirthsxBracings,$C292))&gt;0,0,ROUNDUP(IF(D292=0,0,VLOOKUP(D292,'DATA SHEET'!$B:$D,2,FALSE)),2))</f>
        <v>0</v>
      </c>
      <c r="G292" s="64" cm="1">
        <f t="array" ref="G292">IF(COUNT(FIND(PurlinsxGirthsxBracings,$C292))&gt;0,0,ROUNDUP(IF(D292=0,0,VLOOKUP(D292,'DATA SHEET'!$B:$D,3,FALSE)),2))</f>
        <v>0</v>
      </c>
      <c r="H292" s="53"/>
      <c r="I292" s="66" cm="1">
        <f t="array" ref="I292">IF(AND(ISBLANK(B292),ISBLANK(C292),ISBLANK(E292)),0,IF(COUNT(FIND(PurlinsxGirthsxBracings,$C292))&gt;0,IF(B292=0,CONCATENATE(E292," ",C292),CONCATENATE(B292," - ",E292," ",C292)),IF(B292=0,IF(ISBLANK(C292),E292,CONCATENATE(D292,", ",F292,"kg/m, ",G292,"mm surface perimeter")),IF(AND(ISBLANK(C292),ISTEXT(E292)),CONCATENATE(B292," - ",E292),IF(AND(ISBLANK(C292),ISBLANK(E292)),B292,CONCATENATE(B292," - ",D292,", ",F292,"kg/m, ",G292,"mm surface perimeter"))))&amp;IF(ISBLANK(H292),"",H292)))</f>
        <v>0</v>
      </c>
      <c r="J292" s="53"/>
      <c r="L292" s="4" t="str" cm="1">
        <f t="array" ref="L292">IF(COUNT(FIND({0,1,2,3,4,5,6,7,8,9},B292))&gt;0,COUNT(FIND({0,1,2,3,4,5,6,7,8,9},B292))&gt;0,"")</f>
        <v/>
      </c>
      <c r="M292" s="4" t="str" cm="1">
        <f t="array" aca="1" ref="M292" ca="1">IFERROR(_xlfn.IFS(R292="Count",RANDBETWEEN(1,COUNTIF($R$11:$R$653,"Count")),R292="Length",RANDBETWEEN(1,COUNTIF($R$11:$R$653,"Length"))),"")</f>
        <v/>
      </c>
      <c r="N292" s="4" t="str">
        <f ca="1">IFERROR(_xlfn.RANK.EQ(M292,$M$11:$M$653)+COUNTIF($M$11:M292,M292)-1,"")</f>
        <v/>
      </c>
      <c r="O292" s="86" t="str">
        <f>IF(A292='DATA SHEET'!$L$36,C292,IFERROR(IF(AND(ISTEXT(I292),ISBLANK(C292)),"No details",VLOOKUP(C292,DimFolder,2,FALSE)),""))</f>
        <v/>
      </c>
      <c r="P292" s="4" t="str">
        <f t="shared" si="89"/>
        <v/>
      </c>
      <c r="Q292" s="58" t="str">
        <f t="shared" si="88"/>
        <v/>
      </c>
      <c r="R292" s="4" t="e" cm="1">
        <f t="array" ref="R292">IF(INDEX(Table2[],_xlfn.XMATCH($A292,Table2[Steel Member],0),_xlfn.XMATCH(R$2,Table2[#Headers],0))=0,"",INDEX(Table2[],_xlfn.XMATCH($A292,Table2[Steel Member],0),_xlfn.XMATCH(R$2,Table2[#Headers],0)))</f>
        <v>#N/A</v>
      </c>
      <c r="S292" s="4" t="e" cm="1">
        <f t="array" ref="S292">IF(INDEX(Table2[],_xlfn.XMATCH($A292,Table2[Steel Member],0),_xlfn.XMATCH(S$2,Table2[#Headers],0))=0,"",INDEX(Table2[],_xlfn.XMATCH($A292,Table2[Steel Member],0),_xlfn.XMATCH(S$2,Table2[#Headers],0)))</f>
        <v>#N/A</v>
      </c>
      <c r="T292" s="4" t="str">
        <f t="shared" si="79"/>
        <v/>
      </c>
      <c r="U292" s="4" t="e">
        <f ca="1">VLOOKUP(N292,'COLOR CODE'!$B:$D,2,FALSE)</f>
        <v>#N/A</v>
      </c>
      <c r="V292" s="4" t="str">
        <f t="shared" si="80"/>
        <v/>
      </c>
      <c r="W292" s="4" t="e" cm="1">
        <f t="array" ref="W292">IF(INDEX(Table2[],_xlfn.XMATCH($A292,Table2[Steel Member],0),_xlfn.XMATCH(W$2,Table2[#Headers],0))=0,"",INDEX(Table2[],_xlfn.XMATCH($A292,Table2[Steel Member],0),_xlfn.XMATCH(W$2,Table2[#Headers],0)))</f>
        <v>#N/A</v>
      </c>
      <c r="X292" s="4" t="e">
        <f t="shared" si="90"/>
        <v>#N/A</v>
      </c>
      <c r="Y292" s="4" t="e" cm="1">
        <f t="array" ref="Y292">IF(INDEX(Table2[],_xlfn.XMATCH($A292,Table2[Steel Member],0),_xlfn.XMATCH(Y$2,Table2[#Headers],0))=0,"",INDEX(Table2[],_xlfn.XMATCH($A292,Table2[Steel Member],0),_xlfn.XMATCH(Y$2,Table2[#Headers],0)))</f>
        <v>#N/A</v>
      </c>
      <c r="Z292" s="4" t="e" cm="1">
        <f t="array" ref="Z292">IF(INDEX(Table2[],_xlfn.XMATCH($A292,Table2[Steel Member],0),_xlfn.XMATCH(Z$2,Table2[#Headers],0))=0,"",INDEX(Table2[],_xlfn.XMATCH($A292,Table2[Steel Member],0),_xlfn.XMATCH(Z$2,Table2[#Headers],0)))</f>
        <v>#N/A</v>
      </c>
      <c r="AA292" s="4" t="e" cm="1">
        <f t="array" ref="AA292">IF(INDEX(Table2[],_xlfn.XMATCH($A292,Table2[Steel Member],0),_xlfn.XMATCH(AA$2,Table2[#Headers],0))=0,"",INDEX(Table2[],_xlfn.XMATCH($A292,Table2[Steel Member],0),_xlfn.XMATCH(AA$2,Table2[#Headers],0)))</f>
        <v>#N/A</v>
      </c>
      <c r="AB292" s="4" t="e" cm="1">
        <f t="array" ref="AB292">IF(INDEX(Table2[],_xlfn.XMATCH($A292,Table2[Steel Member],0),_xlfn.XMATCH(AB$2,Table2[#Headers],0))=0,"",INDEX(Table2[],_xlfn.XMATCH($A292,Table2[Steel Member],0),_xlfn.XMATCH(AB$2,Table2[#Headers],0)))</f>
        <v>#N/A</v>
      </c>
      <c r="AC292" s="4" t="str" cm="1">
        <f t="array" ref="AC292">IFERROR(INDEX(Table8[],_xlfn.XMATCH($O292,Table8[Dimension Name Category],0),_xlfn.XMATCH(AC$2&amp;IF($L292," w/ tag"," w/o tag"),Table8[#Headers],0)),"")</f>
        <v/>
      </c>
      <c r="AD292" s="59" t="str">
        <f t="shared" si="81"/>
        <v/>
      </c>
      <c r="AE292" s="4" t="str">
        <f t="shared" si="82"/>
        <v/>
      </c>
      <c r="AF292" s="4" t="str">
        <f t="shared" si="83"/>
        <v/>
      </c>
      <c r="AG292" s="4" t="str" cm="1">
        <f t="array" ref="AG292">IFERROR(INDEX(Table8[],_xlfn.XMATCH($O292,Table8[Dimension Name Category],0),_xlfn.XMATCH(AG$2&amp;IF($L292," w/ tag"," w/o tag"),Table8[#Headers],0)),"")</f>
        <v/>
      </c>
      <c r="AH292" s="59" t="str">
        <f t="shared" si="84"/>
        <v/>
      </c>
      <c r="AI292" s="4"/>
      <c r="AJ292" s="4" t="str">
        <f t="shared" si="85"/>
        <v/>
      </c>
      <c r="AK292" s="4" t="str">
        <f t="shared" si="86"/>
        <v/>
      </c>
      <c r="AL292" s="4" t="e" cm="1">
        <f t="array" ref="AL292">IF(INDEX(Table2[],_xlfn.XMATCH($A292,Table2[Steel Member],0),_xlfn.XMATCH(AL$2,Table2[#Headers],0))=0,"",INDEX(Table2[],_xlfn.XMATCH($A292,Table2[Steel Member],0),_xlfn.XMATCH(AL$2,Table2[#Headers],0)))</f>
        <v>#N/A</v>
      </c>
      <c r="AM292" s="4"/>
      <c r="AN292" s="4" t="str">
        <f t="shared" si="87"/>
        <v/>
      </c>
      <c r="AO292" s="4"/>
      <c r="AP292" s="4" t="e" cm="1">
        <f t="array" ref="AP292">IF(INDEX(Table2[],_xlfn.XMATCH($A292,Table2[Steel Member],0),_xlfn.XMATCH(AP$2,Table2[#Headers],0))=0,"",INDEX(Table2[],_xlfn.XMATCH($A292,Table2[Steel Member],0),_xlfn.XMATCH(AP$2,Table2[#Headers],0)))</f>
        <v>#N/A</v>
      </c>
      <c r="AQ292" s="4"/>
      <c r="AR292" s="4"/>
      <c r="AS292" s="4"/>
      <c r="AT292" s="4"/>
    </row>
    <row r="293" spans="1:46" x14ac:dyDescent="0.25">
      <c r="A293" s="52"/>
      <c r="B293" s="52"/>
      <c r="C293" s="52"/>
      <c r="D293" s="52"/>
      <c r="E293" s="52"/>
      <c r="F293" s="64" cm="1">
        <f t="array" ref="F293">IF(COUNT(FIND(PurlinsxGirthsxBracings,$C293))&gt;0,0,ROUNDUP(IF(D293=0,0,VLOOKUP(D293,'DATA SHEET'!$B:$D,2,FALSE)),2))</f>
        <v>0</v>
      </c>
      <c r="G293" s="64" cm="1">
        <f t="array" ref="G293">IF(COUNT(FIND(PurlinsxGirthsxBracings,$C293))&gt;0,0,ROUNDUP(IF(D293=0,0,VLOOKUP(D293,'DATA SHEET'!$B:$D,3,FALSE)),2))</f>
        <v>0</v>
      </c>
      <c r="H293" s="53"/>
      <c r="I293" s="66" cm="1">
        <f t="array" ref="I293">IF(AND(ISBLANK(B293),ISBLANK(C293),ISBLANK(E293)),0,IF(COUNT(FIND(PurlinsxGirthsxBracings,$C293))&gt;0,IF(B293=0,CONCATENATE(E293," ",C293),CONCATENATE(B293," - ",E293," ",C293)),IF(B293=0,IF(ISBLANK(C293),E293,CONCATENATE(D293,", ",F293,"kg/m, ",G293,"mm surface perimeter")),IF(AND(ISBLANK(C293),ISTEXT(E293)),CONCATENATE(B293," - ",E293),IF(AND(ISBLANK(C293),ISBLANK(E293)),B293,CONCATENATE(B293," - ",D293,", ",F293,"kg/m, ",G293,"mm surface perimeter"))))&amp;IF(ISBLANK(H293),"",H293)))</f>
        <v>0</v>
      </c>
      <c r="J293" s="53"/>
      <c r="L293" s="4" t="str" cm="1">
        <f t="array" ref="L293">IF(COUNT(FIND({0,1,2,3,4,5,6,7,8,9},B293))&gt;0,COUNT(FIND({0,1,2,3,4,5,6,7,8,9},B293))&gt;0,"")</f>
        <v/>
      </c>
      <c r="M293" s="4" t="str" cm="1">
        <f t="array" aca="1" ref="M293" ca="1">IFERROR(_xlfn.IFS(R293="Count",RANDBETWEEN(1,COUNTIF($R$11:$R$653,"Count")),R293="Length",RANDBETWEEN(1,COUNTIF($R$11:$R$653,"Length"))),"")</f>
        <v/>
      </c>
      <c r="N293" s="4" t="str">
        <f ca="1">IFERROR(_xlfn.RANK.EQ(M293,$M$11:$M$653)+COUNTIF($M$11:M293,M293)-1,"")</f>
        <v/>
      </c>
      <c r="O293" s="86" t="str">
        <f>IF(A293='DATA SHEET'!$L$36,C293,IFERROR(IF(AND(ISTEXT(I293),ISBLANK(C293)),"No details",VLOOKUP(C293,DimFolder,2,FALSE)),""))</f>
        <v/>
      </c>
      <c r="P293" s="4" t="str">
        <f t="shared" si="89"/>
        <v/>
      </c>
      <c r="Q293" s="58" t="str">
        <f t="shared" si="88"/>
        <v/>
      </c>
      <c r="R293" s="4" t="e" cm="1">
        <f t="array" ref="R293">IF(INDEX(Table2[],_xlfn.XMATCH($A293,Table2[Steel Member],0),_xlfn.XMATCH(R$2,Table2[#Headers],0))=0,"",INDEX(Table2[],_xlfn.XMATCH($A293,Table2[Steel Member],0),_xlfn.XMATCH(R$2,Table2[#Headers],0)))</f>
        <v>#N/A</v>
      </c>
      <c r="S293" s="4" t="e" cm="1">
        <f t="array" ref="S293">IF(INDEX(Table2[],_xlfn.XMATCH($A293,Table2[Steel Member],0),_xlfn.XMATCH(S$2,Table2[#Headers],0))=0,"",INDEX(Table2[],_xlfn.XMATCH($A293,Table2[Steel Member],0),_xlfn.XMATCH(S$2,Table2[#Headers],0)))</f>
        <v>#N/A</v>
      </c>
      <c r="T293" s="4" t="str">
        <f t="shared" si="79"/>
        <v/>
      </c>
      <c r="U293" s="4" t="e">
        <f ca="1">VLOOKUP(N293,'COLOR CODE'!$B:$D,2,FALSE)</f>
        <v>#N/A</v>
      </c>
      <c r="V293" s="4" t="str">
        <f t="shared" si="80"/>
        <v/>
      </c>
      <c r="W293" s="4" t="e" cm="1">
        <f t="array" ref="W293">IF(INDEX(Table2[],_xlfn.XMATCH($A293,Table2[Steel Member],0),_xlfn.XMATCH(W$2,Table2[#Headers],0))=0,"",INDEX(Table2[],_xlfn.XMATCH($A293,Table2[Steel Member],0),_xlfn.XMATCH(W$2,Table2[#Headers],0)))</f>
        <v>#N/A</v>
      </c>
      <c r="X293" s="4" t="e">
        <f t="shared" si="90"/>
        <v>#N/A</v>
      </c>
      <c r="Y293" s="4" t="e" cm="1">
        <f t="array" ref="Y293">IF(INDEX(Table2[],_xlfn.XMATCH($A293,Table2[Steel Member],0),_xlfn.XMATCH(Y$2,Table2[#Headers],0))=0,"",INDEX(Table2[],_xlfn.XMATCH($A293,Table2[Steel Member],0),_xlfn.XMATCH(Y$2,Table2[#Headers],0)))</f>
        <v>#N/A</v>
      </c>
      <c r="Z293" s="4" t="e" cm="1">
        <f t="array" ref="Z293">IF(INDEX(Table2[],_xlfn.XMATCH($A293,Table2[Steel Member],0),_xlfn.XMATCH(Z$2,Table2[#Headers],0))=0,"",INDEX(Table2[],_xlfn.XMATCH($A293,Table2[Steel Member],0),_xlfn.XMATCH(Z$2,Table2[#Headers],0)))</f>
        <v>#N/A</v>
      </c>
      <c r="AA293" s="4" t="e" cm="1">
        <f t="array" ref="AA293">IF(INDEX(Table2[],_xlfn.XMATCH($A293,Table2[Steel Member],0),_xlfn.XMATCH(AA$2,Table2[#Headers],0))=0,"",INDEX(Table2[],_xlfn.XMATCH($A293,Table2[Steel Member],0),_xlfn.XMATCH(AA$2,Table2[#Headers],0)))</f>
        <v>#N/A</v>
      </c>
      <c r="AB293" s="4" t="e" cm="1">
        <f t="array" ref="AB293">IF(INDEX(Table2[],_xlfn.XMATCH($A293,Table2[Steel Member],0),_xlfn.XMATCH(AB$2,Table2[#Headers],0))=0,"",INDEX(Table2[],_xlfn.XMATCH($A293,Table2[Steel Member],0),_xlfn.XMATCH(AB$2,Table2[#Headers],0)))</f>
        <v>#N/A</v>
      </c>
      <c r="AC293" s="4" t="str" cm="1">
        <f t="array" ref="AC293">IFERROR(INDEX(Table8[],_xlfn.XMATCH($O293,Table8[Dimension Name Category],0),_xlfn.XMATCH(AC$2&amp;IF($L293," w/ tag"," w/o tag"),Table8[#Headers],0)),"")</f>
        <v/>
      </c>
      <c r="AD293" s="59" t="str">
        <f t="shared" si="81"/>
        <v/>
      </c>
      <c r="AE293" s="4" t="str">
        <f t="shared" si="82"/>
        <v/>
      </c>
      <c r="AF293" s="4" t="str">
        <f t="shared" si="83"/>
        <v/>
      </c>
      <c r="AG293" s="4" t="str" cm="1">
        <f t="array" ref="AG293">IFERROR(INDEX(Table8[],_xlfn.XMATCH($O293,Table8[Dimension Name Category],0),_xlfn.XMATCH(AG$2&amp;IF($L293," w/ tag"," w/o tag"),Table8[#Headers],0)),"")</f>
        <v/>
      </c>
      <c r="AH293" s="59" t="str">
        <f t="shared" si="84"/>
        <v/>
      </c>
      <c r="AI293" s="4"/>
      <c r="AJ293" s="4" t="str">
        <f t="shared" si="85"/>
        <v/>
      </c>
      <c r="AK293" s="4" t="str">
        <f t="shared" si="86"/>
        <v/>
      </c>
      <c r="AL293" s="4" t="e" cm="1">
        <f t="array" ref="AL293">IF(INDEX(Table2[],_xlfn.XMATCH($A293,Table2[Steel Member],0),_xlfn.XMATCH(AL$2,Table2[#Headers],0))=0,"",INDEX(Table2[],_xlfn.XMATCH($A293,Table2[Steel Member],0),_xlfn.XMATCH(AL$2,Table2[#Headers],0)))</f>
        <v>#N/A</v>
      </c>
      <c r="AM293" s="4"/>
      <c r="AN293" s="4" t="str">
        <f t="shared" si="87"/>
        <v/>
      </c>
      <c r="AO293" s="4"/>
      <c r="AP293" s="4" t="e" cm="1">
        <f t="array" ref="AP293">IF(INDEX(Table2[],_xlfn.XMATCH($A293,Table2[Steel Member],0),_xlfn.XMATCH(AP$2,Table2[#Headers],0))=0,"",INDEX(Table2[],_xlfn.XMATCH($A293,Table2[Steel Member],0),_xlfn.XMATCH(AP$2,Table2[#Headers],0)))</f>
        <v>#N/A</v>
      </c>
      <c r="AQ293" s="4"/>
      <c r="AR293" s="4"/>
      <c r="AS293" s="4"/>
      <c r="AT293" s="4"/>
    </row>
    <row r="294" spans="1:46" x14ac:dyDescent="0.25">
      <c r="A294" s="52"/>
      <c r="B294" s="52"/>
      <c r="C294" s="52"/>
      <c r="D294" s="52"/>
      <c r="E294" s="52"/>
      <c r="F294" s="64" cm="1">
        <f t="array" ref="F294">IF(COUNT(FIND(PurlinsxGirthsxBracings,$C294))&gt;0,0,ROUNDUP(IF(D294=0,0,VLOOKUP(D294,'DATA SHEET'!$B:$D,2,FALSE)),2))</f>
        <v>0</v>
      </c>
      <c r="G294" s="64" cm="1">
        <f t="array" ref="G294">IF(COUNT(FIND(PurlinsxGirthsxBracings,$C294))&gt;0,0,ROUNDUP(IF(D294=0,0,VLOOKUP(D294,'DATA SHEET'!$B:$D,3,FALSE)),2))</f>
        <v>0</v>
      </c>
      <c r="H294" s="53"/>
      <c r="I294" s="66" cm="1">
        <f t="array" ref="I294">IF(AND(ISBLANK(B294),ISBLANK(C294),ISBLANK(E294)),0,IF(COUNT(FIND(PurlinsxGirthsxBracings,$C294))&gt;0,IF(B294=0,CONCATENATE(E294," ",C294),CONCATENATE(B294," - ",E294," ",C294)),IF(B294=0,IF(ISBLANK(C294),E294,CONCATENATE(D294,", ",F294,"kg/m, ",G294,"mm surface perimeter")),IF(AND(ISBLANK(C294),ISTEXT(E294)),CONCATENATE(B294," - ",E294),IF(AND(ISBLANK(C294),ISBLANK(E294)),B294,CONCATENATE(B294," - ",D294,", ",F294,"kg/m, ",G294,"mm surface perimeter"))))&amp;IF(ISBLANK(H294),"",H294)))</f>
        <v>0</v>
      </c>
      <c r="J294" s="53"/>
      <c r="L294" s="4" t="str" cm="1">
        <f t="array" ref="L294">IF(COUNT(FIND({0,1,2,3,4,5,6,7,8,9},B294))&gt;0,COUNT(FIND({0,1,2,3,4,5,6,7,8,9},B294))&gt;0,"")</f>
        <v/>
      </c>
      <c r="M294" s="4" t="str" cm="1">
        <f t="array" aca="1" ref="M294" ca="1">IFERROR(_xlfn.IFS(R294="Count",RANDBETWEEN(1,COUNTIF($R$11:$R$653,"Count")),R294="Length",RANDBETWEEN(1,COUNTIF($R$11:$R$653,"Length"))),"")</f>
        <v/>
      </c>
      <c r="N294" s="4" t="str">
        <f ca="1">IFERROR(_xlfn.RANK.EQ(M294,$M$11:$M$653)+COUNTIF($M$11:M294,M294)-1,"")</f>
        <v/>
      </c>
      <c r="O294" s="86" t="str">
        <f>IF(A294='DATA SHEET'!$L$36,C294,IFERROR(IF(AND(ISTEXT(I294),ISBLANK(C294)),"No details",VLOOKUP(C294,DimFolder,2,FALSE)),""))</f>
        <v/>
      </c>
      <c r="P294" s="4" t="str">
        <f t="shared" si="89"/>
        <v/>
      </c>
      <c r="Q294" s="58" t="str">
        <f t="shared" si="88"/>
        <v/>
      </c>
      <c r="R294" s="4" t="e" cm="1">
        <f t="array" ref="R294">IF(INDEX(Table2[],_xlfn.XMATCH($A294,Table2[Steel Member],0),_xlfn.XMATCH(R$2,Table2[#Headers],0))=0,"",INDEX(Table2[],_xlfn.XMATCH($A294,Table2[Steel Member],0),_xlfn.XMATCH(R$2,Table2[#Headers],0)))</f>
        <v>#N/A</v>
      </c>
      <c r="S294" s="4" t="e" cm="1">
        <f t="array" ref="S294">IF(INDEX(Table2[],_xlfn.XMATCH($A294,Table2[Steel Member],0),_xlfn.XMATCH(S$2,Table2[#Headers],0))=0,"",INDEX(Table2[],_xlfn.XMATCH($A294,Table2[Steel Member],0),_xlfn.XMATCH(S$2,Table2[#Headers],0)))</f>
        <v>#N/A</v>
      </c>
      <c r="T294" s="4" t="str">
        <f t="shared" si="79"/>
        <v/>
      </c>
      <c r="U294" s="4" t="e">
        <f ca="1">VLOOKUP(N294,'COLOR CODE'!$B:$D,2,FALSE)</f>
        <v>#N/A</v>
      </c>
      <c r="V294" s="4" t="str">
        <f t="shared" si="80"/>
        <v/>
      </c>
      <c r="W294" s="4" t="e" cm="1">
        <f t="array" ref="W294">IF(INDEX(Table2[],_xlfn.XMATCH($A294,Table2[Steel Member],0),_xlfn.XMATCH(W$2,Table2[#Headers],0))=0,"",INDEX(Table2[],_xlfn.XMATCH($A294,Table2[Steel Member],0),_xlfn.XMATCH(W$2,Table2[#Headers],0)))</f>
        <v>#N/A</v>
      </c>
      <c r="X294" s="4" t="e">
        <f t="shared" si="90"/>
        <v>#N/A</v>
      </c>
      <c r="Y294" s="4" t="e" cm="1">
        <f t="array" ref="Y294">IF(INDEX(Table2[],_xlfn.XMATCH($A294,Table2[Steel Member],0),_xlfn.XMATCH(Y$2,Table2[#Headers],0))=0,"",INDEX(Table2[],_xlfn.XMATCH($A294,Table2[Steel Member],0),_xlfn.XMATCH(Y$2,Table2[#Headers],0)))</f>
        <v>#N/A</v>
      </c>
      <c r="Z294" s="4" t="e" cm="1">
        <f t="array" ref="Z294">IF(INDEX(Table2[],_xlfn.XMATCH($A294,Table2[Steel Member],0),_xlfn.XMATCH(Z$2,Table2[#Headers],0))=0,"",INDEX(Table2[],_xlfn.XMATCH($A294,Table2[Steel Member],0),_xlfn.XMATCH(Z$2,Table2[#Headers],0)))</f>
        <v>#N/A</v>
      </c>
      <c r="AA294" s="4" t="e" cm="1">
        <f t="array" ref="AA294">IF(INDEX(Table2[],_xlfn.XMATCH($A294,Table2[Steel Member],0),_xlfn.XMATCH(AA$2,Table2[#Headers],0))=0,"",INDEX(Table2[],_xlfn.XMATCH($A294,Table2[Steel Member],0),_xlfn.XMATCH(AA$2,Table2[#Headers],0)))</f>
        <v>#N/A</v>
      </c>
      <c r="AB294" s="4" t="e" cm="1">
        <f t="array" ref="AB294">IF(INDEX(Table2[],_xlfn.XMATCH($A294,Table2[Steel Member],0),_xlfn.XMATCH(AB$2,Table2[#Headers],0))=0,"",INDEX(Table2[],_xlfn.XMATCH($A294,Table2[Steel Member],0),_xlfn.XMATCH(AB$2,Table2[#Headers],0)))</f>
        <v>#N/A</v>
      </c>
      <c r="AC294" s="4" t="str" cm="1">
        <f t="array" ref="AC294">IFERROR(INDEX(Table8[],_xlfn.XMATCH($O294,Table8[Dimension Name Category],0),_xlfn.XMATCH(AC$2&amp;IF($L294," w/ tag"," w/o tag"),Table8[#Headers],0)),"")</f>
        <v/>
      </c>
      <c r="AD294" s="59" t="str">
        <f t="shared" si="81"/>
        <v/>
      </c>
      <c r="AE294" s="4" t="str">
        <f t="shared" si="82"/>
        <v/>
      </c>
      <c r="AF294" s="4" t="str">
        <f t="shared" si="83"/>
        <v/>
      </c>
      <c r="AG294" s="4" t="str" cm="1">
        <f t="array" ref="AG294">IFERROR(INDEX(Table8[],_xlfn.XMATCH($O294,Table8[Dimension Name Category],0),_xlfn.XMATCH(AG$2&amp;IF($L294," w/ tag"," w/o tag"),Table8[#Headers],0)),"")</f>
        <v/>
      </c>
      <c r="AH294" s="59" t="str">
        <f t="shared" si="84"/>
        <v/>
      </c>
      <c r="AI294" s="4"/>
      <c r="AJ294" s="4" t="str">
        <f t="shared" si="85"/>
        <v/>
      </c>
      <c r="AK294" s="4" t="str">
        <f t="shared" si="86"/>
        <v/>
      </c>
      <c r="AL294" s="4" t="e" cm="1">
        <f t="array" ref="AL294">IF(INDEX(Table2[],_xlfn.XMATCH($A294,Table2[Steel Member],0),_xlfn.XMATCH(AL$2,Table2[#Headers],0))=0,"",INDEX(Table2[],_xlfn.XMATCH($A294,Table2[Steel Member],0),_xlfn.XMATCH(AL$2,Table2[#Headers],0)))</f>
        <v>#N/A</v>
      </c>
      <c r="AM294" s="4"/>
      <c r="AN294" s="4" t="str">
        <f t="shared" si="87"/>
        <v/>
      </c>
      <c r="AO294" s="4"/>
      <c r="AP294" s="4" t="e" cm="1">
        <f t="array" ref="AP294">IF(INDEX(Table2[],_xlfn.XMATCH($A294,Table2[Steel Member],0),_xlfn.XMATCH(AP$2,Table2[#Headers],0))=0,"",INDEX(Table2[],_xlfn.XMATCH($A294,Table2[Steel Member],0),_xlfn.XMATCH(AP$2,Table2[#Headers],0)))</f>
        <v>#N/A</v>
      </c>
      <c r="AQ294" s="4"/>
      <c r="AR294" s="4"/>
      <c r="AS294" s="4"/>
      <c r="AT294" s="4"/>
    </row>
    <row r="295" spans="1:46" x14ac:dyDescent="0.25">
      <c r="A295" s="52"/>
      <c r="B295" s="52"/>
      <c r="C295" s="52"/>
      <c r="D295" s="52"/>
      <c r="E295" s="52"/>
      <c r="F295" s="64" cm="1">
        <f t="array" ref="F295">IF(COUNT(FIND(PurlinsxGirthsxBracings,$C295))&gt;0,0,ROUNDUP(IF(D295=0,0,VLOOKUP(D295,'DATA SHEET'!$B:$D,2,FALSE)),2))</f>
        <v>0</v>
      </c>
      <c r="G295" s="64" cm="1">
        <f t="array" ref="G295">IF(COUNT(FIND(PurlinsxGirthsxBracings,$C295))&gt;0,0,ROUNDUP(IF(D295=0,0,VLOOKUP(D295,'DATA SHEET'!$B:$D,3,FALSE)),2))</f>
        <v>0</v>
      </c>
      <c r="H295" s="53"/>
      <c r="I295" s="66" cm="1">
        <f t="array" ref="I295">IF(AND(ISBLANK(B295),ISBLANK(C295),ISBLANK(E295)),0,IF(COUNT(FIND(PurlinsxGirthsxBracings,$C295))&gt;0,IF(B295=0,CONCATENATE(E295," ",C295),CONCATENATE(B295," - ",E295," ",C295)),IF(B295=0,IF(ISBLANK(C295),E295,CONCATENATE(D295,", ",F295,"kg/m, ",G295,"mm surface perimeter")),IF(AND(ISBLANK(C295),ISTEXT(E295)),CONCATENATE(B295," - ",E295),IF(AND(ISBLANK(C295),ISBLANK(E295)),B295,CONCATENATE(B295," - ",D295,", ",F295,"kg/m, ",G295,"mm surface perimeter"))))&amp;IF(ISBLANK(H295),"",H295)))</f>
        <v>0</v>
      </c>
      <c r="J295" s="53"/>
      <c r="L295" s="4" t="str" cm="1">
        <f t="array" ref="L295">IF(COUNT(FIND({0,1,2,3,4,5,6,7,8,9},B295))&gt;0,COUNT(FIND({0,1,2,3,4,5,6,7,8,9},B295))&gt;0,"")</f>
        <v/>
      </c>
      <c r="M295" s="4" t="str" cm="1">
        <f t="array" aca="1" ref="M295" ca="1">IFERROR(_xlfn.IFS(R295="Count",RANDBETWEEN(1,COUNTIF($R$11:$R$653,"Count")),R295="Length",RANDBETWEEN(1,COUNTIF($R$11:$R$653,"Length"))),"")</f>
        <v/>
      </c>
      <c r="N295" s="4" t="str">
        <f ca="1">IFERROR(_xlfn.RANK.EQ(M295,$M$11:$M$653)+COUNTIF($M$11:M295,M295)-1,"")</f>
        <v/>
      </c>
      <c r="O295" s="86" t="str">
        <f>IF(A295='DATA SHEET'!$L$36,C295,IFERROR(IF(AND(ISTEXT(I295),ISBLANK(C295)),"No details",VLOOKUP(C295,DimFolder,2,FALSE)),""))</f>
        <v/>
      </c>
      <c r="P295" s="4" t="str">
        <f t="shared" si="89"/>
        <v/>
      </c>
      <c r="Q295" s="58" t="str">
        <f t="shared" si="88"/>
        <v/>
      </c>
      <c r="R295" s="4" t="e" cm="1">
        <f t="array" ref="R295">IF(INDEX(Table2[],_xlfn.XMATCH($A295,Table2[Steel Member],0),_xlfn.XMATCH(R$2,Table2[#Headers],0))=0,"",INDEX(Table2[],_xlfn.XMATCH($A295,Table2[Steel Member],0),_xlfn.XMATCH(R$2,Table2[#Headers],0)))</f>
        <v>#N/A</v>
      </c>
      <c r="S295" s="4" t="e" cm="1">
        <f t="array" ref="S295">IF(INDEX(Table2[],_xlfn.XMATCH($A295,Table2[Steel Member],0),_xlfn.XMATCH(S$2,Table2[#Headers],0))=0,"",INDEX(Table2[],_xlfn.XMATCH($A295,Table2[Steel Member],0),_xlfn.XMATCH(S$2,Table2[#Headers],0)))</f>
        <v>#N/A</v>
      </c>
      <c r="T295" s="4" t="str">
        <f t="shared" si="79"/>
        <v/>
      </c>
      <c r="U295" s="4" t="e">
        <f ca="1">VLOOKUP(N295,'COLOR CODE'!$B:$D,2,FALSE)</f>
        <v>#N/A</v>
      </c>
      <c r="V295" s="4" t="str">
        <f t="shared" si="80"/>
        <v/>
      </c>
      <c r="W295" s="4" t="e" cm="1">
        <f t="array" ref="W295">IF(INDEX(Table2[],_xlfn.XMATCH($A295,Table2[Steel Member],0),_xlfn.XMATCH(W$2,Table2[#Headers],0))=0,"",INDEX(Table2[],_xlfn.XMATCH($A295,Table2[Steel Member],0),_xlfn.XMATCH(W$2,Table2[#Headers],0)))</f>
        <v>#N/A</v>
      </c>
      <c r="X295" s="4" t="e">
        <f t="shared" si="90"/>
        <v>#N/A</v>
      </c>
      <c r="Y295" s="4" t="e" cm="1">
        <f t="array" ref="Y295">IF(INDEX(Table2[],_xlfn.XMATCH($A295,Table2[Steel Member],0),_xlfn.XMATCH(Y$2,Table2[#Headers],0))=0,"",INDEX(Table2[],_xlfn.XMATCH($A295,Table2[Steel Member],0),_xlfn.XMATCH(Y$2,Table2[#Headers],0)))</f>
        <v>#N/A</v>
      </c>
      <c r="Z295" s="4" t="e" cm="1">
        <f t="array" ref="Z295">IF(INDEX(Table2[],_xlfn.XMATCH($A295,Table2[Steel Member],0),_xlfn.XMATCH(Z$2,Table2[#Headers],0))=0,"",INDEX(Table2[],_xlfn.XMATCH($A295,Table2[Steel Member],0),_xlfn.XMATCH(Z$2,Table2[#Headers],0)))</f>
        <v>#N/A</v>
      </c>
      <c r="AA295" s="4" t="e" cm="1">
        <f t="array" ref="AA295">IF(INDEX(Table2[],_xlfn.XMATCH($A295,Table2[Steel Member],0),_xlfn.XMATCH(AA$2,Table2[#Headers],0))=0,"",INDEX(Table2[],_xlfn.XMATCH($A295,Table2[Steel Member],0),_xlfn.XMATCH(AA$2,Table2[#Headers],0)))</f>
        <v>#N/A</v>
      </c>
      <c r="AB295" s="4" t="e" cm="1">
        <f t="array" ref="AB295">IF(INDEX(Table2[],_xlfn.XMATCH($A295,Table2[Steel Member],0),_xlfn.XMATCH(AB$2,Table2[#Headers],0))=0,"",INDEX(Table2[],_xlfn.XMATCH($A295,Table2[Steel Member],0),_xlfn.XMATCH(AB$2,Table2[#Headers],0)))</f>
        <v>#N/A</v>
      </c>
      <c r="AC295" s="4" t="str" cm="1">
        <f t="array" ref="AC295">IFERROR(INDEX(Table8[],_xlfn.XMATCH($O295,Table8[Dimension Name Category],0),_xlfn.XMATCH(AC$2&amp;IF($L295," w/ tag"," w/o tag"),Table8[#Headers],0)),"")</f>
        <v/>
      </c>
      <c r="AD295" s="59" t="str">
        <f t="shared" si="81"/>
        <v/>
      </c>
      <c r="AE295" s="4" t="str">
        <f t="shared" si="82"/>
        <v/>
      </c>
      <c r="AF295" s="4" t="str">
        <f t="shared" si="83"/>
        <v/>
      </c>
      <c r="AG295" s="4" t="str" cm="1">
        <f t="array" ref="AG295">IFERROR(INDEX(Table8[],_xlfn.XMATCH($O295,Table8[Dimension Name Category],0),_xlfn.XMATCH(AG$2&amp;IF($L295," w/ tag"," w/o tag"),Table8[#Headers],0)),"")</f>
        <v/>
      </c>
      <c r="AH295" s="59" t="str">
        <f t="shared" si="84"/>
        <v/>
      </c>
      <c r="AI295" s="4"/>
      <c r="AJ295" s="4" t="str">
        <f t="shared" si="85"/>
        <v/>
      </c>
      <c r="AK295" s="4" t="str">
        <f t="shared" si="86"/>
        <v/>
      </c>
      <c r="AL295" s="4" t="e" cm="1">
        <f t="array" ref="AL295">IF(INDEX(Table2[],_xlfn.XMATCH($A295,Table2[Steel Member],0),_xlfn.XMATCH(AL$2,Table2[#Headers],0))=0,"",INDEX(Table2[],_xlfn.XMATCH($A295,Table2[Steel Member],0),_xlfn.XMATCH(AL$2,Table2[#Headers],0)))</f>
        <v>#N/A</v>
      </c>
      <c r="AM295" s="4"/>
      <c r="AN295" s="4" t="str">
        <f t="shared" si="87"/>
        <v/>
      </c>
      <c r="AO295" s="4"/>
      <c r="AP295" s="4" t="e" cm="1">
        <f t="array" ref="AP295">IF(INDEX(Table2[],_xlfn.XMATCH($A295,Table2[Steel Member],0),_xlfn.XMATCH(AP$2,Table2[#Headers],0))=0,"",INDEX(Table2[],_xlfn.XMATCH($A295,Table2[Steel Member],0),_xlfn.XMATCH(AP$2,Table2[#Headers],0)))</f>
        <v>#N/A</v>
      </c>
      <c r="AQ295" s="4"/>
      <c r="AR295" s="4"/>
      <c r="AS295" s="4"/>
      <c r="AT295" s="4"/>
    </row>
    <row r="296" spans="1:46" x14ac:dyDescent="0.25">
      <c r="A296" s="52"/>
      <c r="B296" s="52"/>
      <c r="C296" s="52"/>
      <c r="D296" s="52"/>
      <c r="E296" s="52"/>
      <c r="F296" s="64" cm="1">
        <f t="array" ref="F296">IF(COUNT(FIND(PurlinsxGirthsxBracings,$C296))&gt;0,0,ROUNDUP(IF(D296=0,0,VLOOKUP(D296,'DATA SHEET'!$B:$D,2,FALSE)),2))</f>
        <v>0</v>
      </c>
      <c r="G296" s="64" cm="1">
        <f t="array" ref="G296">IF(COUNT(FIND(PurlinsxGirthsxBracings,$C296))&gt;0,0,ROUNDUP(IF(D296=0,0,VLOOKUP(D296,'DATA SHEET'!$B:$D,3,FALSE)),2))</f>
        <v>0</v>
      </c>
      <c r="H296" s="53"/>
      <c r="I296" s="66" cm="1">
        <f t="array" ref="I296">IF(AND(ISBLANK(B296),ISBLANK(C296),ISBLANK(E296)),0,IF(COUNT(FIND(PurlinsxGirthsxBracings,$C296))&gt;0,IF(B296=0,CONCATENATE(E296," ",C296),CONCATENATE(B296," - ",E296," ",C296)),IF(B296=0,IF(ISBLANK(C296),E296,CONCATENATE(D296,", ",F296,"kg/m, ",G296,"mm surface perimeter")),IF(AND(ISBLANK(C296),ISTEXT(E296)),CONCATENATE(B296," - ",E296),IF(AND(ISBLANK(C296),ISBLANK(E296)),B296,CONCATENATE(B296," - ",D296,", ",F296,"kg/m, ",G296,"mm surface perimeter"))))&amp;IF(ISBLANK(H296),"",H296)))</f>
        <v>0</v>
      </c>
      <c r="J296" s="53"/>
      <c r="L296" s="4" t="str" cm="1">
        <f t="array" ref="L296">IF(COUNT(FIND({0,1,2,3,4,5,6,7,8,9},B296))&gt;0,COUNT(FIND({0,1,2,3,4,5,6,7,8,9},B296))&gt;0,"")</f>
        <v/>
      </c>
      <c r="M296" s="4" t="str" cm="1">
        <f t="array" aca="1" ref="M296" ca="1">IFERROR(_xlfn.IFS(R296="Count",RANDBETWEEN(1,COUNTIF($R$11:$R$653,"Count")),R296="Length",RANDBETWEEN(1,COUNTIF($R$11:$R$653,"Length"))),"")</f>
        <v/>
      </c>
      <c r="N296" s="4" t="str">
        <f ca="1">IFERROR(_xlfn.RANK.EQ(M296,$M$11:$M$653)+COUNTIF($M$11:M296,M296)-1,"")</f>
        <v/>
      </c>
      <c r="O296" s="86" t="str">
        <f>IF(A296='DATA SHEET'!$L$36,C296,IFERROR(IF(AND(ISTEXT(I296),ISBLANK(C296)),"No details",VLOOKUP(C296,DimFolder,2,FALSE)),""))</f>
        <v/>
      </c>
      <c r="P296" s="4" t="str">
        <f t="shared" si="89"/>
        <v/>
      </c>
      <c r="Q296" s="58" t="str">
        <f t="shared" si="88"/>
        <v/>
      </c>
      <c r="R296" s="4" t="e" cm="1">
        <f t="array" ref="R296">IF(INDEX(Table2[],_xlfn.XMATCH($A296,Table2[Steel Member],0),_xlfn.XMATCH(R$2,Table2[#Headers],0))=0,"",INDEX(Table2[],_xlfn.XMATCH($A296,Table2[Steel Member],0),_xlfn.XMATCH(R$2,Table2[#Headers],0)))</f>
        <v>#N/A</v>
      </c>
      <c r="S296" s="4" t="e" cm="1">
        <f t="array" ref="S296">IF(INDEX(Table2[],_xlfn.XMATCH($A296,Table2[Steel Member],0),_xlfn.XMATCH(S$2,Table2[#Headers],0))=0,"",INDEX(Table2[],_xlfn.XMATCH($A296,Table2[Steel Member],0),_xlfn.XMATCH(S$2,Table2[#Headers],0)))</f>
        <v>#N/A</v>
      </c>
      <c r="T296" s="4" t="str">
        <f t="shared" si="79"/>
        <v/>
      </c>
      <c r="U296" s="4" t="e">
        <f ca="1">VLOOKUP(N296,'COLOR CODE'!$B:$D,2,FALSE)</f>
        <v>#N/A</v>
      </c>
      <c r="V296" s="4" t="str">
        <f t="shared" si="80"/>
        <v/>
      </c>
      <c r="W296" s="4" t="e" cm="1">
        <f t="array" ref="W296">IF(INDEX(Table2[],_xlfn.XMATCH($A296,Table2[Steel Member],0),_xlfn.XMATCH(W$2,Table2[#Headers],0))=0,"",INDEX(Table2[],_xlfn.XMATCH($A296,Table2[Steel Member],0),_xlfn.XMATCH(W$2,Table2[#Headers],0)))</f>
        <v>#N/A</v>
      </c>
      <c r="X296" s="4" t="e">
        <f t="shared" si="90"/>
        <v>#N/A</v>
      </c>
      <c r="Y296" s="4" t="e" cm="1">
        <f t="array" ref="Y296">IF(INDEX(Table2[],_xlfn.XMATCH($A296,Table2[Steel Member],0),_xlfn.XMATCH(Y$2,Table2[#Headers],0))=0,"",INDEX(Table2[],_xlfn.XMATCH($A296,Table2[Steel Member],0),_xlfn.XMATCH(Y$2,Table2[#Headers],0)))</f>
        <v>#N/A</v>
      </c>
      <c r="Z296" s="4" t="e" cm="1">
        <f t="array" ref="Z296">IF(INDEX(Table2[],_xlfn.XMATCH($A296,Table2[Steel Member],0),_xlfn.XMATCH(Z$2,Table2[#Headers],0))=0,"",INDEX(Table2[],_xlfn.XMATCH($A296,Table2[Steel Member],0),_xlfn.XMATCH(Z$2,Table2[#Headers],0)))</f>
        <v>#N/A</v>
      </c>
      <c r="AA296" s="4" t="e" cm="1">
        <f t="array" ref="AA296">IF(INDEX(Table2[],_xlfn.XMATCH($A296,Table2[Steel Member],0),_xlfn.XMATCH(AA$2,Table2[#Headers],0))=0,"",INDEX(Table2[],_xlfn.XMATCH($A296,Table2[Steel Member],0),_xlfn.XMATCH(AA$2,Table2[#Headers],0)))</f>
        <v>#N/A</v>
      </c>
      <c r="AB296" s="4" t="e" cm="1">
        <f t="array" ref="AB296">IF(INDEX(Table2[],_xlfn.XMATCH($A296,Table2[Steel Member],0),_xlfn.XMATCH(AB$2,Table2[#Headers],0))=0,"",INDEX(Table2[],_xlfn.XMATCH($A296,Table2[Steel Member],0),_xlfn.XMATCH(AB$2,Table2[#Headers],0)))</f>
        <v>#N/A</v>
      </c>
      <c r="AC296" s="4" t="str" cm="1">
        <f t="array" ref="AC296">IFERROR(INDEX(Table8[],_xlfn.XMATCH($O296,Table8[Dimension Name Category],0),_xlfn.XMATCH(AC$2&amp;IF($L296," w/ tag"," w/o tag"),Table8[#Headers],0)),"")</f>
        <v/>
      </c>
      <c r="AD296" s="59" t="str">
        <f t="shared" si="81"/>
        <v/>
      </c>
      <c r="AE296" s="4" t="str">
        <f t="shared" si="82"/>
        <v/>
      </c>
      <c r="AF296" s="4" t="str">
        <f t="shared" si="83"/>
        <v/>
      </c>
      <c r="AG296" s="4" t="str" cm="1">
        <f t="array" ref="AG296">IFERROR(INDEX(Table8[],_xlfn.XMATCH($O296,Table8[Dimension Name Category],0),_xlfn.XMATCH(AG$2&amp;IF($L296," w/ tag"," w/o tag"),Table8[#Headers],0)),"")</f>
        <v/>
      </c>
      <c r="AH296" s="59" t="str">
        <f t="shared" si="84"/>
        <v/>
      </c>
      <c r="AI296" s="4"/>
      <c r="AJ296" s="4" t="str">
        <f t="shared" si="85"/>
        <v/>
      </c>
      <c r="AK296" s="4" t="str">
        <f t="shared" si="86"/>
        <v/>
      </c>
      <c r="AL296" s="4" t="e" cm="1">
        <f t="array" ref="AL296">IF(INDEX(Table2[],_xlfn.XMATCH($A296,Table2[Steel Member],0),_xlfn.XMATCH(AL$2,Table2[#Headers],0))=0,"",INDEX(Table2[],_xlfn.XMATCH($A296,Table2[Steel Member],0),_xlfn.XMATCH(AL$2,Table2[#Headers],0)))</f>
        <v>#N/A</v>
      </c>
      <c r="AM296" s="4"/>
      <c r="AN296" s="4" t="str">
        <f t="shared" si="87"/>
        <v/>
      </c>
      <c r="AO296" s="4"/>
      <c r="AP296" s="4" t="e" cm="1">
        <f t="array" ref="AP296">IF(INDEX(Table2[],_xlfn.XMATCH($A296,Table2[Steel Member],0),_xlfn.XMATCH(AP$2,Table2[#Headers],0))=0,"",INDEX(Table2[],_xlfn.XMATCH($A296,Table2[Steel Member],0),_xlfn.XMATCH(AP$2,Table2[#Headers],0)))</f>
        <v>#N/A</v>
      </c>
      <c r="AQ296" s="4"/>
      <c r="AR296" s="4"/>
      <c r="AS296" s="4"/>
      <c r="AT296" s="4"/>
    </row>
    <row r="297" spans="1:46" x14ac:dyDescent="0.25">
      <c r="A297" s="52"/>
      <c r="B297" s="52"/>
      <c r="C297" s="52"/>
      <c r="D297" s="52"/>
      <c r="E297" s="52"/>
      <c r="F297" s="64" cm="1">
        <f t="array" ref="F297">IF(COUNT(FIND(PurlinsxGirthsxBracings,$C297))&gt;0,0,ROUNDUP(IF(D297=0,0,VLOOKUP(D297,'DATA SHEET'!$B:$D,2,FALSE)),2))</f>
        <v>0</v>
      </c>
      <c r="G297" s="64" cm="1">
        <f t="array" ref="G297">IF(COUNT(FIND(PurlinsxGirthsxBracings,$C297))&gt;0,0,ROUNDUP(IF(D297=0,0,VLOOKUP(D297,'DATA SHEET'!$B:$D,3,FALSE)),2))</f>
        <v>0</v>
      </c>
      <c r="H297" s="53"/>
      <c r="I297" s="66" cm="1">
        <f t="array" ref="I297">IF(AND(ISBLANK(B297),ISBLANK(C297),ISBLANK(E297)),0,IF(COUNT(FIND(PurlinsxGirthsxBracings,$C297))&gt;0,IF(B297=0,CONCATENATE(E297," ",C297),CONCATENATE(B297," - ",E297," ",C297)),IF(B297=0,IF(ISBLANK(C297),E297,CONCATENATE(D297,", ",F297,"kg/m, ",G297,"mm surface perimeter")),IF(AND(ISBLANK(C297),ISTEXT(E297)),CONCATENATE(B297," - ",E297),IF(AND(ISBLANK(C297),ISBLANK(E297)),B297,CONCATENATE(B297," - ",D297,", ",F297,"kg/m, ",G297,"mm surface perimeter"))))&amp;IF(ISBLANK(H297),"",H297)))</f>
        <v>0</v>
      </c>
      <c r="J297" s="53"/>
      <c r="L297" s="4" t="str" cm="1">
        <f t="array" ref="L297">IF(COUNT(FIND({0,1,2,3,4,5,6,7,8,9},B297))&gt;0,COUNT(FIND({0,1,2,3,4,5,6,7,8,9},B297))&gt;0,"")</f>
        <v/>
      </c>
      <c r="M297" s="4" t="str" cm="1">
        <f t="array" aca="1" ref="M297" ca="1">IFERROR(_xlfn.IFS(R297="Count",RANDBETWEEN(1,COUNTIF($R$11:$R$653,"Count")),R297="Length",RANDBETWEEN(1,COUNTIF($R$11:$R$653,"Length"))),"")</f>
        <v/>
      </c>
      <c r="N297" s="4" t="str">
        <f ca="1">IFERROR(_xlfn.RANK.EQ(M297,$M$11:$M$653)+COUNTIF($M$11:M297,M297)-1,"")</f>
        <v/>
      </c>
      <c r="O297" s="86" t="str">
        <f>IF(A297='DATA SHEET'!$L$36,C297,IFERROR(IF(AND(ISTEXT(I297),ISBLANK(C297)),"No details",VLOOKUP(C297,DimFolder,2,FALSE)),""))</f>
        <v/>
      </c>
      <c r="P297" s="4" t="str">
        <f t="shared" si="89"/>
        <v/>
      </c>
      <c r="Q297" s="58" t="str">
        <f t="shared" si="88"/>
        <v/>
      </c>
      <c r="R297" s="4" t="e" cm="1">
        <f t="array" ref="R297">IF(INDEX(Table2[],_xlfn.XMATCH($A297,Table2[Steel Member],0),_xlfn.XMATCH(R$2,Table2[#Headers],0))=0,"",INDEX(Table2[],_xlfn.XMATCH($A297,Table2[Steel Member],0),_xlfn.XMATCH(R$2,Table2[#Headers],0)))</f>
        <v>#N/A</v>
      </c>
      <c r="S297" s="4" t="e" cm="1">
        <f t="array" ref="S297">IF(INDEX(Table2[],_xlfn.XMATCH($A297,Table2[Steel Member],0),_xlfn.XMATCH(S$2,Table2[#Headers],0))=0,"",INDEX(Table2[],_xlfn.XMATCH($A297,Table2[Steel Member],0),_xlfn.XMATCH(S$2,Table2[#Headers],0)))</f>
        <v>#N/A</v>
      </c>
      <c r="T297" s="4" t="str">
        <f t="shared" si="79"/>
        <v/>
      </c>
      <c r="U297" s="4" t="e">
        <f ca="1">VLOOKUP(N297,'COLOR CODE'!$B:$D,2,FALSE)</f>
        <v>#N/A</v>
      </c>
      <c r="V297" s="4" t="str">
        <f t="shared" si="80"/>
        <v/>
      </c>
      <c r="W297" s="4" t="e" cm="1">
        <f t="array" ref="W297">IF(INDEX(Table2[],_xlfn.XMATCH($A297,Table2[Steel Member],0),_xlfn.XMATCH(W$2,Table2[#Headers],0))=0,"",INDEX(Table2[],_xlfn.XMATCH($A297,Table2[Steel Member],0),_xlfn.XMATCH(W$2,Table2[#Headers],0)))</f>
        <v>#N/A</v>
      </c>
      <c r="X297" s="4" t="e">
        <f t="shared" si="90"/>
        <v>#N/A</v>
      </c>
      <c r="Y297" s="4" t="e" cm="1">
        <f t="array" ref="Y297">IF(INDEX(Table2[],_xlfn.XMATCH($A297,Table2[Steel Member],0),_xlfn.XMATCH(Y$2,Table2[#Headers],0))=0,"",INDEX(Table2[],_xlfn.XMATCH($A297,Table2[Steel Member],0),_xlfn.XMATCH(Y$2,Table2[#Headers],0)))</f>
        <v>#N/A</v>
      </c>
      <c r="Z297" s="4" t="e" cm="1">
        <f t="array" ref="Z297">IF(INDEX(Table2[],_xlfn.XMATCH($A297,Table2[Steel Member],0),_xlfn.XMATCH(Z$2,Table2[#Headers],0))=0,"",INDEX(Table2[],_xlfn.XMATCH($A297,Table2[Steel Member],0),_xlfn.XMATCH(Z$2,Table2[#Headers],0)))</f>
        <v>#N/A</v>
      </c>
      <c r="AA297" s="4" t="e" cm="1">
        <f t="array" ref="AA297">IF(INDEX(Table2[],_xlfn.XMATCH($A297,Table2[Steel Member],0),_xlfn.XMATCH(AA$2,Table2[#Headers],0))=0,"",INDEX(Table2[],_xlfn.XMATCH($A297,Table2[Steel Member],0),_xlfn.XMATCH(AA$2,Table2[#Headers],0)))</f>
        <v>#N/A</v>
      </c>
      <c r="AB297" s="4" t="e" cm="1">
        <f t="array" ref="AB297">IF(INDEX(Table2[],_xlfn.XMATCH($A297,Table2[Steel Member],0),_xlfn.XMATCH(AB$2,Table2[#Headers],0))=0,"",INDEX(Table2[],_xlfn.XMATCH($A297,Table2[Steel Member],0),_xlfn.XMATCH(AB$2,Table2[#Headers],0)))</f>
        <v>#N/A</v>
      </c>
      <c r="AC297" s="4" t="str" cm="1">
        <f t="array" ref="AC297">IFERROR(INDEX(Table8[],_xlfn.XMATCH($O297,Table8[Dimension Name Category],0),_xlfn.XMATCH(AC$2&amp;IF($L297," w/ tag"," w/o tag"),Table8[#Headers],0)),"")</f>
        <v/>
      </c>
      <c r="AD297" s="59" t="str">
        <f t="shared" si="81"/>
        <v/>
      </c>
      <c r="AE297" s="4" t="str">
        <f t="shared" si="82"/>
        <v/>
      </c>
      <c r="AF297" s="4" t="str">
        <f t="shared" si="83"/>
        <v/>
      </c>
      <c r="AG297" s="4" t="str" cm="1">
        <f t="array" ref="AG297">IFERROR(INDEX(Table8[],_xlfn.XMATCH($O297,Table8[Dimension Name Category],0),_xlfn.XMATCH(AG$2&amp;IF($L297," w/ tag"," w/o tag"),Table8[#Headers],0)),"")</f>
        <v/>
      </c>
      <c r="AH297" s="59" t="str">
        <f t="shared" si="84"/>
        <v/>
      </c>
      <c r="AI297" s="4"/>
      <c r="AJ297" s="4" t="str">
        <f t="shared" si="85"/>
        <v/>
      </c>
      <c r="AK297" s="4" t="str">
        <f t="shared" si="86"/>
        <v/>
      </c>
      <c r="AL297" s="4" t="e" cm="1">
        <f t="array" ref="AL297">IF(INDEX(Table2[],_xlfn.XMATCH($A297,Table2[Steel Member],0),_xlfn.XMATCH(AL$2,Table2[#Headers],0))=0,"",INDEX(Table2[],_xlfn.XMATCH($A297,Table2[Steel Member],0),_xlfn.XMATCH(AL$2,Table2[#Headers],0)))</f>
        <v>#N/A</v>
      </c>
      <c r="AM297" s="4"/>
      <c r="AN297" s="4" t="str">
        <f t="shared" si="87"/>
        <v/>
      </c>
      <c r="AO297" s="4"/>
      <c r="AP297" s="4" t="e" cm="1">
        <f t="array" ref="AP297">IF(INDEX(Table2[],_xlfn.XMATCH($A297,Table2[Steel Member],0),_xlfn.XMATCH(AP$2,Table2[#Headers],0))=0,"",INDEX(Table2[],_xlfn.XMATCH($A297,Table2[Steel Member],0),_xlfn.XMATCH(AP$2,Table2[#Headers],0)))</f>
        <v>#N/A</v>
      </c>
      <c r="AQ297" s="4"/>
      <c r="AR297" s="4"/>
      <c r="AS297" s="4"/>
      <c r="AT297" s="4"/>
    </row>
    <row r="298" spans="1:46" x14ac:dyDescent="0.25">
      <c r="A298" s="52"/>
      <c r="B298" s="52"/>
      <c r="C298" s="52"/>
      <c r="D298" s="52"/>
      <c r="E298" s="52"/>
      <c r="F298" s="64" cm="1">
        <f t="array" ref="F298">IF(COUNT(FIND(PurlinsxGirthsxBracings,$C298))&gt;0,0,ROUNDUP(IF(D298=0,0,VLOOKUP(D298,'DATA SHEET'!$B:$D,2,FALSE)),2))</f>
        <v>0</v>
      </c>
      <c r="G298" s="64" cm="1">
        <f t="array" ref="G298">IF(COUNT(FIND(PurlinsxGirthsxBracings,$C298))&gt;0,0,ROUNDUP(IF(D298=0,0,VLOOKUP(D298,'DATA SHEET'!$B:$D,3,FALSE)),2))</f>
        <v>0</v>
      </c>
      <c r="H298" s="53"/>
      <c r="I298" s="66" cm="1">
        <f t="array" ref="I298">IF(AND(ISBLANK(B298),ISBLANK(C298),ISBLANK(E298)),0,IF(COUNT(FIND(PurlinsxGirthsxBracings,$C298))&gt;0,IF(B298=0,CONCATENATE(E298," ",C298),CONCATENATE(B298," - ",E298," ",C298)),IF(B298=0,IF(ISBLANK(C298),E298,CONCATENATE(D298,", ",F298,"kg/m, ",G298,"mm surface perimeter")),IF(AND(ISBLANK(C298),ISTEXT(E298)),CONCATENATE(B298," - ",E298),IF(AND(ISBLANK(C298),ISBLANK(E298)),B298,CONCATENATE(B298," - ",D298,", ",F298,"kg/m, ",G298,"mm surface perimeter"))))&amp;IF(ISBLANK(H298),"",H298)))</f>
        <v>0</v>
      </c>
      <c r="J298" s="53"/>
      <c r="L298" s="4" t="str" cm="1">
        <f t="array" ref="L298">IF(COUNT(FIND({0,1,2,3,4,5,6,7,8,9},B298))&gt;0,COUNT(FIND({0,1,2,3,4,5,6,7,8,9},B298))&gt;0,"")</f>
        <v/>
      </c>
      <c r="M298" s="4" t="str" cm="1">
        <f t="array" aca="1" ref="M298" ca="1">IFERROR(_xlfn.IFS(R298="Count",RANDBETWEEN(1,COUNTIF($R$11:$R$653,"Count")),R298="Length",RANDBETWEEN(1,COUNTIF($R$11:$R$653,"Length"))),"")</f>
        <v/>
      </c>
      <c r="N298" s="4" t="str">
        <f ca="1">IFERROR(_xlfn.RANK.EQ(M298,$M$11:$M$653)+COUNTIF($M$11:M298,M298)-1,"")</f>
        <v/>
      </c>
      <c r="O298" s="86" t="str">
        <f>IF(A298='DATA SHEET'!$L$36,C298,IFERROR(IF(AND(ISTEXT(I298),ISBLANK(C298)),"No details",VLOOKUP(C298,DimFolder,2,FALSE)),""))</f>
        <v/>
      </c>
      <c r="P298" s="4" t="str">
        <f t="shared" si="89"/>
        <v/>
      </c>
      <c r="Q298" s="58" t="str">
        <f t="shared" si="88"/>
        <v/>
      </c>
      <c r="R298" s="4" t="e" cm="1">
        <f t="array" ref="R298">IF(INDEX(Table2[],_xlfn.XMATCH($A298,Table2[Steel Member],0),_xlfn.XMATCH(R$2,Table2[#Headers],0))=0,"",INDEX(Table2[],_xlfn.XMATCH($A298,Table2[Steel Member],0),_xlfn.XMATCH(R$2,Table2[#Headers],0)))</f>
        <v>#N/A</v>
      </c>
      <c r="S298" s="4" t="e" cm="1">
        <f t="array" ref="S298">IF(INDEX(Table2[],_xlfn.XMATCH($A298,Table2[Steel Member],0),_xlfn.XMATCH(S$2,Table2[#Headers],0))=0,"",INDEX(Table2[],_xlfn.XMATCH($A298,Table2[Steel Member],0),_xlfn.XMATCH(S$2,Table2[#Headers],0)))</f>
        <v>#N/A</v>
      </c>
      <c r="T298" s="4" t="str">
        <f t="shared" si="79"/>
        <v/>
      </c>
      <c r="U298" s="4" t="e">
        <f ca="1">VLOOKUP(N298,'COLOR CODE'!$B:$D,2,FALSE)</f>
        <v>#N/A</v>
      </c>
      <c r="V298" s="4" t="str">
        <f t="shared" si="80"/>
        <v/>
      </c>
      <c r="W298" s="4" t="e" cm="1">
        <f t="array" ref="W298">IF(INDEX(Table2[],_xlfn.XMATCH($A298,Table2[Steel Member],0),_xlfn.XMATCH(W$2,Table2[#Headers],0))=0,"",INDEX(Table2[],_xlfn.XMATCH($A298,Table2[Steel Member],0),_xlfn.XMATCH(W$2,Table2[#Headers],0)))</f>
        <v>#N/A</v>
      </c>
      <c r="X298" s="4" t="e">
        <f t="shared" si="90"/>
        <v>#N/A</v>
      </c>
      <c r="Y298" s="4" t="e" cm="1">
        <f t="array" ref="Y298">IF(INDEX(Table2[],_xlfn.XMATCH($A298,Table2[Steel Member],0),_xlfn.XMATCH(Y$2,Table2[#Headers],0))=0,"",INDEX(Table2[],_xlfn.XMATCH($A298,Table2[Steel Member],0),_xlfn.XMATCH(Y$2,Table2[#Headers],0)))</f>
        <v>#N/A</v>
      </c>
      <c r="Z298" s="4" t="e" cm="1">
        <f t="array" ref="Z298">IF(INDEX(Table2[],_xlfn.XMATCH($A298,Table2[Steel Member],0),_xlfn.XMATCH(Z$2,Table2[#Headers],0))=0,"",INDEX(Table2[],_xlfn.XMATCH($A298,Table2[Steel Member],0),_xlfn.XMATCH(Z$2,Table2[#Headers],0)))</f>
        <v>#N/A</v>
      </c>
      <c r="AA298" s="4" t="e" cm="1">
        <f t="array" ref="AA298">IF(INDEX(Table2[],_xlfn.XMATCH($A298,Table2[Steel Member],0),_xlfn.XMATCH(AA$2,Table2[#Headers],0))=0,"",INDEX(Table2[],_xlfn.XMATCH($A298,Table2[Steel Member],0),_xlfn.XMATCH(AA$2,Table2[#Headers],0)))</f>
        <v>#N/A</v>
      </c>
      <c r="AB298" s="4" t="e" cm="1">
        <f t="array" ref="AB298">IF(INDEX(Table2[],_xlfn.XMATCH($A298,Table2[Steel Member],0),_xlfn.XMATCH(AB$2,Table2[#Headers],0))=0,"",INDEX(Table2[],_xlfn.XMATCH($A298,Table2[Steel Member],0),_xlfn.XMATCH(AB$2,Table2[#Headers],0)))</f>
        <v>#N/A</v>
      </c>
      <c r="AC298" s="4" t="str" cm="1">
        <f t="array" ref="AC298">IFERROR(INDEX(Table8[],_xlfn.XMATCH($O298,Table8[Dimension Name Category],0),_xlfn.XMATCH(AC$2&amp;IF($L298," w/ tag"," w/o tag"),Table8[#Headers],0)),"")</f>
        <v/>
      </c>
      <c r="AD298" s="59" t="str">
        <f t="shared" si="81"/>
        <v/>
      </c>
      <c r="AE298" s="4" t="str">
        <f t="shared" si="82"/>
        <v/>
      </c>
      <c r="AF298" s="4" t="str">
        <f t="shared" si="83"/>
        <v/>
      </c>
      <c r="AG298" s="4" t="str" cm="1">
        <f t="array" ref="AG298">IFERROR(INDEX(Table8[],_xlfn.XMATCH($O298,Table8[Dimension Name Category],0),_xlfn.XMATCH(AG$2&amp;IF($L298," w/ tag"," w/o tag"),Table8[#Headers],0)),"")</f>
        <v/>
      </c>
      <c r="AH298" s="59" t="str">
        <f t="shared" si="84"/>
        <v/>
      </c>
      <c r="AI298" s="4"/>
      <c r="AJ298" s="4" t="str">
        <f t="shared" si="85"/>
        <v/>
      </c>
      <c r="AK298" s="4" t="str">
        <f t="shared" si="86"/>
        <v/>
      </c>
      <c r="AL298" s="4" t="e" cm="1">
        <f t="array" ref="AL298">IF(INDEX(Table2[],_xlfn.XMATCH($A298,Table2[Steel Member],0),_xlfn.XMATCH(AL$2,Table2[#Headers],0))=0,"",INDEX(Table2[],_xlfn.XMATCH($A298,Table2[Steel Member],0),_xlfn.XMATCH(AL$2,Table2[#Headers],0)))</f>
        <v>#N/A</v>
      </c>
      <c r="AM298" s="4"/>
      <c r="AN298" s="4" t="str">
        <f t="shared" si="87"/>
        <v/>
      </c>
      <c r="AO298" s="4"/>
      <c r="AP298" s="4" t="e" cm="1">
        <f t="array" ref="AP298">IF(INDEX(Table2[],_xlfn.XMATCH($A298,Table2[Steel Member],0),_xlfn.XMATCH(AP$2,Table2[#Headers],0))=0,"",INDEX(Table2[],_xlfn.XMATCH($A298,Table2[Steel Member],0),_xlfn.XMATCH(AP$2,Table2[#Headers],0)))</f>
        <v>#N/A</v>
      </c>
      <c r="AQ298" s="4"/>
      <c r="AR298" s="4"/>
      <c r="AS298" s="4"/>
      <c r="AT298" s="4"/>
    </row>
    <row r="299" spans="1:46" x14ac:dyDescent="0.25">
      <c r="A299" s="52"/>
      <c r="B299" s="52"/>
      <c r="C299" s="52"/>
      <c r="D299" s="52"/>
      <c r="E299" s="52"/>
      <c r="F299" s="64" cm="1">
        <f t="array" ref="F299">IF(COUNT(FIND(PurlinsxGirthsxBracings,$C299))&gt;0,0,ROUNDUP(IF(D299=0,0,VLOOKUP(D299,'DATA SHEET'!$B:$D,2,FALSE)),2))</f>
        <v>0</v>
      </c>
      <c r="G299" s="64" cm="1">
        <f t="array" ref="G299">IF(COUNT(FIND(PurlinsxGirthsxBracings,$C299))&gt;0,0,ROUNDUP(IF(D299=0,0,VLOOKUP(D299,'DATA SHEET'!$B:$D,3,FALSE)),2))</f>
        <v>0</v>
      </c>
      <c r="H299" s="53"/>
      <c r="I299" s="66" cm="1">
        <f t="array" ref="I299">IF(AND(ISBLANK(B299),ISBLANK(C299),ISBLANK(E299)),0,IF(COUNT(FIND(PurlinsxGirthsxBracings,$C299))&gt;0,IF(B299=0,CONCATENATE(E299," ",C299),CONCATENATE(B299," - ",E299," ",C299)),IF(B299=0,IF(ISBLANK(C299),E299,CONCATENATE(D299,", ",F299,"kg/m, ",G299,"mm surface perimeter")),IF(AND(ISBLANK(C299),ISTEXT(E299)),CONCATENATE(B299," - ",E299),IF(AND(ISBLANK(C299),ISBLANK(E299)),B299,CONCATENATE(B299," - ",D299,", ",F299,"kg/m, ",G299,"mm surface perimeter"))))&amp;IF(ISBLANK(H299),"",H299)))</f>
        <v>0</v>
      </c>
      <c r="J299" s="53"/>
      <c r="L299" s="4" t="str" cm="1">
        <f t="array" ref="L299">IF(COUNT(FIND({0,1,2,3,4,5,6,7,8,9},B299))&gt;0,COUNT(FIND({0,1,2,3,4,5,6,7,8,9},B299))&gt;0,"")</f>
        <v/>
      </c>
      <c r="M299" s="4" t="str" cm="1">
        <f t="array" aca="1" ref="M299" ca="1">IFERROR(_xlfn.IFS(R299="Count",RANDBETWEEN(1,COUNTIF($R$11:$R$653,"Count")),R299="Length",RANDBETWEEN(1,COUNTIF($R$11:$R$653,"Length"))),"")</f>
        <v/>
      </c>
      <c r="N299" s="4" t="str">
        <f ca="1">IFERROR(_xlfn.RANK.EQ(M299,$M$11:$M$653)+COUNTIF($M$11:M299,M299)-1,"")</f>
        <v/>
      </c>
      <c r="O299" s="86" t="str">
        <f>IF(A299='DATA SHEET'!$L$36,C299,IFERROR(IF(AND(ISTEXT(I299),ISBLANK(C299)),"No details",VLOOKUP(C299,DimFolder,2,FALSE)),""))</f>
        <v/>
      </c>
      <c r="P299" s="4" t="str">
        <f t="shared" si="89"/>
        <v/>
      </c>
      <c r="Q299" s="58" t="str">
        <f t="shared" si="88"/>
        <v/>
      </c>
      <c r="R299" s="4" t="e" cm="1">
        <f t="array" ref="R299">IF(INDEX(Table2[],_xlfn.XMATCH($A299,Table2[Steel Member],0),_xlfn.XMATCH(R$2,Table2[#Headers],0))=0,"",INDEX(Table2[],_xlfn.XMATCH($A299,Table2[Steel Member],0),_xlfn.XMATCH(R$2,Table2[#Headers],0)))</f>
        <v>#N/A</v>
      </c>
      <c r="S299" s="4" t="e" cm="1">
        <f t="array" ref="S299">IF(INDEX(Table2[],_xlfn.XMATCH($A299,Table2[Steel Member],0),_xlfn.XMATCH(S$2,Table2[#Headers],0))=0,"",INDEX(Table2[],_xlfn.XMATCH($A299,Table2[Steel Member],0),_xlfn.XMATCH(S$2,Table2[#Headers],0)))</f>
        <v>#N/A</v>
      </c>
      <c r="T299" s="4" t="str">
        <f t="shared" si="79"/>
        <v/>
      </c>
      <c r="U299" s="4" t="e">
        <f ca="1">VLOOKUP(N299,'COLOR CODE'!$B:$D,2,FALSE)</f>
        <v>#N/A</v>
      </c>
      <c r="V299" s="4" t="str">
        <f t="shared" si="80"/>
        <v/>
      </c>
      <c r="W299" s="4" t="e" cm="1">
        <f t="array" ref="W299">IF(INDEX(Table2[],_xlfn.XMATCH($A299,Table2[Steel Member],0),_xlfn.XMATCH(W$2,Table2[#Headers],0))=0,"",INDEX(Table2[],_xlfn.XMATCH($A299,Table2[Steel Member],0),_xlfn.XMATCH(W$2,Table2[#Headers],0)))</f>
        <v>#N/A</v>
      </c>
      <c r="X299" s="4" t="e">
        <f t="shared" si="90"/>
        <v>#N/A</v>
      </c>
      <c r="Y299" s="4" t="e" cm="1">
        <f t="array" ref="Y299">IF(INDEX(Table2[],_xlfn.XMATCH($A299,Table2[Steel Member],0),_xlfn.XMATCH(Y$2,Table2[#Headers],0))=0,"",INDEX(Table2[],_xlfn.XMATCH($A299,Table2[Steel Member],0),_xlfn.XMATCH(Y$2,Table2[#Headers],0)))</f>
        <v>#N/A</v>
      </c>
      <c r="Z299" s="4" t="e" cm="1">
        <f t="array" ref="Z299">IF(INDEX(Table2[],_xlfn.XMATCH($A299,Table2[Steel Member],0),_xlfn.XMATCH(Z$2,Table2[#Headers],0))=0,"",INDEX(Table2[],_xlfn.XMATCH($A299,Table2[Steel Member],0),_xlfn.XMATCH(Z$2,Table2[#Headers],0)))</f>
        <v>#N/A</v>
      </c>
      <c r="AA299" s="4" t="e" cm="1">
        <f t="array" ref="AA299">IF(INDEX(Table2[],_xlfn.XMATCH($A299,Table2[Steel Member],0),_xlfn.XMATCH(AA$2,Table2[#Headers],0))=0,"",INDEX(Table2[],_xlfn.XMATCH($A299,Table2[Steel Member],0),_xlfn.XMATCH(AA$2,Table2[#Headers],0)))</f>
        <v>#N/A</v>
      </c>
      <c r="AB299" s="4" t="e" cm="1">
        <f t="array" ref="AB299">IF(INDEX(Table2[],_xlfn.XMATCH($A299,Table2[Steel Member],0),_xlfn.XMATCH(AB$2,Table2[#Headers],0))=0,"",INDEX(Table2[],_xlfn.XMATCH($A299,Table2[Steel Member],0),_xlfn.XMATCH(AB$2,Table2[#Headers],0)))</f>
        <v>#N/A</v>
      </c>
      <c r="AC299" s="4" t="str" cm="1">
        <f t="array" ref="AC299">IFERROR(INDEX(Table8[],_xlfn.XMATCH($O299,Table8[Dimension Name Category],0),_xlfn.XMATCH(AC$2&amp;IF($L299," w/ tag"," w/o tag"),Table8[#Headers],0)),"")</f>
        <v/>
      </c>
      <c r="AD299" s="59" t="str">
        <f t="shared" si="81"/>
        <v/>
      </c>
      <c r="AE299" s="4" t="str">
        <f t="shared" si="82"/>
        <v/>
      </c>
      <c r="AF299" s="4" t="str">
        <f t="shared" si="83"/>
        <v/>
      </c>
      <c r="AG299" s="4" t="str" cm="1">
        <f t="array" ref="AG299">IFERROR(INDEX(Table8[],_xlfn.XMATCH($O299,Table8[Dimension Name Category],0),_xlfn.XMATCH(AG$2&amp;IF($L299," w/ tag"," w/o tag"),Table8[#Headers],0)),"")</f>
        <v/>
      </c>
      <c r="AH299" s="59" t="str">
        <f t="shared" si="84"/>
        <v/>
      </c>
      <c r="AI299" s="4"/>
      <c r="AJ299" s="4" t="str">
        <f t="shared" si="85"/>
        <v/>
      </c>
      <c r="AK299" s="4" t="str">
        <f t="shared" si="86"/>
        <v/>
      </c>
      <c r="AL299" s="4" t="e" cm="1">
        <f t="array" ref="AL299">IF(INDEX(Table2[],_xlfn.XMATCH($A299,Table2[Steel Member],0),_xlfn.XMATCH(AL$2,Table2[#Headers],0))=0,"",INDEX(Table2[],_xlfn.XMATCH($A299,Table2[Steel Member],0),_xlfn.XMATCH(AL$2,Table2[#Headers],0)))</f>
        <v>#N/A</v>
      </c>
      <c r="AM299" s="4"/>
      <c r="AN299" s="4" t="str">
        <f t="shared" si="87"/>
        <v/>
      </c>
      <c r="AO299" s="4"/>
      <c r="AP299" s="4" t="e" cm="1">
        <f t="array" ref="AP299">IF(INDEX(Table2[],_xlfn.XMATCH($A299,Table2[Steel Member],0),_xlfn.XMATCH(AP$2,Table2[#Headers],0))=0,"",INDEX(Table2[],_xlfn.XMATCH($A299,Table2[Steel Member],0),_xlfn.XMATCH(AP$2,Table2[#Headers],0)))</f>
        <v>#N/A</v>
      </c>
      <c r="AQ299" s="4"/>
      <c r="AR299" s="4"/>
      <c r="AS299" s="4"/>
      <c r="AT299" s="4"/>
    </row>
    <row r="300" spans="1:46" x14ac:dyDescent="0.25">
      <c r="A300" s="52"/>
      <c r="B300" s="52"/>
      <c r="C300" s="52"/>
      <c r="D300" s="52"/>
      <c r="E300" s="52"/>
      <c r="F300" s="64" cm="1">
        <f t="array" ref="F300">IF(COUNT(FIND(PurlinsxGirthsxBracings,$C300))&gt;0,0,ROUNDUP(IF(D300=0,0,VLOOKUP(D300,'DATA SHEET'!$B:$D,2,FALSE)),2))</f>
        <v>0</v>
      </c>
      <c r="G300" s="64" cm="1">
        <f t="array" ref="G300">IF(COUNT(FIND(PurlinsxGirthsxBracings,$C300))&gt;0,0,ROUNDUP(IF(D300=0,0,VLOOKUP(D300,'DATA SHEET'!$B:$D,3,FALSE)),2))</f>
        <v>0</v>
      </c>
      <c r="H300" s="53"/>
      <c r="I300" s="66" cm="1">
        <f t="array" ref="I300">IF(AND(ISBLANK(B300),ISBLANK(C300),ISBLANK(E300)),0,IF(COUNT(FIND(PurlinsxGirthsxBracings,$C300))&gt;0,IF(B300=0,CONCATENATE(E300," ",C300),CONCATENATE(B300," - ",E300," ",C300)),IF(B300=0,IF(ISBLANK(C300),E300,CONCATENATE(D300,", ",F300,"kg/m, ",G300,"mm surface perimeter")),IF(AND(ISBLANK(C300),ISTEXT(E300)),CONCATENATE(B300," - ",E300),IF(AND(ISBLANK(C300),ISBLANK(E300)),B300,CONCATENATE(B300," - ",D300,", ",F300,"kg/m, ",G300,"mm surface perimeter"))))&amp;IF(ISBLANK(H300),"",H300)))</f>
        <v>0</v>
      </c>
      <c r="J300" s="53"/>
      <c r="L300" s="4" t="str" cm="1">
        <f t="array" ref="L300">IF(COUNT(FIND({0,1,2,3,4,5,6,7,8,9},B300))&gt;0,COUNT(FIND({0,1,2,3,4,5,6,7,8,9},B300))&gt;0,"")</f>
        <v/>
      </c>
      <c r="M300" s="4" t="str" cm="1">
        <f t="array" aca="1" ref="M300" ca="1">IFERROR(_xlfn.IFS(R300="Count",RANDBETWEEN(1,COUNTIF($R$11:$R$653,"Count")),R300="Length",RANDBETWEEN(1,COUNTIF($R$11:$R$653,"Length"))),"")</f>
        <v/>
      </c>
      <c r="N300" s="4" t="str">
        <f ca="1">IFERROR(_xlfn.RANK.EQ(M300,$M$11:$M$653)+COUNTIF($M$11:M300,M300)-1,"")</f>
        <v/>
      </c>
      <c r="O300" s="86" t="str">
        <f>IF(A300='DATA SHEET'!$L$36,C300,IFERROR(IF(AND(ISTEXT(I300),ISBLANK(C300)),"No details",VLOOKUP(C300,DimFolder,2,FALSE)),""))</f>
        <v/>
      </c>
      <c r="P300" s="4" t="str">
        <f t="shared" si="89"/>
        <v/>
      </c>
      <c r="Q300" s="58" t="str">
        <f t="shared" si="88"/>
        <v/>
      </c>
      <c r="R300" s="4" t="e" cm="1">
        <f t="array" ref="R300">IF(INDEX(Table2[],_xlfn.XMATCH($A300,Table2[Steel Member],0),_xlfn.XMATCH(R$2,Table2[#Headers],0))=0,"",INDEX(Table2[],_xlfn.XMATCH($A300,Table2[Steel Member],0),_xlfn.XMATCH(R$2,Table2[#Headers],0)))</f>
        <v>#N/A</v>
      </c>
      <c r="S300" s="4" t="e" cm="1">
        <f t="array" ref="S300">IF(INDEX(Table2[],_xlfn.XMATCH($A300,Table2[Steel Member],0),_xlfn.XMATCH(S$2,Table2[#Headers],0))=0,"",INDEX(Table2[],_xlfn.XMATCH($A300,Table2[Steel Member],0),_xlfn.XMATCH(S$2,Table2[#Headers],0)))</f>
        <v>#N/A</v>
      </c>
      <c r="T300" s="4" t="str">
        <f t="shared" si="79"/>
        <v/>
      </c>
      <c r="U300" s="4" t="e">
        <f ca="1">VLOOKUP(N300,'COLOR CODE'!$B:$D,2,FALSE)</f>
        <v>#N/A</v>
      </c>
      <c r="V300" s="4" t="str">
        <f t="shared" si="80"/>
        <v/>
      </c>
      <c r="W300" s="4" t="e" cm="1">
        <f t="array" ref="W300">IF(INDEX(Table2[],_xlfn.XMATCH($A300,Table2[Steel Member],0),_xlfn.XMATCH(W$2,Table2[#Headers],0))=0,"",INDEX(Table2[],_xlfn.XMATCH($A300,Table2[Steel Member],0),_xlfn.XMATCH(W$2,Table2[#Headers],0)))</f>
        <v>#N/A</v>
      </c>
      <c r="X300" s="4" t="e">
        <f t="shared" si="90"/>
        <v>#N/A</v>
      </c>
      <c r="Y300" s="4" t="e" cm="1">
        <f t="array" ref="Y300">IF(INDEX(Table2[],_xlfn.XMATCH($A300,Table2[Steel Member],0),_xlfn.XMATCH(Y$2,Table2[#Headers],0))=0,"",INDEX(Table2[],_xlfn.XMATCH($A300,Table2[Steel Member],0),_xlfn.XMATCH(Y$2,Table2[#Headers],0)))</f>
        <v>#N/A</v>
      </c>
      <c r="Z300" s="4" t="e" cm="1">
        <f t="array" ref="Z300">IF(INDEX(Table2[],_xlfn.XMATCH($A300,Table2[Steel Member],0),_xlfn.XMATCH(Z$2,Table2[#Headers],0))=0,"",INDEX(Table2[],_xlfn.XMATCH($A300,Table2[Steel Member],0),_xlfn.XMATCH(Z$2,Table2[#Headers],0)))</f>
        <v>#N/A</v>
      </c>
      <c r="AA300" s="4" t="e" cm="1">
        <f t="array" ref="AA300">IF(INDEX(Table2[],_xlfn.XMATCH($A300,Table2[Steel Member],0),_xlfn.XMATCH(AA$2,Table2[#Headers],0))=0,"",INDEX(Table2[],_xlfn.XMATCH($A300,Table2[Steel Member],0),_xlfn.XMATCH(AA$2,Table2[#Headers],0)))</f>
        <v>#N/A</v>
      </c>
      <c r="AB300" s="4" t="e" cm="1">
        <f t="array" ref="AB300">IF(INDEX(Table2[],_xlfn.XMATCH($A300,Table2[Steel Member],0),_xlfn.XMATCH(AB$2,Table2[#Headers],0))=0,"",INDEX(Table2[],_xlfn.XMATCH($A300,Table2[Steel Member],0),_xlfn.XMATCH(AB$2,Table2[#Headers],0)))</f>
        <v>#N/A</v>
      </c>
      <c r="AC300" s="4" t="str" cm="1">
        <f t="array" ref="AC300">IFERROR(INDEX(Table8[],_xlfn.XMATCH($O300,Table8[Dimension Name Category],0),_xlfn.XMATCH(AC$2&amp;IF($L300," w/ tag"," w/o tag"),Table8[#Headers],0)),"")</f>
        <v/>
      </c>
      <c r="AD300" s="59" t="str">
        <f t="shared" si="81"/>
        <v/>
      </c>
      <c r="AE300" s="4" t="str">
        <f t="shared" si="82"/>
        <v/>
      </c>
      <c r="AF300" s="4" t="str">
        <f t="shared" si="83"/>
        <v/>
      </c>
      <c r="AG300" s="4" t="str" cm="1">
        <f t="array" ref="AG300">IFERROR(INDEX(Table8[],_xlfn.XMATCH($O300,Table8[Dimension Name Category],0),_xlfn.XMATCH(AG$2&amp;IF($L300," w/ tag"," w/o tag"),Table8[#Headers],0)),"")</f>
        <v/>
      </c>
      <c r="AH300" s="59" t="str">
        <f t="shared" si="84"/>
        <v/>
      </c>
      <c r="AI300" s="4"/>
      <c r="AJ300" s="4" t="str">
        <f t="shared" si="85"/>
        <v/>
      </c>
      <c r="AK300" s="4" t="str">
        <f t="shared" si="86"/>
        <v/>
      </c>
      <c r="AL300" s="4" t="e" cm="1">
        <f t="array" ref="AL300">IF(INDEX(Table2[],_xlfn.XMATCH($A300,Table2[Steel Member],0),_xlfn.XMATCH(AL$2,Table2[#Headers],0))=0,"",INDEX(Table2[],_xlfn.XMATCH($A300,Table2[Steel Member],0),_xlfn.XMATCH(AL$2,Table2[#Headers],0)))</f>
        <v>#N/A</v>
      </c>
      <c r="AM300" s="4"/>
      <c r="AN300" s="4" t="str">
        <f t="shared" si="87"/>
        <v/>
      </c>
      <c r="AO300" s="4"/>
      <c r="AP300" s="4" t="e" cm="1">
        <f t="array" ref="AP300">IF(INDEX(Table2[],_xlfn.XMATCH($A300,Table2[Steel Member],0),_xlfn.XMATCH(AP$2,Table2[#Headers],0))=0,"",INDEX(Table2[],_xlfn.XMATCH($A300,Table2[Steel Member],0),_xlfn.XMATCH(AP$2,Table2[#Headers],0)))</f>
        <v>#N/A</v>
      </c>
      <c r="AQ300" s="4"/>
      <c r="AR300" s="4"/>
      <c r="AS300" s="4"/>
      <c r="AT300" s="4"/>
    </row>
    <row r="301" spans="1:46" x14ac:dyDescent="0.25">
      <c r="A301" s="52"/>
      <c r="B301" s="52"/>
      <c r="C301" s="52"/>
      <c r="D301" s="52"/>
      <c r="E301" s="52"/>
      <c r="F301" s="64" cm="1">
        <f t="array" ref="F301">IF(COUNT(FIND(PurlinsxGirthsxBracings,$C301))&gt;0,0,ROUNDUP(IF(D301=0,0,VLOOKUP(D301,'DATA SHEET'!$B:$D,2,FALSE)),2))</f>
        <v>0</v>
      </c>
      <c r="G301" s="64" cm="1">
        <f t="array" ref="G301">IF(COUNT(FIND(PurlinsxGirthsxBracings,$C301))&gt;0,0,ROUNDUP(IF(D301=0,0,VLOOKUP(D301,'DATA SHEET'!$B:$D,3,FALSE)),2))</f>
        <v>0</v>
      </c>
      <c r="H301" s="53"/>
      <c r="I301" s="66" cm="1">
        <f t="array" ref="I301">IF(AND(ISBLANK(B301),ISBLANK(C301),ISBLANK(E301)),0,IF(COUNT(FIND(PurlinsxGirthsxBracings,$C301))&gt;0,IF(B301=0,CONCATENATE(E301," ",C301),CONCATENATE(B301," - ",E301," ",C301)),IF(B301=0,IF(ISBLANK(C301),E301,CONCATENATE(D301,", ",F301,"kg/m, ",G301,"mm surface perimeter")),IF(AND(ISBLANK(C301),ISTEXT(E301)),CONCATENATE(B301," - ",E301),IF(AND(ISBLANK(C301),ISBLANK(E301)),B301,CONCATENATE(B301," - ",D301,", ",F301,"kg/m, ",G301,"mm surface perimeter"))))&amp;IF(ISBLANK(H301),"",H301)))</f>
        <v>0</v>
      </c>
      <c r="J301" s="53"/>
      <c r="L301" s="4" t="str" cm="1">
        <f t="array" ref="L301">IF(COUNT(FIND({0,1,2,3,4,5,6,7,8,9},B301))&gt;0,COUNT(FIND({0,1,2,3,4,5,6,7,8,9},B301))&gt;0,"")</f>
        <v/>
      </c>
      <c r="M301" s="4" t="str" cm="1">
        <f t="array" aca="1" ref="M301" ca="1">IFERROR(_xlfn.IFS(R301="Count",RANDBETWEEN(1,COUNTIF($R$11:$R$653,"Count")),R301="Length",RANDBETWEEN(1,COUNTIF($R$11:$R$653,"Length"))),"")</f>
        <v/>
      </c>
      <c r="N301" s="4" t="str">
        <f ca="1">IFERROR(_xlfn.RANK.EQ(M301,$M$11:$M$653)+COUNTIF($M$11:M301,M301)-1,"")</f>
        <v/>
      </c>
      <c r="O301" s="86" t="str">
        <f>IF(A301='DATA SHEET'!$L$36,C301,IFERROR(IF(AND(ISTEXT(I301),ISBLANK(C301)),"No details",VLOOKUP(C301,DimFolder,2,FALSE)),""))</f>
        <v/>
      </c>
      <c r="P301" s="4" t="str">
        <f t="shared" si="89"/>
        <v/>
      </c>
      <c r="Q301" s="58" t="str">
        <f t="shared" si="88"/>
        <v/>
      </c>
      <c r="R301" s="4" t="e" cm="1">
        <f t="array" ref="R301">IF(INDEX(Table2[],_xlfn.XMATCH($A301,Table2[Steel Member],0),_xlfn.XMATCH(R$2,Table2[#Headers],0))=0,"",INDEX(Table2[],_xlfn.XMATCH($A301,Table2[Steel Member],0),_xlfn.XMATCH(R$2,Table2[#Headers],0)))</f>
        <v>#N/A</v>
      </c>
      <c r="S301" s="4" t="e" cm="1">
        <f t="array" ref="S301">IF(INDEX(Table2[],_xlfn.XMATCH($A301,Table2[Steel Member],0),_xlfn.XMATCH(S$2,Table2[#Headers],0))=0,"",INDEX(Table2[],_xlfn.XMATCH($A301,Table2[Steel Member],0),_xlfn.XMATCH(S$2,Table2[#Headers],0)))</f>
        <v>#N/A</v>
      </c>
      <c r="T301" s="4" t="str">
        <f t="shared" si="79"/>
        <v/>
      </c>
      <c r="U301" s="4" t="e">
        <f ca="1">VLOOKUP(N301,'COLOR CODE'!$B:$D,2,FALSE)</f>
        <v>#N/A</v>
      </c>
      <c r="V301" s="4" t="str">
        <f t="shared" si="80"/>
        <v/>
      </c>
      <c r="W301" s="4" t="e" cm="1">
        <f t="array" ref="W301">IF(INDEX(Table2[],_xlfn.XMATCH($A301,Table2[Steel Member],0),_xlfn.XMATCH(W$2,Table2[#Headers],0))=0,"",INDEX(Table2[],_xlfn.XMATCH($A301,Table2[Steel Member],0),_xlfn.XMATCH(W$2,Table2[#Headers],0)))</f>
        <v>#N/A</v>
      </c>
      <c r="X301" s="4" t="e">
        <f t="shared" si="90"/>
        <v>#N/A</v>
      </c>
      <c r="Y301" s="4" t="e" cm="1">
        <f t="array" ref="Y301">IF(INDEX(Table2[],_xlfn.XMATCH($A301,Table2[Steel Member],0),_xlfn.XMATCH(Y$2,Table2[#Headers],0))=0,"",INDEX(Table2[],_xlfn.XMATCH($A301,Table2[Steel Member],0),_xlfn.XMATCH(Y$2,Table2[#Headers],0)))</f>
        <v>#N/A</v>
      </c>
      <c r="Z301" s="4" t="e" cm="1">
        <f t="array" ref="Z301">IF(INDEX(Table2[],_xlfn.XMATCH($A301,Table2[Steel Member],0),_xlfn.XMATCH(Z$2,Table2[#Headers],0))=0,"",INDEX(Table2[],_xlfn.XMATCH($A301,Table2[Steel Member],0),_xlfn.XMATCH(Z$2,Table2[#Headers],0)))</f>
        <v>#N/A</v>
      </c>
      <c r="AA301" s="4" t="e" cm="1">
        <f t="array" ref="AA301">IF(INDEX(Table2[],_xlfn.XMATCH($A301,Table2[Steel Member],0),_xlfn.XMATCH(AA$2,Table2[#Headers],0))=0,"",INDEX(Table2[],_xlfn.XMATCH($A301,Table2[Steel Member],0),_xlfn.XMATCH(AA$2,Table2[#Headers],0)))</f>
        <v>#N/A</v>
      </c>
      <c r="AB301" s="4" t="e" cm="1">
        <f t="array" ref="AB301">IF(INDEX(Table2[],_xlfn.XMATCH($A301,Table2[Steel Member],0),_xlfn.XMATCH(AB$2,Table2[#Headers],0))=0,"",INDEX(Table2[],_xlfn.XMATCH($A301,Table2[Steel Member],0),_xlfn.XMATCH(AB$2,Table2[#Headers],0)))</f>
        <v>#N/A</v>
      </c>
      <c r="AC301" s="4" t="str" cm="1">
        <f t="array" ref="AC301">IFERROR(INDEX(Table8[],_xlfn.XMATCH($O301,Table8[Dimension Name Category],0),_xlfn.XMATCH(AC$2&amp;IF($L301," w/ tag"," w/o tag"),Table8[#Headers],0)),"")</f>
        <v/>
      </c>
      <c r="AD301" s="59" t="str">
        <f t="shared" si="81"/>
        <v/>
      </c>
      <c r="AE301" s="4" t="str">
        <f t="shared" si="82"/>
        <v/>
      </c>
      <c r="AF301" s="4" t="str">
        <f t="shared" si="83"/>
        <v/>
      </c>
      <c r="AG301" s="4" t="str" cm="1">
        <f t="array" ref="AG301">IFERROR(INDEX(Table8[],_xlfn.XMATCH($O301,Table8[Dimension Name Category],0),_xlfn.XMATCH(AG$2&amp;IF($L301," w/ tag"," w/o tag"),Table8[#Headers],0)),"")</f>
        <v/>
      </c>
      <c r="AH301" s="59" t="str">
        <f t="shared" si="84"/>
        <v/>
      </c>
      <c r="AI301" s="4"/>
      <c r="AJ301" s="4" t="str">
        <f t="shared" si="85"/>
        <v/>
      </c>
      <c r="AK301" s="4" t="str">
        <f t="shared" si="86"/>
        <v/>
      </c>
      <c r="AL301" s="4" t="e" cm="1">
        <f t="array" ref="AL301">IF(INDEX(Table2[],_xlfn.XMATCH($A301,Table2[Steel Member],0),_xlfn.XMATCH(AL$2,Table2[#Headers],0))=0,"",INDEX(Table2[],_xlfn.XMATCH($A301,Table2[Steel Member],0),_xlfn.XMATCH(AL$2,Table2[#Headers],0)))</f>
        <v>#N/A</v>
      </c>
      <c r="AM301" s="4"/>
      <c r="AN301" s="4" t="str">
        <f t="shared" si="87"/>
        <v/>
      </c>
      <c r="AO301" s="4"/>
      <c r="AP301" s="4" t="e" cm="1">
        <f t="array" ref="AP301">IF(INDEX(Table2[],_xlfn.XMATCH($A301,Table2[Steel Member],0),_xlfn.XMATCH(AP$2,Table2[#Headers],0))=0,"",INDEX(Table2[],_xlfn.XMATCH($A301,Table2[Steel Member],0),_xlfn.XMATCH(AP$2,Table2[#Headers],0)))</f>
        <v>#N/A</v>
      </c>
      <c r="AQ301" s="4"/>
      <c r="AR301" s="4"/>
      <c r="AS301" s="4"/>
      <c r="AT301" s="4"/>
    </row>
    <row r="302" spans="1:46" x14ac:dyDescent="0.25">
      <c r="A302" s="52"/>
      <c r="B302" s="52"/>
      <c r="C302" s="52"/>
      <c r="D302" s="52"/>
      <c r="E302" s="52"/>
      <c r="F302" s="64" cm="1">
        <f t="array" ref="F302">IF(COUNT(FIND(PurlinsxGirthsxBracings,$C302))&gt;0,0,ROUNDUP(IF(D302=0,0,VLOOKUP(D302,'DATA SHEET'!$B:$D,2,FALSE)),2))</f>
        <v>0</v>
      </c>
      <c r="G302" s="64" cm="1">
        <f t="array" ref="G302">IF(COUNT(FIND(PurlinsxGirthsxBracings,$C302))&gt;0,0,ROUNDUP(IF(D302=0,0,VLOOKUP(D302,'DATA SHEET'!$B:$D,3,FALSE)),2))</f>
        <v>0</v>
      </c>
      <c r="H302" s="53"/>
      <c r="I302" s="66" cm="1">
        <f t="array" ref="I302">IF(AND(ISBLANK(B302),ISBLANK(C302),ISBLANK(E302)),0,IF(COUNT(FIND(PurlinsxGirthsxBracings,$C302))&gt;0,IF(B302=0,CONCATENATE(E302," ",C302),CONCATENATE(B302," - ",E302," ",C302)),IF(B302=0,IF(ISBLANK(C302),E302,CONCATENATE(D302,", ",F302,"kg/m, ",G302,"mm surface perimeter")),IF(AND(ISBLANK(C302),ISTEXT(E302)),CONCATENATE(B302," - ",E302),IF(AND(ISBLANK(C302),ISBLANK(E302)),B302,CONCATENATE(B302," - ",D302,", ",F302,"kg/m, ",G302,"mm surface perimeter"))))&amp;IF(ISBLANK(H302),"",H302)))</f>
        <v>0</v>
      </c>
      <c r="J302" s="53"/>
      <c r="L302" s="4" t="str" cm="1">
        <f t="array" ref="L302">IF(COUNT(FIND({0,1,2,3,4,5,6,7,8,9},B302))&gt;0,COUNT(FIND({0,1,2,3,4,5,6,7,8,9},B302))&gt;0,"")</f>
        <v/>
      </c>
      <c r="M302" s="4" t="str" cm="1">
        <f t="array" aca="1" ref="M302" ca="1">IFERROR(_xlfn.IFS(R302="Count",RANDBETWEEN(1,COUNTIF($R$11:$R$653,"Count")),R302="Length",RANDBETWEEN(1,COUNTIF($R$11:$R$653,"Length"))),"")</f>
        <v/>
      </c>
      <c r="N302" s="4" t="str">
        <f ca="1">IFERROR(_xlfn.RANK.EQ(M302,$M$11:$M$653)+COUNTIF($M$11:M302,M302)-1,"")</f>
        <v/>
      </c>
      <c r="O302" s="86" t="str">
        <f>IF(A302='DATA SHEET'!$L$36,C302,IFERROR(IF(AND(ISTEXT(I302),ISBLANK(C302)),"No details",VLOOKUP(C302,DimFolder,2,FALSE)),""))</f>
        <v/>
      </c>
      <c r="P302" s="4" t="str">
        <f t="shared" si="89"/>
        <v/>
      </c>
      <c r="Q302" s="58" t="str">
        <f t="shared" si="88"/>
        <v/>
      </c>
      <c r="R302" s="4" t="e" cm="1">
        <f t="array" ref="R302">IF(INDEX(Table2[],_xlfn.XMATCH($A302,Table2[Steel Member],0),_xlfn.XMATCH(R$2,Table2[#Headers],0))=0,"",INDEX(Table2[],_xlfn.XMATCH($A302,Table2[Steel Member],0),_xlfn.XMATCH(R$2,Table2[#Headers],0)))</f>
        <v>#N/A</v>
      </c>
      <c r="S302" s="4" t="e" cm="1">
        <f t="array" ref="S302">IF(INDEX(Table2[],_xlfn.XMATCH($A302,Table2[Steel Member],0),_xlfn.XMATCH(S$2,Table2[#Headers],0))=0,"",INDEX(Table2[],_xlfn.XMATCH($A302,Table2[Steel Member],0),_xlfn.XMATCH(S$2,Table2[#Headers],0)))</f>
        <v>#N/A</v>
      </c>
      <c r="T302" s="4" t="str">
        <f t="shared" si="79"/>
        <v/>
      </c>
      <c r="U302" s="4" t="e">
        <f ca="1">VLOOKUP(N302,'COLOR CODE'!$B:$D,2,FALSE)</f>
        <v>#N/A</v>
      </c>
      <c r="V302" s="4" t="str">
        <f t="shared" si="80"/>
        <v/>
      </c>
      <c r="W302" s="4" t="e" cm="1">
        <f t="array" ref="W302">IF(INDEX(Table2[],_xlfn.XMATCH($A302,Table2[Steel Member],0),_xlfn.XMATCH(W$2,Table2[#Headers],0))=0,"",INDEX(Table2[],_xlfn.XMATCH($A302,Table2[Steel Member],0),_xlfn.XMATCH(W$2,Table2[#Headers],0)))</f>
        <v>#N/A</v>
      </c>
      <c r="X302" s="4" t="e">
        <f t="shared" si="90"/>
        <v>#N/A</v>
      </c>
      <c r="Y302" s="4" t="e" cm="1">
        <f t="array" ref="Y302">IF(INDEX(Table2[],_xlfn.XMATCH($A302,Table2[Steel Member],0),_xlfn.XMATCH(Y$2,Table2[#Headers],0))=0,"",INDEX(Table2[],_xlfn.XMATCH($A302,Table2[Steel Member],0),_xlfn.XMATCH(Y$2,Table2[#Headers],0)))</f>
        <v>#N/A</v>
      </c>
      <c r="Z302" s="4" t="e" cm="1">
        <f t="array" ref="Z302">IF(INDEX(Table2[],_xlfn.XMATCH($A302,Table2[Steel Member],0),_xlfn.XMATCH(Z$2,Table2[#Headers],0))=0,"",INDEX(Table2[],_xlfn.XMATCH($A302,Table2[Steel Member],0),_xlfn.XMATCH(Z$2,Table2[#Headers],0)))</f>
        <v>#N/A</v>
      </c>
      <c r="AA302" s="4" t="e" cm="1">
        <f t="array" ref="AA302">IF(INDEX(Table2[],_xlfn.XMATCH($A302,Table2[Steel Member],0),_xlfn.XMATCH(AA$2,Table2[#Headers],0))=0,"",INDEX(Table2[],_xlfn.XMATCH($A302,Table2[Steel Member],0),_xlfn.XMATCH(AA$2,Table2[#Headers],0)))</f>
        <v>#N/A</v>
      </c>
      <c r="AB302" s="4" t="e" cm="1">
        <f t="array" ref="AB302">IF(INDEX(Table2[],_xlfn.XMATCH($A302,Table2[Steel Member],0),_xlfn.XMATCH(AB$2,Table2[#Headers],0))=0,"",INDEX(Table2[],_xlfn.XMATCH($A302,Table2[Steel Member],0),_xlfn.XMATCH(AB$2,Table2[#Headers],0)))</f>
        <v>#N/A</v>
      </c>
      <c r="AC302" s="4" t="str" cm="1">
        <f t="array" ref="AC302">IFERROR(INDEX(Table8[],_xlfn.XMATCH($O302,Table8[Dimension Name Category],0),_xlfn.XMATCH(AC$2&amp;IF($L302," w/ tag"," w/o tag"),Table8[#Headers],0)),"")</f>
        <v/>
      </c>
      <c r="AD302" s="59" t="str">
        <f t="shared" si="81"/>
        <v/>
      </c>
      <c r="AE302" s="4" t="str">
        <f t="shared" si="82"/>
        <v/>
      </c>
      <c r="AF302" s="4" t="str">
        <f t="shared" si="83"/>
        <v/>
      </c>
      <c r="AG302" s="4" t="str" cm="1">
        <f t="array" ref="AG302">IFERROR(INDEX(Table8[],_xlfn.XMATCH($O302,Table8[Dimension Name Category],0),_xlfn.XMATCH(AG$2&amp;IF($L302," w/ tag"," w/o tag"),Table8[#Headers],0)),"")</f>
        <v/>
      </c>
      <c r="AH302" s="59" t="str">
        <f t="shared" si="84"/>
        <v/>
      </c>
      <c r="AI302" s="4"/>
      <c r="AJ302" s="4" t="str">
        <f t="shared" si="85"/>
        <v/>
      </c>
      <c r="AK302" s="4" t="str">
        <f t="shared" si="86"/>
        <v/>
      </c>
      <c r="AL302" s="4" t="e" cm="1">
        <f t="array" ref="AL302">IF(INDEX(Table2[],_xlfn.XMATCH($A302,Table2[Steel Member],0),_xlfn.XMATCH(AL$2,Table2[#Headers],0))=0,"",INDEX(Table2[],_xlfn.XMATCH($A302,Table2[Steel Member],0),_xlfn.XMATCH(AL$2,Table2[#Headers],0)))</f>
        <v>#N/A</v>
      </c>
      <c r="AM302" s="4"/>
      <c r="AN302" s="4" t="str">
        <f t="shared" si="87"/>
        <v/>
      </c>
      <c r="AO302" s="4"/>
      <c r="AP302" s="4" t="e" cm="1">
        <f t="array" ref="AP302">IF(INDEX(Table2[],_xlfn.XMATCH($A302,Table2[Steel Member],0),_xlfn.XMATCH(AP$2,Table2[#Headers],0))=0,"",INDEX(Table2[],_xlfn.XMATCH($A302,Table2[Steel Member],0),_xlfn.XMATCH(AP$2,Table2[#Headers],0)))</f>
        <v>#N/A</v>
      </c>
      <c r="AQ302" s="4"/>
      <c r="AR302" s="4"/>
      <c r="AS302" s="4"/>
      <c r="AT302" s="4"/>
    </row>
    <row r="303" spans="1:46" x14ac:dyDescent="0.25">
      <c r="A303" s="52"/>
      <c r="B303" s="52"/>
      <c r="C303" s="52"/>
      <c r="D303" s="52"/>
      <c r="E303" s="52"/>
      <c r="F303" s="64" cm="1">
        <f t="array" ref="F303">IF(COUNT(FIND(PurlinsxGirthsxBracings,$C303))&gt;0,0,ROUNDUP(IF(D303=0,0,VLOOKUP(D303,'DATA SHEET'!$B:$D,2,FALSE)),2))</f>
        <v>0</v>
      </c>
      <c r="G303" s="64" cm="1">
        <f t="array" ref="G303">IF(COUNT(FIND(PurlinsxGirthsxBracings,$C303))&gt;0,0,ROUNDUP(IF(D303=0,0,VLOOKUP(D303,'DATA SHEET'!$B:$D,3,FALSE)),2))</f>
        <v>0</v>
      </c>
      <c r="H303" s="53"/>
      <c r="I303" s="66" cm="1">
        <f t="array" ref="I303">IF(AND(ISBLANK(B303),ISBLANK(C303),ISBLANK(E303)),0,IF(COUNT(FIND(PurlinsxGirthsxBracings,$C303))&gt;0,IF(B303=0,CONCATENATE(E303," ",C303),CONCATENATE(B303," - ",E303," ",C303)),IF(B303=0,IF(ISBLANK(C303),E303,CONCATENATE(D303,", ",F303,"kg/m, ",G303,"mm surface perimeter")),IF(AND(ISBLANK(C303),ISTEXT(E303)),CONCATENATE(B303," - ",E303),IF(AND(ISBLANK(C303),ISBLANK(E303)),B303,CONCATENATE(B303," - ",D303,", ",F303,"kg/m, ",G303,"mm surface perimeter"))))&amp;IF(ISBLANK(H303),"",H303)))</f>
        <v>0</v>
      </c>
      <c r="J303" s="53"/>
      <c r="L303" s="4" t="str" cm="1">
        <f t="array" ref="L303">IF(COUNT(FIND({0,1,2,3,4,5,6,7,8,9},B303))&gt;0,COUNT(FIND({0,1,2,3,4,5,6,7,8,9},B303))&gt;0,"")</f>
        <v/>
      </c>
      <c r="M303" s="4" t="str" cm="1">
        <f t="array" aca="1" ref="M303" ca="1">IFERROR(_xlfn.IFS(R303="Count",RANDBETWEEN(1,COUNTIF($R$11:$R$653,"Count")),R303="Length",RANDBETWEEN(1,COUNTIF($R$11:$R$653,"Length"))),"")</f>
        <v/>
      </c>
      <c r="N303" s="4" t="str">
        <f ca="1">IFERROR(_xlfn.RANK.EQ(M303,$M$11:$M$653)+COUNTIF($M$11:M303,M303)-1,"")</f>
        <v/>
      </c>
      <c r="O303" s="86" t="str">
        <f>IF(A303='DATA SHEET'!$L$36,C303,IFERROR(IF(AND(ISTEXT(I303),ISBLANK(C303)),"No details",VLOOKUP(C303,DimFolder,2,FALSE)),""))</f>
        <v/>
      </c>
      <c r="P303" s="4" t="str">
        <f t="shared" si="89"/>
        <v/>
      </c>
      <c r="Q303" s="58" t="str">
        <f t="shared" si="88"/>
        <v/>
      </c>
      <c r="R303" s="4" t="e" cm="1">
        <f t="array" ref="R303">IF(INDEX(Table2[],_xlfn.XMATCH($A303,Table2[Steel Member],0),_xlfn.XMATCH(R$2,Table2[#Headers],0))=0,"",INDEX(Table2[],_xlfn.XMATCH($A303,Table2[Steel Member],0),_xlfn.XMATCH(R$2,Table2[#Headers],0)))</f>
        <v>#N/A</v>
      </c>
      <c r="S303" s="4" t="e" cm="1">
        <f t="array" ref="S303">IF(INDEX(Table2[],_xlfn.XMATCH($A303,Table2[Steel Member],0),_xlfn.XMATCH(S$2,Table2[#Headers],0))=0,"",INDEX(Table2[],_xlfn.XMATCH($A303,Table2[Steel Member],0),_xlfn.XMATCH(S$2,Table2[#Headers],0)))</f>
        <v>#N/A</v>
      </c>
      <c r="T303" s="4" t="str">
        <f t="shared" si="79"/>
        <v/>
      </c>
      <c r="U303" s="4" t="e">
        <f ca="1">VLOOKUP(N303,'COLOR CODE'!$B:$D,2,FALSE)</f>
        <v>#N/A</v>
      </c>
      <c r="V303" s="4" t="str">
        <f t="shared" si="80"/>
        <v/>
      </c>
      <c r="W303" s="4" t="e" cm="1">
        <f t="array" ref="W303">IF(INDEX(Table2[],_xlfn.XMATCH($A303,Table2[Steel Member],0),_xlfn.XMATCH(W$2,Table2[#Headers],0))=0,"",INDEX(Table2[],_xlfn.XMATCH($A303,Table2[Steel Member],0),_xlfn.XMATCH(W$2,Table2[#Headers],0)))</f>
        <v>#N/A</v>
      </c>
      <c r="X303" s="4" t="e">
        <f t="shared" si="90"/>
        <v>#N/A</v>
      </c>
      <c r="Y303" s="4" t="e" cm="1">
        <f t="array" ref="Y303">IF(INDEX(Table2[],_xlfn.XMATCH($A303,Table2[Steel Member],0),_xlfn.XMATCH(Y$2,Table2[#Headers],0))=0,"",INDEX(Table2[],_xlfn.XMATCH($A303,Table2[Steel Member],0),_xlfn.XMATCH(Y$2,Table2[#Headers],0)))</f>
        <v>#N/A</v>
      </c>
      <c r="Z303" s="4" t="e" cm="1">
        <f t="array" ref="Z303">IF(INDEX(Table2[],_xlfn.XMATCH($A303,Table2[Steel Member],0),_xlfn.XMATCH(Z$2,Table2[#Headers],0))=0,"",INDEX(Table2[],_xlfn.XMATCH($A303,Table2[Steel Member],0),_xlfn.XMATCH(Z$2,Table2[#Headers],0)))</f>
        <v>#N/A</v>
      </c>
      <c r="AA303" s="4" t="e" cm="1">
        <f t="array" ref="AA303">IF(INDEX(Table2[],_xlfn.XMATCH($A303,Table2[Steel Member],0),_xlfn.XMATCH(AA$2,Table2[#Headers],0))=0,"",INDEX(Table2[],_xlfn.XMATCH($A303,Table2[Steel Member],0),_xlfn.XMATCH(AA$2,Table2[#Headers],0)))</f>
        <v>#N/A</v>
      </c>
      <c r="AB303" s="4" t="e" cm="1">
        <f t="array" ref="AB303">IF(INDEX(Table2[],_xlfn.XMATCH($A303,Table2[Steel Member],0),_xlfn.XMATCH(AB$2,Table2[#Headers],0))=0,"",INDEX(Table2[],_xlfn.XMATCH($A303,Table2[Steel Member],0),_xlfn.XMATCH(AB$2,Table2[#Headers],0)))</f>
        <v>#N/A</v>
      </c>
      <c r="AC303" s="4" t="str" cm="1">
        <f t="array" ref="AC303">IFERROR(INDEX(Table8[],_xlfn.XMATCH($O303,Table8[Dimension Name Category],0),_xlfn.XMATCH(AC$2&amp;IF($L303," w/ tag"," w/o tag"),Table8[#Headers],0)),"")</f>
        <v/>
      </c>
      <c r="AD303" s="59" t="str">
        <f t="shared" si="81"/>
        <v/>
      </c>
      <c r="AE303" s="4" t="str">
        <f t="shared" si="82"/>
        <v/>
      </c>
      <c r="AF303" s="4" t="str">
        <f t="shared" si="83"/>
        <v/>
      </c>
      <c r="AG303" s="4" t="str" cm="1">
        <f t="array" ref="AG303">IFERROR(INDEX(Table8[],_xlfn.XMATCH($O303,Table8[Dimension Name Category],0),_xlfn.XMATCH(AG$2&amp;IF($L303," w/ tag"," w/o tag"),Table8[#Headers],0)),"")</f>
        <v/>
      </c>
      <c r="AH303" s="59" t="str">
        <f t="shared" si="84"/>
        <v/>
      </c>
      <c r="AI303" s="4"/>
      <c r="AJ303" s="4" t="str">
        <f t="shared" si="85"/>
        <v/>
      </c>
      <c r="AK303" s="4" t="str">
        <f t="shared" si="86"/>
        <v/>
      </c>
      <c r="AL303" s="4" t="e" cm="1">
        <f t="array" ref="AL303">IF(INDEX(Table2[],_xlfn.XMATCH($A303,Table2[Steel Member],0),_xlfn.XMATCH(AL$2,Table2[#Headers],0))=0,"",INDEX(Table2[],_xlfn.XMATCH($A303,Table2[Steel Member],0),_xlfn.XMATCH(AL$2,Table2[#Headers],0)))</f>
        <v>#N/A</v>
      </c>
      <c r="AM303" s="4"/>
      <c r="AN303" s="4" t="str">
        <f t="shared" si="87"/>
        <v/>
      </c>
      <c r="AO303" s="4"/>
      <c r="AP303" s="4" t="e" cm="1">
        <f t="array" ref="AP303">IF(INDEX(Table2[],_xlfn.XMATCH($A303,Table2[Steel Member],0),_xlfn.XMATCH(AP$2,Table2[#Headers],0))=0,"",INDEX(Table2[],_xlfn.XMATCH($A303,Table2[Steel Member],0),_xlfn.XMATCH(AP$2,Table2[#Headers],0)))</f>
        <v>#N/A</v>
      </c>
      <c r="AQ303" s="4"/>
      <c r="AR303" s="4"/>
      <c r="AS303" s="4"/>
      <c r="AT303" s="4"/>
    </row>
    <row r="304" spans="1:46" x14ac:dyDescent="0.25">
      <c r="A304" s="52"/>
      <c r="B304" s="52"/>
      <c r="C304" s="52"/>
      <c r="D304" s="52"/>
      <c r="E304" s="52"/>
      <c r="F304" s="64" cm="1">
        <f t="array" ref="F304">IF(COUNT(FIND(PurlinsxGirthsxBracings,$C304))&gt;0,0,ROUNDUP(IF(D304=0,0,VLOOKUP(D304,'DATA SHEET'!$B:$D,2,FALSE)),2))</f>
        <v>0</v>
      </c>
      <c r="G304" s="64" cm="1">
        <f t="array" ref="G304">IF(COUNT(FIND(PurlinsxGirthsxBracings,$C304))&gt;0,0,ROUNDUP(IF(D304=0,0,VLOOKUP(D304,'DATA SHEET'!$B:$D,3,FALSE)),2))</f>
        <v>0</v>
      </c>
      <c r="H304" s="53"/>
      <c r="I304" s="66" cm="1">
        <f t="array" ref="I304">IF(AND(ISBLANK(B304),ISBLANK(C304),ISBLANK(E304)),0,IF(COUNT(FIND(PurlinsxGirthsxBracings,$C304))&gt;0,IF(B304=0,CONCATENATE(E304," ",C304),CONCATENATE(B304," - ",E304," ",C304)),IF(B304=0,IF(ISBLANK(C304),E304,CONCATENATE(D304,", ",F304,"kg/m, ",G304,"mm surface perimeter")),IF(AND(ISBLANK(C304),ISTEXT(E304)),CONCATENATE(B304," - ",E304),IF(AND(ISBLANK(C304),ISBLANK(E304)),B304,CONCATENATE(B304," - ",D304,", ",F304,"kg/m, ",G304,"mm surface perimeter"))))&amp;IF(ISBLANK(H304),"",H304)))</f>
        <v>0</v>
      </c>
      <c r="J304" s="53"/>
      <c r="L304" s="4" t="str" cm="1">
        <f t="array" ref="L304">IF(COUNT(FIND({0,1,2,3,4,5,6,7,8,9},B304))&gt;0,COUNT(FIND({0,1,2,3,4,5,6,7,8,9},B304))&gt;0,"")</f>
        <v/>
      </c>
      <c r="M304" s="4" t="str" cm="1">
        <f t="array" aca="1" ref="M304" ca="1">IFERROR(_xlfn.IFS(R304="Count",RANDBETWEEN(1,COUNTIF($R$11:$R$653,"Count")),R304="Length",RANDBETWEEN(1,COUNTIF($R$11:$R$653,"Length"))),"")</f>
        <v/>
      </c>
      <c r="N304" s="4" t="str">
        <f ca="1">IFERROR(_xlfn.RANK.EQ(M304,$M$11:$M$653)+COUNTIF($M$11:M304,M304)-1,"")</f>
        <v/>
      </c>
      <c r="O304" s="86" t="str">
        <f>IF(A304='DATA SHEET'!$L$36,C304,IFERROR(IF(AND(ISTEXT(I304),ISBLANK(C304)),"No details",VLOOKUP(C304,DimFolder,2,FALSE)),""))</f>
        <v/>
      </c>
      <c r="P304" s="4" t="str">
        <f t="shared" si="89"/>
        <v/>
      </c>
      <c r="Q304" s="58" t="str">
        <f t="shared" si="88"/>
        <v/>
      </c>
      <c r="R304" s="4" t="e" cm="1">
        <f t="array" ref="R304">IF(INDEX(Table2[],_xlfn.XMATCH($A304,Table2[Steel Member],0),_xlfn.XMATCH(R$2,Table2[#Headers],0))=0,"",INDEX(Table2[],_xlfn.XMATCH($A304,Table2[Steel Member],0),_xlfn.XMATCH(R$2,Table2[#Headers],0)))</f>
        <v>#N/A</v>
      </c>
      <c r="S304" s="4" t="e" cm="1">
        <f t="array" ref="S304">IF(INDEX(Table2[],_xlfn.XMATCH($A304,Table2[Steel Member],0),_xlfn.XMATCH(S$2,Table2[#Headers],0))=0,"",INDEX(Table2[],_xlfn.XMATCH($A304,Table2[Steel Member],0),_xlfn.XMATCH(S$2,Table2[#Headers],0)))</f>
        <v>#N/A</v>
      </c>
      <c r="T304" s="4" t="str">
        <f t="shared" si="79"/>
        <v/>
      </c>
      <c r="U304" s="4" t="e">
        <f ca="1">VLOOKUP(N304,'COLOR CODE'!$B:$D,2,FALSE)</f>
        <v>#N/A</v>
      </c>
      <c r="V304" s="4" t="str">
        <f t="shared" si="80"/>
        <v/>
      </c>
      <c r="W304" s="4" t="e" cm="1">
        <f t="array" ref="W304">IF(INDEX(Table2[],_xlfn.XMATCH($A304,Table2[Steel Member],0),_xlfn.XMATCH(W$2,Table2[#Headers],0))=0,"",INDEX(Table2[],_xlfn.XMATCH($A304,Table2[Steel Member],0),_xlfn.XMATCH(W$2,Table2[#Headers],0)))</f>
        <v>#N/A</v>
      </c>
      <c r="X304" s="4" t="e">
        <f t="shared" si="90"/>
        <v>#N/A</v>
      </c>
      <c r="Y304" s="4" t="e" cm="1">
        <f t="array" ref="Y304">IF(INDEX(Table2[],_xlfn.XMATCH($A304,Table2[Steel Member],0),_xlfn.XMATCH(Y$2,Table2[#Headers],0))=0,"",INDEX(Table2[],_xlfn.XMATCH($A304,Table2[Steel Member],0),_xlfn.XMATCH(Y$2,Table2[#Headers],0)))</f>
        <v>#N/A</v>
      </c>
      <c r="Z304" s="4" t="e" cm="1">
        <f t="array" ref="Z304">IF(INDEX(Table2[],_xlfn.XMATCH($A304,Table2[Steel Member],0),_xlfn.XMATCH(Z$2,Table2[#Headers],0))=0,"",INDEX(Table2[],_xlfn.XMATCH($A304,Table2[Steel Member],0),_xlfn.XMATCH(Z$2,Table2[#Headers],0)))</f>
        <v>#N/A</v>
      </c>
      <c r="AA304" s="4" t="e" cm="1">
        <f t="array" ref="AA304">IF(INDEX(Table2[],_xlfn.XMATCH($A304,Table2[Steel Member],0),_xlfn.XMATCH(AA$2,Table2[#Headers],0))=0,"",INDEX(Table2[],_xlfn.XMATCH($A304,Table2[Steel Member],0),_xlfn.XMATCH(AA$2,Table2[#Headers],0)))</f>
        <v>#N/A</v>
      </c>
      <c r="AB304" s="4" t="e" cm="1">
        <f t="array" ref="AB304">IF(INDEX(Table2[],_xlfn.XMATCH($A304,Table2[Steel Member],0),_xlfn.XMATCH(AB$2,Table2[#Headers],0))=0,"",INDEX(Table2[],_xlfn.XMATCH($A304,Table2[Steel Member],0),_xlfn.XMATCH(AB$2,Table2[#Headers],0)))</f>
        <v>#N/A</v>
      </c>
      <c r="AC304" s="4" t="str" cm="1">
        <f t="array" ref="AC304">IFERROR(INDEX(Table8[],_xlfn.XMATCH($O304,Table8[Dimension Name Category],0),_xlfn.XMATCH(AC$2&amp;IF($L304," w/ tag"," w/o tag"),Table8[#Headers],0)),"")</f>
        <v/>
      </c>
      <c r="AD304" s="59" t="str">
        <f t="shared" si="81"/>
        <v/>
      </c>
      <c r="AE304" s="4" t="str">
        <f t="shared" si="82"/>
        <v/>
      </c>
      <c r="AF304" s="4" t="str">
        <f t="shared" si="83"/>
        <v/>
      </c>
      <c r="AG304" s="4" t="str" cm="1">
        <f t="array" ref="AG304">IFERROR(INDEX(Table8[],_xlfn.XMATCH($O304,Table8[Dimension Name Category],0),_xlfn.XMATCH(AG$2&amp;IF($L304," w/ tag"," w/o tag"),Table8[#Headers],0)),"")</f>
        <v/>
      </c>
      <c r="AH304" s="59" t="str">
        <f t="shared" si="84"/>
        <v/>
      </c>
      <c r="AI304" s="4"/>
      <c r="AJ304" s="4" t="str">
        <f t="shared" si="85"/>
        <v/>
      </c>
      <c r="AK304" s="4" t="str">
        <f t="shared" si="86"/>
        <v/>
      </c>
      <c r="AL304" s="4" t="e" cm="1">
        <f t="array" ref="AL304">IF(INDEX(Table2[],_xlfn.XMATCH($A304,Table2[Steel Member],0),_xlfn.XMATCH(AL$2,Table2[#Headers],0))=0,"",INDEX(Table2[],_xlfn.XMATCH($A304,Table2[Steel Member],0),_xlfn.XMATCH(AL$2,Table2[#Headers],0)))</f>
        <v>#N/A</v>
      </c>
      <c r="AM304" s="4"/>
      <c r="AN304" s="4" t="str">
        <f t="shared" si="87"/>
        <v/>
      </c>
      <c r="AO304" s="4"/>
      <c r="AP304" s="4" t="e" cm="1">
        <f t="array" ref="AP304">IF(INDEX(Table2[],_xlfn.XMATCH($A304,Table2[Steel Member],0),_xlfn.XMATCH(AP$2,Table2[#Headers],0))=0,"",INDEX(Table2[],_xlfn.XMATCH($A304,Table2[Steel Member],0),_xlfn.XMATCH(AP$2,Table2[#Headers],0)))</f>
        <v>#N/A</v>
      </c>
      <c r="AQ304" s="4"/>
      <c r="AR304" s="4"/>
      <c r="AS304" s="4"/>
      <c r="AT304" s="4"/>
    </row>
    <row r="305" spans="1:46" x14ac:dyDescent="0.25">
      <c r="A305" s="52"/>
      <c r="B305" s="52"/>
      <c r="C305" s="52"/>
      <c r="D305" s="52"/>
      <c r="E305" s="52"/>
      <c r="F305" s="64" cm="1">
        <f t="array" ref="F305">IF(COUNT(FIND(PurlinsxGirthsxBracings,$C305))&gt;0,0,ROUNDUP(IF(D305=0,0,VLOOKUP(D305,'DATA SHEET'!$B:$D,2,FALSE)),2))</f>
        <v>0</v>
      </c>
      <c r="G305" s="64" cm="1">
        <f t="array" ref="G305">IF(COUNT(FIND(PurlinsxGirthsxBracings,$C305))&gt;0,0,ROUNDUP(IF(D305=0,0,VLOOKUP(D305,'DATA SHEET'!$B:$D,3,FALSE)),2))</f>
        <v>0</v>
      </c>
      <c r="H305" s="53"/>
      <c r="I305" s="66" cm="1">
        <f t="array" ref="I305">IF(AND(ISBLANK(B305),ISBLANK(C305),ISBLANK(E305)),0,IF(COUNT(FIND(PurlinsxGirthsxBracings,$C305))&gt;0,IF(B305=0,CONCATENATE(E305," ",C305),CONCATENATE(B305," - ",E305," ",C305)),IF(B305=0,IF(ISBLANK(C305),E305,CONCATENATE(D305,", ",F305,"kg/m, ",G305,"mm surface perimeter")),IF(AND(ISBLANK(C305),ISTEXT(E305)),CONCATENATE(B305," - ",E305),IF(AND(ISBLANK(C305),ISBLANK(E305)),B305,CONCATENATE(B305," - ",D305,", ",F305,"kg/m, ",G305,"mm surface perimeter"))))&amp;IF(ISBLANK(H305),"",H305)))</f>
        <v>0</v>
      </c>
      <c r="J305" s="53"/>
      <c r="L305" s="4" t="str" cm="1">
        <f t="array" ref="L305">IF(COUNT(FIND({0,1,2,3,4,5,6,7,8,9},B305))&gt;0,COUNT(FIND({0,1,2,3,4,5,6,7,8,9},B305))&gt;0,"")</f>
        <v/>
      </c>
      <c r="M305" s="4" t="str" cm="1">
        <f t="array" aca="1" ref="M305" ca="1">IFERROR(_xlfn.IFS(R305="Count",RANDBETWEEN(1,COUNTIF($R$11:$R$653,"Count")),R305="Length",RANDBETWEEN(1,COUNTIF($R$11:$R$653,"Length"))),"")</f>
        <v/>
      </c>
      <c r="N305" s="4" t="str">
        <f ca="1">IFERROR(_xlfn.RANK.EQ(M305,$M$11:$M$653)+COUNTIF($M$11:M305,M305)-1,"")</f>
        <v/>
      </c>
      <c r="O305" s="86" t="str">
        <f>IF(A305='DATA SHEET'!$L$36,C305,IFERROR(IF(AND(ISTEXT(I305),ISBLANK(C305)),"No details",VLOOKUP(C305,DimFolder,2,FALSE)),""))</f>
        <v/>
      </c>
      <c r="P305" s="4" t="str">
        <f t="shared" si="89"/>
        <v/>
      </c>
      <c r="Q305" s="58" t="str">
        <f t="shared" si="88"/>
        <v/>
      </c>
      <c r="R305" s="4" t="e" cm="1">
        <f t="array" ref="R305">IF(INDEX(Table2[],_xlfn.XMATCH($A305,Table2[Steel Member],0),_xlfn.XMATCH(R$2,Table2[#Headers],0))=0,"",INDEX(Table2[],_xlfn.XMATCH($A305,Table2[Steel Member],0),_xlfn.XMATCH(R$2,Table2[#Headers],0)))</f>
        <v>#N/A</v>
      </c>
      <c r="S305" s="4" t="e" cm="1">
        <f t="array" ref="S305">IF(INDEX(Table2[],_xlfn.XMATCH($A305,Table2[Steel Member],0),_xlfn.XMATCH(S$2,Table2[#Headers],0))=0,"",INDEX(Table2[],_xlfn.XMATCH($A305,Table2[Steel Member],0),_xlfn.XMATCH(S$2,Table2[#Headers],0)))</f>
        <v>#N/A</v>
      </c>
      <c r="T305" s="4" t="str">
        <f t="shared" si="79"/>
        <v/>
      </c>
      <c r="U305" s="4" t="e">
        <f ca="1">VLOOKUP(N305,'COLOR CODE'!$B:$D,2,FALSE)</f>
        <v>#N/A</v>
      </c>
      <c r="V305" s="4" t="str">
        <f t="shared" si="80"/>
        <v/>
      </c>
      <c r="W305" s="4" t="e" cm="1">
        <f t="array" ref="W305">IF(INDEX(Table2[],_xlfn.XMATCH($A305,Table2[Steel Member],0),_xlfn.XMATCH(W$2,Table2[#Headers],0))=0,"",INDEX(Table2[],_xlfn.XMATCH($A305,Table2[Steel Member],0),_xlfn.XMATCH(W$2,Table2[#Headers],0)))</f>
        <v>#N/A</v>
      </c>
      <c r="X305" s="4" t="e">
        <f t="shared" si="90"/>
        <v>#N/A</v>
      </c>
      <c r="Y305" s="4" t="e" cm="1">
        <f t="array" ref="Y305">IF(INDEX(Table2[],_xlfn.XMATCH($A305,Table2[Steel Member],0),_xlfn.XMATCH(Y$2,Table2[#Headers],0))=0,"",INDEX(Table2[],_xlfn.XMATCH($A305,Table2[Steel Member],0),_xlfn.XMATCH(Y$2,Table2[#Headers],0)))</f>
        <v>#N/A</v>
      </c>
      <c r="Z305" s="4" t="e" cm="1">
        <f t="array" ref="Z305">IF(INDEX(Table2[],_xlfn.XMATCH($A305,Table2[Steel Member],0),_xlfn.XMATCH(Z$2,Table2[#Headers],0))=0,"",INDEX(Table2[],_xlfn.XMATCH($A305,Table2[Steel Member],0),_xlfn.XMATCH(Z$2,Table2[#Headers],0)))</f>
        <v>#N/A</v>
      </c>
      <c r="AA305" s="4" t="e" cm="1">
        <f t="array" ref="AA305">IF(INDEX(Table2[],_xlfn.XMATCH($A305,Table2[Steel Member],0),_xlfn.XMATCH(AA$2,Table2[#Headers],0))=0,"",INDEX(Table2[],_xlfn.XMATCH($A305,Table2[Steel Member],0),_xlfn.XMATCH(AA$2,Table2[#Headers],0)))</f>
        <v>#N/A</v>
      </c>
      <c r="AB305" s="4" t="e" cm="1">
        <f t="array" ref="AB305">IF(INDEX(Table2[],_xlfn.XMATCH($A305,Table2[Steel Member],0),_xlfn.XMATCH(AB$2,Table2[#Headers],0))=0,"",INDEX(Table2[],_xlfn.XMATCH($A305,Table2[Steel Member],0),_xlfn.XMATCH(AB$2,Table2[#Headers],0)))</f>
        <v>#N/A</v>
      </c>
      <c r="AC305" s="4" t="str" cm="1">
        <f t="array" ref="AC305">IFERROR(INDEX(Table8[],_xlfn.XMATCH($O305,Table8[Dimension Name Category],0),_xlfn.XMATCH(AC$2&amp;IF($L305," w/ tag"," w/o tag"),Table8[#Headers],0)),"")</f>
        <v/>
      </c>
      <c r="AD305" s="59" t="str">
        <f t="shared" si="81"/>
        <v/>
      </c>
      <c r="AE305" s="4" t="str">
        <f t="shared" si="82"/>
        <v/>
      </c>
      <c r="AF305" s="4" t="str">
        <f t="shared" si="83"/>
        <v/>
      </c>
      <c r="AG305" s="4" t="str" cm="1">
        <f t="array" ref="AG305">IFERROR(INDEX(Table8[],_xlfn.XMATCH($O305,Table8[Dimension Name Category],0),_xlfn.XMATCH(AG$2&amp;IF($L305," w/ tag"," w/o tag"),Table8[#Headers],0)),"")</f>
        <v/>
      </c>
      <c r="AH305" s="59" t="str">
        <f t="shared" si="84"/>
        <v/>
      </c>
      <c r="AI305" s="4"/>
      <c r="AJ305" s="4" t="str">
        <f t="shared" si="85"/>
        <v/>
      </c>
      <c r="AK305" s="4" t="str">
        <f t="shared" si="86"/>
        <v/>
      </c>
      <c r="AL305" s="4" t="e" cm="1">
        <f t="array" ref="AL305">IF(INDEX(Table2[],_xlfn.XMATCH($A305,Table2[Steel Member],0),_xlfn.XMATCH(AL$2,Table2[#Headers],0))=0,"",INDEX(Table2[],_xlfn.XMATCH($A305,Table2[Steel Member],0),_xlfn.XMATCH(AL$2,Table2[#Headers],0)))</f>
        <v>#N/A</v>
      </c>
      <c r="AM305" s="4"/>
      <c r="AN305" s="4" t="str">
        <f t="shared" si="87"/>
        <v/>
      </c>
      <c r="AO305" s="4"/>
      <c r="AP305" s="4" t="e" cm="1">
        <f t="array" ref="AP305">IF(INDEX(Table2[],_xlfn.XMATCH($A305,Table2[Steel Member],0),_xlfn.XMATCH(AP$2,Table2[#Headers],0))=0,"",INDEX(Table2[],_xlfn.XMATCH($A305,Table2[Steel Member],0),_xlfn.XMATCH(AP$2,Table2[#Headers],0)))</f>
        <v>#N/A</v>
      </c>
      <c r="AQ305" s="4"/>
      <c r="AR305" s="4"/>
      <c r="AS305" s="4"/>
      <c r="AT305" s="4"/>
    </row>
    <row r="306" spans="1:46" x14ac:dyDescent="0.25">
      <c r="A306" s="52"/>
      <c r="B306" s="52"/>
      <c r="C306" s="52"/>
      <c r="D306" s="52"/>
      <c r="E306" s="52"/>
      <c r="F306" s="64" cm="1">
        <f t="array" ref="F306">IF(COUNT(FIND(PurlinsxGirthsxBracings,$C306))&gt;0,0,ROUNDUP(IF(D306=0,0,VLOOKUP(D306,'DATA SHEET'!$B:$D,2,FALSE)),2))</f>
        <v>0</v>
      </c>
      <c r="G306" s="64" cm="1">
        <f t="array" ref="G306">IF(COUNT(FIND(PurlinsxGirthsxBracings,$C306))&gt;0,0,ROUNDUP(IF(D306=0,0,VLOOKUP(D306,'DATA SHEET'!$B:$D,3,FALSE)),2))</f>
        <v>0</v>
      </c>
      <c r="H306" s="53"/>
      <c r="I306" s="66" cm="1">
        <f t="array" ref="I306">IF(AND(ISBLANK(B306),ISBLANK(C306),ISBLANK(E306)),0,IF(COUNT(FIND(PurlinsxGirthsxBracings,$C306))&gt;0,IF(B306=0,CONCATENATE(E306," ",C306),CONCATENATE(B306," - ",E306," ",C306)),IF(B306=0,IF(ISBLANK(C306),E306,CONCATENATE(D306,", ",F306,"kg/m, ",G306,"mm surface perimeter")),IF(AND(ISBLANK(C306),ISTEXT(E306)),CONCATENATE(B306," - ",E306),IF(AND(ISBLANK(C306),ISBLANK(E306)),B306,CONCATENATE(B306," - ",D306,", ",F306,"kg/m, ",G306,"mm surface perimeter"))))&amp;IF(ISBLANK(H306),"",H306)))</f>
        <v>0</v>
      </c>
      <c r="J306" s="53"/>
      <c r="L306" s="4" t="str" cm="1">
        <f t="array" ref="L306">IF(COUNT(FIND({0,1,2,3,4,5,6,7,8,9},B306))&gt;0,COUNT(FIND({0,1,2,3,4,5,6,7,8,9},B306))&gt;0,"")</f>
        <v/>
      </c>
      <c r="M306" s="4" t="str" cm="1">
        <f t="array" aca="1" ref="M306" ca="1">IFERROR(_xlfn.IFS(R306="Count",RANDBETWEEN(1,COUNTIF($R$11:$R$653,"Count")),R306="Length",RANDBETWEEN(1,COUNTIF($R$11:$R$653,"Length"))),"")</f>
        <v/>
      </c>
      <c r="N306" s="4" t="str">
        <f ca="1">IFERROR(_xlfn.RANK.EQ(M306,$M$11:$M$653)+COUNTIF($M$11:M306,M306)-1,"")</f>
        <v/>
      </c>
      <c r="O306" s="86" t="str">
        <f>IF(A306='DATA SHEET'!$L$36,C306,IFERROR(IF(AND(ISTEXT(I306),ISBLANK(C306)),"No details",VLOOKUP(C306,DimFolder,2,FALSE)),""))</f>
        <v/>
      </c>
      <c r="P306" s="4" t="str">
        <f t="shared" si="89"/>
        <v/>
      </c>
      <c r="Q306" s="58" t="str">
        <f t="shared" si="88"/>
        <v/>
      </c>
      <c r="R306" s="4" t="e" cm="1">
        <f t="array" ref="R306">IF(INDEX(Table2[],_xlfn.XMATCH($A306,Table2[Steel Member],0),_xlfn.XMATCH(R$2,Table2[#Headers],0))=0,"",INDEX(Table2[],_xlfn.XMATCH($A306,Table2[Steel Member],0),_xlfn.XMATCH(R$2,Table2[#Headers],0)))</f>
        <v>#N/A</v>
      </c>
      <c r="S306" s="4" t="e" cm="1">
        <f t="array" ref="S306">IF(INDEX(Table2[],_xlfn.XMATCH($A306,Table2[Steel Member],0),_xlfn.XMATCH(S$2,Table2[#Headers],0))=0,"",INDEX(Table2[],_xlfn.XMATCH($A306,Table2[Steel Member],0),_xlfn.XMATCH(S$2,Table2[#Headers],0)))</f>
        <v>#N/A</v>
      </c>
      <c r="T306" s="4" t="str">
        <f t="shared" si="79"/>
        <v/>
      </c>
      <c r="U306" s="4" t="e">
        <f ca="1">VLOOKUP(N306,'COLOR CODE'!$B:$D,2,FALSE)</f>
        <v>#N/A</v>
      </c>
      <c r="V306" s="4" t="str">
        <f t="shared" si="80"/>
        <v/>
      </c>
      <c r="W306" s="4" t="e" cm="1">
        <f t="array" ref="W306">IF(INDEX(Table2[],_xlfn.XMATCH($A306,Table2[Steel Member],0),_xlfn.XMATCH(W$2,Table2[#Headers],0))=0,"",INDEX(Table2[],_xlfn.XMATCH($A306,Table2[Steel Member],0),_xlfn.XMATCH(W$2,Table2[#Headers],0)))</f>
        <v>#N/A</v>
      </c>
      <c r="X306" s="4" t="e">
        <f t="shared" si="90"/>
        <v>#N/A</v>
      </c>
      <c r="Y306" s="4" t="e" cm="1">
        <f t="array" ref="Y306">IF(INDEX(Table2[],_xlfn.XMATCH($A306,Table2[Steel Member],0),_xlfn.XMATCH(Y$2,Table2[#Headers],0))=0,"",INDEX(Table2[],_xlfn.XMATCH($A306,Table2[Steel Member],0),_xlfn.XMATCH(Y$2,Table2[#Headers],0)))</f>
        <v>#N/A</v>
      </c>
      <c r="Z306" s="4" t="e" cm="1">
        <f t="array" ref="Z306">IF(INDEX(Table2[],_xlfn.XMATCH($A306,Table2[Steel Member],0),_xlfn.XMATCH(Z$2,Table2[#Headers],0))=0,"",INDEX(Table2[],_xlfn.XMATCH($A306,Table2[Steel Member],0),_xlfn.XMATCH(Z$2,Table2[#Headers],0)))</f>
        <v>#N/A</v>
      </c>
      <c r="AA306" s="4" t="e" cm="1">
        <f t="array" ref="AA306">IF(INDEX(Table2[],_xlfn.XMATCH($A306,Table2[Steel Member],0),_xlfn.XMATCH(AA$2,Table2[#Headers],0))=0,"",INDEX(Table2[],_xlfn.XMATCH($A306,Table2[Steel Member],0),_xlfn.XMATCH(AA$2,Table2[#Headers],0)))</f>
        <v>#N/A</v>
      </c>
      <c r="AB306" s="4" t="e" cm="1">
        <f t="array" ref="AB306">IF(INDEX(Table2[],_xlfn.XMATCH($A306,Table2[Steel Member],0),_xlfn.XMATCH(AB$2,Table2[#Headers],0))=0,"",INDEX(Table2[],_xlfn.XMATCH($A306,Table2[Steel Member],0),_xlfn.XMATCH(AB$2,Table2[#Headers],0)))</f>
        <v>#N/A</v>
      </c>
      <c r="AC306" s="4" t="str" cm="1">
        <f t="array" ref="AC306">IFERROR(INDEX(Table8[],_xlfn.XMATCH($O306,Table8[Dimension Name Category],0),_xlfn.XMATCH(AC$2&amp;IF($L306," w/ tag"," w/o tag"),Table8[#Headers],0)),"")</f>
        <v/>
      </c>
      <c r="AD306" s="59" t="str">
        <f t="shared" si="81"/>
        <v/>
      </c>
      <c r="AE306" s="4" t="str">
        <f t="shared" si="82"/>
        <v/>
      </c>
      <c r="AF306" s="4" t="str">
        <f t="shared" si="83"/>
        <v/>
      </c>
      <c r="AG306" s="4" t="str" cm="1">
        <f t="array" ref="AG306">IFERROR(INDEX(Table8[],_xlfn.XMATCH($O306,Table8[Dimension Name Category],0),_xlfn.XMATCH(AG$2&amp;IF($L306," w/ tag"," w/o tag"),Table8[#Headers],0)),"")</f>
        <v/>
      </c>
      <c r="AH306" s="59" t="str">
        <f t="shared" si="84"/>
        <v/>
      </c>
      <c r="AI306" s="4"/>
      <c r="AJ306" s="4" t="str">
        <f t="shared" si="85"/>
        <v/>
      </c>
      <c r="AK306" s="4" t="str">
        <f t="shared" si="86"/>
        <v/>
      </c>
      <c r="AL306" s="4" t="e" cm="1">
        <f t="array" ref="AL306">IF(INDEX(Table2[],_xlfn.XMATCH($A306,Table2[Steel Member],0),_xlfn.XMATCH(AL$2,Table2[#Headers],0))=0,"",INDEX(Table2[],_xlfn.XMATCH($A306,Table2[Steel Member],0),_xlfn.XMATCH(AL$2,Table2[#Headers],0)))</f>
        <v>#N/A</v>
      </c>
      <c r="AM306" s="4"/>
      <c r="AN306" s="4" t="str">
        <f t="shared" si="87"/>
        <v/>
      </c>
      <c r="AO306" s="4"/>
      <c r="AP306" s="4" t="e" cm="1">
        <f t="array" ref="AP306">IF(INDEX(Table2[],_xlfn.XMATCH($A306,Table2[Steel Member],0),_xlfn.XMATCH(AP$2,Table2[#Headers],0))=0,"",INDEX(Table2[],_xlfn.XMATCH($A306,Table2[Steel Member],0),_xlfn.XMATCH(AP$2,Table2[#Headers],0)))</f>
        <v>#N/A</v>
      </c>
      <c r="AQ306" s="4"/>
      <c r="AR306" s="4"/>
      <c r="AS306" s="4"/>
      <c r="AT306" s="4"/>
    </row>
    <row r="307" spans="1:46" x14ac:dyDescent="0.25">
      <c r="A307" s="52"/>
      <c r="B307" s="52"/>
      <c r="C307" s="52"/>
      <c r="D307" s="52"/>
      <c r="E307" s="52"/>
      <c r="F307" s="64" cm="1">
        <f t="array" ref="F307">IF(COUNT(FIND(PurlinsxGirthsxBracings,$C307))&gt;0,0,ROUNDUP(IF(D307=0,0,VLOOKUP(D307,'DATA SHEET'!$B:$D,2,FALSE)),2))</f>
        <v>0</v>
      </c>
      <c r="G307" s="64" cm="1">
        <f t="array" ref="G307">IF(COUNT(FIND(PurlinsxGirthsxBracings,$C307))&gt;0,0,ROUNDUP(IF(D307=0,0,VLOOKUP(D307,'DATA SHEET'!$B:$D,3,FALSE)),2))</f>
        <v>0</v>
      </c>
      <c r="H307" s="53"/>
      <c r="I307" s="66" cm="1">
        <f t="array" ref="I307">IF(AND(ISBLANK(B307),ISBLANK(C307),ISBLANK(E307)),0,IF(COUNT(FIND(PurlinsxGirthsxBracings,$C307))&gt;0,IF(B307=0,CONCATENATE(E307," ",C307),CONCATENATE(B307," - ",E307," ",C307)),IF(B307=0,IF(ISBLANK(C307),E307,CONCATENATE(D307,", ",F307,"kg/m, ",G307,"mm surface perimeter")),IF(AND(ISBLANK(C307),ISTEXT(E307)),CONCATENATE(B307," - ",E307),IF(AND(ISBLANK(C307),ISBLANK(E307)),B307,CONCATENATE(B307," - ",D307,", ",F307,"kg/m, ",G307,"mm surface perimeter"))))&amp;IF(ISBLANK(H307),"",H307)))</f>
        <v>0</v>
      </c>
      <c r="J307" s="53"/>
      <c r="L307" s="4" t="str" cm="1">
        <f t="array" ref="L307">IF(COUNT(FIND({0,1,2,3,4,5,6,7,8,9},B307))&gt;0,COUNT(FIND({0,1,2,3,4,5,6,7,8,9},B307))&gt;0,"")</f>
        <v/>
      </c>
      <c r="M307" s="4" t="str" cm="1">
        <f t="array" aca="1" ref="M307" ca="1">IFERROR(_xlfn.IFS(R307="Count",RANDBETWEEN(1,COUNTIF($R$11:$R$653,"Count")),R307="Length",RANDBETWEEN(1,COUNTIF($R$11:$R$653,"Length"))),"")</f>
        <v/>
      </c>
      <c r="N307" s="4" t="str">
        <f ca="1">IFERROR(_xlfn.RANK.EQ(M307,$M$11:$M$653)+COUNTIF($M$11:M307,M307)-1,"")</f>
        <v/>
      </c>
      <c r="O307" s="86" t="str">
        <f>IF(A307='DATA SHEET'!$L$36,C307,IFERROR(IF(AND(ISTEXT(I307),ISBLANK(C307)),"No details",VLOOKUP(C307,DimFolder,2,FALSE)),""))</f>
        <v/>
      </c>
      <c r="P307" s="4" t="str">
        <f t="shared" si="89"/>
        <v/>
      </c>
      <c r="Q307" s="58" t="str">
        <f t="shared" si="88"/>
        <v/>
      </c>
      <c r="R307" s="4" t="e" cm="1">
        <f t="array" ref="R307">IF(INDEX(Table2[],_xlfn.XMATCH($A307,Table2[Steel Member],0),_xlfn.XMATCH(R$2,Table2[#Headers],0))=0,"",INDEX(Table2[],_xlfn.XMATCH($A307,Table2[Steel Member],0),_xlfn.XMATCH(R$2,Table2[#Headers],0)))</f>
        <v>#N/A</v>
      </c>
      <c r="S307" s="4" t="e" cm="1">
        <f t="array" ref="S307">IF(INDEX(Table2[],_xlfn.XMATCH($A307,Table2[Steel Member],0),_xlfn.XMATCH(S$2,Table2[#Headers],0))=0,"",INDEX(Table2[],_xlfn.XMATCH($A307,Table2[Steel Member],0),_xlfn.XMATCH(S$2,Table2[#Headers],0)))</f>
        <v>#N/A</v>
      </c>
      <c r="T307" s="4" t="str">
        <f t="shared" si="79"/>
        <v/>
      </c>
      <c r="U307" s="4" t="e">
        <f ca="1">VLOOKUP(N307,'COLOR CODE'!$B:$D,2,FALSE)</f>
        <v>#N/A</v>
      </c>
      <c r="V307" s="4" t="str">
        <f t="shared" si="80"/>
        <v/>
      </c>
      <c r="W307" s="4" t="e" cm="1">
        <f t="array" ref="W307">IF(INDEX(Table2[],_xlfn.XMATCH($A307,Table2[Steel Member],0),_xlfn.XMATCH(W$2,Table2[#Headers],0))=0,"",INDEX(Table2[],_xlfn.XMATCH($A307,Table2[Steel Member],0),_xlfn.XMATCH(W$2,Table2[#Headers],0)))</f>
        <v>#N/A</v>
      </c>
      <c r="X307" s="4" t="e">
        <f t="shared" si="90"/>
        <v>#N/A</v>
      </c>
      <c r="Y307" s="4" t="e" cm="1">
        <f t="array" ref="Y307">IF(INDEX(Table2[],_xlfn.XMATCH($A307,Table2[Steel Member],0),_xlfn.XMATCH(Y$2,Table2[#Headers],0))=0,"",INDEX(Table2[],_xlfn.XMATCH($A307,Table2[Steel Member],0),_xlfn.XMATCH(Y$2,Table2[#Headers],0)))</f>
        <v>#N/A</v>
      </c>
      <c r="Z307" s="4" t="e" cm="1">
        <f t="array" ref="Z307">IF(INDEX(Table2[],_xlfn.XMATCH($A307,Table2[Steel Member],0),_xlfn.XMATCH(Z$2,Table2[#Headers],0))=0,"",INDEX(Table2[],_xlfn.XMATCH($A307,Table2[Steel Member],0),_xlfn.XMATCH(Z$2,Table2[#Headers],0)))</f>
        <v>#N/A</v>
      </c>
      <c r="AA307" s="4" t="e" cm="1">
        <f t="array" ref="AA307">IF(INDEX(Table2[],_xlfn.XMATCH($A307,Table2[Steel Member],0),_xlfn.XMATCH(AA$2,Table2[#Headers],0))=0,"",INDEX(Table2[],_xlfn.XMATCH($A307,Table2[Steel Member],0),_xlfn.XMATCH(AA$2,Table2[#Headers],0)))</f>
        <v>#N/A</v>
      </c>
      <c r="AB307" s="4" t="e" cm="1">
        <f t="array" ref="AB307">IF(INDEX(Table2[],_xlfn.XMATCH($A307,Table2[Steel Member],0),_xlfn.XMATCH(AB$2,Table2[#Headers],0))=0,"",INDEX(Table2[],_xlfn.XMATCH($A307,Table2[Steel Member],0),_xlfn.XMATCH(AB$2,Table2[#Headers],0)))</f>
        <v>#N/A</v>
      </c>
      <c r="AC307" s="4" t="str" cm="1">
        <f t="array" ref="AC307">IFERROR(INDEX(Table8[],_xlfn.XMATCH($O307,Table8[Dimension Name Category],0),_xlfn.XMATCH(AC$2&amp;IF($L307," w/ tag"," w/o tag"),Table8[#Headers],0)),"")</f>
        <v/>
      </c>
      <c r="AD307" s="59" t="str">
        <f t="shared" si="81"/>
        <v/>
      </c>
      <c r="AE307" s="4" t="str">
        <f t="shared" si="82"/>
        <v/>
      </c>
      <c r="AF307" s="4" t="str">
        <f t="shared" si="83"/>
        <v/>
      </c>
      <c r="AG307" s="4" t="str" cm="1">
        <f t="array" ref="AG307">IFERROR(INDEX(Table8[],_xlfn.XMATCH($O307,Table8[Dimension Name Category],0),_xlfn.XMATCH(AG$2&amp;IF($L307," w/ tag"," w/o tag"),Table8[#Headers],0)),"")</f>
        <v/>
      </c>
      <c r="AH307" s="59" t="str">
        <f t="shared" si="84"/>
        <v/>
      </c>
      <c r="AI307" s="4"/>
      <c r="AJ307" s="4" t="str">
        <f t="shared" si="85"/>
        <v/>
      </c>
      <c r="AK307" s="4" t="str">
        <f t="shared" si="86"/>
        <v/>
      </c>
      <c r="AL307" s="4" t="e" cm="1">
        <f t="array" ref="AL307">IF(INDEX(Table2[],_xlfn.XMATCH($A307,Table2[Steel Member],0),_xlfn.XMATCH(AL$2,Table2[#Headers],0))=0,"",INDEX(Table2[],_xlfn.XMATCH($A307,Table2[Steel Member],0),_xlfn.XMATCH(AL$2,Table2[#Headers],0)))</f>
        <v>#N/A</v>
      </c>
      <c r="AM307" s="4"/>
      <c r="AN307" s="4" t="str">
        <f t="shared" si="87"/>
        <v/>
      </c>
      <c r="AO307" s="4"/>
      <c r="AP307" s="4" t="e" cm="1">
        <f t="array" ref="AP307">IF(INDEX(Table2[],_xlfn.XMATCH($A307,Table2[Steel Member],0),_xlfn.XMATCH(AP$2,Table2[#Headers],0))=0,"",INDEX(Table2[],_xlfn.XMATCH($A307,Table2[Steel Member],0),_xlfn.XMATCH(AP$2,Table2[#Headers],0)))</f>
        <v>#N/A</v>
      </c>
      <c r="AQ307" s="4"/>
      <c r="AR307" s="4"/>
      <c r="AS307" s="4"/>
      <c r="AT307" s="4"/>
    </row>
    <row r="308" spans="1:46" x14ac:dyDescent="0.25">
      <c r="A308" s="52"/>
      <c r="B308" s="52"/>
      <c r="C308" s="52"/>
      <c r="D308" s="52"/>
      <c r="E308" s="52"/>
      <c r="F308" s="64" cm="1">
        <f t="array" ref="F308">IF(COUNT(FIND(PurlinsxGirthsxBracings,$C308))&gt;0,0,ROUNDUP(IF(D308=0,0,VLOOKUP(D308,'DATA SHEET'!$B:$D,2,FALSE)),2))</f>
        <v>0</v>
      </c>
      <c r="G308" s="64" cm="1">
        <f t="array" ref="G308">IF(COUNT(FIND(PurlinsxGirthsxBracings,$C308))&gt;0,0,ROUNDUP(IF(D308=0,0,VLOOKUP(D308,'DATA SHEET'!$B:$D,3,FALSE)),2))</f>
        <v>0</v>
      </c>
      <c r="H308" s="53"/>
      <c r="I308" s="66" cm="1">
        <f t="array" ref="I308">IF(AND(ISBLANK(B308),ISBLANK(C308),ISBLANK(E308)),0,IF(COUNT(FIND(PurlinsxGirthsxBracings,$C308))&gt;0,IF(B308=0,CONCATENATE(E308," ",C308),CONCATENATE(B308," - ",E308," ",C308)),IF(B308=0,IF(ISBLANK(C308),E308,CONCATENATE(D308,", ",F308,"kg/m, ",G308,"mm surface perimeter")),IF(AND(ISBLANK(C308),ISTEXT(E308)),CONCATENATE(B308," - ",E308),IF(AND(ISBLANK(C308),ISBLANK(E308)),B308,CONCATENATE(B308," - ",D308,", ",F308,"kg/m, ",G308,"mm surface perimeter"))))&amp;IF(ISBLANK(H308),"",H308)))</f>
        <v>0</v>
      </c>
      <c r="J308" s="53"/>
      <c r="L308" s="4" t="str" cm="1">
        <f t="array" ref="L308">IF(COUNT(FIND({0,1,2,3,4,5,6,7,8,9},B308))&gt;0,COUNT(FIND({0,1,2,3,4,5,6,7,8,9},B308))&gt;0,"")</f>
        <v/>
      </c>
      <c r="M308" s="4" t="str" cm="1">
        <f t="array" aca="1" ref="M308" ca="1">IFERROR(_xlfn.IFS(R308="Count",RANDBETWEEN(1,COUNTIF($R$11:$R$653,"Count")),R308="Length",RANDBETWEEN(1,COUNTIF($R$11:$R$653,"Length"))),"")</f>
        <v/>
      </c>
      <c r="N308" s="4" t="str">
        <f ca="1">IFERROR(_xlfn.RANK.EQ(M308,$M$11:$M$653)+COUNTIF($M$11:M308,M308)-1,"")</f>
        <v/>
      </c>
      <c r="O308" s="86" t="str">
        <f>IF(A308='DATA SHEET'!$L$36,C308,IFERROR(IF(AND(ISTEXT(I308),ISBLANK(C308)),"No details",VLOOKUP(C308,DimFolder,2,FALSE)),""))</f>
        <v/>
      </c>
      <c r="P308" s="4" t="str">
        <f t="shared" si="89"/>
        <v/>
      </c>
      <c r="Q308" s="58" t="str">
        <f t="shared" si="88"/>
        <v/>
      </c>
      <c r="R308" s="4" t="e" cm="1">
        <f t="array" ref="R308">IF(INDEX(Table2[],_xlfn.XMATCH($A308,Table2[Steel Member],0),_xlfn.XMATCH(R$2,Table2[#Headers],0))=0,"",INDEX(Table2[],_xlfn.XMATCH($A308,Table2[Steel Member],0),_xlfn.XMATCH(R$2,Table2[#Headers],0)))</f>
        <v>#N/A</v>
      </c>
      <c r="S308" s="4" t="e" cm="1">
        <f t="array" ref="S308">IF(INDEX(Table2[],_xlfn.XMATCH($A308,Table2[Steel Member],0),_xlfn.XMATCH(S$2,Table2[#Headers],0))=0,"",INDEX(Table2[],_xlfn.XMATCH($A308,Table2[Steel Member],0),_xlfn.XMATCH(S$2,Table2[#Headers],0)))</f>
        <v>#N/A</v>
      </c>
      <c r="T308" s="4" t="str">
        <f t="shared" si="79"/>
        <v/>
      </c>
      <c r="U308" s="4" t="e">
        <f ca="1">VLOOKUP(N308,'COLOR CODE'!$B:$D,2,FALSE)</f>
        <v>#N/A</v>
      </c>
      <c r="V308" s="4" t="str">
        <f t="shared" si="80"/>
        <v/>
      </c>
      <c r="W308" s="4" t="e" cm="1">
        <f t="array" ref="W308">IF(INDEX(Table2[],_xlfn.XMATCH($A308,Table2[Steel Member],0),_xlfn.XMATCH(W$2,Table2[#Headers],0))=0,"",INDEX(Table2[],_xlfn.XMATCH($A308,Table2[Steel Member],0),_xlfn.XMATCH(W$2,Table2[#Headers],0)))</f>
        <v>#N/A</v>
      </c>
      <c r="X308" s="4" t="e">
        <f t="shared" si="90"/>
        <v>#N/A</v>
      </c>
      <c r="Y308" s="4" t="e" cm="1">
        <f t="array" ref="Y308">IF(INDEX(Table2[],_xlfn.XMATCH($A308,Table2[Steel Member],0),_xlfn.XMATCH(Y$2,Table2[#Headers],0))=0,"",INDEX(Table2[],_xlfn.XMATCH($A308,Table2[Steel Member],0),_xlfn.XMATCH(Y$2,Table2[#Headers],0)))</f>
        <v>#N/A</v>
      </c>
      <c r="Z308" s="4" t="e" cm="1">
        <f t="array" ref="Z308">IF(INDEX(Table2[],_xlfn.XMATCH($A308,Table2[Steel Member],0),_xlfn.XMATCH(Z$2,Table2[#Headers],0))=0,"",INDEX(Table2[],_xlfn.XMATCH($A308,Table2[Steel Member],0),_xlfn.XMATCH(Z$2,Table2[#Headers],0)))</f>
        <v>#N/A</v>
      </c>
      <c r="AA308" s="4" t="e" cm="1">
        <f t="array" ref="AA308">IF(INDEX(Table2[],_xlfn.XMATCH($A308,Table2[Steel Member],0),_xlfn.XMATCH(AA$2,Table2[#Headers],0))=0,"",INDEX(Table2[],_xlfn.XMATCH($A308,Table2[Steel Member],0),_xlfn.XMATCH(AA$2,Table2[#Headers],0)))</f>
        <v>#N/A</v>
      </c>
      <c r="AB308" s="4" t="e" cm="1">
        <f t="array" ref="AB308">IF(INDEX(Table2[],_xlfn.XMATCH($A308,Table2[Steel Member],0),_xlfn.XMATCH(AB$2,Table2[#Headers],0))=0,"",INDEX(Table2[],_xlfn.XMATCH($A308,Table2[Steel Member],0),_xlfn.XMATCH(AB$2,Table2[#Headers],0)))</f>
        <v>#N/A</v>
      </c>
      <c r="AC308" s="4" t="str" cm="1">
        <f t="array" ref="AC308">IFERROR(INDEX(Table8[],_xlfn.XMATCH($O308,Table8[Dimension Name Category],0),_xlfn.XMATCH(AC$2&amp;IF($L308," w/ tag"," w/o tag"),Table8[#Headers],0)),"")</f>
        <v/>
      </c>
      <c r="AD308" s="59" t="str">
        <f t="shared" si="81"/>
        <v/>
      </c>
      <c r="AE308" s="4" t="str">
        <f t="shared" si="82"/>
        <v/>
      </c>
      <c r="AF308" s="4" t="str">
        <f t="shared" si="83"/>
        <v/>
      </c>
      <c r="AG308" s="4" t="str" cm="1">
        <f t="array" ref="AG308">IFERROR(INDEX(Table8[],_xlfn.XMATCH($O308,Table8[Dimension Name Category],0),_xlfn.XMATCH(AG$2&amp;IF($L308," w/ tag"," w/o tag"),Table8[#Headers],0)),"")</f>
        <v/>
      </c>
      <c r="AH308" s="59" t="str">
        <f t="shared" si="84"/>
        <v/>
      </c>
      <c r="AI308" s="4"/>
      <c r="AJ308" s="4" t="str">
        <f t="shared" si="85"/>
        <v/>
      </c>
      <c r="AK308" s="4" t="str">
        <f t="shared" si="86"/>
        <v/>
      </c>
      <c r="AL308" s="4" t="e" cm="1">
        <f t="array" ref="AL308">IF(INDEX(Table2[],_xlfn.XMATCH($A308,Table2[Steel Member],0),_xlfn.XMATCH(AL$2,Table2[#Headers],0))=0,"",INDEX(Table2[],_xlfn.XMATCH($A308,Table2[Steel Member],0),_xlfn.XMATCH(AL$2,Table2[#Headers],0)))</f>
        <v>#N/A</v>
      </c>
      <c r="AM308" s="4"/>
      <c r="AN308" s="4" t="str">
        <f t="shared" si="87"/>
        <v/>
      </c>
      <c r="AO308" s="4"/>
      <c r="AP308" s="4" t="e" cm="1">
        <f t="array" ref="AP308">IF(INDEX(Table2[],_xlfn.XMATCH($A308,Table2[Steel Member],0),_xlfn.XMATCH(AP$2,Table2[#Headers],0))=0,"",INDEX(Table2[],_xlfn.XMATCH($A308,Table2[Steel Member],0),_xlfn.XMATCH(AP$2,Table2[#Headers],0)))</f>
        <v>#N/A</v>
      </c>
      <c r="AQ308" s="4"/>
      <c r="AR308" s="4"/>
      <c r="AS308" s="4"/>
      <c r="AT308" s="4"/>
    </row>
    <row r="309" spans="1:46" x14ac:dyDescent="0.25">
      <c r="A309" s="52"/>
      <c r="B309" s="52"/>
      <c r="C309" s="52"/>
      <c r="D309" s="52"/>
      <c r="E309" s="52"/>
      <c r="F309" s="64" cm="1">
        <f t="array" ref="F309">IF(COUNT(FIND(PurlinsxGirthsxBracings,$C309))&gt;0,0,ROUNDUP(IF(D309=0,0,VLOOKUP(D309,'DATA SHEET'!$B:$D,2,FALSE)),2))</f>
        <v>0</v>
      </c>
      <c r="G309" s="64" cm="1">
        <f t="array" ref="G309">IF(COUNT(FIND(PurlinsxGirthsxBracings,$C309))&gt;0,0,ROUNDUP(IF(D309=0,0,VLOOKUP(D309,'DATA SHEET'!$B:$D,3,FALSE)),2))</f>
        <v>0</v>
      </c>
      <c r="H309" s="53"/>
      <c r="I309" s="66" cm="1">
        <f t="array" ref="I309">IF(AND(ISBLANK(B309),ISBLANK(C309),ISBLANK(E309)),0,IF(COUNT(FIND(PurlinsxGirthsxBracings,$C309))&gt;0,IF(B309=0,CONCATENATE(E309," ",C309),CONCATENATE(B309," - ",E309," ",C309)),IF(B309=0,IF(ISBLANK(C309),E309,CONCATENATE(D309,", ",F309,"kg/m, ",G309,"mm surface perimeter")),IF(AND(ISBLANK(C309),ISTEXT(E309)),CONCATENATE(B309," - ",E309),IF(AND(ISBLANK(C309),ISBLANK(E309)),B309,CONCATENATE(B309," - ",D309,", ",F309,"kg/m, ",G309,"mm surface perimeter"))))&amp;IF(ISBLANK(H309),"",H309)))</f>
        <v>0</v>
      </c>
      <c r="J309" s="53"/>
      <c r="L309" s="4" t="str" cm="1">
        <f t="array" ref="L309">IF(COUNT(FIND({0,1,2,3,4,5,6,7,8,9},B309))&gt;0,COUNT(FIND({0,1,2,3,4,5,6,7,8,9},B309))&gt;0,"")</f>
        <v/>
      </c>
      <c r="M309" s="4" t="str" cm="1">
        <f t="array" aca="1" ref="M309" ca="1">IFERROR(_xlfn.IFS(R309="Count",RANDBETWEEN(1,COUNTIF($R$11:$R$653,"Count")),R309="Length",RANDBETWEEN(1,COUNTIF($R$11:$R$653,"Length"))),"")</f>
        <v/>
      </c>
      <c r="N309" s="4" t="str">
        <f ca="1">IFERROR(_xlfn.RANK.EQ(M309,$M$11:$M$653)+COUNTIF($M$11:M309,M309)-1,"")</f>
        <v/>
      </c>
      <c r="O309" s="86" t="str">
        <f>IF(A309='DATA SHEET'!$L$36,C309,IFERROR(IF(AND(ISTEXT(I309),ISBLANK(C309)),"No details",VLOOKUP(C309,DimFolder,2,FALSE)),""))</f>
        <v/>
      </c>
      <c r="P309" s="4" t="str">
        <f t="shared" si="89"/>
        <v/>
      </c>
      <c r="Q309" s="58" t="str">
        <f t="shared" si="88"/>
        <v/>
      </c>
      <c r="R309" s="4" t="e" cm="1">
        <f t="array" ref="R309">IF(INDEX(Table2[],_xlfn.XMATCH($A309,Table2[Steel Member],0),_xlfn.XMATCH(R$2,Table2[#Headers],0))=0,"",INDEX(Table2[],_xlfn.XMATCH($A309,Table2[Steel Member],0),_xlfn.XMATCH(R$2,Table2[#Headers],0)))</f>
        <v>#N/A</v>
      </c>
      <c r="S309" s="4" t="e" cm="1">
        <f t="array" ref="S309">IF(INDEX(Table2[],_xlfn.XMATCH($A309,Table2[Steel Member],0),_xlfn.XMATCH(S$2,Table2[#Headers],0))=0,"",INDEX(Table2[],_xlfn.XMATCH($A309,Table2[Steel Member],0),_xlfn.XMATCH(S$2,Table2[#Headers],0)))</f>
        <v>#N/A</v>
      </c>
      <c r="T309" s="4" t="str">
        <f t="shared" ref="T309:T372" si="91">IF(AND(ISBLANK(B309),ISBLANK(C309)),"","t")</f>
        <v/>
      </c>
      <c r="U309" s="4" t="e">
        <f ca="1">VLOOKUP(N309,'COLOR CODE'!$B:$D,2,FALSE)</f>
        <v>#N/A</v>
      </c>
      <c r="V309" s="4" t="str">
        <f t="shared" ref="V309:V372" si="92">IF(AND(ISBLANK(B309),ISBLANK(C309)),"","Red")</f>
        <v/>
      </c>
      <c r="W309" s="4" t="e" cm="1">
        <f t="array" ref="W309">IF(INDEX(Table2[],_xlfn.XMATCH($A309,Table2[Steel Member],0),_xlfn.XMATCH(W$2,Table2[#Headers],0))=0,"",INDEX(Table2[],_xlfn.XMATCH($A309,Table2[Steel Member],0),_xlfn.XMATCH(W$2,Table2[#Headers],0)))</f>
        <v>#N/A</v>
      </c>
      <c r="X309" s="4" t="e">
        <f t="shared" si="90"/>
        <v>#N/A</v>
      </c>
      <c r="Y309" s="4" t="e" cm="1">
        <f t="array" ref="Y309">IF(INDEX(Table2[],_xlfn.XMATCH($A309,Table2[Steel Member],0),_xlfn.XMATCH(Y$2,Table2[#Headers],0))=0,"",INDEX(Table2[],_xlfn.XMATCH($A309,Table2[Steel Member],0),_xlfn.XMATCH(Y$2,Table2[#Headers],0)))</f>
        <v>#N/A</v>
      </c>
      <c r="Z309" s="4" t="e" cm="1">
        <f t="array" ref="Z309">IF(INDEX(Table2[],_xlfn.XMATCH($A309,Table2[Steel Member],0),_xlfn.XMATCH(Z$2,Table2[#Headers],0))=0,"",INDEX(Table2[],_xlfn.XMATCH($A309,Table2[Steel Member],0),_xlfn.XMATCH(Z$2,Table2[#Headers],0)))</f>
        <v>#N/A</v>
      </c>
      <c r="AA309" s="4" t="e" cm="1">
        <f t="array" ref="AA309">IF(INDEX(Table2[],_xlfn.XMATCH($A309,Table2[Steel Member],0),_xlfn.XMATCH(AA$2,Table2[#Headers],0))=0,"",INDEX(Table2[],_xlfn.XMATCH($A309,Table2[Steel Member],0),_xlfn.XMATCH(AA$2,Table2[#Headers],0)))</f>
        <v>#N/A</v>
      </c>
      <c r="AB309" s="4" t="e" cm="1">
        <f t="array" ref="AB309">IF(INDEX(Table2[],_xlfn.XMATCH($A309,Table2[Steel Member],0),_xlfn.XMATCH(AB$2,Table2[#Headers],0))=0,"",INDEX(Table2[],_xlfn.XMATCH($A309,Table2[Steel Member],0),_xlfn.XMATCH(AB$2,Table2[#Headers],0)))</f>
        <v>#N/A</v>
      </c>
      <c r="AC309" s="4" t="str" cm="1">
        <f t="array" ref="AC309">IFERROR(INDEX(Table8[],_xlfn.XMATCH($O309,Table8[Dimension Name Category],0),_xlfn.XMATCH(AC$2&amp;IF($L309," w/ tag"," w/o tag"),Table8[#Headers],0)),"")</f>
        <v/>
      </c>
      <c r="AD309" s="59" t="str">
        <f t="shared" ref="AD309:AD372" si="93">IF(OR($AC309="",$AC309=0),"",IF($A309=Column,"{Length}*XNUMBER({Dimension Group Name},"&amp;$AC309&amp;")/1000","{Length}*XNUMBER({Dimension Group Name},"&amp;$AC309&amp;")/1000*{Slope Factor}"))</f>
        <v/>
      </c>
      <c r="AE309" s="4" t="str">
        <f t="shared" ref="AE309:AE372" si="94">IF(AND(ISBLANK(B309),ISBLANK(C309)),"",IF($A309=Purlins_Girths_Bracings,"","Steel Surface Area"))</f>
        <v/>
      </c>
      <c r="AF309" s="4" t="str">
        <f t="shared" ref="AF309:AF372" si="95">IF(AND(ISBLANK(B309),ISBLANK(C309)),"",IF($A309=Purlins_Girths_Bracings,"","m2"))</f>
        <v/>
      </c>
      <c r="AG309" s="4" t="str" cm="1">
        <f t="array" ref="AG309">IFERROR(INDEX(Table8[],_xlfn.XMATCH($O309,Table8[Dimension Name Category],0),_xlfn.XMATCH(AG$2&amp;IF($L309," w/ tag"," w/o tag"),Table8[#Headers],0)),"")</f>
        <v/>
      </c>
      <c r="AH309" s="59" t="str">
        <f t="shared" ref="AH309:AH372" si="96">IF(OR($AG309="",$AG309=0),"",IF($A309=Column,"{Length}*XNUMBER({Dimension Group Name},"&amp;$AG309&amp;")/1000","{Length}*XNUMBER({Dimension Group Name},"&amp;$AG309&amp;")/1000*{Slope Factor}"))</f>
        <v/>
      </c>
      <c r="AI309" s="4"/>
      <c r="AJ309" s="4" t="str">
        <f t="shared" ref="AJ309:AJ372" si="97">IF(OR($A309=Column,$A309=""),"","Slope Length")</f>
        <v/>
      </c>
      <c r="AK309" s="4" t="str">
        <f t="shared" ref="AK309:AK372" si="98">IF(OR($A309=Column,$A309=""),"","m")</f>
        <v/>
      </c>
      <c r="AL309" s="4" t="e" cm="1">
        <f t="array" ref="AL309">IF(INDEX(Table2[],_xlfn.XMATCH($A309,Table2[Steel Member],0),_xlfn.XMATCH(AL$2,Table2[#Headers],0))=0,"",INDEX(Table2[],_xlfn.XMATCH($A309,Table2[Steel Member],0),_xlfn.XMATCH(AL$2,Table2[#Headers],0)))</f>
        <v>#N/A</v>
      </c>
      <c r="AM309" s="4"/>
      <c r="AN309" s="4" t="str">
        <f t="shared" ref="AN309:AN372" si="99">IF(OR($A309=Column,$A309=""),"","Slope Factor")</f>
        <v/>
      </c>
      <c r="AO309" s="4"/>
      <c r="AP309" s="4" t="e" cm="1">
        <f t="array" ref="AP309">IF(INDEX(Table2[],_xlfn.XMATCH($A309,Table2[Steel Member],0),_xlfn.XMATCH(AP$2,Table2[#Headers],0))=0,"",INDEX(Table2[],_xlfn.XMATCH($A309,Table2[Steel Member],0),_xlfn.XMATCH(AP$2,Table2[#Headers],0)))</f>
        <v>#N/A</v>
      </c>
      <c r="AQ309" s="4"/>
      <c r="AR309" s="4"/>
      <c r="AS309" s="4"/>
      <c r="AT309" s="4"/>
    </row>
    <row r="310" spans="1:46" x14ac:dyDescent="0.25">
      <c r="A310" s="52"/>
      <c r="B310" s="52"/>
      <c r="C310" s="52"/>
      <c r="D310" s="52"/>
      <c r="E310" s="52"/>
      <c r="F310" s="64" cm="1">
        <f t="array" ref="F310">IF(COUNT(FIND(PurlinsxGirthsxBracings,$C310))&gt;0,0,ROUNDUP(IF(D310=0,0,VLOOKUP(D310,'DATA SHEET'!$B:$D,2,FALSE)),2))</f>
        <v>0</v>
      </c>
      <c r="G310" s="64" cm="1">
        <f t="array" ref="G310">IF(COUNT(FIND(PurlinsxGirthsxBracings,$C310))&gt;0,0,ROUNDUP(IF(D310=0,0,VLOOKUP(D310,'DATA SHEET'!$B:$D,3,FALSE)),2))</f>
        <v>0</v>
      </c>
      <c r="H310" s="53"/>
      <c r="I310" s="66" cm="1">
        <f t="array" ref="I310">IF(AND(ISBLANK(B310),ISBLANK(C310),ISBLANK(E310)),0,IF(COUNT(FIND(PurlinsxGirthsxBracings,$C310))&gt;0,IF(B310=0,CONCATENATE(E310," ",C310),CONCATENATE(B310," - ",E310," ",C310)),IF(B310=0,IF(ISBLANK(C310),E310,CONCATENATE(D310,", ",F310,"kg/m, ",G310,"mm surface perimeter")),IF(AND(ISBLANK(C310),ISTEXT(E310)),CONCATENATE(B310," - ",E310),IF(AND(ISBLANK(C310),ISBLANK(E310)),B310,CONCATENATE(B310," - ",D310,", ",F310,"kg/m, ",G310,"mm surface perimeter"))))&amp;IF(ISBLANK(H310),"",H310)))</f>
        <v>0</v>
      </c>
      <c r="J310" s="53"/>
      <c r="L310" s="4" t="str" cm="1">
        <f t="array" ref="L310">IF(COUNT(FIND({0,1,2,3,4,5,6,7,8,9},B310))&gt;0,COUNT(FIND({0,1,2,3,4,5,6,7,8,9},B310))&gt;0,"")</f>
        <v/>
      </c>
      <c r="M310" s="4" t="str" cm="1">
        <f t="array" aca="1" ref="M310" ca="1">IFERROR(_xlfn.IFS(R310="Count",RANDBETWEEN(1,COUNTIF($R$11:$R$653,"Count")),R310="Length",RANDBETWEEN(1,COUNTIF($R$11:$R$653,"Length"))),"")</f>
        <v/>
      </c>
      <c r="N310" s="4" t="str">
        <f ca="1">IFERROR(_xlfn.RANK.EQ(M310,$M$11:$M$653)+COUNTIF($M$11:M310,M310)-1,"")</f>
        <v/>
      </c>
      <c r="O310" s="86" t="str">
        <f>IF(A310='DATA SHEET'!$L$36,C310,IFERROR(IF(AND(ISTEXT(I310),ISBLANK(C310)),"No details",VLOOKUP(C310,DimFolder,2,FALSE)),""))</f>
        <v/>
      </c>
      <c r="P310" s="4" t="str">
        <f t="shared" si="89"/>
        <v/>
      </c>
      <c r="Q310" s="58" t="str">
        <f t="shared" ref="Q310:Q373" si="100">IF(AND(ISBLANK(B310),ISBLANK(C310)),"",I310)</f>
        <v/>
      </c>
      <c r="R310" s="4" t="e" cm="1">
        <f t="array" ref="R310">IF(INDEX(Table2[],_xlfn.XMATCH($A310,Table2[Steel Member],0),_xlfn.XMATCH(R$2,Table2[#Headers],0))=0,"",INDEX(Table2[],_xlfn.XMATCH($A310,Table2[Steel Member],0),_xlfn.XMATCH(R$2,Table2[#Headers],0)))</f>
        <v>#N/A</v>
      </c>
      <c r="S310" s="4" t="e" cm="1">
        <f t="array" ref="S310">IF(INDEX(Table2[],_xlfn.XMATCH($A310,Table2[Steel Member],0),_xlfn.XMATCH(S$2,Table2[#Headers],0))=0,"",INDEX(Table2[],_xlfn.XMATCH($A310,Table2[Steel Member],0),_xlfn.XMATCH(S$2,Table2[#Headers],0)))</f>
        <v>#N/A</v>
      </c>
      <c r="T310" s="4" t="str">
        <f t="shared" si="91"/>
        <v/>
      </c>
      <c r="U310" s="4" t="e">
        <f ca="1">VLOOKUP(N310,'COLOR CODE'!$B:$D,2,FALSE)</f>
        <v>#N/A</v>
      </c>
      <c r="V310" s="4" t="str">
        <f t="shared" si="92"/>
        <v/>
      </c>
      <c r="W310" s="4" t="e" cm="1">
        <f t="array" ref="W310">IF(INDEX(Table2[],_xlfn.XMATCH($A310,Table2[Steel Member],0),_xlfn.XMATCH(W$2,Table2[#Headers],0))=0,"",INDEX(Table2[],_xlfn.XMATCH($A310,Table2[Steel Member],0),_xlfn.XMATCH(W$2,Table2[#Headers],0)))</f>
        <v>#N/A</v>
      </c>
      <c r="X310" s="4" t="e">
        <f t="shared" si="90"/>
        <v>#N/A</v>
      </c>
      <c r="Y310" s="4" t="e" cm="1">
        <f t="array" ref="Y310">IF(INDEX(Table2[],_xlfn.XMATCH($A310,Table2[Steel Member],0),_xlfn.XMATCH(Y$2,Table2[#Headers],0))=0,"",INDEX(Table2[],_xlfn.XMATCH($A310,Table2[Steel Member],0),_xlfn.XMATCH(Y$2,Table2[#Headers],0)))</f>
        <v>#N/A</v>
      </c>
      <c r="Z310" s="4" t="e" cm="1">
        <f t="array" ref="Z310">IF(INDEX(Table2[],_xlfn.XMATCH($A310,Table2[Steel Member],0),_xlfn.XMATCH(Z$2,Table2[#Headers],0))=0,"",INDEX(Table2[],_xlfn.XMATCH($A310,Table2[Steel Member],0),_xlfn.XMATCH(Z$2,Table2[#Headers],0)))</f>
        <v>#N/A</v>
      </c>
      <c r="AA310" s="4" t="e" cm="1">
        <f t="array" ref="AA310">IF(INDEX(Table2[],_xlfn.XMATCH($A310,Table2[Steel Member],0),_xlfn.XMATCH(AA$2,Table2[#Headers],0))=0,"",INDEX(Table2[],_xlfn.XMATCH($A310,Table2[Steel Member],0),_xlfn.XMATCH(AA$2,Table2[#Headers],0)))</f>
        <v>#N/A</v>
      </c>
      <c r="AB310" s="4" t="e" cm="1">
        <f t="array" ref="AB310">IF(INDEX(Table2[],_xlfn.XMATCH($A310,Table2[Steel Member],0),_xlfn.XMATCH(AB$2,Table2[#Headers],0))=0,"",INDEX(Table2[],_xlfn.XMATCH($A310,Table2[Steel Member],0),_xlfn.XMATCH(AB$2,Table2[#Headers],0)))</f>
        <v>#N/A</v>
      </c>
      <c r="AC310" s="4" t="str" cm="1">
        <f t="array" ref="AC310">IFERROR(INDEX(Table8[],_xlfn.XMATCH($O310,Table8[Dimension Name Category],0),_xlfn.XMATCH(AC$2&amp;IF($L310," w/ tag"," w/o tag"),Table8[#Headers],0)),"")</f>
        <v/>
      </c>
      <c r="AD310" s="59" t="str">
        <f t="shared" si="93"/>
        <v/>
      </c>
      <c r="AE310" s="4" t="str">
        <f t="shared" si="94"/>
        <v/>
      </c>
      <c r="AF310" s="4" t="str">
        <f t="shared" si="95"/>
        <v/>
      </c>
      <c r="AG310" s="4" t="str" cm="1">
        <f t="array" ref="AG310">IFERROR(INDEX(Table8[],_xlfn.XMATCH($O310,Table8[Dimension Name Category],0),_xlfn.XMATCH(AG$2&amp;IF($L310," w/ tag"," w/o tag"),Table8[#Headers],0)),"")</f>
        <v/>
      </c>
      <c r="AH310" s="59" t="str">
        <f t="shared" si="96"/>
        <v/>
      </c>
      <c r="AI310" s="4"/>
      <c r="AJ310" s="4" t="str">
        <f t="shared" si="97"/>
        <v/>
      </c>
      <c r="AK310" s="4" t="str">
        <f t="shared" si="98"/>
        <v/>
      </c>
      <c r="AL310" s="4" t="e" cm="1">
        <f t="array" ref="AL310">IF(INDEX(Table2[],_xlfn.XMATCH($A310,Table2[Steel Member],0),_xlfn.XMATCH(AL$2,Table2[#Headers],0))=0,"",INDEX(Table2[],_xlfn.XMATCH($A310,Table2[Steel Member],0),_xlfn.XMATCH(AL$2,Table2[#Headers],0)))</f>
        <v>#N/A</v>
      </c>
      <c r="AM310" s="4"/>
      <c r="AN310" s="4" t="str">
        <f t="shared" si="99"/>
        <v/>
      </c>
      <c r="AO310" s="4"/>
      <c r="AP310" s="4" t="e" cm="1">
        <f t="array" ref="AP310">IF(INDEX(Table2[],_xlfn.XMATCH($A310,Table2[Steel Member],0),_xlfn.XMATCH(AP$2,Table2[#Headers],0))=0,"",INDEX(Table2[],_xlfn.XMATCH($A310,Table2[Steel Member],0),_xlfn.XMATCH(AP$2,Table2[#Headers],0)))</f>
        <v>#N/A</v>
      </c>
      <c r="AQ310" s="4"/>
      <c r="AR310" s="4"/>
      <c r="AS310" s="4"/>
      <c r="AT310" s="4"/>
    </row>
    <row r="311" spans="1:46" x14ac:dyDescent="0.25">
      <c r="A311" s="52"/>
      <c r="B311" s="52"/>
      <c r="C311" s="52"/>
      <c r="D311" s="52"/>
      <c r="E311" s="52"/>
      <c r="F311" s="64" cm="1">
        <f t="array" ref="F311">IF(COUNT(FIND(PurlinsxGirthsxBracings,$C311))&gt;0,0,ROUNDUP(IF(D311=0,0,VLOOKUP(D311,'DATA SHEET'!$B:$D,2,FALSE)),2))</f>
        <v>0</v>
      </c>
      <c r="G311" s="64" cm="1">
        <f t="array" ref="G311">IF(COUNT(FIND(PurlinsxGirthsxBracings,$C311))&gt;0,0,ROUNDUP(IF(D311=0,0,VLOOKUP(D311,'DATA SHEET'!$B:$D,3,FALSE)),2))</f>
        <v>0</v>
      </c>
      <c r="H311" s="53"/>
      <c r="I311" s="66" cm="1">
        <f t="array" ref="I311">IF(AND(ISBLANK(B311),ISBLANK(C311),ISBLANK(E311)),0,IF(COUNT(FIND(PurlinsxGirthsxBracings,$C311))&gt;0,IF(B311=0,CONCATENATE(E311," ",C311),CONCATENATE(B311," - ",E311," ",C311)),IF(B311=0,IF(ISBLANK(C311),E311,CONCATENATE(D311,", ",F311,"kg/m, ",G311,"mm surface perimeter")),IF(AND(ISBLANK(C311),ISTEXT(E311)),CONCATENATE(B311," - ",E311),IF(AND(ISBLANK(C311),ISBLANK(E311)),B311,CONCATENATE(B311," - ",D311,", ",F311,"kg/m, ",G311,"mm surface perimeter"))))&amp;IF(ISBLANK(H311),"",H311)))</f>
        <v>0</v>
      </c>
      <c r="J311" s="53"/>
      <c r="L311" s="4" t="str" cm="1">
        <f t="array" ref="L311">IF(COUNT(FIND({0,1,2,3,4,5,6,7,8,9},B311))&gt;0,COUNT(FIND({0,1,2,3,4,5,6,7,8,9},B311))&gt;0,"")</f>
        <v/>
      </c>
      <c r="M311" s="4" t="str" cm="1">
        <f t="array" aca="1" ref="M311" ca="1">IFERROR(_xlfn.IFS(R311="Count",RANDBETWEEN(1,COUNTIF($R$11:$R$653,"Count")),R311="Length",RANDBETWEEN(1,COUNTIF($R$11:$R$653,"Length"))),"")</f>
        <v/>
      </c>
      <c r="N311" s="4" t="str">
        <f ca="1">IFERROR(_xlfn.RANK.EQ(M311,$M$11:$M$653)+COUNTIF($M$11:M311,M311)-1,"")</f>
        <v/>
      </c>
      <c r="O311" s="86" t="str">
        <f>IF(A311='DATA SHEET'!$L$36,C311,IFERROR(IF(AND(ISTEXT(I311),ISBLANK(C311)),"No details",VLOOKUP(C311,DimFolder,2,FALSE)),""))</f>
        <v/>
      </c>
      <c r="P311" s="4" t="str">
        <f t="shared" si="89"/>
        <v/>
      </c>
      <c r="Q311" s="58" t="str">
        <f t="shared" si="100"/>
        <v/>
      </c>
      <c r="R311" s="4" t="e" cm="1">
        <f t="array" ref="R311">IF(INDEX(Table2[],_xlfn.XMATCH($A311,Table2[Steel Member],0),_xlfn.XMATCH(R$2,Table2[#Headers],0))=0,"",INDEX(Table2[],_xlfn.XMATCH($A311,Table2[Steel Member],0),_xlfn.XMATCH(R$2,Table2[#Headers],0)))</f>
        <v>#N/A</v>
      </c>
      <c r="S311" s="4" t="e" cm="1">
        <f t="array" ref="S311">IF(INDEX(Table2[],_xlfn.XMATCH($A311,Table2[Steel Member],0),_xlfn.XMATCH(S$2,Table2[#Headers],0))=0,"",INDEX(Table2[],_xlfn.XMATCH($A311,Table2[Steel Member],0),_xlfn.XMATCH(S$2,Table2[#Headers],0)))</f>
        <v>#N/A</v>
      </c>
      <c r="T311" s="4" t="str">
        <f t="shared" si="91"/>
        <v/>
      </c>
      <c r="U311" s="4" t="e">
        <f ca="1">VLOOKUP(N311,'COLOR CODE'!$B:$D,2,FALSE)</f>
        <v>#N/A</v>
      </c>
      <c r="V311" s="4" t="str">
        <f t="shared" si="92"/>
        <v/>
      </c>
      <c r="W311" s="4" t="e" cm="1">
        <f t="array" ref="W311">IF(INDEX(Table2[],_xlfn.XMATCH($A311,Table2[Steel Member],0),_xlfn.XMATCH(W$2,Table2[#Headers],0))=0,"",INDEX(Table2[],_xlfn.XMATCH($A311,Table2[Steel Member],0),_xlfn.XMATCH(W$2,Table2[#Headers],0)))</f>
        <v>#N/A</v>
      </c>
      <c r="X311" s="4" t="e">
        <f t="shared" si="90"/>
        <v>#N/A</v>
      </c>
      <c r="Y311" s="4" t="e" cm="1">
        <f t="array" ref="Y311">IF(INDEX(Table2[],_xlfn.XMATCH($A311,Table2[Steel Member],0),_xlfn.XMATCH(Y$2,Table2[#Headers],0))=0,"",INDEX(Table2[],_xlfn.XMATCH($A311,Table2[Steel Member],0),_xlfn.XMATCH(Y$2,Table2[#Headers],0)))</f>
        <v>#N/A</v>
      </c>
      <c r="Z311" s="4" t="e" cm="1">
        <f t="array" ref="Z311">IF(INDEX(Table2[],_xlfn.XMATCH($A311,Table2[Steel Member],0),_xlfn.XMATCH(Z$2,Table2[#Headers],0))=0,"",INDEX(Table2[],_xlfn.XMATCH($A311,Table2[Steel Member],0),_xlfn.XMATCH(Z$2,Table2[#Headers],0)))</f>
        <v>#N/A</v>
      </c>
      <c r="AA311" s="4" t="e" cm="1">
        <f t="array" ref="AA311">IF(INDEX(Table2[],_xlfn.XMATCH($A311,Table2[Steel Member],0),_xlfn.XMATCH(AA$2,Table2[#Headers],0))=0,"",INDEX(Table2[],_xlfn.XMATCH($A311,Table2[Steel Member],0),_xlfn.XMATCH(AA$2,Table2[#Headers],0)))</f>
        <v>#N/A</v>
      </c>
      <c r="AB311" s="4" t="e" cm="1">
        <f t="array" ref="AB311">IF(INDEX(Table2[],_xlfn.XMATCH($A311,Table2[Steel Member],0),_xlfn.XMATCH(AB$2,Table2[#Headers],0))=0,"",INDEX(Table2[],_xlfn.XMATCH($A311,Table2[Steel Member],0),_xlfn.XMATCH(AB$2,Table2[#Headers],0)))</f>
        <v>#N/A</v>
      </c>
      <c r="AC311" s="4" t="str" cm="1">
        <f t="array" ref="AC311">IFERROR(INDEX(Table8[],_xlfn.XMATCH($O311,Table8[Dimension Name Category],0),_xlfn.XMATCH(AC$2&amp;IF($L311," w/ tag"," w/o tag"),Table8[#Headers],0)),"")</f>
        <v/>
      </c>
      <c r="AD311" s="59" t="str">
        <f t="shared" si="93"/>
        <v/>
      </c>
      <c r="AE311" s="4" t="str">
        <f t="shared" si="94"/>
        <v/>
      </c>
      <c r="AF311" s="4" t="str">
        <f t="shared" si="95"/>
        <v/>
      </c>
      <c r="AG311" s="4" t="str" cm="1">
        <f t="array" ref="AG311">IFERROR(INDEX(Table8[],_xlfn.XMATCH($O311,Table8[Dimension Name Category],0),_xlfn.XMATCH(AG$2&amp;IF($L311," w/ tag"," w/o tag"),Table8[#Headers],0)),"")</f>
        <v/>
      </c>
      <c r="AH311" s="59" t="str">
        <f t="shared" si="96"/>
        <v/>
      </c>
      <c r="AI311" s="4"/>
      <c r="AJ311" s="4" t="str">
        <f t="shared" si="97"/>
        <v/>
      </c>
      <c r="AK311" s="4" t="str">
        <f t="shared" si="98"/>
        <v/>
      </c>
      <c r="AL311" s="4" t="e" cm="1">
        <f t="array" ref="AL311">IF(INDEX(Table2[],_xlfn.XMATCH($A311,Table2[Steel Member],0),_xlfn.XMATCH(AL$2,Table2[#Headers],0))=0,"",INDEX(Table2[],_xlfn.XMATCH($A311,Table2[Steel Member],0),_xlfn.XMATCH(AL$2,Table2[#Headers],0)))</f>
        <v>#N/A</v>
      </c>
      <c r="AM311" s="4"/>
      <c r="AN311" s="4" t="str">
        <f t="shared" si="99"/>
        <v/>
      </c>
      <c r="AO311" s="4"/>
      <c r="AP311" s="4" t="e" cm="1">
        <f t="array" ref="AP311">IF(INDEX(Table2[],_xlfn.XMATCH($A311,Table2[Steel Member],0),_xlfn.XMATCH(AP$2,Table2[#Headers],0))=0,"",INDEX(Table2[],_xlfn.XMATCH($A311,Table2[Steel Member],0),_xlfn.XMATCH(AP$2,Table2[#Headers],0)))</f>
        <v>#N/A</v>
      </c>
      <c r="AQ311" s="4"/>
      <c r="AR311" s="4"/>
      <c r="AS311" s="4"/>
      <c r="AT311" s="4"/>
    </row>
    <row r="312" spans="1:46" x14ac:dyDescent="0.25">
      <c r="A312" s="52"/>
      <c r="B312" s="52"/>
      <c r="C312" s="52"/>
      <c r="D312" s="52"/>
      <c r="E312" s="52"/>
      <c r="F312" s="64" cm="1">
        <f t="array" ref="F312">IF(COUNT(FIND(PurlinsxGirthsxBracings,$C312))&gt;0,0,ROUNDUP(IF(D312=0,0,VLOOKUP(D312,'DATA SHEET'!$B:$D,2,FALSE)),2))</f>
        <v>0</v>
      </c>
      <c r="G312" s="64" cm="1">
        <f t="array" ref="G312">IF(COUNT(FIND(PurlinsxGirthsxBracings,$C312))&gt;0,0,ROUNDUP(IF(D312=0,0,VLOOKUP(D312,'DATA SHEET'!$B:$D,3,FALSE)),2))</f>
        <v>0</v>
      </c>
      <c r="H312" s="53"/>
      <c r="I312" s="66" cm="1">
        <f t="array" ref="I312">IF(AND(ISBLANK(B312),ISBLANK(C312),ISBLANK(E312)),0,IF(COUNT(FIND(PurlinsxGirthsxBracings,$C312))&gt;0,IF(B312=0,CONCATENATE(E312," ",C312),CONCATENATE(B312," - ",E312," ",C312)),IF(B312=0,IF(ISBLANK(C312),E312,CONCATENATE(D312,", ",F312,"kg/m, ",G312,"mm surface perimeter")),IF(AND(ISBLANK(C312),ISTEXT(E312)),CONCATENATE(B312," - ",E312),IF(AND(ISBLANK(C312),ISBLANK(E312)),B312,CONCATENATE(B312," - ",D312,", ",F312,"kg/m, ",G312,"mm surface perimeter"))))&amp;IF(ISBLANK(H312),"",H312)))</f>
        <v>0</v>
      </c>
      <c r="J312" s="53"/>
      <c r="L312" s="4" t="str" cm="1">
        <f t="array" ref="L312">IF(COUNT(FIND({0,1,2,3,4,5,6,7,8,9},B312))&gt;0,COUNT(FIND({0,1,2,3,4,5,6,7,8,9},B312))&gt;0,"")</f>
        <v/>
      </c>
      <c r="M312" s="4" t="str" cm="1">
        <f t="array" aca="1" ref="M312" ca="1">IFERROR(_xlfn.IFS(R312="Count",RANDBETWEEN(1,COUNTIF($R$11:$R$653,"Count")),R312="Length",RANDBETWEEN(1,COUNTIF($R$11:$R$653,"Length"))),"")</f>
        <v/>
      </c>
      <c r="N312" s="4" t="str">
        <f ca="1">IFERROR(_xlfn.RANK.EQ(M312,$M$11:$M$653)+COUNTIF($M$11:M312,M312)-1,"")</f>
        <v/>
      </c>
      <c r="O312" s="86" t="str">
        <f>IF(A312='DATA SHEET'!$L$36,C312,IFERROR(IF(AND(ISTEXT(I312),ISBLANK(C312)),"No details",VLOOKUP(C312,DimFolder,2,FALSE)),""))</f>
        <v/>
      </c>
      <c r="P312" s="4" t="str">
        <f t="shared" si="89"/>
        <v/>
      </c>
      <c r="Q312" s="58" t="str">
        <f t="shared" si="100"/>
        <v/>
      </c>
      <c r="R312" s="4" t="e" cm="1">
        <f t="array" ref="R312">IF(INDEX(Table2[],_xlfn.XMATCH($A312,Table2[Steel Member],0),_xlfn.XMATCH(R$2,Table2[#Headers],0))=0,"",INDEX(Table2[],_xlfn.XMATCH($A312,Table2[Steel Member],0),_xlfn.XMATCH(R$2,Table2[#Headers],0)))</f>
        <v>#N/A</v>
      </c>
      <c r="S312" s="4" t="e" cm="1">
        <f t="array" ref="S312">IF(INDEX(Table2[],_xlfn.XMATCH($A312,Table2[Steel Member],0),_xlfn.XMATCH(S$2,Table2[#Headers],0))=0,"",INDEX(Table2[],_xlfn.XMATCH($A312,Table2[Steel Member],0),_xlfn.XMATCH(S$2,Table2[#Headers],0)))</f>
        <v>#N/A</v>
      </c>
      <c r="T312" s="4" t="str">
        <f t="shared" si="91"/>
        <v/>
      </c>
      <c r="U312" s="4" t="e">
        <f ca="1">VLOOKUP(N312,'COLOR CODE'!$B:$D,2,FALSE)</f>
        <v>#N/A</v>
      </c>
      <c r="V312" s="4" t="str">
        <f t="shared" si="92"/>
        <v/>
      </c>
      <c r="W312" s="4" t="e" cm="1">
        <f t="array" ref="W312">IF(INDEX(Table2[],_xlfn.XMATCH($A312,Table2[Steel Member],0),_xlfn.XMATCH(W$2,Table2[#Headers],0))=0,"",INDEX(Table2[],_xlfn.XMATCH($A312,Table2[Steel Member],0),_xlfn.XMATCH(W$2,Table2[#Headers],0)))</f>
        <v>#N/A</v>
      </c>
      <c r="X312" s="4" t="e">
        <f t="shared" si="90"/>
        <v>#N/A</v>
      </c>
      <c r="Y312" s="4" t="e" cm="1">
        <f t="array" ref="Y312">IF(INDEX(Table2[],_xlfn.XMATCH($A312,Table2[Steel Member],0),_xlfn.XMATCH(Y$2,Table2[#Headers],0))=0,"",INDEX(Table2[],_xlfn.XMATCH($A312,Table2[Steel Member],0),_xlfn.XMATCH(Y$2,Table2[#Headers],0)))</f>
        <v>#N/A</v>
      </c>
      <c r="Z312" s="4" t="e" cm="1">
        <f t="array" ref="Z312">IF(INDEX(Table2[],_xlfn.XMATCH($A312,Table2[Steel Member],0),_xlfn.XMATCH(Z$2,Table2[#Headers],0))=0,"",INDEX(Table2[],_xlfn.XMATCH($A312,Table2[Steel Member],0),_xlfn.XMATCH(Z$2,Table2[#Headers],0)))</f>
        <v>#N/A</v>
      </c>
      <c r="AA312" s="4" t="e" cm="1">
        <f t="array" ref="AA312">IF(INDEX(Table2[],_xlfn.XMATCH($A312,Table2[Steel Member],0),_xlfn.XMATCH(AA$2,Table2[#Headers],0))=0,"",INDEX(Table2[],_xlfn.XMATCH($A312,Table2[Steel Member],0),_xlfn.XMATCH(AA$2,Table2[#Headers],0)))</f>
        <v>#N/A</v>
      </c>
      <c r="AB312" s="4" t="e" cm="1">
        <f t="array" ref="AB312">IF(INDEX(Table2[],_xlfn.XMATCH($A312,Table2[Steel Member],0),_xlfn.XMATCH(AB$2,Table2[#Headers],0))=0,"",INDEX(Table2[],_xlfn.XMATCH($A312,Table2[Steel Member],0),_xlfn.XMATCH(AB$2,Table2[#Headers],0)))</f>
        <v>#N/A</v>
      </c>
      <c r="AC312" s="4" t="str" cm="1">
        <f t="array" ref="AC312">IFERROR(INDEX(Table8[],_xlfn.XMATCH($O312,Table8[Dimension Name Category],0),_xlfn.XMATCH(AC$2&amp;IF($L312," w/ tag"," w/o tag"),Table8[#Headers],0)),"")</f>
        <v/>
      </c>
      <c r="AD312" s="59" t="str">
        <f t="shared" si="93"/>
        <v/>
      </c>
      <c r="AE312" s="4" t="str">
        <f t="shared" si="94"/>
        <v/>
      </c>
      <c r="AF312" s="4" t="str">
        <f t="shared" si="95"/>
        <v/>
      </c>
      <c r="AG312" s="4" t="str" cm="1">
        <f t="array" ref="AG312">IFERROR(INDEX(Table8[],_xlfn.XMATCH($O312,Table8[Dimension Name Category],0),_xlfn.XMATCH(AG$2&amp;IF($L312," w/ tag"," w/o tag"),Table8[#Headers],0)),"")</f>
        <v/>
      </c>
      <c r="AH312" s="59" t="str">
        <f t="shared" si="96"/>
        <v/>
      </c>
      <c r="AI312" s="4"/>
      <c r="AJ312" s="4" t="str">
        <f t="shared" si="97"/>
        <v/>
      </c>
      <c r="AK312" s="4" t="str">
        <f t="shared" si="98"/>
        <v/>
      </c>
      <c r="AL312" s="4" t="e" cm="1">
        <f t="array" ref="AL312">IF(INDEX(Table2[],_xlfn.XMATCH($A312,Table2[Steel Member],0),_xlfn.XMATCH(AL$2,Table2[#Headers],0))=0,"",INDEX(Table2[],_xlfn.XMATCH($A312,Table2[Steel Member],0),_xlfn.XMATCH(AL$2,Table2[#Headers],0)))</f>
        <v>#N/A</v>
      </c>
      <c r="AM312" s="4"/>
      <c r="AN312" s="4" t="str">
        <f t="shared" si="99"/>
        <v/>
      </c>
      <c r="AO312" s="4"/>
      <c r="AP312" s="4" t="e" cm="1">
        <f t="array" ref="AP312">IF(INDEX(Table2[],_xlfn.XMATCH($A312,Table2[Steel Member],0),_xlfn.XMATCH(AP$2,Table2[#Headers],0))=0,"",INDEX(Table2[],_xlfn.XMATCH($A312,Table2[Steel Member],0),_xlfn.XMATCH(AP$2,Table2[#Headers],0)))</f>
        <v>#N/A</v>
      </c>
      <c r="AQ312" s="4"/>
      <c r="AR312" s="4"/>
      <c r="AS312" s="4"/>
      <c r="AT312" s="4"/>
    </row>
    <row r="313" spans="1:46" x14ac:dyDescent="0.25">
      <c r="A313" s="52"/>
      <c r="B313" s="52"/>
      <c r="C313" s="52"/>
      <c r="D313" s="52"/>
      <c r="E313" s="52"/>
      <c r="F313" s="64" cm="1">
        <f t="array" ref="F313">IF(COUNT(FIND(PurlinsxGirthsxBracings,$C313))&gt;0,0,ROUNDUP(IF(D313=0,0,VLOOKUP(D313,'DATA SHEET'!$B:$D,2,FALSE)),2))</f>
        <v>0</v>
      </c>
      <c r="G313" s="64" cm="1">
        <f t="array" ref="G313">IF(COUNT(FIND(PurlinsxGirthsxBracings,$C313))&gt;0,0,ROUNDUP(IF(D313=0,0,VLOOKUP(D313,'DATA SHEET'!$B:$D,3,FALSE)),2))</f>
        <v>0</v>
      </c>
      <c r="H313" s="53"/>
      <c r="I313" s="66" cm="1">
        <f t="array" ref="I313">IF(AND(ISBLANK(B313),ISBLANK(C313),ISBLANK(E313)),0,IF(COUNT(FIND(PurlinsxGirthsxBracings,$C313))&gt;0,IF(B313=0,CONCATENATE(E313," ",C313),CONCATENATE(B313," - ",E313," ",C313)),IF(B313=0,IF(ISBLANK(C313),E313,CONCATENATE(D313,", ",F313,"kg/m, ",G313,"mm surface perimeter")),IF(AND(ISBLANK(C313),ISTEXT(E313)),CONCATENATE(B313," - ",E313),IF(AND(ISBLANK(C313),ISBLANK(E313)),B313,CONCATENATE(B313," - ",D313,", ",F313,"kg/m, ",G313,"mm surface perimeter"))))&amp;IF(ISBLANK(H313),"",H313)))</f>
        <v>0</v>
      </c>
      <c r="J313" s="53"/>
      <c r="L313" s="4" t="str" cm="1">
        <f t="array" ref="L313">IF(COUNT(FIND({0,1,2,3,4,5,6,7,8,9},B313))&gt;0,COUNT(FIND({0,1,2,3,4,5,6,7,8,9},B313))&gt;0,"")</f>
        <v/>
      </c>
      <c r="M313" s="4" t="str" cm="1">
        <f t="array" aca="1" ref="M313" ca="1">IFERROR(_xlfn.IFS(R313="Count",RANDBETWEEN(1,COUNTIF($R$11:$R$653,"Count")),R313="Length",RANDBETWEEN(1,COUNTIF($R$11:$R$653,"Length"))),"")</f>
        <v/>
      </c>
      <c r="N313" s="4" t="str">
        <f ca="1">IFERROR(_xlfn.RANK.EQ(M313,$M$11:$M$653)+COUNTIF($M$11:M313,M313)-1,"")</f>
        <v/>
      </c>
      <c r="O313" s="86" t="str">
        <f>IF(A313='DATA SHEET'!$L$36,C313,IFERROR(IF(AND(ISTEXT(I313),ISBLANK(C313)),"No details",VLOOKUP(C313,DimFolder,2,FALSE)),""))</f>
        <v/>
      </c>
      <c r="P313" s="4" t="str">
        <f t="shared" si="89"/>
        <v/>
      </c>
      <c r="Q313" s="58" t="str">
        <f t="shared" si="100"/>
        <v/>
      </c>
      <c r="R313" s="4" t="e" cm="1">
        <f t="array" ref="R313">IF(INDEX(Table2[],_xlfn.XMATCH($A313,Table2[Steel Member],0),_xlfn.XMATCH(R$2,Table2[#Headers],0))=0,"",INDEX(Table2[],_xlfn.XMATCH($A313,Table2[Steel Member],0),_xlfn.XMATCH(R$2,Table2[#Headers],0)))</f>
        <v>#N/A</v>
      </c>
      <c r="S313" s="4" t="e" cm="1">
        <f t="array" ref="S313">IF(INDEX(Table2[],_xlfn.XMATCH($A313,Table2[Steel Member],0),_xlfn.XMATCH(S$2,Table2[#Headers],0))=0,"",INDEX(Table2[],_xlfn.XMATCH($A313,Table2[Steel Member],0),_xlfn.XMATCH(S$2,Table2[#Headers],0)))</f>
        <v>#N/A</v>
      </c>
      <c r="T313" s="4" t="str">
        <f t="shared" si="91"/>
        <v/>
      </c>
      <c r="U313" s="4" t="e">
        <f ca="1">VLOOKUP(N313,'COLOR CODE'!$B:$D,2,FALSE)</f>
        <v>#N/A</v>
      </c>
      <c r="V313" s="4" t="str">
        <f t="shared" si="92"/>
        <v/>
      </c>
      <c r="W313" s="4" t="e" cm="1">
        <f t="array" ref="W313">IF(INDEX(Table2[],_xlfn.XMATCH($A313,Table2[Steel Member],0),_xlfn.XMATCH(W$2,Table2[#Headers],0))=0,"",INDEX(Table2[],_xlfn.XMATCH($A313,Table2[Steel Member],0),_xlfn.XMATCH(W$2,Table2[#Headers],0)))</f>
        <v>#N/A</v>
      </c>
      <c r="X313" s="4" t="e">
        <f t="shared" si="90"/>
        <v>#N/A</v>
      </c>
      <c r="Y313" s="4" t="e" cm="1">
        <f t="array" ref="Y313">IF(INDEX(Table2[],_xlfn.XMATCH($A313,Table2[Steel Member],0),_xlfn.XMATCH(Y$2,Table2[#Headers],0))=0,"",INDEX(Table2[],_xlfn.XMATCH($A313,Table2[Steel Member],0),_xlfn.XMATCH(Y$2,Table2[#Headers],0)))</f>
        <v>#N/A</v>
      </c>
      <c r="Z313" s="4" t="e" cm="1">
        <f t="array" ref="Z313">IF(INDEX(Table2[],_xlfn.XMATCH($A313,Table2[Steel Member],0),_xlfn.XMATCH(Z$2,Table2[#Headers],0))=0,"",INDEX(Table2[],_xlfn.XMATCH($A313,Table2[Steel Member],0),_xlfn.XMATCH(Z$2,Table2[#Headers],0)))</f>
        <v>#N/A</v>
      </c>
      <c r="AA313" s="4" t="e" cm="1">
        <f t="array" ref="AA313">IF(INDEX(Table2[],_xlfn.XMATCH($A313,Table2[Steel Member],0),_xlfn.XMATCH(AA$2,Table2[#Headers],0))=0,"",INDEX(Table2[],_xlfn.XMATCH($A313,Table2[Steel Member],0),_xlfn.XMATCH(AA$2,Table2[#Headers],0)))</f>
        <v>#N/A</v>
      </c>
      <c r="AB313" s="4" t="e" cm="1">
        <f t="array" ref="AB313">IF(INDEX(Table2[],_xlfn.XMATCH($A313,Table2[Steel Member],0),_xlfn.XMATCH(AB$2,Table2[#Headers],0))=0,"",INDEX(Table2[],_xlfn.XMATCH($A313,Table2[Steel Member],0),_xlfn.XMATCH(AB$2,Table2[#Headers],0)))</f>
        <v>#N/A</v>
      </c>
      <c r="AC313" s="4" t="str" cm="1">
        <f t="array" ref="AC313">IFERROR(INDEX(Table8[],_xlfn.XMATCH($O313,Table8[Dimension Name Category],0),_xlfn.XMATCH(AC$2&amp;IF($L313," w/ tag"," w/o tag"),Table8[#Headers],0)),"")</f>
        <v/>
      </c>
      <c r="AD313" s="59" t="str">
        <f t="shared" si="93"/>
        <v/>
      </c>
      <c r="AE313" s="4" t="str">
        <f t="shared" si="94"/>
        <v/>
      </c>
      <c r="AF313" s="4" t="str">
        <f t="shared" si="95"/>
        <v/>
      </c>
      <c r="AG313" s="4" t="str" cm="1">
        <f t="array" ref="AG313">IFERROR(INDEX(Table8[],_xlfn.XMATCH($O313,Table8[Dimension Name Category],0),_xlfn.XMATCH(AG$2&amp;IF($L313," w/ tag"," w/o tag"),Table8[#Headers],0)),"")</f>
        <v/>
      </c>
      <c r="AH313" s="59" t="str">
        <f t="shared" si="96"/>
        <v/>
      </c>
      <c r="AI313" s="4"/>
      <c r="AJ313" s="4" t="str">
        <f t="shared" si="97"/>
        <v/>
      </c>
      <c r="AK313" s="4" t="str">
        <f t="shared" si="98"/>
        <v/>
      </c>
      <c r="AL313" s="4" t="e" cm="1">
        <f t="array" ref="AL313">IF(INDEX(Table2[],_xlfn.XMATCH($A313,Table2[Steel Member],0),_xlfn.XMATCH(AL$2,Table2[#Headers],0))=0,"",INDEX(Table2[],_xlfn.XMATCH($A313,Table2[Steel Member],0),_xlfn.XMATCH(AL$2,Table2[#Headers],0)))</f>
        <v>#N/A</v>
      </c>
      <c r="AM313" s="4"/>
      <c r="AN313" s="4" t="str">
        <f t="shared" si="99"/>
        <v/>
      </c>
      <c r="AO313" s="4"/>
      <c r="AP313" s="4" t="e" cm="1">
        <f t="array" ref="AP313">IF(INDEX(Table2[],_xlfn.XMATCH($A313,Table2[Steel Member],0),_xlfn.XMATCH(AP$2,Table2[#Headers],0))=0,"",INDEX(Table2[],_xlfn.XMATCH($A313,Table2[Steel Member],0),_xlfn.XMATCH(AP$2,Table2[#Headers],0)))</f>
        <v>#N/A</v>
      </c>
      <c r="AQ313" s="4"/>
      <c r="AR313" s="4"/>
      <c r="AS313" s="4"/>
      <c r="AT313" s="4"/>
    </row>
    <row r="314" spans="1:46" x14ac:dyDescent="0.25">
      <c r="A314" s="52"/>
      <c r="B314" s="52"/>
      <c r="C314" s="52"/>
      <c r="D314" s="52"/>
      <c r="E314" s="52"/>
      <c r="F314" s="64" cm="1">
        <f t="array" ref="F314">IF(COUNT(FIND(PurlinsxGirthsxBracings,$C314))&gt;0,0,ROUNDUP(IF(D314=0,0,VLOOKUP(D314,'DATA SHEET'!$B:$D,2,FALSE)),2))</f>
        <v>0</v>
      </c>
      <c r="G314" s="64" cm="1">
        <f t="array" ref="G314">IF(COUNT(FIND(PurlinsxGirthsxBracings,$C314))&gt;0,0,ROUNDUP(IF(D314=0,0,VLOOKUP(D314,'DATA SHEET'!$B:$D,3,FALSE)),2))</f>
        <v>0</v>
      </c>
      <c r="H314" s="53"/>
      <c r="I314" s="66" cm="1">
        <f t="array" ref="I314">IF(AND(ISBLANK(B314),ISBLANK(C314),ISBLANK(E314)),0,IF(COUNT(FIND(PurlinsxGirthsxBracings,$C314))&gt;0,IF(B314=0,CONCATENATE(E314," ",C314),CONCATENATE(B314," - ",E314," ",C314)),IF(B314=0,IF(ISBLANK(C314),E314,CONCATENATE(D314,", ",F314,"kg/m, ",G314,"mm surface perimeter")),IF(AND(ISBLANK(C314),ISTEXT(E314)),CONCATENATE(B314," - ",E314),IF(AND(ISBLANK(C314),ISBLANK(E314)),B314,CONCATENATE(B314," - ",D314,", ",F314,"kg/m, ",G314,"mm surface perimeter"))))&amp;IF(ISBLANK(H314),"",H314)))</f>
        <v>0</v>
      </c>
      <c r="J314" s="53"/>
      <c r="L314" s="4" t="str" cm="1">
        <f t="array" ref="L314">IF(COUNT(FIND({0,1,2,3,4,5,6,7,8,9},B314))&gt;0,COUNT(FIND({0,1,2,3,4,5,6,7,8,9},B314))&gt;0,"")</f>
        <v/>
      </c>
      <c r="M314" s="4" t="str" cm="1">
        <f t="array" aca="1" ref="M314" ca="1">IFERROR(_xlfn.IFS(R314="Count",RANDBETWEEN(1,COUNTIF($R$11:$R$653,"Count")),R314="Length",RANDBETWEEN(1,COUNTIF($R$11:$R$653,"Length"))),"")</f>
        <v/>
      </c>
      <c r="N314" s="4" t="str">
        <f ca="1">IFERROR(_xlfn.RANK.EQ(M314,$M$11:$M$653)+COUNTIF($M$11:M314,M314)-1,"")</f>
        <v/>
      </c>
      <c r="O314" s="86" t="str">
        <f>IF(A314='DATA SHEET'!$L$36,C314,IFERROR(IF(AND(ISTEXT(I314),ISBLANK(C314)),"No details",VLOOKUP(C314,DimFolder,2,FALSE)),""))</f>
        <v/>
      </c>
      <c r="P314" s="4" t="str">
        <f t="shared" si="89"/>
        <v/>
      </c>
      <c r="Q314" s="58" t="str">
        <f t="shared" si="100"/>
        <v/>
      </c>
      <c r="R314" s="4" t="e" cm="1">
        <f t="array" ref="R314">IF(INDEX(Table2[],_xlfn.XMATCH($A314,Table2[Steel Member],0),_xlfn.XMATCH(R$2,Table2[#Headers],0))=0,"",INDEX(Table2[],_xlfn.XMATCH($A314,Table2[Steel Member],0),_xlfn.XMATCH(R$2,Table2[#Headers],0)))</f>
        <v>#N/A</v>
      </c>
      <c r="S314" s="4" t="e" cm="1">
        <f t="array" ref="S314">IF(INDEX(Table2[],_xlfn.XMATCH($A314,Table2[Steel Member],0),_xlfn.XMATCH(S$2,Table2[#Headers],0))=0,"",INDEX(Table2[],_xlfn.XMATCH($A314,Table2[Steel Member],0),_xlfn.XMATCH(S$2,Table2[#Headers],0)))</f>
        <v>#N/A</v>
      </c>
      <c r="T314" s="4" t="str">
        <f t="shared" si="91"/>
        <v/>
      </c>
      <c r="U314" s="4" t="e">
        <f ca="1">VLOOKUP(N314,'COLOR CODE'!$B:$D,2,FALSE)</f>
        <v>#N/A</v>
      </c>
      <c r="V314" s="4" t="str">
        <f t="shared" si="92"/>
        <v/>
      </c>
      <c r="W314" s="4" t="e" cm="1">
        <f t="array" ref="W314">IF(INDEX(Table2[],_xlfn.XMATCH($A314,Table2[Steel Member],0),_xlfn.XMATCH(W$2,Table2[#Headers],0))=0,"",INDEX(Table2[],_xlfn.XMATCH($A314,Table2[Steel Member],0),_xlfn.XMATCH(W$2,Table2[#Headers],0)))</f>
        <v>#N/A</v>
      </c>
      <c r="X314" s="4" t="e">
        <f t="shared" si="90"/>
        <v>#N/A</v>
      </c>
      <c r="Y314" s="4" t="e" cm="1">
        <f t="array" ref="Y314">IF(INDEX(Table2[],_xlfn.XMATCH($A314,Table2[Steel Member],0),_xlfn.XMATCH(Y$2,Table2[#Headers],0))=0,"",INDEX(Table2[],_xlfn.XMATCH($A314,Table2[Steel Member],0),_xlfn.XMATCH(Y$2,Table2[#Headers],0)))</f>
        <v>#N/A</v>
      </c>
      <c r="Z314" s="4" t="e" cm="1">
        <f t="array" ref="Z314">IF(INDEX(Table2[],_xlfn.XMATCH($A314,Table2[Steel Member],0),_xlfn.XMATCH(Z$2,Table2[#Headers],0))=0,"",INDEX(Table2[],_xlfn.XMATCH($A314,Table2[Steel Member],0),_xlfn.XMATCH(Z$2,Table2[#Headers],0)))</f>
        <v>#N/A</v>
      </c>
      <c r="AA314" s="4" t="e" cm="1">
        <f t="array" ref="AA314">IF(INDEX(Table2[],_xlfn.XMATCH($A314,Table2[Steel Member],0),_xlfn.XMATCH(AA$2,Table2[#Headers],0))=0,"",INDEX(Table2[],_xlfn.XMATCH($A314,Table2[Steel Member],0),_xlfn.XMATCH(AA$2,Table2[#Headers],0)))</f>
        <v>#N/A</v>
      </c>
      <c r="AB314" s="4" t="e" cm="1">
        <f t="array" ref="AB314">IF(INDEX(Table2[],_xlfn.XMATCH($A314,Table2[Steel Member],0),_xlfn.XMATCH(AB$2,Table2[#Headers],0))=0,"",INDEX(Table2[],_xlfn.XMATCH($A314,Table2[Steel Member],0),_xlfn.XMATCH(AB$2,Table2[#Headers],0)))</f>
        <v>#N/A</v>
      </c>
      <c r="AC314" s="4" t="str" cm="1">
        <f t="array" ref="AC314">IFERROR(INDEX(Table8[],_xlfn.XMATCH($O314,Table8[Dimension Name Category],0),_xlfn.XMATCH(AC$2&amp;IF($L314," w/ tag"," w/o tag"),Table8[#Headers],0)),"")</f>
        <v/>
      </c>
      <c r="AD314" s="59" t="str">
        <f t="shared" si="93"/>
        <v/>
      </c>
      <c r="AE314" s="4" t="str">
        <f t="shared" si="94"/>
        <v/>
      </c>
      <c r="AF314" s="4" t="str">
        <f t="shared" si="95"/>
        <v/>
      </c>
      <c r="AG314" s="4" t="str" cm="1">
        <f t="array" ref="AG314">IFERROR(INDEX(Table8[],_xlfn.XMATCH($O314,Table8[Dimension Name Category],0),_xlfn.XMATCH(AG$2&amp;IF($L314," w/ tag"," w/o tag"),Table8[#Headers],0)),"")</f>
        <v/>
      </c>
      <c r="AH314" s="59" t="str">
        <f t="shared" si="96"/>
        <v/>
      </c>
      <c r="AI314" s="4"/>
      <c r="AJ314" s="4" t="str">
        <f t="shared" si="97"/>
        <v/>
      </c>
      <c r="AK314" s="4" t="str">
        <f t="shared" si="98"/>
        <v/>
      </c>
      <c r="AL314" s="4" t="e" cm="1">
        <f t="array" ref="AL314">IF(INDEX(Table2[],_xlfn.XMATCH($A314,Table2[Steel Member],0),_xlfn.XMATCH(AL$2,Table2[#Headers],0))=0,"",INDEX(Table2[],_xlfn.XMATCH($A314,Table2[Steel Member],0),_xlfn.XMATCH(AL$2,Table2[#Headers],0)))</f>
        <v>#N/A</v>
      </c>
      <c r="AM314" s="4"/>
      <c r="AN314" s="4" t="str">
        <f t="shared" si="99"/>
        <v/>
      </c>
      <c r="AO314" s="4"/>
      <c r="AP314" s="4" t="e" cm="1">
        <f t="array" ref="AP314">IF(INDEX(Table2[],_xlfn.XMATCH($A314,Table2[Steel Member],0),_xlfn.XMATCH(AP$2,Table2[#Headers],0))=0,"",INDEX(Table2[],_xlfn.XMATCH($A314,Table2[Steel Member],0),_xlfn.XMATCH(AP$2,Table2[#Headers],0)))</f>
        <v>#N/A</v>
      </c>
      <c r="AQ314" s="4"/>
      <c r="AR314" s="4"/>
      <c r="AS314" s="4"/>
      <c r="AT314" s="4"/>
    </row>
    <row r="315" spans="1:46" x14ac:dyDescent="0.25">
      <c r="A315" s="52"/>
      <c r="B315" s="52"/>
      <c r="C315" s="52"/>
      <c r="D315" s="52"/>
      <c r="E315" s="52"/>
      <c r="F315" s="64" cm="1">
        <f t="array" ref="F315">IF(COUNT(FIND(PurlinsxGirthsxBracings,$C315))&gt;0,0,ROUNDUP(IF(D315=0,0,VLOOKUP(D315,'DATA SHEET'!$B:$D,2,FALSE)),2))</f>
        <v>0</v>
      </c>
      <c r="G315" s="64" cm="1">
        <f t="array" ref="G315">IF(COUNT(FIND(PurlinsxGirthsxBracings,$C315))&gt;0,0,ROUNDUP(IF(D315=0,0,VLOOKUP(D315,'DATA SHEET'!$B:$D,3,FALSE)),2))</f>
        <v>0</v>
      </c>
      <c r="H315" s="53"/>
      <c r="I315" s="66" cm="1">
        <f t="array" ref="I315">IF(AND(ISBLANK(B315),ISBLANK(C315),ISBLANK(E315)),0,IF(COUNT(FIND(PurlinsxGirthsxBracings,$C315))&gt;0,IF(B315=0,CONCATENATE(E315," ",C315),CONCATENATE(B315," - ",E315," ",C315)),IF(B315=0,IF(ISBLANK(C315),E315,CONCATENATE(D315,", ",F315,"kg/m, ",G315,"mm surface perimeter")),IF(AND(ISBLANK(C315),ISTEXT(E315)),CONCATENATE(B315," - ",E315),IF(AND(ISBLANK(C315),ISBLANK(E315)),B315,CONCATENATE(B315," - ",D315,", ",F315,"kg/m, ",G315,"mm surface perimeter"))))&amp;IF(ISBLANK(H315),"",H315)))</f>
        <v>0</v>
      </c>
      <c r="J315" s="53"/>
      <c r="L315" s="4" t="str" cm="1">
        <f t="array" ref="L315">IF(COUNT(FIND({0,1,2,3,4,5,6,7,8,9},B315))&gt;0,COUNT(FIND({0,1,2,3,4,5,6,7,8,9},B315))&gt;0,"")</f>
        <v/>
      </c>
      <c r="M315" s="4" t="str" cm="1">
        <f t="array" aca="1" ref="M315" ca="1">IFERROR(_xlfn.IFS(R315="Count",RANDBETWEEN(1,COUNTIF($R$11:$R$653,"Count")),R315="Length",RANDBETWEEN(1,COUNTIF($R$11:$R$653,"Length"))),"")</f>
        <v/>
      </c>
      <c r="N315" s="4" t="str">
        <f ca="1">IFERROR(_xlfn.RANK.EQ(M315,$M$11:$M$653)+COUNTIF($M$11:M315,M315)-1,"")</f>
        <v/>
      </c>
      <c r="O315" s="86" t="str">
        <f>IF(A315='DATA SHEET'!$L$36,C315,IFERROR(IF(AND(ISTEXT(I315),ISBLANK(C315)),"No details",VLOOKUP(C315,DimFolder,2,FALSE)),""))</f>
        <v/>
      </c>
      <c r="P315" s="4" t="str">
        <f t="shared" si="89"/>
        <v/>
      </c>
      <c r="Q315" s="58" t="str">
        <f t="shared" si="100"/>
        <v/>
      </c>
      <c r="R315" s="4" t="e" cm="1">
        <f t="array" ref="R315">IF(INDEX(Table2[],_xlfn.XMATCH($A315,Table2[Steel Member],0),_xlfn.XMATCH(R$2,Table2[#Headers],0))=0,"",INDEX(Table2[],_xlfn.XMATCH($A315,Table2[Steel Member],0),_xlfn.XMATCH(R$2,Table2[#Headers],0)))</f>
        <v>#N/A</v>
      </c>
      <c r="S315" s="4" t="e" cm="1">
        <f t="array" ref="S315">IF(INDEX(Table2[],_xlfn.XMATCH($A315,Table2[Steel Member],0),_xlfn.XMATCH(S$2,Table2[#Headers],0))=0,"",INDEX(Table2[],_xlfn.XMATCH($A315,Table2[Steel Member],0),_xlfn.XMATCH(S$2,Table2[#Headers],0)))</f>
        <v>#N/A</v>
      </c>
      <c r="T315" s="4" t="str">
        <f t="shared" si="91"/>
        <v/>
      </c>
      <c r="U315" s="4" t="e">
        <f ca="1">VLOOKUP(N315,'COLOR CODE'!$B:$D,2,FALSE)</f>
        <v>#N/A</v>
      </c>
      <c r="V315" s="4" t="str">
        <f t="shared" si="92"/>
        <v/>
      </c>
      <c r="W315" s="4" t="e" cm="1">
        <f t="array" ref="W315">IF(INDEX(Table2[],_xlfn.XMATCH($A315,Table2[Steel Member],0),_xlfn.XMATCH(W$2,Table2[#Headers],0))=0,"",INDEX(Table2[],_xlfn.XMATCH($A315,Table2[Steel Member],0),_xlfn.XMATCH(W$2,Table2[#Headers],0)))</f>
        <v>#N/A</v>
      </c>
      <c r="X315" s="4" t="e">
        <f t="shared" si="90"/>
        <v>#N/A</v>
      </c>
      <c r="Y315" s="4" t="e" cm="1">
        <f t="array" ref="Y315">IF(INDEX(Table2[],_xlfn.XMATCH($A315,Table2[Steel Member],0),_xlfn.XMATCH(Y$2,Table2[#Headers],0))=0,"",INDEX(Table2[],_xlfn.XMATCH($A315,Table2[Steel Member],0),_xlfn.XMATCH(Y$2,Table2[#Headers],0)))</f>
        <v>#N/A</v>
      </c>
      <c r="Z315" s="4" t="e" cm="1">
        <f t="array" ref="Z315">IF(INDEX(Table2[],_xlfn.XMATCH($A315,Table2[Steel Member],0),_xlfn.XMATCH(Z$2,Table2[#Headers],0))=0,"",INDEX(Table2[],_xlfn.XMATCH($A315,Table2[Steel Member],0),_xlfn.XMATCH(Z$2,Table2[#Headers],0)))</f>
        <v>#N/A</v>
      </c>
      <c r="AA315" s="4" t="e" cm="1">
        <f t="array" ref="AA315">IF(INDEX(Table2[],_xlfn.XMATCH($A315,Table2[Steel Member],0),_xlfn.XMATCH(AA$2,Table2[#Headers],0))=0,"",INDEX(Table2[],_xlfn.XMATCH($A315,Table2[Steel Member],0),_xlfn.XMATCH(AA$2,Table2[#Headers],0)))</f>
        <v>#N/A</v>
      </c>
      <c r="AB315" s="4" t="e" cm="1">
        <f t="array" ref="AB315">IF(INDEX(Table2[],_xlfn.XMATCH($A315,Table2[Steel Member],0),_xlfn.XMATCH(AB$2,Table2[#Headers],0))=0,"",INDEX(Table2[],_xlfn.XMATCH($A315,Table2[Steel Member],0),_xlfn.XMATCH(AB$2,Table2[#Headers],0)))</f>
        <v>#N/A</v>
      </c>
      <c r="AC315" s="4" t="str" cm="1">
        <f t="array" ref="AC315">IFERROR(INDEX(Table8[],_xlfn.XMATCH($O315,Table8[Dimension Name Category],0),_xlfn.XMATCH(AC$2&amp;IF($L315," w/ tag"," w/o tag"),Table8[#Headers],0)),"")</f>
        <v/>
      </c>
      <c r="AD315" s="59" t="str">
        <f t="shared" si="93"/>
        <v/>
      </c>
      <c r="AE315" s="4" t="str">
        <f t="shared" si="94"/>
        <v/>
      </c>
      <c r="AF315" s="4" t="str">
        <f t="shared" si="95"/>
        <v/>
      </c>
      <c r="AG315" s="4" t="str" cm="1">
        <f t="array" ref="AG315">IFERROR(INDEX(Table8[],_xlfn.XMATCH($O315,Table8[Dimension Name Category],0),_xlfn.XMATCH(AG$2&amp;IF($L315," w/ tag"," w/o tag"),Table8[#Headers],0)),"")</f>
        <v/>
      </c>
      <c r="AH315" s="59" t="str">
        <f t="shared" si="96"/>
        <v/>
      </c>
      <c r="AI315" s="4"/>
      <c r="AJ315" s="4" t="str">
        <f t="shared" si="97"/>
        <v/>
      </c>
      <c r="AK315" s="4" t="str">
        <f t="shared" si="98"/>
        <v/>
      </c>
      <c r="AL315" s="4" t="e" cm="1">
        <f t="array" ref="AL315">IF(INDEX(Table2[],_xlfn.XMATCH($A315,Table2[Steel Member],0),_xlfn.XMATCH(AL$2,Table2[#Headers],0))=0,"",INDEX(Table2[],_xlfn.XMATCH($A315,Table2[Steel Member],0),_xlfn.XMATCH(AL$2,Table2[#Headers],0)))</f>
        <v>#N/A</v>
      </c>
      <c r="AM315" s="4"/>
      <c r="AN315" s="4" t="str">
        <f t="shared" si="99"/>
        <v/>
      </c>
      <c r="AO315" s="4"/>
      <c r="AP315" s="4" t="e" cm="1">
        <f t="array" ref="AP315">IF(INDEX(Table2[],_xlfn.XMATCH($A315,Table2[Steel Member],0),_xlfn.XMATCH(AP$2,Table2[#Headers],0))=0,"",INDEX(Table2[],_xlfn.XMATCH($A315,Table2[Steel Member],0),_xlfn.XMATCH(AP$2,Table2[#Headers],0)))</f>
        <v>#N/A</v>
      </c>
      <c r="AQ315" s="4"/>
      <c r="AR315" s="4"/>
      <c r="AS315" s="4"/>
      <c r="AT315" s="4"/>
    </row>
    <row r="316" spans="1:46" x14ac:dyDescent="0.25">
      <c r="A316" s="52"/>
      <c r="B316" s="52"/>
      <c r="C316" s="52"/>
      <c r="D316" s="52"/>
      <c r="E316" s="52"/>
      <c r="F316" s="64" cm="1">
        <f t="array" ref="F316">IF(COUNT(FIND(PurlinsxGirthsxBracings,$C316))&gt;0,0,ROUNDUP(IF(D316=0,0,VLOOKUP(D316,'DATA SHEET'!$B:$D,2,FALSE)),2))</f>
        <v>0</v>
      </c>
      <c r="G316" s="64" cm="1">
        <f t="array" ref="G316">IF(COUNT(FIND(PurlinsxGirthsxBracings,$C316))&gt;0,0,ROUNDUP(IF(D316=0,0,VLOOKUP(D316,'DATA SHEET'!$B:$D,3,FALSE)),2))</f>
        <v>0</v>
      </c>
      <c r="H316" s="53"/>
      <c r="I316" s="66" cm="1">
        <f t="array" ref="I316">IF(AND(ISBLANK(B316),ISBLANK(C316),ISBLANK(E316)),0,IF(COUNT(FIND(PurlinsxGirthsxBracings,$C316))&gt;0,IF(B316=0,CONCATENATE(E316," ",C316),CONCATENATE(B316," - ",E316," ",C316)),IF(B316=0,IF(ISBLANK(C316),E316,CONCATENATE(D316,", ",F316,"kg/m, ",G316,"mm surface perimeter")),IF(AND(ISBLANK(C316),ISTEXT(E316)),CONCATENATE(B316," - ",E316),IF(AND(ISBLANK(C316),ISBLANK(E316)),B316,CONCATENATE(B316," - ",D316,", ",F316,"kg/m, ",G316,"mm surface perimeter"))))&amp;IF(ISBLANK(H316),"",H316)))</f>
        <v>0</v>
      </c>
      <c r="J316" s="53"/>
      <c r="L316" s="4" t="str" cm="1">
        <f t="array" ref="L316">IF(COUNT(FIND({0,1,2,3,4,5,6,7,8,9},B316))&gt;0,COUNT(FIND({0,1,2,3,4,5,6,7,8,9},B316))&gt;0,"")</f>
        <v/>
      </c>
      <c r="M316" s="4" t="str" cm="1">
        <f t="array" aca="1" ref="M316" ca="1">IFERROR(_xlfn.IFS(R316="Count",RANDBETWEEN(1,COUNTIF($R$11:$R$653,"Count")),R316="Length",RANDBETWEEN(1,COUNTIF($R$11:$R$653,"Length"))),"")</f>
        <v/>
      </c>
      <c r="N316" s="4" t="str">
        <f ca="1">IFERROR(_xlfn.RANK.EQ(M316,$M$11:$M$653)+COUNTIF($M$11:M316,M316)-1,"")</f>
        <v/>
      </c>
      <c r="O316" s="86" t="str">
        <f>IF(A316='DATA SHEET'!$L$36,C316,IFERROR(IF(AND(ISTEXT(I316),ISBLANK(C316)),"No details",VLOOKUP(C316,DimFolder,2,FALSE)),""))</f>
        <v/>
      </c>
      <c r="P316" s="4" t="str">
        <f t="shared" si="89"/>
        <v/>
      </c>
      <c r="Q316" s="58" t="str">
        <f t="shared" si="100"/>
        <v/>
      </c>
      <c r="R316" s="4" t="e" cm="1">
        <f t="array" ref="R316">IF(INDEX(Table2[],_xlfn.XMATCH($A316,Table2[Steel Member],0),_xlfn.XMATCH(R$2,Table2[#Headers],0))=0,"",INDEX(Table2[],_xlfn.XMATCH($A316,Table2[Steel Member],0),_xlfn.XMATCH(R$2,Table2[#Headers],0)))</f>
        <v>#N/A</v>
      </c>
      <c r="S316" s="4" t="e" cm="1">
        <f t="array" ref="S316">IF(INDEX(Table2[],_xlfn.XMATCH($A316,Table2[Steel Member],0),_xlfn.XMATCH(S$2,Table2[#Headers],0))=0,"",INDEX(Table2[],_xlfn.XMATCH($A316,Table2[Steel Member],0),_xlfn.XMATCH(S$2,Table2[#Headers],0)))</f>
        <v>#N/A</v>
      </c>
      <c r="T316" s="4" t="str">
        <f t="shared" si="91"/>
        <v/>
      </c>
      <c r="U316" s="4" t="e">
        <f ca="1">VLOOKUP(N316,'COLOR CODE'!$B:$D,2,FALSE)</f>
        <v>#N/A</v>
      </c>
      <c r="V316" s="4" t="str">
        <f t="shared" si="92"/>
        <v/>
      </c>
      <c r="W316" s="4" t="e" cm="1">
        <f t="array" ref="W316">IF(INDEX(Table2[],_xlfn.XMATCH($A316,Table2[Steel Member],0),_xlfn.XMATCH(W$2,Table2[#Headers],0))=0,"",INDEX(Table2[],_xlfn.XMATCH($A316,Table2[Steel Member],0),_xlfn.XMATCH(W$2,Table2[#Headers],0)))</f>
        <v>#N/A</v>
      </c>
      <c r="X316" s="4" t="e">
        <f t="shared" si="90"/>
        <v>#N/A</v>
      </c>
      <c r="Y316" s="4" t="e" cm="1">
        <f t="array" ref="Y316">IF(INDEX(Table2[],_xlfn.XMATCH($A316,Table2[Steel Member],0),_xlfn.XMATCH(Y$2,Table2[#Headers],0))=0,"",INDEX(Table2[],_xlfn.XMATCH($A316,Table2[Steel Member],0),_xlfn.XMATCH(Y$2,Table2[#Headers],0)))</f>
        <v>#N/A</v>
      </c>
      <c r="Z316" s="4" t="e" cm="1">
        <f t="array" ref="Z316">IF(INDEX(Table2[],_xlfn.XMATCH($A316,Table2[Steel Member],0),_xlfn.XMATCH(Z$2,Table2[#Headers],0))=0,"",INDEX(Table2[],_xlfn.XMATCH($A316,Table2[Steel Member],0),_xlfn.XMATCH(Z$2,Table2[#Headers],0)))</f>
        <v>#N/A</v>
      </c>
      <c r="AA316" s="4" t="e" cm="1">
        <f t="array" ref="AA316">IF(INDEX(Table2[],_xlfn.XMATCH($A316,Table2[Steel Member],0),_xlfn.XMATCH(AA$2,Table2[#Headers],0))=0,"",INDEX(Table2[],_xlfn.XMATCH($A316,Table2[Steel Member],0),_xlfn.XMATCH(AA$2,Table2[#Headers],0)))</f>
        <v>#N/A</v>
      </c>
      <c r="AB316" s="4" t="e" cm="1">
        <f t="array" ref="AB316">IF(INDEX(Table2[],_xlfn.XMATCH($A316,Table2[Steel Member],0),_xlfn.XMATCH(AB$2,Table2[#Headers],0))=0,"",INDEX(Table2[],_xlfn.XMATCH($A316,Table2[Steel Member],0),_xlfn.XMATCH(AB$2,Table2[#Headers],0)))</f>
        <v>#N/A</v>
      </c>
      <c r="AC316" s="4" t="str" cm="1">
        <f t="array" ref="AC316">IFERROR(INDEX(Table8[],_xlfn.XMATCH($O316,Table8[Dimension Name Category],0),_xlfn.XMATCH(AC$2&amp;IF($L316," w/ tag"," w/o tag"),Table8[#Headers],0)),"")</f>
        <v/>
      </c>
      <c r="AD316" s="59" t="str">
        <f t="shared" si="93"/>
        <v/>
      </c>
      <c r="AE316" s="4" t="str">
        <f t="shared" si="94"/>
        <v/>
      </c>
      <c r="AF316" s="4" t="str">
        <f t="shared" si="95"/>
        <v/>
      </c>
      <c r="AG316" s="4" t="str" cm="1">
        <f t="array" ref="AG316">IFERROR(INDEX(Table8[],_xlfn.XMATCH($O316,Table8[Dimension Name Category],0),_xlfn.XMATCH(AG$2&amp;IF($L316," w/ tag"," w/o tag"),Table8[#Headers],0)),"")</f>
        <v/>
      </c>
      <c r="AH316" s="59" t="str">
        <f t="shared" si="96"/>
        <v/>
      </c>
      <c r="AI316" s="4"/>
      <c r="AJ316" s="4" t="str">
        <f t="shared" si="97"/>
        <v/>
      </c>
      <c r="AK316" s="4" t="str">
        <f t="shared" si="98"/>
        <v/>
      </c>
      <c r="AL316" s="4" t="e" cm="1">
        <f t="array" ref="AL316">IF(INDEX(Table2[],_xlfn.XMATCH($A316,Table2[Steel Member],0),_xlfn.XMATCH(AL$2,Table2[#Headers],0))=0,"",INDEX(Table2[],_xlfn.XMATCH($A316,Table2[Steel Member],0),_xlfn.XMATCH(AL$2,Table2[#Headers],0)))</f>
        <v>#N/A</v>
      </c>
      <c r="AM316" s="4"/>
      <c r="AN316" s="4" t="str">
        <f t="shared" si="99"/>
        <v/>
      </c>
      <c r="AO316" s="4"/>
      <c r="AP316" s="4" t="e" cm="1">
        <f t="array" ref="AP316">IF(INDEX(Table2[],_xlfn.XMATCH($A316,Table2[Steel Member],0),_xlfn.XMATCH(AP$2,Table2[#Headers],0))=0,"",INDEX(Table2[],_xlfn.XMATCH($A316,Table2[Steel Member],0),_xlfn.XMATCH(AP$2,Table2[#Headers],0)))</f>
        <v>#N/A</v>
      </c>
      <c r="AQ316" s="4"/>
      <c r="AR316" s="4"/>
      <c r="AS316" s="4"/>
      <c r="AT316" s="4"/>
    </row>
    <row r="317" spans="1:46" x14ac:dyDescent="0.25">
      <c r="A317" s="52"/>
      <c r="B317" s="52"/>
      <c r="C317" s="52"/>
      <c r="D317" s="52"/>
      <c r="E317" s="52"/>
      <c r="F317" s="64" cm="1">
        <f t="array" ref="F317">IF(COUNT(FIND(PurlinsxGirthsxBracings,$C317))&gt;0,0,ROUNDUP(IF(D317=0,0,VLOOKUP(D317,'DATA SHEET'!$B:$D,2,FALSE)),2))</f>
        <v>0</v>
      </c>
      <c r="G317" s="64" cm="1">
        <f t="array" ref="G317">IF(COUNT(FIND(PurlinsxGirthsxBracings,$C317))&gt;0,0,ROUNDUP(IF(D317=0,0,VLOOKUP(D317,'DATA SHEET'!$B:$D,3,FALSE)),2))</f>
        <v>0</v>
      </c>
      <c r="H317" s="53"/>
      <c r="I317" s="66" cm="1">
        <f t="array" ref="I317">IF(AND(ISBLANK(B317),ISBLANK(C317),ISBLANK(E317)),0,IF(COUNT(FIND(PurlinsxGirthsxBracings,$C317))&gt;0,IF(B317=0,CONCATENATE(E317," ",C317),CONCATENATE(B317," - ",E317," ",C317)),IF(B317=0,IF(ISBLANK(C317),E317,CONCATENATE(D317,", ",F317,"kg/m, ",G317,"mm surface perimeter")),IF(AND(ISBLANK(C317),ISTEXT(E317)),CONCATENATE(B317," - ",E317),IF(AND(ISBLANK(C317),ISBLANK(E317)),B317,CONCATENATE(B317," - ",D317,", ",F317,"kg/m, ",G317,"mm surface perimeter"))))&amp;IF(ISBLANK(H317),"",H317)))</f>
        <v>0</v>
      </c>
      <c r="J317" s="53"/>
      <c r="L317" s="4" t="str" cm="1">
        <f t="array" ref="L317">IF(COUNT(FIND({0,1,2,3,4,5,6,7,8,9},B317))&gt;0,COUNT(FIND({0,1,2,3,4,5,6,7,8,9},B317))&gt;0,"")</f>
        <v/>
      </c>
      <c r="M317" s="4" t="str" cm="1">
        <f t="array" aca="1" ref="M317" ca="1">IFERROR(_xlfn.IFS(R317="Count",RANDBETWEEN(1,COUNTIF($R$11:$R$653,"Count")),R317="Length",RANDBETWEEN(1,COUNTIF($R$11:$R$653,"Length"))),"")</f>
        <v/>
      </c>
      <c r="N317" s="4" t="str">
        <f ca="1">IFERROR(_xlfn.RANK.EQ(M317,$M$11:$M$653)+COUNTIF($M$11:M317,M317)-1,"")</f>
        <v/>
      </c>
      <c r="O317" s="86" t="str">
        <f>IF(A317='DATA SHEET'!$L$36,C317,IFERROR(IF(AND(ISTEXT(I317),ISBLANK(C317)),"No details",VLOOKUP(C317,DimFolder,2,FALSE)),""))</f>
        <v/>
      </c>
      <c r="P317" s="4" t="str">
        <f t="shared" si="89"/>
        <v/>
      </c>
      <c r="Q317" s="58" t="str">
        <f t="shared" si="100"/>
        <v/>
      </c>
      <c r="R317" s="4" t="e" cm="1">
        <f t="array" ref="R317">IF(INDEX(Table2[],_xlfn.XMATCH($A317,Table2[Steel Member],0),_xlfn.XMATCH(R$2,Table2[#Headers],0))=0,"",INDEX(Table2[],_xlfn.XMATCH($A317,Table2[Steel Member],0),_xlfn.XMATCH(R$2,Table2[#Headers],0)))</f>
        <v>#N/A</v>
      </c>
      <c r="S317" s="4" t="e" cm="1">
        <f t="array" ref="S317">IF(INDEX(Table2[],_xlfn.XMATCH($A317,Table2[Steel Member],0),_xlfn.XMATCH(S$2,Table2[#Headers],0))=0,"",INDEX(Table2[],_xlfn.XMATCH($A317,Table2[Steel Member],0),_xlfn.XMATCH(S$2,Table2[#Headers],0)))</f>
        <v>#N/A</v>
      </c>
      <c r="T317" s="4" t="str">
        <f t="shared" si="91"/>
        <v/>
      </c>
      <c r="U317" s="4" t="e">
        <f ca="1">VLOOKUP(N317,'COLOR CODE'!$B:$D,2,FALSE)</f>
        <v>#N/A</v>
      </c>
      <c r="V317" s="4" t="str">
        <f t="shared" si="92"/>
        <v/>
      </c>
      <c r="W317" s="4" t="e" cm="1">
        <f t="array" ref="W317">IF(INDEX(Table2[],_xlfn.XMATCH($A317,Table2[Steel Member],0),_xlfn.XMATCH(W$2,Table2[#Headers],0))=0,"",INDEX(Table2[],_xlfn.XMATCH($A317,Table2[Steel Member],0),_xlfn.XMATCH(W$2,Table2[#Headers],0)))</f>
        <v>#N/A</v>
      </c>
      <c r="X317" s="4" t="e">
        <f t="shared" si="90"/>
        <v>#N/A</v>
      </c>
      <c r="Y317" s="4" t="e" cm="1">
        <f t="array" ref="Y317">IF(INDEX(Table2[],_xlfn.XMATCH($A317,Table2[Steel Member],0),_xlfn.XMATCH(Y$2,Table2[#Headers],0))=0,"",INDEX(Table2[],_xlfn.XMATCH($A317,Table2[Steel Member],0),_xlfn.XMATCH(Y$2,Table2[#Headers],0)))</f>
        <v>#N/A</v>
      </c>
      <c r="Z317" s="4" t="e" cm="1">
        <f t="array" ref="Z317">IF(INDEX(Table2[],_xlfn.XMATCH($A317,Table2[Steel Member],0),_xlfn.XMATCH(Z$2,Table2[#Headers],0))=0,"",INDEX(Table2[],_xlfn.XMATCH($A317,Table2[Steel Member],0),_xlfn.XMATCH(Z$2,Table2[#Headers],0)))</f>
        <v>#N/A</v>
      </c>
      <c r="AA317" s="4" t="e" cm="1">
        <f t="array" ref="AA317">IF(INDEX(Table2[],_xlfn.XMATCH($A317,Table2[Steel Member],0),_xlfn.XMATCH(AA$2,Table2[#Headers],0))=0,"",INDEX(Table2[],_xlfn.XMATCH($A317,Table2[Steel Member],0),_xlfn.XMATCH(AA$2,Table2[#Headers],0)))</f>
        <v>#N/A</v>
      </c>
      <c r="AB317" s="4" t="e" cm="1">
        <f t="array" ref="AB317">IF(INDEX(Table2[],_xlfn.XMATCH($A317,Table2[Steel Member],0),_xlfn.XMATCH(AB$2,Table2[#Headers],0))=0,"",INDEX(Table2[],_xlfn.XMATCH($A317,Table2[Steel Member],0),_xlfn.XMATCH(AB$2,Table2[#Headers],0)))</f>
        <v>#N/A</v>
      </c>
      <c r="AC317" s="4" t="str" cm="1">
        <f t="array" ref="AC317">IFERROR(INDEX(Table8[],_xlfn.XMATCH($O317,Table8[Dimension Name Category],0),_xlfn.XMATCH(AC$2&amp;IF($L317," w/ tag"," w/o tag"),Table8[#Headers],0)),"")</f>
        <v/>
      </c>
      <c r="AD317" s="59" t="str">
        <f t="shared" si="93"/>
        <v/>
      </c>
      <c r="AE317" s="4" t="str">
        <f t="shared" si="94"/>
        <v/>
      </c>
      <c r="AF317" s="4" t="str">
        <f t="shared" si="95"/>
        <v/>
      </c>
      <c r="AG317" s="4" t="str" cm="1">
        <f t="array" ref="AG317">IFERROR(INDEX(Table8[],_xlfn.XMATCH($O317,Table8[Dimension Name Category],0),_xlfn.XMATCH(AG$2&amp;IF($L317," w/ tag"," w/o tag"),Table8[#Headers],0)),"")</f>
        <v/>
      </c>
      <c r="AH317" s="59" t="str">
        <f t="shared" si="96"/>
        <v/>
      </c>
      <c r="AI317" s="4"/>
      <c r="AJ317" s="4" t="str">
        <f t="shared" si="97"/>
        <v/>
      </c>
      <c r="AK317" s="4" t="str">
        <f t="shared" si="98"/>
        <v/>
      </c>
      <c r="AL317" s="4" t="e" cm="1">
        <f t="array" ref="AL317">IF(INDEX(Table2[],_xlfn.XMATCH($A317,Table2[Steel Member],0),_xlfn.XMATCH(AL$2,Table2[#Headers],0))=0,"",INDEX(Table2[],_xlfn.XMATCH($A317,Table2[Steel Member],0),_xlfn.XMATCH(AL$2,Table2[#Headers],0)))</f>
        <v>#N/A</v>
      </c>
      <c r="AM317" s="4"/>
      <c r="AN317" s="4" t="str">
        <f t="shared" si="99"/>
        <v/>
      </c>
      <c r="AO317" s="4"/>
      <c r="AP317" s="4" t="e" cm="1">
        <f t="array" ref="AP317">IF(INDEX(Table2[],_xlfn.XMATCH($A317,Table2[Steel Member],0),_xlfn.XMATCH(AP$2,Table2[#Headers],0))=0,"",INDEX(Table2[],_xlfn.XMATCH($A317,Table2[Steel Member],0),_xlfn.XMATCH(AP$2,Table2[#Headers],0)))</f>
        <v>#N/A</v>
      </c>
      <c r="AQ317" s="4"/>
      <c r="AR317" s="4"/>
      <c r="AS317" s="4"/>
      <c r="AT317" s="4"/>
    </row>
    <row r="318" spans="1:46" x14ac:dyDescent="0.25">
      <c r="A318" s="52"/>
      <c r="B318" s="52"/>
      <c r="C318" s="52"/>
      <c r="D318" s="52"/>
      <c r="E318" s="52"/>
      <c r="F318" s="64" cm="1">
        <f t="array" ref="F318">IF(COUNT(FIND(PurlinsxGirthsxBracings,$C318))&gt;0,0,ROUNDUP(IF(D318=0,0,VLOOKUP(D318,'DATA SHEET'!$B:$D,2,FALSE)),2))</f>
        <v>0</v>
      </c>
      <c r="G318" s="64" cm="1">
        <f t="array" ref="G318">IF(COUNT(FIND(PurlinsxGirthsxBracings,$C318))&gt;0,0,ROUNDUP(IF(D318=0,0,VLOOKUP(D318,'DATA SHEET'!$B:$D,3,FALSE)),2))</f>
        <v>0</v>
      </c>
      <c r="H318" s="53"/>
      <c r="I318" s="66" cm="1">
        <f t="array" ref="I318">IF(AND(ISBLANK(B318),ISBLANK(C318),ISBLANK(E318)),0,IF(COUNT(FIND(PurlinsxGirthsxBracings,$C318))&gt;0,IF(B318=0,CONCATENATE(E318," ",C318),CONCATENATE(B318," - ",E318," ",C318)),IF(B318=0,IF(ISBLANK(C318),E318,CONCATENATE(D318,", ",F318,"kg/m, ",G318,"mm surface perimeter")),IF(AND(ISBLANK(C318),ISTEXT(E318)),CONCATENATE(B318," - ",E318),IF(AND(ISBLANK(C318),ISBLANK(E318)),B318,CONCATENATE(B318," - ",D318,", ",F318,"kg/m, ",G318,"mm surface perimeter"))))&amp;IF(ISBLANK(H318),"",H318)))</f>
        <v>0</v>
      </c>
      <c r="J318" s="53"/>
      <c r="L318" s="4" t="str" cm="1">
        <f t="array" ref="L318">IF(COUNT(FIND({0,1,2,3,4,5,6,7,8,9},B318))&gt;0,COUNT(FIND({0,1,2,3,4,5,6,7,8,9},B318))&gt;0,"")</f>
        <v/>
      </c>
      <c r="M318" s="4" t="str" cm="1">
        <f t="array" aca="1" ref="M318" ca="1">IFERROR(_xlfn.IFS(R318="Count",RANDBETWEEN(1,COUNTIF($R$11:$R$653,"Count")),R318="Length",RANDBETWEEN(1,COUNTIF($R$11:$R$653,"Length"))),"")</f>
        <v/>
      </c>
      <c r="N318" s="4" t="str">
        <f ca="1">IFERROR(_xlfn.RANK.EQ(M318,$M$11:$M$653)+COUNTIF($M$11:M318,M318)-1,"")</f>
        <v/>
      </c>
      <c r="O318" s="86" t="str">
        <f>IF(A318='DATA SHEET'!$L$36,C318,IFERROR(IF(AND(ISTEXT(I318),ISBLANK(C318)),"No details",VLOOKUP(C318,DimFolder,2,FALSE)),""))</f>
        <v/>
      </c>
      <c r="P318" s="4" t="str">
        <f t="shared" si="89"/>
        <v/>
      </c>
      <c r="Q318" s="58" t="str">
        <f t="shared" si="100"/>
        <v/>
      </c>
      <c r="R318" s="4" t="e" cm="1">
        <f t="array" ref="R318">IF(INDEX(Table2[],_xlfn.XMATCH($A318,Table2[Steel Member],0),_xlfn.XMATCH(R$2,Table2[#Headers],0))=0,"",INDEX(Table2[],_xlfn.XMATCH($A318,Table2[Steel Member],0),_xlfn.XMATCH(R$2,Table2[#Headers],0)))</f>
        <v>#N/A</v>
      </c>
      <c r="S318" s="4" t="e" cm="1">
        <f t="array" ref="S318">IF(INDEX(Table2[],_xlfn.XMATCH($A318,Table2[Steel Member],0),_xlfn.XMATCH(S$2,Table2[#Headers],0))=0,"",INDEX(Table2[],_xlfn.XMATCH($A318,Table2[Steel Member],0),_xlfn.XMATCH(S$2,Table2[#Headers],0)))</f>
        <v>#N/A</v>
      </c>
      <c r="T318" s="4" t="str">
        <f t="shared" si="91"/>
        <v/>
      </c>
      <c r="U318" s="4" t="e">
        <f ca="1">VLOOKUP(N318,'COLOR CODE'!$B:$D,2,FALSE)</f>
        <v>#N/A</v>
      </c>
      <c r="V318" s="4" t="str">
        <f t="shared" si="92"/>
        <v/>
      </c>
      <c r="W318" s="4" t="e" cm="1">
        <f t="array" ref="W318">IF(INDEX(Table2[],_xlfn.XMATCH($A318,Table2[Steel Member],0),_xlfn.XMATCH(W$2,Table2[#Headers],0))=0,"",INDEX(Table2[],_xlfn.XMATCH($A318,Table2[Steel Member],0),_xlfn.XMATCH(W$2,Table2[#Headers],0)))</f>
        <v>#N/A</v>
      </c>
      <c r="X318" s="4" t="e">
        <f t="shared" si="90"/>
        <v>#N/A</v>
      </c>
      <c r="Y318" s="4" t="e" cm="1">
        <f t="array" ref="Y318">IF(INDEX(Table2[],_xlfn.XMATCH($A318,Table2[Steel Member],0),_xlfn.XMATCH(Y$2,Table2[#Headers],0))=0,"",INDEX(Table2[],_xlfn.XMATCH($A318,Table2[Steel Member],0),_xlfn.XMATCH(Y$2,Table2[#Headers],0)))</f>
        <v>#N/A</v>
      </c>
      <c r="Z318" s="4" t="e" cm="1">
        <f t="array" ref="Z318">IF(INDEX(Table2[],_xlfn.XMATCH($A318,Table2[Steel Member],0),_xlfn.XMATCH(Z$2,Table2[#Headers],0))=0,"",INDEX(Table2[],_xlfn.XMATCH($A318,Table2[Steel Member],0),_xlfn.XMATCH(Z$2,Table2[#Headers],0)))</f>
        <v>#N/A</v>
      </c>
      <c r="AA318" s="4" t="e" cm="1">
        <f t="array" ref="AA318">IF(INDEX(Table2[],_xlfn.XMATCH($A318,Table2[Steel Member],0),_xlfn.XMATCH(AA$2,Table2[#Headers],0))=0,"",INDEX(Table2[],_xlfn.XMATCH($A318,Table2[Steel Member],0),_xlfn.XMATCH(AA$2,Table2[#Headers],0)))</f>
        <v>#N/A</v>
      </c>
      <c r="AB318" s="4" t="e" cm="1">
        <f t="array" ref="AB318">IF(INDEX(Table2[],_xlfn.XMATCH($A318,Table2[Steel Member],0),_xlfn.XMATCH(AB$2,Table2[#Headers],0))=0,"",INDEX(Table2[],_xlfn.XMATCH($A318,Table2[Steel Member],0),_xlfn.XMATCH(AB$2,Table2[#Headers],0)))</f>
        <v>#N/A</v>
      </c>
      <c r="AC318" s="4" t="str" cm="1">
        <f t="array" ref="AC318">IFERROR(INDEX(Table8[],_xlfn.XMATCH($O318,Table8[Dimension Name Category],0),_xlfn.XMATCH(AC$2&amp;IF($L318," w/ tag"," w/o tag"),Table8[#Headers],0)),"")</f>
        <v/>
      </c>
      <c r="AD318" s="59" t="str">
        <f t="shared" si="93"/>
        <v/>
      </c>
      <c r="AE318" s="4" t="str">
        <f t="shared" si="94"/>
        <v/>
      </c>
      <c r="AF318" s="4" t="str">
        <f t="shared" si="95"/>
        <v/>
      </c>
      <c r="AG318" s="4" t="str" cm="1">
        <f t="array" ref="AG318">IFERROR(INDEX(Table8[],_xlfn.XMATCH($O318,Table8[Dimension Name Category],0),_xlfn.XMATCH(AG$2&amp;IF($L318," w/ tag"," w/o tag"),Table8[#Headers],0)),"")</f>
        <v/>
      </c>
      <c r="AH318" s="59" t="str">
        <f t="shared" si="96"/>
        <v/>
      </c>
      <c r="AI318" s="4"/>
      <c r="AJ318" s="4" t="str">
        <f t="shared" si="97"/>
        <v/>
      </c>
      <c r="AK318" s="4" t="str">
        <f t="shared" si="98"/>
        <v/>
      </c>
      <c r="AL318" s="4" t="e" cm="1">
        <f t="array" ref="AL318">IF(INDEX(Table2[],_xlfn.XMATCH($A318,Table2[Steel Member],0),_xlfn.XMATCH(AL$2,Table2[#Headers],0))=0,"",INDEX(Table2[],_xlfn.XMATCH($A318,Table2[Steel Member],0),_xlfn.XMATCH(AL$2,Table2[#Headers],0)))</f>
        <v>#N/A</v>
      </c>
      <c r="AM318" s="4"/>
      <c r="AN318" s="4" t="str">
        <f t="shared" si="99"/>
        <v/>
      </c>
      <c r="AO318" s="4"/>
      <c r="AP318" s="4" t="e" cm="1">
        <f t="array" ref="AP318">IF(INDEX(Table2[],_xlfn.XMATCH($A318,Table2[Steel Member],0),_xlfn.XMATCH(AP$2,Table2[#Headers],0))=0,"",INDEX(Table2[],_xlfn.XMATCH($A318,Table2[Steel Member],0),_xlfn.XMATCH(AP$2,Table2[#Headers],0)))</f>
        <v>#N/A</v>
      </c>
      <c r="AQ318" s="4"/>
      <c r="AR318" s="4"/>
      <c r="AS318" s="4"/>
      <c r="AT318" s="4"/>
    </row>
    <row r="319" spans="1:46" x14ac:dyDescent="0.25">
      <c r="A319" s="52"/>
      <c r="B319" s="52"/>
      <c r="C319" s="52"/>
      <c r="D319" s="52"/>
      <c r="E319" s="52"/>
      <c r="F319" s="64" cm="1">
        <f t="array" ref="F319">IF(COUNT(FIND(PurlinsxGirthsxBracings,$C319))&gt;0,0,ROUNDUP(IF(D319=0,0,VLOOKUP(D319,'DATA SHEET'!$B:$D,2,FALSE)),2))</f>
        <v>0</v>
      </c>
      <c r="G319" s="64" cm="1">
        <f t="array" ref="G319">IF(COUNT(FIND(PurlinsxGirthsxBracings,$C319))&gt;0,0,ROUNDUP(IF(D319=0,0,VLOOKUP(D319,'DATA SHEET'!$B:$D,3,FALSE)),2))</f>
        <v>0</v>
      </c>
      <c r="H319" s="53"/>
      <c r="I319" s="66" cm="1">
        <f t="array" ref="I319">IF(AND(ISBLANK(B319),ISBLANK(C319),ISBLANK(E319)),0,IF(COUNT(FIND(PurlinsxGirthsxBracings,$C319))&gt;0,IF(B319=0,CONCATENATE(E319," ",C319),CONCATENATE(B319," - ",E319," ",C319)),IF(B319=0,IF(ISBLANK(C319),E319,CONCATENATE(D319,", ",F319,"kg/m, ",G319,"mm surface perimeter")),IF(AND(ISBLANK(C319),ISTEXT(E319)),CONCATENATE(B319," - ",E319),IF(AND(ISBLANK(C319),ISBLANK(E319)),B319,CONCATENATE(B319," - ",D319,", ",F319,"kg/m, ",G319,"mm surface perimeter"))))&amp;IF(ISBLANK(H319),"",H319)))</f>
        <v>0</v>
      </c>
      <c r="J319" s="53"/>
      <c r="L319" s="4" t="str" cm="1">
        <f t="array" ref="L319">IF(COUNT(FIND({0,1,2,3,4,5,6,7,8,9},B319))&gt;0,COUNT(FIND({0,1,2,3,4,5,6,7,8,9},B319))&gt;0,"")</f>
        <v/>
      </c>
      <c r="M319" s="4" t="str" cm="1">
        <f t="array" aca="1" ref="M319" ca="1">IFERROR(_xlfn.IFS(R319="Count",RANDBETWEEN(1,COUNTIF($R$11:$R$653,"Count")),R319="Length",RANDBETWEEN(1,COUNTIF($R$11:$R$653,"Length"))),"")</f>
        <v/>
      </c>
      <c r="N319" s="4" t="str">
        <f ca="1">IFERROR(_xlfn.RANK.EQ(M319,$M$11:$M$653)+COUNTIF($M$11:M319,M319)-1,"")</f>
        <v/>
      </c>
      <c r="O319" s="86" t="str">
        <f>IF(A319='DATA SHEET'!$L$36,C319,IFERROR(IF(AND(ISTEXT(I319),ISBLANK(C319)),"No details",VLOOKUP(C319,DimFolder,2,FALSE)),""))</f>
        <v/>
      </c>
      <c r="P319" s="4" t="str">
        <f t="shared" si="89"/>
        <v/>
      </c>
      <c r="Q319" s="58" t="str">
        <f t="shared" si="100"/>
        <v/>
      </c>
      <c r="R319" s="4" t="e" cm="1">
        <f t="array" ref="R319">IF(INDEX(Table2[],_xlfn.XMATCH($A319,Table2[Steel Member],0),_xlfn.XMATCH(R$2,Table2[#Headers],0))=0,"",INDEX(Table2[],_xlfn.XMATCH($A319,Table2[Steel Member],0),_xlfn.XMATCH(R$2,Table2[#Headers],0)))</f>
        <v>#N/A</v>
      </c>
      <c r="S319" s="4" t="e" cm="1">
        <f t="array" ref="S319">IF(INDEX(Table2[],_xlfn.XMATCH($A319,Table2[Steel Member],0),_xlfn.XMATCH(S$2,Table2[#Headers],0))=0,"",INDEX(Table2[],_xlfn.XMATCH($A319,Table2[Steel Member],0),_xlfn.XMATCH(S$2,Table2[#Headers],0)))</f>
        <v>#N/A</v>
      </c>
      <c r="T319" s="4" t="str">
        <f t="shared" si="91"/>
        <v/>
      </c>
      <c r="U319" s="4" t="e">
        <f ca="1">VLOOKUP(N319,'COLOR CODE'!$B:$D,2,FALSE)</f>
        <v>#N/A</v>
      </c>
      <c r="V319" s="4" t="str">
        <f t="shared" si="92"/>
        <v/>
      </c>
      <c r="W319" s="4" t="e" cm="1">
        <f t="array" ref="W319">IF(INDEX(Table2[],_xlfn.XMATCH($A319,Table2[Steel Member],0),_xlfn.XMATCH(W$2,Table2[#Headers],0))=0,"",INDEX(Table2[],_xlfn.XMATCH($A319,Table2[Steel Member],0),_xlfn.XMATCH(W$2,Table2[#Headers],0)))</f>
        <v>#N/A</v>
      </c>
      <c r="X319" s="4" t="e">
        <f t="shared" si="90"/>
        <v>#N/A</v>
      </c>
      <c r="Y319" s="4" t="e" cm="1">
        <f t="array" ref="Y319">IF(INDEX(Table2[],_xlfn.XMATCH($A319,Table2[Steel Member],0),_xlfn.XMATCH(Y$2,Table2[#Headers],0))=0,"",INDEX(Table2[],_xlfn.XMATCH($A319,Table2[Steel Member],0),_xlfn.XMATCH(Y$2,Table2[#Headers],0)))</f>
        <v>#N/A</v>
      </c>
      <c r="Z319" s="4" t="e" cm="1">
        <f t="array" ref="Z319">IF(INDEX(Table2[],_xlfn.XMATCH($A319,Table2[Steel Member],0),_xlfn.XMATCH(Z$2,Table2[#Headers],0))=0,"",INDEX(Table2[],_xlfn.XMATCH($A319,Table2[Steel Member],0),_xlfn.XMATCH(Z$2,Table2[#Headers],0)))</f>
        <v>#N/A</v>
      </c>
      <c r="AA319" s="4" t="e" cm="1">
        <f t="array" ref="AA319">IF(INDEX(Table2[],_xlfn.XMATCH($A319,Table2[Steel Member],0),_xlfn.XMATCH(AA$2,Table2[#Headers],0))=0,"",INDEX(Table2[],_xlfn.XMATCH($A319,Table2[Steel Member],0),_xlfn.XMATCH(AA$2,Table2[#Headers],0)))</f>
        <v>#N/A</v>
      </c>
      <c r="AB319" s="4" t="e" cm="1">
        <f t="array" ref="AB319">IF(INDEX(Table2[],_xlfn.XMATCH($A319,Table2[Steel Member],0),_xlfn.XMATCH(AB$2,Table2[#Headers],0))=0,"",INDEX(Table2[],_xlfn.XMATCH($A319,Table2[Steel Member],0),_xlfn.XMATCH(AB$2,Table2[#Headers],0)))</f>
        <v>#N/A</v>
      </c>
      <c r="AC319" s="4" t="str" cm="1">
        <f t="array" ref="AC319">IFERROR(INDEX(Table8[],_xlfn.XMATCH($O319,Table8[Dimension Name Category],0),_xlfn.XMATCH(AC$2&amp;IF($L319," w/ tag"," w/o tag"),Table8[#Headers],0)),"")</f>
        <v/>
      </c>
      <c r="AD319" s="59" t="str">
        <f t="shared" si="93"/>
        <v/>
      </c>
      <c r="AE319" s="4" t="str">
        <f t="shared" si="94"/>
        <v/>
      </c>
      <c r="AF319" s="4" t="str">
        <f t="shared" si="95"/>
        <v/>
      </c>
      <c r="AG319" s="4" t="str" cm="1">
        <f t="array" ref="AG319">IFERROR(INDEX(Table8[],_xlfn.XMATCH($O319,Table8[Dimension Name Category],0),_xlfn.XMATCH(AG$2&amp;IF($L319," w/ tag"," w/o tag"),Table8[#Headers],0)),"")</f>
        <v/>
      </c>
      <c r="AH319" s="59" t="str">
        <f t="shared" si="96"/>
        <v/>
      </c>
      <c r="AI319" s="4"/>
      <c r="AJ319" s="4" t="str">
        <f t="shared" si="97"/>
        <v/>
      </c>
      <c r="AK319" s="4" t="str">
        <f t="shared" si="98"/>
        <v/>
      </c>
      <c r="AL319" s="4" t="e" cm="1">
        <f t="array" ref="AL319">IF(INDEX(Table2[],_xlfn.XMATCH($A319,Table2[Steel Member],0),_xlfn.XMATCH(AL$2,Table2[#Headers],0))=0,"",INDEX(Table2[],_xlfn.XMATCH($A319,Table2[Steel Member],0),_xlfn.XMATCH(AL$2,Table2[#Headers],0)))</f>
        <v>#N/A</v>
      </c>
      <c r="AM319" s="4"/>
      <c r="AN319" s="4" t="str">
        <f t="shared" si="99"/>
        <v/>
      </c>
      <c r="AO319" s="4"/>
      <c r="AP319" s="4" t="e" cm="1">
        <f t="array" ref="AP319">IF(INDEX(Table2[],_xlfn.XMATCH($A319,Table2[Steel Member],0),_xlfn.XMATCH(AP$2,Table2[#Headers],0))=0,"",INDEX(Table2[],_xlfn.XMATCH($A319,Table2[Steel Member],0),_xlfn.XMATCH(AP$2,Table2[#Headers],0)))</f>
        <v>#N/A</v>
      </c>
      <c r="AQ319" s="4"/>
      <c r="AR319" s="4"/>
      <c r="AS319" s="4"/>
      <c r="AT319" s="4"/>
    </row>
    <row r="320" spans="1:46" x14ac:dyDescent="0.25">
      <c r="A320" s="52"/>
      <c r="B320" s="52"/>
      <c r="C320" s="52"/>
      <c r="D320" s="52"/>
      <c r="E320" s="52"/>
      <c r="F320" s="64" cm="1">
        <f t="array" ref="F320">IF(COUNT(FIND(PurlinsxGirthsxBracings,$C320))&gt;0,0,ROUNDUP(IF(D320=0,0,VLOOKUP(D320,'DATA SHEET'!$B:$D,2,FALSE)),2))</f>
        <v>0</v>
      </c>
      <c r="G320" s="64" cm="1">
        <f t="array" ref="G320">IF(COUNT(FIND(PurlinsxGirthsxBracings,$C320))&gt;0,0,ROUNDUP(IF(D320=0,0,VLOOKUP(D320,'DATA SHEET'!$B:$D,3,FALSE)),2))</f>
        <v>0</v>
      </c>
      <c r="H320" s="53"/>
      <c r="I320" s="66" cm="1">
        <f t="array" ref="I320">IF(AND(ISBLANK(B320),ISBLANK(C320),ISBLANK(E320)),0,IF(COUNT(FIND(PurlinsxGirthsxBracings,$C320))&gt;0,IF(B320=0,CONCATENATE(E320," ",C320),CONCATENATE(B320," - ",E320," ",C320)),IF(B320=0,IF(ISBLANK(C320),E320,CONCATENATE(D320,", ",F320,"kg/m, ",G320,"mm surface perimeter")),IF(AND(ISBLANK(C320),ISTEXT(E320)),CONCATENATE(B320," - ",E320),IF(AND(ISBLANK(C320),ISBLANK(E320)),B320,CONCATENATE(B320," - ",D320,", ",F320,"kg/m, ",G320,"mm surface perimeter"))))&amp;IF(ISBLANK(H320),"",H320)))</f>
        <v>0</v>
      </c>
      <c r="J320" s="53"/>
      <c r="L320" s="4" t="str" cm="1">
        <f t="array" ref="L320">IF(COUNT(FIND({0,1,2,3,4,5,6,7,8,9},B320))&gt;0,COUNT(FIND({0,1,2,3,4,5,6,7,8,9},B320))&gt;0,"")</f>
        <v/>
      </c>
      <c r="M320" s="4" t="str" cm="1">
        <f t="array" aca="1" ref="M320" ca="1">IFERROR(_xlfn.IFS(R320="Count",RANDBETWEEN(1,COUNTIF($R$11:$R$653,"Count")),R320="Length",RANDBETWEEN(1,COUNTIF($R$11:$R$653,"Length"))),"")</f>
        <v/>
      </c>
      <c r="N320" s="4" t="str">
        <f ca="1">IFERROR(_xlfn.RANK.EQ(M320,$M$11:$M$653)+COUNTIF($M$11:M320,M320)-1,"")</f>
        <v/>
      </c>
      <c r="O320" s="86" t="str">
        <f>IF(A320='DATA SHEET'!$L$36,C320,IFERROR(IF(AND(ISTEXT(I320),ISBLANK(C320)),"No details",VLOOKUP(C320,DimFolder,2,FALSE)),""))</f>
        <v/>
      </c>
      <c r="P320" s="4" t="str">
        <f t="shared" si="89"/>
        <v/>
      </c>
      <c r="Q320" s="58" t="str">
        <f t="shared" si="100"/>
        <v/>
      </c>
      <c r="R320" s="4" t="e" cm="1">
        <f t="array" ref="R320">IF(INDEX(Table2[],_xlfn.XMATCH($A320,Table2[Steel Member],0),_xlfn.XMATCH(R$2,Table2[#Headers],0))=0,"",INDEX(Table2[],_xlfn.XMATCH($A320,Table2[Steel Member],0),_xlfn.XMATCH(R$2,Table2[#Headers],0)))</f>
        <v>#N/A</v>
      </c>
      <c r="S320" s="4" t="e" cm="1">
        <f t="array" ref="S320">IF(INDEX(Table2[],_xlfn.XMATCH($A320,Table2[Steel Member],0),_xlfn.XMATCH(S$2,Table2[#Headers],0))=0,"",INDEX(Table2[],_xlfn.XMATCH($A320,Table2[Steel Member],0),_xlfn.XMATCH(S$2,Table2[#Headers],0)))</f>
        <v>#N/A</v>
      </c>
      <c r="T320" s="4" t="str">
        <f t="shared" si="91"/>
        <v/>
      </c>
      <c r="U320" s="4" t="e">
        <f ca="1">VLOOKUP(N320,'COLOR CODE'!$B:$D,2,FALSE)</f>
        <v>#N/A</v>
      </c>
      <c r="V320" s="4" t="str">
        <f t="shared" si="92"/>
        <v/>
      </c>
      <c r="W320" s="4" t="e" cm="1">
        <f t="array" ref="W320">IF(INDEX(Table2[],_xlfn.XMATCH($A320,Table2[Steel Member],0),_xlfn.XMATCH(W$2,Table2[#Headers],0))=0,"",INDEX(Table2[],_xlfn.XMATCH($A320,Table2[Steel Member],0),_xlfn.XMATCH(W$2,Table2[#Headers],0)))</f>
        <v>#N/A</v>
      </c>
      <c r="X320" s="4" t="e">
        <f t="shared" si="90"/>
        <v>#N/A</v>
      </c>
      <c r="Y320" s="4" t="e" cm="1">
        <f t="array" ref="Y320">IF(INDEX(Table2[],_xlfn.XMATCH($A320,Table2[Steel Member],0),_xlfn.XMATCH(Y$2,Table2[#Headers],0))=0,"",INDEX(Table2[],_xlfn.XMATCH($A320,Table2[Steel Member],0),_xlfn.XMATCH(Y$2,Table2[#Headers],0)))</f>
        <v>#N/A</v>
      </c>
      <c r="Z320" s="4" t="e" cm="1">
        <f t="array" ref="Z320">IF(INDEX(Table2[],_xlfn.XMATCH($A320,Table2[Steel Member],0),_xlfn.XMATCH(Z$2,Table2[#Headers],0))=0,"",INDEX(Table2[],_xlfn.XMATCH($A320,Table2[Steel Member],0),_xlfn.XMATCH(Z$2,Table2[#Headers],0)))</f>
        <v>#N/A</v>
      </c>
      <c r="AA320" s="4" t="e" cm="1">
        <f t="array" ref="AA320">IF(INDEX(Table2[],_xlfn.XMATCH($A320,Table2[Steel Member],0),_xlfn.XMATCH(AA$2,Table2[#Headers],0))=0,"",INDEX(Table2[],_xlfn.XMATCH($A320,Table2[Steel Member],0),_xlfn.XMATCH(AA$2,Table2[#Headers],0)))</f>
        <v>#N/A</v>
      </c>
      <c r="AB320" s="4" t="e" cm="1">
        <f t="array" ref="AB320">IF(INDEX(Table2[],_xlfn.XMATCH($A320,Table2[Steel Member],0),_xlfn.XMATCH(AB$2,Table2[#Headers],0))=0,"",INDEX(Table2[],_xlfn.XMATCH($A320,Table2[Steel Member],0),_xlfn.XMATCH(AB$2,Table2[#Headers],0)))</f>
        <v>#N/A</v>
      </c>
      <c r="AC320" s="4" t="str" cm="1">
        <f t="array" ref="AC320">IFERROR(INDEX(Table8[],_xlfn.XMATCH($O320,Table8[Dimension Name Category],0),_xlfn.XMATCH(AC$2&amp;IF($L320," w/ tag"," w/o tag"),Table8[#Headers],0)),"")</f>
        <v/>
      </c>
      <c r="AD320" s="59" t="str">
        <f t="shared" si="93"/>
        <v/>
      </c>
      <c r="AE320" s="4" t="str">
        <f t="shared" si="94"/>
        <v/>
      </c>
      <c r="AF320" s="4" t="str">
        <f t="shared" si="95"/>
        <v/>
      </c>
      <c r="AG320" s="4" t="str" cm="1">
        <f t="array" ref="AG320">IFERROR(INDEX(Table8[],_xlfn.XMATCH($O320,Table8[Dimension Name Category],0),_xlfn.XMATCH(AG$2&amp;IF($L320," w/ tag"," w/o tag"),Table8[#Headers],0)),"")</f>
        <v/>
      </c>
      <c r="AH320" s="59" t="str">
        <f t="shared" si="96"/>
        <v/>
      </c>
      <c r="AI320" s="4"/>
      <c r="AJ320" s="4" t="str">
        <f t="shared" si="97"/>
        <v/>
      </c>
      <c r="AK320" s="4" t="str">
        <f t="shared" si="98"/>
        <v/>
      </c>
      <c r="AL320" s="4" t="e" cm="1">
        <f t="array" ref="AL320">IF(INDEX(Table2[],_xlfn.XMATCH($A320,Table2[Steel Member],0),_xlfn.XMATCH(AL$2,Table2[#Headers],0))=0,"",INDEX(Table2[],_xlfn.XMATCH($A320,Table2[Steel Member],0),_xlfn.XMATCH(AL$2,Table2[#Headers],0)))</f>
        <v>#N/A</v>
      </c>
      <c r="AM320" s="4"/>
      <c r="AN320" s="4" t="str">
        <f t="shared" si="99"/>
        <v/>
      </c>
      <c r="AO320" s="4"/>
      <c r="AP320" s="4" t="e" cm="1">
        <f t="array" ref="AP320">IF(INDEX(Table2[],_xlfn.XMATCH($A320,Table2[Steel Member],0),_xlfn.XMATCH(AP$2,Table2[#Headers],0))=0,"",INDEX(Table2[],_xlfn.XMATCH($A320,Table2[Steel Member],0),_xlfn.XMATCH(AP$2,Table2[#Headers],0)))</f>
        <v>#N/A</v>
      </c>
      <c r="AQ320" s="4"/>
      <c r="AR320" s="4"/>
      <c r="AS320" s="4"/>
      <c r="AT320" s="4"/>
    </row>
    <row r="321" spans="1:46" x14ac:dyDescent="0.25">
      <c r="A321" s="52"/>
      <c r="B321" s="52"/>
      <c r="C321" s="52"/>
      <c r="D321" s="52"/>
      <c r="E321" s="52"/>
      <c r="F321" s="64" cm="1">
        <f t="array" ref="F321">IF(COUNT(FIND(PurlinsxGirthsxBracings,$C321))&gt;0,0,ROUNDUP(IF(D321=0,0,VLOOKUP(D321,'DATA SHEET'!$B:$D,2,FALSE)),2))</f>
        <v>0</v>
      </c>
      <c r="G321" s="64" cm="1">
        <f t="array" ref="G321">IF(COUNT(FIND(PurlinsxGirthsxBracings,$C321))&gt;0,0,ROUNDUP(IF(D321=0,0,VLOOKUP(D321,'DATA SHEET'!$B:$D,3,FALSE)),2))</f>
        <v>0</v>
      </c>
      <c r="H321" s="53"/>
      <c r="I321" s="66" cm="1">
        <f t="array" ref="I321">IF(AND(ISBLANK(B321),ISBLANK(C321),ISBLANK(E321)),0,IF(COUNT(FIND(PurlinsxGirthsxBracings,$C321))&gt;0,IF(B321=0,CONCATENATE(E321," ",C321),CONCATENATE(B321," - ",E321," ",C321)),IF(B321=0,IF(ISBLANK(C321),E321,CONCATENATE(D321,", ",F321,"kg/m, ",G321,"mm surface perimeter")),IF(AND(ISBLANK(C321),ISTEXT(E321)),CONCATENATE(B321," - ",E321),IF(AND(ISBLANK(C321),ISBLANK(E321)),B321,CONCATENATE(B321," - ",D321,", ",F321,"kg/m, ",G321,"mm surface perimeter"))))&amp;IF(ISBLANK(H321),"",H321)))</f>
        <v>0</v>
      </c>
      <c r="J321" s="53"/>
      <c r="L321" s="4" t="str" cm="1">
        <f t="array" ref="L321">IF(COUNT(FIND({0,1,2,3,4,5,6,7,8,9},B321))&gt;0,COUNT(FIND({0,1,2,3,4,5,6,7,8,9},B321))&gt;0,"")</f>
        <v/>
      </c>
      <c r="M321" s="4" t="str" cm="1">
        <f t="array" aca="1" ref="M321" ca="1">IFERROR(_xlfn.IFS(R321="Count",RANDBETWEEN(1,COUNTIF($R$11:$R$653,"Count")),R321="Length",RANDBETWEEN(1,COUNTIF($R$11:$R$653,"Length"))),"")</f>
        <v/>
      </c>
      <c r="N321" s="4" t="str">
        <f ca="1">IFERROR(_xlfn.RANK.EQ(M321,$M$11:$M$653)+COUNTIF($M$11:M321,M321)-1,"")</f>
        <v/>
      </c>
      <c r="O321" s="86" t="str">
        <f>IF(A321='DATA SHEET'!$L$36,C321,IFERROR(IF(AND(ISTEXT(I321),ISBLANK(C321)),"No details",VLOOKUP(C321,DimFolder,2,FALSE)),""))</f>
        <v/>
      </c>
      <c r="P321" s="4" t="str">
        <f t="shared" si="89"/>
        <v/>
      </c>
      <c r="Q321" s="58" t="str">
        <f t="shared" si="100"/>
        <v/>
      </c>
      <c r="R321" s="4" t="e" cm="1">
        <f t="array" ref="R321">IF(INDEX(Table2[],_xlfn.XMATCH($A321,Table2[Steel Member],0),_xlfn.XMATCH(R$2,Table2[#Headers],0))=0,"",INDEX(Table2[],_xlfn.XMATCH($A321,Table2[Steel Member],0),_xlfn.XMATCH(R$2,Table2[#Headers],0)))</f>
        <v>#N/A</v>
      </c>
      <c r="S321" s="4" t="e" cm="1">
        <f t="array" ref="S321">IF(INDEX(Table2[],_xlfn.XMATCH($A321,Table2[Steel Member],0),_xlfn.XMATCH(S$2,Table2[#Headers],0))=0,"",INDEX(Table2[],_xlfn.XMATCH($A321,Table2[Steel Member],0),_xlfn.XMATCH(S$2,Table2[#Headers],0)))</f>
        <v>#N/A</v>
      </c>
      <c r="T321" s="4" t="str">
        <f t="shared" si="91"/>
        <v/>
      </c>
      <c r="U321" s="4" t="e">
        <f ca="1">VLOOKUP(N321,'COLOR CODE'!$B:$D,2,FALSE)</f>
        <v>#N/A</v>
      </c>
      <c r="V321" s="4" t="str">
        <f t="shared" si="92"/>
        <v/>
      </c>
      <c r="W321" s="4" t="e" cm="1">
        <f t="array" ref="W321">IF(INDEX(Table2[],_xlfn.XMATCH($A321,Table2[Steel Member],0),_xlfn.XMATCH(W$2,Table2[#Headers],0))=0,"",INDEX(Table2[],_xlfn.XMATCH($A321,Table2[Steel Member],0),_xlfn.XMATCH(W$2,Table2[#Headers],0)))</f>
        <v>#N/A</v>
      </c>
      <c r="X321" s="4" t="e">
        <f t="shared" si="90"/>
        <v>#N/A</v>
      </c>
      <c r="Y321" s="4" t="e" cm="1">
        <f t="array" ref="Y321">IF(INDEX(Table2[],_xlfn.XMATCH($A321,Table2[Steel Member],0),_xlfn.XMATCH(Y$2,Table2[#Headers],0))=0,"",INDEX(Table2[],_xlfn.XMATCH($A321,Table2[Steel Member],0),_xlfn.XMATCH(Y$2,Table2[#Headers],0)))</f>
        <v>#N/A</v>
      </c>
      <c r="Z321" s="4" t="e" cm="1">
        <f t="array" ref="Z321">IF(INDEX(Table2[],_xlfn.XMATCH($A321,Table2[Steel Member],0),_xlfn.XMATCH(Z$2,Table2[#Headers],0))=0,"",INDEX(Table2[],_xlfn.XMATCH($A321,Table2[Steel Member],0),_xlfn.XMATCH(Z$2,Table2[#Headers],0)))</f>
        <v>#N/A</v>
      </c>
      <c r="AA321" s="4" t="e" cm="1">
        <f t="array" ref="AA321">IF(INDEX(Table2[],_xlfn.XMATCH($A321,Table2[Steel Member],0),_xlfn.XMATCH(AA$2,Table2[#Headers],0))=0,"",INDEX(Table2[],_xlfn.XMATCH($A321,Table2[Steel Member],0),_xlfn.XMATCH(AA$2,Table2[#Headers],0)))</f>
        <v>#N/A</v>
      </c>
      <c r="AB321" s="4" t="e" cm="1">
        <f t="array" ref="AB321">IF(INDEX(Table2[],_xlfn.XMATCH($A321,Table2[Steel Member],0),_xlfn.XMATCH(AB$2,Table2[#Headers],0))=0,"",INDEX(Table2[],_xlfn.XMATCH($A321,Table2[Steel Member],0),_xlfn.XMATCH(AB$2,Table2[#Headers],0)))</f>
        <v>#N/A</v>
      </c>
      <c r="AC321" s="4" t="str" cm="1">
        <f t="array" ref="AC321">IFERROR(INDEX(Table8[],_xlfn.XMATCH($O321,Table8[Dimension Name Category],0),_xlfn.XMATCH(AC$2&amp;IF($L321," w/ tag"," w/o tag"),Table8[#Headers],0)),"")</f>
        <v/>
      </c>
      <c r="AD321" s="59" t="str">
        <f t="shared" si="93"/>
        <v/>
      </c>
      <c r="AE321" s="4" t="str">
        <f t="shared" si="94"/>
        <v/>
      </c>
      <c r="AF321" s="4" t="str">
        <f t="shared" si="95"/>
        <v/>
      </c>
      <c r="AG321" s="4" t="str" cm="1">
        <f t="array" ref="AG321">IFERROR(INDEX(Table8[],_xlfn.XMATCH($O321,Table8[Dimension Name Category],0),_xlfn.XMATCH(AG$2&amp;IF($L321," w/ tag"," w/o tag"),Table8[#Headers],0)),"")</f>
        <v/>
      </c>
      <c r="AH321" s="59" t="str">
        <f t="shared" si="96"/>
        <v/>
      </c>
      <c r="AI321" s="4"/>
      <c r="AJ321" s="4" t="str">
        <f t="shared" si="97"/>
        <v/>
      </c>
      <c r="AK321" s="4" t="str">
        <f t="shared" si="98"/>
        <v/>
      </c>
      <c r="AL321" s="4" t="e" cm="1">
        <f t="array" ref="AL321">IF(INDEX(Table2[],_xlfn.XMATCH($A321,Table2[Steel Member],0),_xlfn.XMATCH(AL$2,Table2[#Headers],0))=0,"",INDEX(Table2[],_xlfn.XMATCH($A321,Table2[Steel Member],0),_xlfn.XMATCH(AL$2,Table2[#Headers],0)))</f>
        <v>#N/A</v>
      </c>
      <c r="AM321" s="4"/>
      <c r="AN321" s="4" t="str">
        <f t="shared" si="99"/>
        <v/>
      </c>
      <c r="AO321" s="4"/>
      <c r="AP321" s="4" t="e" cm="1">
        <f t="array" ref="AP321">IF(INDEX(Table2[],_xlfn.XMATCH($A321,Table2[Steel Member],0),_xlfn.XMATCH(AP$2,Table2[#Headers],0))=0,"",INDEX(Table2[],_xlfn.XMATCH($A321,Table2[Steel Member],0),_xlfn.XMATCH(AP$2,Table2[#Headers],0)))</f>
        <v>#N/A</v>
      </c>
      <c r="AQ321" s="4"/>
      <c r="AR321" s="4"/>
      <c r="AS321" s="4"/>
      <c r="AT321" s="4"/>
    </row>
    <row r="322" spans="1:46" x14ac:dyDescent="0.25">
      <c r="A322" s="52"/>
      <c r="B322" s="52"/>
      <c r="C322" s="52"/>
      <c r="D322" s="52"/>
      <c r="E322" s="52"/>
      <c r="F322" s="64" cm="1">
        <f t="array" ref="F322">IF(COUNT(FIND(PurlinsxGirthsxBracings,$C322))&gt;0,0,ROUNDUP(IF(D322=0,0,VLOOKUP(D322,'DATA SHEET'!$B:$D,2,FALSE)),2))</f>
        <v>0</v>
      </c>
      <c r="G322" s="64" cm="1">
        <f t="array" ref="G322">IF(COUNT(FIND(PurlinsxGirthsxBracings,$C322))&gt;0,0,ROUNDUP(IF(D322=0,0,VLOOKUP(D322,'DATA SHEET'!$B:$D,3,FALSE)),2))</f>
        <v>0</v>
      </c>
      <c r="H322" s="53"/>
      <c r="I322" s="66" cm="1">
        <f t="array" ref="I322">IF(AND(ISBLANK(B322),ISBLANK(C322),ISBLANK(E322)),0,IF(COUNT(FIND(PurlinsxGirthsxBracings,$C322))&gt;0,IF(B322=0,CONCATENATE(E322," ",C322),CONCATENATE(B322," - ",E322," ",C322)),IF(B322=0,IF(ISBLANK(C322),E322,CONCATENATE(D322,", ",F322,"kg/m, ",G322,"mm surface perimeter")),IF(AND(ISBLANK(C322),ISTEXT(E322)),CONCATENATE(B322," - ",E322),IF(AND(ISBLANK(C322),ISBLANK(E322)),B322,CONCATENATE(B322," - ",D322,", ",F322,"kg/m, ",G322,"mm surface perimeter"))))&amp;IF(ISBLANK(H322),"",H322)))</f>
        <v>0</v>
      </c>
      <c r="J322" s="53"/>
      <c r="L322" s="4" t="str" cm="1">
        <f t="array" ref="L322">IF(COUNT(FIND({0,1,2,3,4,5,6,7,8,9},B322))&gt;0,COUNT(FIND({0,1,2,3,4,5,6,7,8,9},B322))&gt;0,"")</f>
        <v/>
      </c>
      <c r="M322" s="4" t="str" cm="1">
        <f t="array" aca="1" ref="M322" ca="1">IFERROR(_xlfn.IFS(R322="Count",RANDBETWEEN(1,COUNTIF($R$11:$R$653,"Count")),R322="Length",RANDBETWEEN(1,COUNTIF($R$11:$R$653,"Length"))),"")</f>
        <v/>
      </c>
      <c r="N322" s="4" t="str">
        <f ca="1">IFERROR(_xlfn.RANK.EQ(M322,$M$11:$M$653)+COUNTIF($M$11:M322,M322)-1,"")</f>
        <v/>
      </c>
      <c r="O322" s="86" t="str">
        <f>IF(A322='DATA SHEET'!$L$36,C322,IFERROR(IF(AND(ISTEXT(I322),ISBLANK(C322)),"No details",VLOOKUP(C322,DimFolder,2,FALSE)),""))</f>
        <v/>
      </c>
      <c r="P322" s="4" t="str">
        <f t="shared" si="89"/>
        <v/>
      </c>
      <c r="Q322" s="58" t="str">
        <f t="shared" si="100"/>
        <v/>
      </c>
      <c r="R322" s="4" t="e" cm="1">
        <f t="array" ref="R322">IF(INDEX(Table2[],_xlfn.XMATCH($A322,Table2[Steel Member],0),_xlfn.XMATCH(R$2,Table2[#Headers],0))=0,"",INDEX(Table2[],_xlfn.XMATCH($A322,Table2[Steel Member],0),_xlfn.XMATCH(R$2,Table2[#Headers],0)))</f>
        <v>#N/A</v>
      </c>
      <c r="S322" s="4" t="e" cm="1">
        <f t="array" ref="S322">IF(INDEX(Table2[],_xlfn.XMATCH($A322,Table2[Steel Member],0),_xlfn.XMATCH(S$2,Table2[#Headers],0))=0,"",INDEX(Table2[],_xlfn.XMATCH($A322,Table2[Steel Member],0),_xlfn.XMATCH(S$2,Table2[#Headers],0)))</f>
        <v>#N/A</v>
      </c>
      <c r="T322" s="4" t="str">
        <f t="shared" si="91"/>
        <v/>
      </c>
      <c r="U322" s="4" t="e">
        <f ca="1">VLOOKUP(N322,'COLOR CODE'!$B:$D,2,FALSE)</f>
        <v>#N/A</v>
      </c>
      <c r="V322" s="4" t="str">
        <f t="shared" si="92"/>
        <v/>
      </c>
      <c r="W322" s="4" t="e" cm="1">
        <f t="array" ref="W322">IF(INDEX(Table2[],_xlfn.XMATCH($A322,Table2[Steel Member],0),_xlfn.XMATCH(W$2,Table2[#Headers],0))=0,"",INDEX(Table2[],_xlfn.XMATCH($A322,Table2[Steel Member],0),_xlfn.XMATCH(W$2,Table2[#Headers],0)))</f>
        <v>#N/A</v>
      </c>
      <c r="X322" s="4" t="e">
        <f t="shared" si="90"/>
        <v>#N/A</v>
      </c>
      <c r="Y322" s="4" t="e" cm="1">
        <f t="array" ref="Y322">IF(INDEX(Table2[],_xlfn.XMATCH($A322,Table2[Steel Member],0),_xlfn.XMATCH(Y$2,Table2[#Headers],0))=0,"",INDEX(Table2[],_xlfn.XMATCH($A322,Table2[Steel Member],0),_xlfn.XMATCH(Y$2,Table2[#Headers],0)))</f>
        <v>#N/A</v>
      </c>
      <c r="Z322" s="4" t="e" cm="1">
        <f t="array" ref="Z322">IF(INDEX(Table2[],_xlfn.XMATCH($A322,Table2[Steel Member],0),_xlfn.XMATCH(Z$2,Table2[#Headers],0))=0,"",INDEX(Table2[],_xlfn.XMATCH($A322,Table2[Steel Member],0),_xlfn.XMATCH(Z$2,Table2[#Headers],0)))</f>
        <v>#N/A</v>
      </c>
      <c r="AA322" s="4" t="e" cm="1">
        <f t="array" ref="AA322">IF(INDEX(Table2[],_xlfn.XMATCH($A322,Table2[Steel Member],0),_xlfn.XMATCH(AA$2,Table2[#Headers],0))=0,"",INDEX(Table2[],_xlfn.XMATCH($A322,Table2[Steel Member],0),_xlfn.XMATCH(AA$2,Table2[#Headers],0)))</f>
        <v>#N/A</v>
      </c>
      <c r="AB322" s="4" t="e" cm="1">
        <f t="array" ref="AB322">IF(INDEX(Table2[],_xlfn.XMATCH($A322,Table2[Steel Member],0),_xlfn.XMATCH(AB$2,Table2[#Headers],0))=0,"",INDEX(Table2[],_xlfn.XMATCH($A322,Table2[Steel Member],0),_xlfn.XMATCH(AB$2,Table2[#Headers],0)))</f>
        <v>#N/A</v>
      </c>
      <c r="AC322" s="4" t="str" cm="1">
        <f t="array" ref="AC322">IFERROR(INDEX(Table8[],_xlfn.XMATCH($O322,Table8[Dimension Name Category],0),_xlfn.XMATCH(AC$2&amp;IF($L322," w/ tag"," w/o tag"),Table8[#Headers],0)),"")</f>
        <v/>
      </c>
      <c r="AD322" s="59" t="str">
        <f t="shared" si="93"/>
        <v/>
      </c>
      <c r="AE322" s="4" t="str">
        <f t="shared" si="94"/>
        <v/>
      </c>
      <c r="AF322" s="4" t="str">
        <f t="shared" si="95"/>
        <v/>
      </c>
      <c r="AG322" s="4" t="str" cm="1">
        <f t="array" ref="AG322">IFERROR(INDEX(Table8[],_xlfn.XMATCH($O322,Table8[Dimension Name Category],0),_xlfn.XMATCH(AG$2&amp;IF($L322," w/ tag"," w/o tag"),Table8[#Headers],0)),"")</f>
        <v/>
      </c>
      <c r="AH322" s="59" t="str">
        <f t="shared" si="96"/>
        <v/>
      </c>
      <c r="AI322" s="4"/>
      <c r="AJ322" s="4" t="str">
        <f t="shared" si="97"/>
        <v/>
      </c>
      <c r="AK322" s="4" t="str">
        <f t="shared" si="98"/>
        <v/>
      </c>
      <c r="AL322" s="4" t="e" cm="1">
        <f t="array" ref="AL322">IF(INDEX(Table2[],_xlfn.XMATCH($A322,Table2[Steel Member],0),_xlfn.XMATCH(AL$2,Table2[#Headers],0))=0,"",INDEX(Table2[],_xlfn.XMATCH($A322,Table2[Steel Member],0),_xlfn.XMATCH(AL$2,Table2[#Headers],0)))</f>
        <v>#N/A</v>
      </c>
      <c r="AM322" s="4"/>
      <c r="AN322" s="4" t="str">
        <f t="shared" si="99"/>
        <v/>
      </c>
      <c r="AO322" s="4"/>
      <c r="AP322" s="4" t="e" cm="1">
        <f t="array" ref="AP322">IF(INDEX(Table2[],_xlfn.XMATCH($A322,Table2[Steel Member],0),_xlfn.XMATCH(AP$2,Table2[#Headers],0))=0,"",INDEX(Table2[],_xlfn.XMATCH($A322,Table2[Steel Member],0),_xlfn.XMATCH(AP$2,Table2[#Headers],0)))</f>
        <v>#N/A</v>
      </c>
      <c r="AQ322" s="4"/>
      <c r="AR322" s="4"/>
      <c r="AS322" s="4"/>
      <c r="AT322" s="4"/>
    </row>
    <row r="323" spans="1:46" x14ac:dyDescent="0.25">
      <c r="A323" s="52"/>
      <c r="B323" s="52"/>
      <c r="C323" s="52"/>
      <c r="D323" s="52"/>
      <c r="E323" s="52"/>
      <c r="F323" s="64" cm="1">
        <f t="array" ref="F323">IF(COUNT(FIND(PurlinsxGirthsxBracings,$C323))&gt;0,0,ROUNDUP(IF(D323=0,0,VLOOKUP(D323,'DATA SHEET'!$B:$D,2,FALSE)),2))</f>
        <v>0</v>
      </c>
      <c r="G323" s="64" cm="1">
        <f t="array" ref="G323">IF(COUNT(FIND(PurlinsxGirthsxBracings,$C323))&gt;0,0,ROUNDUP(IF(D323=0,0,VLOOKUP(D323,'DATA SHEET'!$B:$D,3,FALSE)),2))</f>
        <v>0</v>
      </c>
      <c r="H323" s="53"/>
      <c r="I323" s="66" cm="1">
        <f t="array" ref="I323">IF(AND(ISBLANK(B323),ISBLANK(C323),ISBLANK(E323)),0,IF(COUNT(FIND(PurlinsxGirthsxBracings,$C323))&gt;0,IF(B323=0,CONCATENATE(E323," ",C323),CONCATENATE(B323," - ",E323," ",C323)),IF(B323=0,IF(ISBLANK(C323),E323,CONCATENATE(D323,", ",F323,"kg/m, ",G323,"mm surface perimeter")),IF(AND(ISBLANK(C323),ISTEXT(E323)),CONCATENATE(B323," - ",E323),IF(AND(ISBLANK(C323),ISBLANK(E323)),B323,CONCATENATE(B323," - ",D323,", ",F323,"kg/m, ",G323,"mm surface perimeter"))))&amp;IF(ISBLANK(H323),"",H323)))</f>
        <v>0</v>
      </c>
      <c r="J323" s="53"/>
      <c r="L323" s="4" t="str" cm="1">
        <f t="array" ref="L323">IF(COUNT(FIND({0,1,2,3,4,5,6,7,8,9},B323))&gt;0,COUNT(FIND({0,1,2,3,4,5,6,7,8,9},B323))&gt;0,"")</f>
        <v/>
      </c>
      <c r="M323" s="4" t="str" cm="1">
        <f t="array" aca="1" ref="M323" ca="1">IFERROR(_xlfn.IFS(R323="Count",RANDBETWEEN(1,COUNTIF($R$11:$R$653,"Count")),R323="Length",RANDBETWEEN(1,COUNTIF($R$11:$R$653,"Length"))),"")</f>
        <v/>
      </c>
      <c r="N323" s="4" t="str">
        <f ca="1">IFERROR(_xlfn.RANK.EQ(M323,$M$11:$M$653)+COUNTIF($M$11:M323,M323)-1,"")</f>
        <v/>
      </c>
      <c r="O323" s="86" t="str">
        <f>IF(A323='DATA SHEET'!$L$36,C323,IFERROR(IF(AND(ISTEXT(I323),ISBLANK(C323)),"No details",VLOOKUP(C323,DimFolder,2,FALSE)),""))</f>
        <v/>
      </c>
      <c r="P323" s="4" t="str">
        <f t="shared" si="89"/>
        <v/>
      </c>
      <c r="Q323" s="58" t="str">
        <f t="shared" si="100"/>
        <v/>
      </c>
      <c r="R323" s="4" t="e" cm="1">
        <f t="array" ref="R323">IF(INDEX(Table2[],_xlfn.XMATCH($A323,Table2[Steel Member],0),_xlfn.XMATCH(R$2,Table2[#Headers],0))=0,"",INDEX(Table2[],_xlfn.XMATCH($A323,Table2[Steel Member],0),_xlfn.XMATCH(R$2,Table2[#Headers],0)))</f>
        <v>#N/A</v>
      </c>
      <c r="S323" s="4" t="e" cm="1">
        <f t="array" ref="S323">IF(INDEX(Table2[],_xlfn.XMATCH($A323,Table2[Steel Member],0),_xlfn.XMATCH(S$2,Table2[#Headers],0))=0,"",INDEX(Table2[],_xlfn.XMATCH($A323,Table2[Steel Member],0),_xlfn.XMATCH(S$2,Table2[#Headers],0)))</f>
        <v>#N/A</v>
      </c>
      <c r="T323" s="4" t="str">
        <f t="shared" si="91"/>
        <v/>
      </c>
      <c r="U323" s="4" t="e">
        <f ca="1">VLOOKUP(N323,'COLOR CODE'!$B:$D,2,FALSE)</f>
        <v>#N/A</v>
      </c>
      <c r="V323" s="4" t="str">
        <f t="shared" si="92"/>
        <v/>
      </c>
      <c r="W323" s="4" t="e" cm="1">
        <f t="array" ref="W323">IF(INDEX(Table2[],_xlfn.XMATCH($A323,Table2[Steel Member],0),_xlfn.XMATCH(W$2,Table2[#Headers],0))=0,"",INDEX(Table2[],_xlfn.XMATCH($A323,Table2[Steel Member],0),_xlfn.XMATCH(W$2,Table2[#Headers],0)))</f>
        <v>#N/A</v>
      </c>
      <c r="X323" s="4" t="e">
        <f t="shared" si="90"/>
        <v>#N/A</v>
      </c>
      <c r="Y323" s="4" t="e" cm="1">
        <f t="array" ref="Y323">IF(INDEX(Table2[],_xlfn.XMATCH($A323,Table2[Steel Member],0),_xlfn.XMATCH(Y$2,Table2[#Headers],0))=0,"",INDEX(Table2[],_xlfn.XMATCH($A323,Table2[Steel Member],0),_xlfn.XMATCH(Y$2,Table2[#Headers],0)))</f>
        <v>#N/A</v>
      </c>
      <c r="Z323" s="4" t="e" cm="1">
        <f t="array" ref="Z323">IF(INDEX(Table2[],_xlfn.XMATCH($A323,Table2[Steel Member],0),_xlfn.XMATCH(Z$2,Table2[#Headers],0))=0,"",INDEX(Table2[],_xlfn.XMATCH($A323,Table2[Steel Member],0),_xlfn.XMATCH(Z$2,Table2[#Headers],0)))</f>
        <v>#N/A</v>
      </c>
      <c r="AA323" s="4" t="e" cm="1">
        <f t="array" ref="AA323">IF(INDEX(Table2[],_xlfn.XMATCH($A323,Table2[Steel Member],0),_xlfn.XMATCH(AA$2,Table2[#Headers],0))=0,"",INDEX(Table2[],_xlfn.XMATCH($A323,Table2[Steel Member],0),_xlfn.XMATCH(AA$2,Table2[#Headers],0)))</f>
        <v>#N/A</v>
      </c>
      <c r="AB323" s="4" t="e" cm="1">
        <f t="array" ref="AB323">IF(INDEX(Table2[],_xlfn.XMATCH($A323,Table2[Steel Member],0),_xlfn.XMATCH(AB$2,Table2[#Headers],0))=0,"",INDEX(Table2[],_xlfn.XMATCH($A323,Table2[Steel Member],0),_xlfn.XMATCH(AB$2,Table2[#Headers],0)))</f>
        <v>#N/A</v>
      </c>
      <c r="AC323" s="4" t="str" cm="1">
        <f t="array" ref="AC323">IFERROR(INDEX(Table8[],_xlfn.XMATCH($O323,Table8[Dimension Name Category],0),_xlfn.XMATCH(AC$2&amp;IF($L323," w/ tag"," w/o tag"),Table8[#Headers],0)),"")</f>
        <v/>
      </c>
      <c r="AD323" s="59" t="str">
        <f t="shared" si="93"/>
        <v/>
      </c>
      <c r="AE323" s="4" t="str">
        <f t="shared" si="94"/>
        <v/>
      </c>
      <c r="AF323" s="4" t="str">
        <f t="shared" si="95"/>
        <v/>
      </c>
      <c r="AG323" s="4" t="str" cm="1">
        <f t="array" ref="AG323">IFERROR(INDEX(Table8[],_xlfn.XMATCH($O323,Table8[Dimension Name Category],0),_xlfn.XMATCH(AG$2&amp;IF($L323," w/ tag"," w/o tag"),Table8[#Headers],0)),"")</f>
        <v/>
      </c>
      <c r="AH323" s="59" t="str">
        <f t="shared" si="96"/>
        <v/>
      </c>
      <c r="AI323" s="4"/>
      <c r="AJ323" s="4" t="str">
        <f t="shared" si="97"/>
        <v/>
      </c>
      <c r="AK323" s="4" t="str">
        <f t="shared" si="98"/>
        <v/>
      </c>
      <c r="AL323" s="4" t="e" cm="1">
        <f t="array" ref="AL323">IF(INDEX(Table2[],_xlfn.XMATCH($A323,Table2[Steel Member],0),_xlfn.XMATCH(AL$2,Table2[#Headers],0))=0,"",INDEX(Table2[],_xlfn.XMATCH($A323,Table2[Steel Member],0),_xlfn.XMATCH(AL$2,Table2[#Headers],0)))</f>
        <v>#N/A</v>
      </c>
      <c r="AM323" s="4"/>
      <c r="AN323" s="4" t="str">
        <f t="shared" si="99"/>
        <v/>
      </c>
      <c r="AO323" s="4"/>
      <c r="AP323" s="4" t="e" cm="1">
        <f t="array" ref="AP323">IF(INDEX(Table2[],_xlfn.XMATCH($A323,Table2[Steel Member],0),_xlfn.XMATCH(AP$2,Table2[#Headers],0))=0,"",INDEX(Table2[],_xlfn.XMATCH($A323,Table2[Steel Member],0),_xlfn.XMATCH(AP$2,Table2[#Headers],0)))</f>
        <v>#N/A</v>
      </c>
      <c r="AQ323" s="4"/>
      <c r="AR323" s="4"/>
      <c r="AS323" s="4"/>
      <c r="AT323" s="4"/>
    </row>
    <row r="324" spans="1:46" x14ac:dyDescent="0.25">
      <c r="A324" s="52"/>
      <c r="B324" s="52"/>
      <c r="C324" s="52"/>
      <c r="D324" s="52"/>
      <c r="E324" s="52"/>
      <c r="F324" s="64" cm="1">
        <f t="array" ref="F324">IF(COUNT(FIND(PurlinsxGirthsxBracings,$C324))&gt;0,0,ROUNDUP(IF(D324=0,0,VLOOKUP(D324,'DATA SHEET'!$B:$D,2,FALSE)),2))</f>
        <v>0</v>
      </c>
      <c r="G324" s="64" cm="1">
        <f t="array" ref="G324">IF(COUNT(FIND(PurlinsxGirthsxBracings,$C324))&gt;0,0,ROUNDUP(IF(D324=0,0,VLOOKUP(D324,'DATA SHEET'!$B:$D,3,FALSE)),2))</f>
        <v>0</v>
      </c>
      <c r="H324" s="53"/>
      <c r="I324" s="66" cm="1">
        <f t="array" ref="I324">IF(AND(ISBLANK(B324),ISBLANK(C324),ISBLANK(E324)),0,IF(COUNT(FIND(PurlinsxGirthsxBracings,$C324))&gt;0,IF(B324=0,CONCATENATE(E324," ",C324),CONCATENATE(B324," - ",E324," ",C324)),IF(B324=0,IF(ISBLANK(C324),E324,CONCATENATE(D324,", ",F324,"kg/m, ",G324,"mm surface perimeter")),IF(AND(ISBLANK(C324),ISTEXT(E324)),CONCATENATE(B324," - ",E324),IF(AND(ISBLANK(C324),ISBLANK(E324)),B324,CONCATENATE(B324," - ",D324,", ",F324,"kg/m, ",G324,"mm surface perimeter"))))&amp;IF(ISBLANK(H324),"",H324)))</f>
        <v>0</v>
      </c>
      <c r="J324" s="53"/>
      <c r="L324" s="4" t="str" cm="1">
        <f t="array" ref="L324">IF(COUNT(FIND({0,1,2,3,4,5,6,7,8,9},B324))&gt;0,COUNT(FIND({0,1,2,3,4,5,6,7,8,9},B324))&gt;0,"")</f>
        <v/>
      </c>
      <c r="M324" s="4" t="str" cm="1">
        <f t="array" aca="1" ref="M324" ca="1">IFERROR(_xlfn.IFS(R324="Count",RANDBETWEEN(1,COUNTIF($R$11:$R$653,"Count")),R324="Length",RANDBETWEEN(1,COUNTIF($R$11:$R$653,"Length"))),"")</f>
        <v/>
      </c>
      <c r="N324" s="4" t="str">
        <f ca="1">IFERROR(_xlfn.RANK.EQ(M324,$M$11:$M$653)+COUNTIF($M$11:M324,M324)-1,"")</f>
        <v/>
      </c>
      <c r="O324" s="86" t="str">
        <f>IF(A324='DATA SHEET'!$L$36,C324,IFERROR(IF(AND(ISTEXT(I324),ISBLANK(C324)),"No details",VLOOKUP(C324,DimFolder,2,FALSE)),""))</f>
        <v/>
      </c>
      <c r="P324" s="4" t="str">
        <f t="shared" si="89"/>
        <v/>
      </c>
      <c r="Q324" s="58" t="str">
        <f t="shared" si="100"/>
        <v/>
      </c>
      <c r="R324" s="4" t="e" cm="1">
        <f t="array" ref="R324">IF(INDEX(Table2[],_xlfn.XMATCH($A324,Table2[Steel Member],0),_xlfn.XMATCH(R$2,Table2[#Headers],0))=0,"",INDEX(Table2[],_xlfn.XMATCH($A324,Table2[Steel Member],0),_xlfn.XMATCH(R$2,Table2[#Headers],0)))</f>
        <v>#N/A</v>
      </c>
      <c r="S324" s="4" t="e" cm="1">
        <f t="array" ref="S324">IF(INDEX(Table2[],_xlfn.XMATCH($A324,Table2[Steel Member],0),_xlfn.XMATCH(S$2,Table2[#Headers],0))=0,"",INDEX(Table2[],_xlfn.XMATCH($A324,Table2[Steel Member],0),_xlfn.XMATCH(S$2,Table2[#Headers],0)))</f>
        <v>#N/A</v>
      </c>
      <c r="T324" s="4" t="str">
        <f t="shared" si="91"/>
        <v/>
      </c>
      <c r="U324" s="4" t="e">
        <f ca="1">VLOOKUP(N324,'COLOR CODE'!$B:$D,2,FALSE)</f>
        <v>#N/A</v>
      </c>
      <c r="V324" s="4" t="str">
        <f t="shared" si="92"/>
        <v/>
      </c>
      <c r="W324" s="4" t="e" cm="1">
        <f t="array" ref="W324">IF(INDEX(Table2[],_xlfn.XMATCH($A324,Table2[Steel Member],0),_xlfn.XMATCH(W$2,Table2[#Headers],0))=0,"",INDEX(Table2[],_xlfn.XMATCH($A324,Table2[Steel Member],0),_xlfn.XMATCH(W$2,Table2[#Headers],0)))</f>
        <v>#N/A</v>
      </c>
      <c r="X324" s="4" t="e">
        <f t="shared" si="90"/>
        <v>#N/A</v>
      </c>
      <c r="Y324" s="4" t="e" cm="1">
        <f t="array" ref="Y324">IF(INDEX(Table2[],_xlfn.XMATCH($A324,Table2[Steel Member],0),_xlfn.XMATCH(Y$2,Table2[#Headers],0))=0,"",INDEX(Table2[],_xlfn.XMATCH($A324,Table2[Steel Member],0),_xlfn.XMATCH(Y$2,Table2[#Headers],0)))</f>
        <v>#N/A</v>
      </c>
      <c r="Z324" s="4" t="e" cm="1">
        <f t="array" ref="Z324">IF(INDEX(Table2[],_xlfn.XMATCH($A324,Table2[Steel Member],0),_xlfn.XMATCH(Z$2,Table2[#Headers],0))=0,"",INDEX(Table2[],_xlfn.XMATCH($A324,Table2[Steel Member],0),_xlfn.XMATCH(Z$2,Table2[#Headers],0)))</f>
        <v>#N/A</v>
      </c>
      <c r="AA324" s="4" t="e" cm="1">
        <f t="array" ref="AA324">IF(INDEX(Table2[],_xlfn.XMATCH($A324,Table2[Steel Member],0),_xlfn.XMATCH(AA$2,Table2[#Headers],0))=0,"",INDEX(Table2[],_xlfn.XMATCH($A324,Table2[Steel Member],0),_xlfn.XMATCH(AA$2,Table2[#Headers],0)))</f>
        <v>#N/A</v>
      </c>
      <c r="AB324" s="4" t="e" cm="1">
        <f t="array" ref="AB324">IF(INDEX(Table2[],_xlfn.XMATCH($A324,Table2[Steel Member],0),_xlfn.XMATCH(AB$2,Table2[#Headers],0))=0,"",INDEX(Table2[],_xlfn.XMATCH($A324,Table2[Steel Member],0),_xlfn.XMATCH(AB$2,Table2[#Headers],0)))</f>
        <v>#N/A</v>
      </c>
      <c r="AC324" s="4" t="str" cm="1">
        <f t="array" ref="AC324">IFERROR(INDEX(Table8[],_xlfn.XMATCH($O324,Table8[Dimension Name Category],0),_xlfn.XMATCH(AC$2&amp;IF($L324," w/ tag"," w/o tag"),Table8[#Headers],0)),"")</f>
        <v/>
      </c>
      <c r="AD324" s="59" t="str">
        <f t="shared" si="93"/>
        <v/>
      </c>
      <c r="AE324" s="4" t="str">
        <f t="shared" si="94"/>
        <v/>
      </c>
      <c r="AF324" s="4" t="str">
        <f t="shared" si="95"/>
        <v/>
      </c>
      <c r="AG324" s="4" t="str" cm="1">
        <f t="array" ref="AG324">IFERROR(INDEX(Table8[],_xlfn.XMATCH($O324,Table8[Dimension Name Category],0),_xlfn.XMATCH(AG$2&amp;IF($L324," w/ tag"," w/o tag"),Table8[#Headers],0)),"")</f>
        <v/>
      </c>
      <c r="AH324" s="59" t="str">
        <f t="shared" si="96"/>
        <v/>
      </c>
      <c r="AI324" s="4"/>
      <c r="AJ324" s="4" t="str">
        <f t="shared" si="97"/>
        <v/>
      </c>
      <c r="AK324" s="4" t="str">
        <f t="shared" si="98"/>
        <v/>
      </c>
      <c r="AL324" s="4" t="e" cm="1">
        <f t="array" ref="AL324">IF(INDEX(Table2[],_xlfn.XMATCH($A324,Table2[Steel Member],0),_xlfn.XMATCH(AL$2,Table2[#Headers],0))=0,"",INDEX(Table2[],_xlfn.XMATCH($A324,Table2[Steel Member],0),_xlfn.XMATCH(AL$2,Table2[#Headers],0)))</f>
        <v>#N/A</v>
      </c>
      <c r="AM324" s="4"/>
      <c r="AN324" s="4" t="str">
        <f t="shared" si="99"/>
        <v/>
      </c>
      <c r="AO324" s="4"/>
      <c r="AP324" s="4" t="e" cm="1">
        <f t="array" ref="AP324">IF(INDEX(Table2[],_xlfn.XMATCH($A324,Table2[Steel Member],0),_xlfn.XMATCH(AP$2,Table2[#Headers],0))=0,"",INDEX(Table2[],_xlfn.XMATCH($A324,Table2[Steel Member],0),_xlfn.XMATCH(AP$2,Table2[#Headers],0)))</f>
        <v>#N/A</v>
      </c>
      <c r="AQ324" s="4"/>
      <c r="AR324" s="4"/>
      <c r="AS324" s="4"/>
      <c r="AT324" s="4"/>
    </row>
    <row r="325" spans="1:46" x14ac:dyDescent="0.25">
      <c r="A325" s="52"/>
      <c r="B325" s="52"/>
      <c r="C325" s="52"/>
      <c r="D325" s="52"/>
      <c r="E325" s="52"/>
      <c r="F325" s="64" cm="1">
        <f t="array" ref="F325">IF(COUNT(FIND(PurlinsxGirthsxBracings,$C325))&gt;0,0,ROUNDUP(IF(D325=0,0,VLOOKUP(D325,'DATA SHEET'!$B:$D,2,FALSE)),2))</f>
        <v>0</v>
      </c>
      <c r="G325" s="64" cm="1">
        <f t="array" ref="G325">IF(COUNT(FIND(PurlinsxGirthsxBracings,$C325))&gt;0,0,ROUNDUP(IF(D325=0,0,VLOOKUP(D325,'DATA SHEET'!$B:$D,3,FALSE)),2))</f>
        <v>0</v>
      </c>
      <c r="H325" s="53"/>
      <c r="I325" s="66" cm="1">
        <f t="array" ref="I325">IF(AND(ISBLANK(B325),ISBLANK(C325),ISBLANK(E325)),0,IF(COUNT(FIND(PurlinsxGirthsxBracings,$C325))&gt;0,IF(B325=0,CONCATENATE(E325," ",C325),CONCATENATE(B325," - ",E325," ",C325)),IF(B325=0,IF(ISBLANK(C325),E325,CONCATENATE(D325,", ",F325,"kg/m, ",G325,"mm surface perimeter")),IF(AND(ISBLANK(C325),ISTEXT(E325)),CONCATENATE(B325," - ",E325),IF(AND(ISBLANK(C325),ISBLANK(E325)),B325,CONCATENATE(B325," - ",D325,", ",F325,"kg/m, ",G325,"mm surface perimeter"))))&amp;IF(ISBLANK(H325),"",H325)))</f>
        <v>0</v>
      </c>
      <c r="J325" s="53"/>
      <c r="L325" s="4" t="str" cm="1">
        <f t="array" ref="L325">IF(COUNT(FIND({0,1,2,3,4,5,6,7,8,9},B325))&gt;0,COUNT(FIND({0,1,2,3,4,5,6,7,8,9},B325))&gt;0,"")</f>
        <v/>
      </c>
      <c r="M325" s="4" t="str" cm="1">
        <f t="array" aca="1" ref="M325" ca="1">IFERROR(_xlfn.IFS(R325="Count",RANDBETWEEN(1,COUNTIF($R$11:$R$653,"Count")),R325="Length",RANDBETWEEN(1,COUNTIF($R$11:$R$653,"Length"))),"")</f>
        <v/>
      </c>
      <c r="N325" s="4" t="str">
        <f ca="1">IFERROR(_xlfn.RANK.EQ(M325,$M$11:$M$653)+COUNTIF($M$11:M325,M325)-1,"")</f>
        <v/>
      </c>
      <c r="O325" s="86" t="str">
        <f>IF(A325='DATA SHEET'!$L$36,C325,IFERROR(IF(AND(ISTEXT(I325),ISBLANK(C325)),"No details",VLOOKUP(C325,DimFolder,2,FALSE)),""))</f>
        <v/>
      </c>
      <c r="P325" s="4" t="str">
        <f t="shared" si="89"/>
        <v/>
      </c>
      <c r="Q325" s="58" t="str">
        <f t="shared" si="100"/>
        <v/>
      </c>
      <c r="R325" s="4" t="e" cm="1">
        <f t="array" ref="R325">IF(INDEX(Table2[],_xlfn.XMATCH($A325,Table2[Steel Member],0),_xlfn.XMATCH(R$2,Table2[#Headers],0))=0,"",INDEX(Table2[],_xlfn.XMATCH($A325,Table2[Steel Member],0),_xlfn.XMATCH(R$2,Table2[#Headers],0)))</f>
        <v>#N/A</v>
      </c>
      <c r="S325" s="4" t="e" cm="1">
        <f t="array" ref="S325">IF(INDEX(Table2[],_xlfn.XMATCH($A325,Table2[Steel Member],0),_xlfn.XMATCH(S$2,Table2[#Headers],0))=0,"",INDEX(Table2[],_xlfn.XMATCH($A325,Table2[Steel Member],0),_xlfn.XMATCH(S$2,Table2[#Headers],0)))</f>
        <v>#N/A</v>
      </c>
      <c r="T325" s="4" t="str">
        <f t="shared" si="91"/>
        <v/>
      </c>
      <c r="U325" s="4" t="e">
        <f ca="1">VLOOKUP(N325,'COLOR CODE'!$B:$D,2,FALSE)</f>
        <v>#N/A</v>
      </c>
      <c r="V325" s="4" t="str">
        <f t="shared" si="92"/>
        <v/>
      </c>
      <c r="W325" s="4" t="e" cm="1">
        <f t="array" ref="W325">IF(INDEX(Table2[],_xlfn.XMATCH($A325,Table2[Steel Member],0),_xlfn.XMATCH(W$2,Table2[#Headers],0))=0,"",INDEX(Table2[],_xlfn.XMATCH($A325,Table2[Steel Member],0),_xlfn.XMATCH(W$2,Table2[#Headers],0)))</f>
        <v>#N/A</v>
      </c>
      <c r="X325" s="4" t="e">
        <f t="shared" si="90"/>
        <v>#N/A</v>
      </c>
      <c r="Y325" s="4" t="e" cm="1">
        <f t="array" ref="Y325">IF(INDEX(Table2[],_xlfn.XMATCH($A325,Table2[Steel Member],0),_xlfn.XMATCH(Y$2,Table2[#Headers],0))=0,"",INDEX(Table2[],_xlfn.XMATCH($A325,Table2[Steel Member],0),_xlfn.XMATCH(Y$2,Table2[#Headers],0)))</f>
        <v>#N/A</v>
      </c>
      <c r="Z325" s="4" t="e" cm="1">
        <f t="array" ref="Z325">IF(INDEX(Table2[],_xlfn.XMATCH($A325,Table2[Steel Member],0),_xlfn.XMATCH(Z$2,Table2[#Headers],0))=0,"",INDEX(Table2[],_xlfn.XMATCH($A325,Table2[Steel Member],0),_xlfn.XMATCH(Z$2,Table2[#Headers],0)))</f>
        <v>#N/A</v>
      </c>
      <c r="AA325" s="4" t="e" cm="1">
        <f t="array" ref="AA325">IF(INDEX(Table2[],_xlfn.XMATCH($A325,Table2[Steel Member],0),_xlfn.XMATCH(AA$2,Table2[#Headers],0))=0,"",INDEX(Table2[],_xlfn.XMATCH($A325,Table2[Steel Member],0),_xlfn.XMATCH(AA$2,Table2[#Headers],0)))</f>
        <v>#N/A</v>
      </c>
      <c r="AB325" s="4" t="e" cm="1">
        <f t="array" ref="AB325">IF(INDEX(Table2[],_xlfn.XMATCH($A325,Table2[Steel Member],0),_xlfn.XMATCH(AB$2,Table2[#Headers],0))=0,"",INDEX(Table2[],_xlfn.XMATCH($A325,Table2[Steel Member],0),_xlfn.XMATCH(AB$2,Table2[#Headers],0)))</f>
        <v>#N/A</v>
      </c>
      <c r="AC325" s="4" t="str" cm="1">
        <f t="array" ref="AC325">IFERROR(INDEX(Table8[],_xlfn.XMATCH($O325,Table8[Dimension Name Category],0),_xlfn.XMATCH(AC$2&amp;IF($L325," w/ tag"," w/o tag"),Table8[#Headers],0)),"")</f>
        <v/>
      </c>
      <c r="AD325" s="59" t="str">
        <f t="shared" si="93"/>
        <v/>
      </c>
      <c r="AE325" s="4" t="str">
        <f t="shared" si="94"/>
        <v/>
      </c>
      <c r="AF325" s="4" t="str">
        <f t="shared" si="95"/>
        <v/>
      </c>
      <c r="AG325" s="4" t="str" cm="1">
        <f t="array" ref="AG325">IFERROR(INDEX(Table8[],_xlfn.XMATCH($O325,Table8[Dimension Name Category],0),_xlfn.XMATCH(AG$2&amp;IF($L325," w/ tag"," w/o tag"),Table8[#Headers],0)),"")</f>
        <v/>
      </c>
      <c r="AH325" s="59" t="str">
        <f t="shared" si="96"/>
        <v/>
      </c>
      <c r="AI325" s="4"/>
      <c r="AJ325" s="4" t="str">
        <f t="shared" si="97"/>
        <v/>
      </c>
      <c r="AK325" s="4" t="str">
        <f t="shared" si="98"/>
        <v/>
      </c>
      <c r="AL325" s="4" t="e" cm="1">
        <f t="array" ref="AL325">IF(INDEX(Table2[],_xlfn.XMATCH($A325,Table2[Steel Member],0),_xlfn.XMATCH(AL$2,Table2[#Headers],0))=0,"",INDEX(Table2[],_xlfn.XMATCH($A325,Table2[Steel Member],0),_xlfn.XMATCH(AL$2,Table2[#Headers],0)))</f>
        <v>#N/A</v>
      </c>
      <c r="AM325" s="4"/>
      <c r="AN325" s="4" t="str">
        <f t="shared" si="99"/>
        <v/>
      </c>
      <c r="AO325" s="4"/>
      <c r="AP325" s="4" t="e" cm="1">
        <f t="array" ref="AP325">IF(INDEX(Table2[],_xlfn.XMATCH($A325,Table2[Steel Member],0),_xlfn.XMATCH(AP$2,Table2[#Headers],0))=0,"",INDEX(Table2[],_xlfn.XMATCH($A325,Table2[Steel Member],0),_xlfn.XMATCH(AP$2,Table2[#Headers],0)))</f>
        <v>#N/A</v>
      </c>
      <c r="AQ325" s="4"/>
      <c r="AR325" s="4"/>
      <c r="AS325" s="4"/>
      <c r="AT325" s="4"/>
    </row>
    <row r="326" spans="1:46" x14ac:dyDescent="0.25">
      <c r="A326" s="52"/>
      <c r="B326" s="52"/>
      <c r="C326" s="52"/>
      <c r="D326" s="52"/>
      <c r="E326" s="52"/>
      <c r="F326" s="64" cm="1">
        <f t="array" ref="F326">IF(COUNT(FIND(PurlinsxGirthsxBracings,$C326))&gt;0,0,ROUNDUP(IF(D326=0,0,VLOOKUP(D326,'DATA SHEET'!$B:$D,2,FALSE)),2))</f>
        <v>0</v>
      </c>
      <c r="G326" s="64" cm="1">
        <f t="array" ref="G326">IF(COUNT(FIND(PurlinsxGirthsxBracings,$C326))&gt;0,0,ROUNDUP(IF(D326=0,0,VLOOKUP(D326,'DATA SHEET'!$B:$D,3,FALSE)),2))</f>
        <v>0</v>
      </c>
      <c r="H326" s="53"/>
      <c r="I326" s="66" cm="1">
        <f t="array" ref="I326">IF(AND(ISBLANK(B326),ISBLANK(C326),ISBLANK(E326)),0,IF(COUNT(FIND(PurlinsxGirthsxBracings,$C326))&gt;0,IF(B326=0,CONCATENATE(E326," ",C326),CONCATENATE(B326," - ",E326," ",C326)),IF(B326=0,IF(ISBLANK(C326),E326,CONCATENATE(D326,", ",F326,"kg/m, ",G326,"mm surface perimeter")),IF(AND(ISBLANK(C326),ISTEXT(E326)),CONCATENATE(B326," - ",E326),IF(AND(ISBLANK(C326),ISBLANK(E326)),B326,CONCATENATE(B326," - ",D326,", ",F326,"kg/m, ",G326,"mm surface perimeter"))))&amp;IF(ISBLANK(H326),"",H326)))</f>
        <v>0</v>
      </c>
      <c r="J326" s="53"/>
      <c r="L326" s="4" t="str" cm="1">
        <f t="array" ref="L326">IF(COUNT(FIND({0,1,2,3,4,5,6,7,8,9},B326))&gt;0,COUNT(FIND({0,1,2,3,4,5,6,7,8,9},B326))&gt;0,"")</f>
        <v/>
      </c>
      <c r="M326" s="4" t="str" cm="1">
        <f t="array" aca="1" ref="M326" ca="1">IFERROR(_xlfn.IFS(R326="Count",RANDBETWEEN(1,COUNTIF($R$11:$R$653,"Count")),R326="Length",RANDBETWEEN(1,COUNTIF($R$11:$R$653,"Length"))),"")</f>
        <v/>
      </c>
      <c r="N326" s="4" t="str">
        <f ca="1">IFERROR(_xlfn.RANK.EQ(M326,$M$11:$M$653)+COUNTIF($M$11:M326,M326)-1,"")</f>
        <v/>
      </c>
      <c r="O326" s="86" t="str">
        <f>IF(A326='DATA SHEET'!$L$36,C326,IFERROR(IF(AND(ISTEXT(I326),ISBLANK(C326)),"No details",VLOOKUP(C326,DimFolder,2,FALSE)),""))</f>
        <v/>
      </c>
      <c r="P326" s="4" t="str">
        <f t="shared" si="89"/>
        <v/>
      </c>
      <c r="Q326" s="58" t="str">
        <f t="shared" si="100"/>
        <v/>
      </c>
      <c r="R326" s="4" t="e" cm="1">
        <f t="array" ref="R326">IF(INDEX(Table2[],_xlfn.XMATCH($A326,Table2[Steel Member],0),_xlfn.XMATCH(R$2,Table2[#Headers],0))=0,"",INDEX(Table2[],_xlfn.XMATCH($A326,Table2[Steel Member],0),_xlfn.XMATCH(R$2,Table2[#Headers],0)))</f>
        <v>#N/A</v>
      </c>
      <c r="S326" s="4" t="e" cm="1">
        <f t="array" ref="S326">IF(INDEX(Table2[],_xlfn.XMATCH($A326,Table2[Steel Member],0),_xlfn.XMATCH(S$2,Table2[#Headers],0))=0,"",INDEX(Table2[],_xlfn.XMATCH($A326,Table2[Steel Member],0),_xlfn.XMATCH(S$2,Table2[#Headers],0)))</f>
        <v>#N/A</v>
      </c>
      <c r="T326" s="4" t="str">
        <f t="shared" si="91"/>
        <v/>
      </c>
      <c r="U326" s="4" t="e">
        <f ca="1">VLOOKUP(N326,'COLOR CODE'!$B:$D,2,FALSE)</f>
        <v>#N/A</v>
      </c>
      <c r="V326" s="4" t="str">
        <f t="shared" si="92"/>
        <v/>
      </c>
      <c r="W326" s="4" t="e" cm="1">
        <f t="array" ref="W326">IF(INDEX(Table2[],_xlfn.XMATCH($A326,Table2[Steel Member],0),_xlfn.XMATCH(W$2,Table2[#Headers],0))=0,"",INDEX(Table2[],_xlfn.XMATCH($A326,Table2[Steel Member],0),_xlfn.XMATCH(W$2,Table2[#Headers],0)))</f>
        <v>#N/A</v>
      </c>
      <c r="X326" s="4" t="e">
        <f t="shared" si="90"/>
        <v>#N/A</v>
      </c>
      <c r="Y326" s="4" t="e" cm="1">
        <f t="array" ref="Y326">IF(INDEX(Table2[],_xlfn.XMATCH($A326,Table2[Steel Member],0),_xlfn.XMATCH(Y$2,Table2[#Headers],0))=0,"",INDEX(Table2[],_xlfn.XMATCH($A326,Table2[Steel Member],0),_xlfn.XMATCH(Y$2,Table2[#Headers],0)))</f>
        <v>#N/A</v>
      </c>
      <c r="Z326" s="4" t="e" cm="1">
        <f t="array" ref="Z326">IF(INDEX(Table2[],_xlfn.XMATCH($A326,Table2[Steel Member],0),_xlfn.XMATCH(Z$2,Table2[#Headers],0))=0,"",INDEX(Table2[],_xlfn.XMATCH($A326,Table2[Steel Member],0),_xlfn.XMATCH(Z$2,Table2[#Headers],0)))</f>
        <v>#N/A</v>
      </c>
      <c r="AA326" s="4" t="e" cm="1">
        <f t="array" ref="AA326">IF(INDEX(Table2[],_xlfn.XMATCH($A326,Table2[Steel Member],0),_xlfn.XMATCH(AA$2,Table2[#Headers],0))=0,"",INDEX(Table2[],_xlfn.XMATCH($A326,Table2[Steel Member],0),_xlfn.XMATCH(AA$2,Table2[#Headers],0)))</f>
        <v>#N/A</v>
      </c>
      <c r="AB326" s="4" t="e" cm="1">
        <f t="array" ref="AB326">IF(INDEX(Table2[],_xlfn.XMATCH($A326,Table2[Steel Member],0),_xlfn.XMATCH(AB$2,Table2[#Headers],0))=0,"",INDEX(Table2[],_xlfn.XMATCH($A326,Table2[Steel Member],0),_xlfn.XMATCH(AB$2,Table2[#Headers],0)))</f>
        <v>#N/A</v>
      </c>
      <c r="AC326" s="4" t="str" cm="1">
        <f t="array" ref="AC326">IFERROR(INDEX(Table8[],_xlfn.XMATCH($O326,Table8[Dimension Name Category],0),_xlfn.XMATCH(AC$2&amp;IF($L326," w/ tag"," w/o tag"),Table8[#Headers],0)),"")</f>
        <v/>
      </c>
      <c r="AD326" s="59" t="str">
        <f t="shared" si="93"/>
        <v/>
      </c>
      <c r="AE326" s="4" t="str">
        <f t="shared" si="94"/>
        <v/>
      </c>
      <c r="AF326" s="4" t="str">
        <f t="shared" si="95"/>
        <v/>
      </c>
      <c r="AG326" s="4" t="str" cm="1">
        <f t="array" ref="AG326">IFERROR(INDEX(Table8[],_xlfn.XMATCH($O326,Table8[Dimension Name Category],0),_xlfn.XMATCH(AG$2&amp;IF($L326," w/ tag"," w/o tag"),Table8[#Headers],0)),"")</f>
        <v/>
      </c>
      <c r="AH326" s="59" t="str">
        <f t="shared" si="96"/>
        <v/>
      </c>
      <c r="AI326" s="4"/>
      <c r="AJ326" s="4" t="str">
        <f t="shared" si="97"/>
        <v/>
      </c>
      <c r="AK326" s="4" t="str">
        <f t="shared" si="98"/>
        <v/>
      </c>
      <c r="AL326" s="4" t="e" cm="1">
        <f t="array" ref="AL326">IF(INDEX(Table2[],_xlfn.XMATCH($A326,Table2[Steel Member],0),_xlfn.XMATCH(AL$2,Table2[#Headers],0))=0,"",INDEX(Table2[],_xlfn.XMATCH($A326,Table2[Steel Member],0),_xlfn.XMATCH(AL$2,Table2[#Headers],0)))</f>
        <v>#N/A</v>
      </c>
      <c r="AM326" s="4"/>
      <c r="AN326" s="4" t="str">
        <f t="shared" si="99"/>
        <v/>
      </c>
      <c r="AO326" s="4"/>
      <c r="AP326" s="4" t="e" cm="1">
        <f t="array" ref="AP326">IF(INDEX(Table2[],_xlfn.XMATCH($A326,Table2[Steel Member],0),_xlfn.XMATCH(AP$2,Table2[#Headers],0))=0,"",INDEX(Table2[],_xlfn.XMATCH($A326,Table2[Steel Member],0),_xlfn.XMATCH(AP$2,Table2[#Headers],0)))</f>
        <v>#N/A</v>
      </c>
      <c r="AQ326" s="4"/>
      <c r="AR326" s="4"/>
      <c r="AS326" s="4"/>
      <c r="AT326" s="4"/>
    </row>
    <row r="327" spans="1:46" x14ac:dyDescent="0.25">
      <c r="A327" s="52"/>
      <c r="B327" s="52"/>
      <c r="C327" s="52"/>
      <c r="D327" s="52"/>
      <c r="E327" s="52"/>
      <c r="F327" s="64" cm="1">
        <f t="array" ref="F327">IF(COUNT(FIND(PurlinsxGirthsxBracings,$C327))&gt;0,0,ROUNDUP(IF(D327=0,0,VLOOKUP(D327,'DATA SHEET'!$B:$D,2,FALSE)),2))</f>
        <v>0</v>
      </c>
      <c r="G327" s="64" cm="1">
        <f t="array" ref="G327">IF(COUNT(FIND(PurlinsxGirthsxBracings,$C327))&gt;0,0,ROUNDUP(IF(D327=0,0,VLOOKUP(D327,'DATA SHEET'!$B:$D,3,FALSE)),2))</f>
        <v>0</v>
      </c>
      <c r="H327" s="53"/>
      <c r="I327" s="66" cm="1">
        <f t="array" ref="I327">IF(AND(ISBLANK(B327),ISBLANK(C327),ISBLANK(E327)),0,IF(COUNT(FIND(PurlinsxGirthsxBracings,$C327))&gt;0,IF(B327=0,CONCATENATE(E327," ",C327),CONCATENATE(B327," - ",E327," ",C327)),IF(B327=0,IF(ISBLANK(C327),E327,CONCATENATE(D327,", ",F327,"kg/m, ",G327,"mm surface perimeter")),IF(AND(ISBLANK(C327),ISTEXT(E327)),CONCATENATE(B327," - ",E327),IF(AND(ISBLANK(C327),ISBLANK(E327)),B327,CONCATENATE(B327," - ",D327,", ",F327,"kg/m, ",G327,"mm surface perimeter"))))&amp;IF(ISBLANK(H327),"",H327)))</f>
        <v>0</v>
      </c>
      <c r="J327" s="53"/>
      <c r="L327" s="4" t="str" cm="1">
        <f t="array" ref="L327">IF(COUNT(FIND({0,1,2,3,4,5,6,7,8,9},B327))&gt;0,COUNT(FIND({0,1,2,3,4,5,6,7,8,9},B327))&gt;0,"")</f>
        <v/>
      </c>
      <c r="M327" s="4" t="str" cm="1">
        <f t="array" aca="1" ref="M327" ca="1">IFERROR(_xlfn.IFS(R327="Count",RANDBETWEEN(1,COUNTIF($R$11:$R$653,"Count")),R327="Length",RANDBETWEEN(1,COUNTIF($R$11:$R$653,"Length"))),"")</f>
        <v/>
      </c>
      <c r="N327" s="4" t="str">
        <f ca="1">IFERROR(_xlfn.RANK.EQ(M327,$M$11:$M$653)+COUNTIF($M$11:M327,M327)-1,"")</f>
        <v/>
      </c>
      <c r="O327" s="86" t="str">
        <f>IF(A327='DATA SHEET'!$L$36,C327,IFERROR(IF(AND(ISTEXT(I327),ISBLANK(C327)),"No details",VLOOKUP(C327,DimFolder,2,FALSE)),""))</f>
        <v/>
      </c>
      <c r="P327" s="4" t="str">
        <f t="shared" si="89"/>
        <v/>
      </c>
      <c r="Q327" s="58" t="str">
        <f t="shared" si="100"/>
        <v/>
      </c>
      <c r="R327" s="4" t="e" cm="1">
        <f t="array" ref="R327">IF(INDEX(Table2[],_xlfn.XMATCH($A327,Table2[Steel Member],0),_xlfn.XMATCH(R$2,Table2[#Headers],0))=0,"",INDEX(Table2[],_xlfn.XMATCH($A327,Table2[Steel Member],0),_xlfn.XMATCH(R$2,Table2[#Headers],0)))</f>
        <v>#N/A</v>
      </c>
      <c r="S327" s="4" t="e" cm="1">
        <f t="array" ref="S327">IF(INDEX(Table2[],_xlfn.XMATCH($A327,Table2[Steel Member],0),_xlfn.XMATCH(S$2,Table2[#Headers],0))=0,"",INDEX(Table2[],_xlfn.XMATCH($A327,Table2[Steel Member],0),_xlfn.XMATCH(S$2,Table2[#Headers],0)))</f>
        <v>#N/A</v>
      </c>
      <c r="T327" s="4" t="str">
        <f t="shared" si="91"/>
        <v/>
      </c>
      <c r="U327" s="4" t="e">
        <f ca="1">VLOOKUP(N327,'COLOR CODE'!$B:$D,2,FALSE)</f>
        <v>#N/A</v>
      </c>
      <c r="V327" s="4" t="str">
        <f t="shared" si="92"/>
        <v/>
      </c>
      <c r="W327" s="4" t="e" cm="1">
        <f t="array" ref="W327">IF(INDEX(Table2[],_xlfn.XMATCH($A327,Table2[Steel Member],0),_xlfn.XMATCH(W$2,Table2[#Headers],0))=0,"",INDEX(Table2[],_xlfn.XMATCH($A327,Table2[Steel Member],0),_xlfn.XMATCH(W$2,Table2[#Headers],0)))</f>
        <v>#N/A</v>
      </c>
      <c r="X327" s="4" t="e">
        <f t="shared" si="90"/>
        <v>#N/A</v>
      </c>
      <c r="Y327" s="4" t="e" cm="1">
        <f t="array" ref="Y327">IF(INDEX(Table2[],_xlfn.XMATCH($A327,Table2[Steel Member],0),_xlfn.XMATCH(Y$2,Table2[#Headers],0))=0,"",INDEX(Table2[],_xlfn.XMATCH($A327,Table2[Steel Member],0),_xlfn.XMATCH(Y$2,Table2[#Headers],0)))</f>
        <v>#N/A</v>
      </c>
      <c r="Z327" s="4" t="e" cm="1">
        <f t="array" ref="Z327">IF(INDEX(Table2[],_xlfn.XMATCH($A327,Table2[Steel Member],0),_xlfn.XMATCH(Z$2,Table2[#Headers],0))=0,"",INDEX(Table2[],_xlfn.XMATCH($A327,Table2[Steel Member],0),_xlfn.XMATCH(Z$2,Table2[#Headers],0)))</f>
        <v>#N/A</v>
      </c>
      <c r="AA327" s="4" t="e" cm="1">
        <f t="array" ref="AA327">IF(INDEX(Table2[],_xlfn.XMATCH($A327,Table2[Steel Member],0),_xlfn.XMATCH(AA$2,Table2[#Headers],0))=0,"",INDEX(Table2[],_xlfn.XMATCH($A327,Table2[Steel Member],0),_xlfn.XMATCH(AA$2,Table2[#Headers],0)))</f>
        <v>#N/A</v>
      </c>
      <c r="AB327" s="4" t="e" cm="1">
        <f t="array" ref="AB327">IF(INDEX(Table2[],_xlfn.XMATCH($A327,Table2[Steel Member],0),_xlfn.XMATCH(AB$2,Table2[#Headers],0))=0,"",INDEX(Table2[],_xlfn.XMATCH($A327,Table2[Steel Member],0),_xlfn.XMATCH(AB$2,Table2[#Headers],0)))</f>
        <v>#N/A</v>
      </c>
      <c r="AC327" s="4" t="str" cm="1">
        <f t="array" ref="AC327">IFERROR(INDEX(Table8[],_xlfn.XMATCH($O327,Table8[Dimension Name Category],0),_xlfn.XMATCH(AC$2&amp;IF($L327," w/ tag"," w/o tag"),Table8[#Headers],0)),"")</f>
        <v/>
      </c>
      <c r="AD327" s="59" t="str">
        <f t="shared" si="93"/>
        <v/>
      </c>
      <c r="AE327" s="4" t="str">
        <f t="shared" si="94"/>
        <v/>
      </c>
      <c r="AF327" s="4" t="str">
        <f t="shared" si="95"/>
        <v/>
      </c>
      <c r="AG327" s="4" t="str" cm="1">
        <f t="array" ref="AG327">IFERROR(INDEX(Table8[],_xlfn.XMATCH($O327,Table8[Dimension Name Category],0),_xlfn.XMATCH(AG$2&amp;IF($L327," w/ tag"," w/o tag"),Table8[#Headers],0)),"")</f>
        <v/>
      </c>
      <c r="AH327" s="59" t="str">
        <f t="shared" si="96"/>
        <v/>
      </c>
      <c r="AI327" s="4"/>
      <c r="AJ327" s="4" t="str">
        <f t="shared" si="97"/>
        <v/>
      </c>
      <c r="AK327" s="4" t="str">
        <f t="shared" si="98"/>
        <v/>
      </c>
      <c r="AL327" s="4" t="e" cm="1">
        <f t="array" ref="AL327">IF(INDEX(Table2[],_xlfn.XMATCH($A327,Table2[Steel Member],0),_xlfn.XMATCH(AL$2,Table2[#Headers],0))=0,"",INDEX(Table2[],_xlfn.XMATCH($A327,Table2[Steel Member],0),_xlfn.XMATCH(AL$2,Table2[#Headers],0)))</f>
        <v>#N/A</v>
      </c>
      <c r="AM327" s="4"/>
      <c r="AN327" s="4" t="str">
        <f t="shared" si="99"/>
        <v/>
      </c>
      <c r="AO327" s="4"/>
      <c r="AP327" s="4" t="e" cm="1">
        <f t="array" ref="AP327">IF(INDEX(Table2[],_xlfn.XMATCH($A327,Table2[Steel Member],0),_xlfn.XMATCH(AP$2,Table2[#Headers],0))=0,"",INDEX(Table2[],_xlfn.XMATCH($A327,Table2[Steel Member],0),_xlfn.XMATCH(AP$2,Table2[#Headers],0)))</f>
        <v>#N/A</v>
      </c>
      <c r="AQ327" s="4"/>
      <c r="AR327" s="4"/>
      <c r="AS327" s="4"/>
      <c r="AT327" s="4"/>
    </row>
    <row r="328" spans="1:46" x14ac:dyDescent="0.25">
      <c r="A328" s="52"/>
      <c r="B328" s="52"/>
      <c r="C328" s="52"/>
      <c r="D328" s="52"/>
      <c r="E328" s="52"/>
      <c r="F328" s="64" cm="1">
        <f t="array" ref="F328">IF(COUNT(FIND(PurlinsxGirthsxBracings,$C328))&gt;0,0,ROUNDUP(IF(D328=0,0,VLOOKUP(D328,'DATA SHEET'!$B:$D,2,FALSE)),2))</f>
        <v>0</v>
      </c>
      <c r="G328" s="64" cm="1">
        <f t="array" ref="G328">IF(COUNT(FIND(PurlinsxGirthsxBracings,$C328))&gt;0,0,ROUNDUP(IF(D328=0,0,VLOOKUP(D328,'DATA SHEET'!$B:$D,3,FALSE)),2))</f>
        <v>0</v>
      </c>
      <c r="H328" s="53"/>
      <c r="I328" s="66" cm="1">
        <f t="array" ref="I328">IF(AND(ISBLANK(B328),ISBLANK(C328),ISBLANK(E328)),0,IF(COUNT(FIND(PurlinsxGirthsxBracings,$C328))&gt;0,IF(B328=0,CONCATENATE(E328," ",C328),CONCATENATE(B328," - ",E328," ",C328)),IF(B328=0,IF(ISBLANK(C328),E328,CONCATENATE(D328,", ",F328,"kg/m, ",G328,"mm surface perimeter")),IF(AND(ISBLANK(C328),ISTEXT(E328)),CONCATENATE(B328," - ",E328),IF(AND(ISBLANK(C328),ISBLANK(E328)),B328,CONCATENATE(B328," - ",D328,", ",F328,"kg/m, ",G328,"mm surface perimeter"))))&amp;IF(ISBLANK(H328),"",H328)))</f>
        <v>0</v>
      </c>
      <c r="J328" s="53"/>
      <c r="L328" s="4" t="str" cm="1">
        <f t="array" ref="L328">IF(COUNT(FIND({0,1,2,3,4,5,6,7,8,9},B328))&gt;0,COUNT(FIND({0,1,2,3,4,5,6,7,8,9},B328))&gt;0,"")</f>
        <v/>
      </c>
      <c r="M328" s="4" t="str" cm="1">
        <f t="array" aca="1" ref="M328" ca="1">IFERROR(_xlfn.IFS(R328="Count",RANDBETWEEN(1,COUNTIF($R$11:$R$653,"Count")),R328="Length",RANDBETWEEN(1,COUNTIF($R$11:$R$653,"Length"))),"")</f>
        <v/>
      </c>
      <c r="N328" s="4" t="str">
        <f ca="1">IFERROR(_xlfn.RANK.EQ(M328,$M$11:$M$653)+COUNTIF($M$11:M328,M328)-1,"")</f>
        <v/>
      </c>
      <c r="O328" s="86" t="str">
        <f>IF(A328='DATA SHEET'!$L$36,C328,IFERROR(IF(AND(ISTEXT(I328),ISBLANK(C328)),"No details",VLOOKUP(C328,DimFolder,2,FALSE)),""))</f>
        <v/>
      </c>
      <c r="P328" s="4" t="str">
        <f t="shared" si="89"/>
        <v/>
      </c>
      <c r="Q328" s="58" t="str">
        <f t="shared" si="100"/>
        <v/>
      </c>
      <c r="R328" s="4" t="e" cm="1">
        <f t="array" ref="R328">IF(INDEX(Table2[],_xlfn.XMATCH($A328,Table2[Steel Member],0),_xlfn.XMATCH(R$2,Table2[#Headers],0))=0,"",INDEX(Table2[],_xlfn.XMATCH($A328,Table2[Steel Member],0),_xlfn.XMATCH(R$2,Table2[#Headers],0)))</f>
        <v>#N/A</v>
      </c>
      <c r="S328" s="4" t="e" cm="1">
        <f t="array" ref="S328">IF(INDEX(Table2[],_xlfn.XMATCH($A328,Table2[Steel Member],0),_xlfn.XMATCH(S$2,Table2[#Headers],0))=0,"",INDEX(Table2[],_xlfn.XMATCH($A328,Table2[Steel Member],0),_xlfn.XMATCH(S$2,Table2[#Headers],0)))</f>
        <v>#N/A</v>
      </c>
      <c r="T328" s="4" t="str">
        <f t="shared" si="91"/>
        <v/>
      </c>
      <c r="U328" s="4" t="e">
        <f ca="1">VLOOKUP(N328,'COLOR CODE'!$B:$D,2,FALSE)</f>
        <v>#N/A</v>
      </c>
      <c r="V328" s="4" t="str">
        <f t="shared" si="92"/>
        <v/>
      </c>
      <c r="W328" s="4" t="e" cm="1">
        <f t="array" ref="W328">IF(INDEX(Table2[],_xlfn.XMATCH($A328,Table2[Steel Member],0),_xlfn.XMATCH(W$2,Table2[#Headers],0))=0,"",INDEX(Table2[],_xlfn.XMATCH($A328,Table2[Steel Member],0),_xlfn.XMATCH(W$2,Table2[#Headers],0)))</f>
        <v>#N/A</v>
      </c>
      <c r="X328" s="4" t="e">
        <f t="shared" si="90"/>
        <v>#N/A</v>
      </c>
      <c r="Y328" s="4" t="e" cm="1">
        <f t="array" ref="Y328">IF(INDEX(Table2[],_xlfn.XMATCH($A328,Table2[Steel Member],0),_xlfn.XMATCH(Y$2,Table2[#Headers],0))=0,"",INDEX(Table2[],_xlfn.XMATCH($A328,Table2[Steel Member],0),_xlfn.XMATCH(Y$2,Table2[#Headers],0)))</f>
        <v>#N/A</v>
      </c>
      <c r="Z328" s="4" t="e" cm="1">
        <f t="array" ref="Z328">IF(INDEX(Table2[],_xlfn.XMATCH($A328,Table2[Steel Member],0),_xlfn.XMATCH(Z$2,Table2[#Headers],0))=0,"",INDEX(Table2[],_xlfn.XMATCH($A328,Table2[Steel Member],0),_xlfn.XMATCH(Z$2,Table2[#Headers],0)))</f>
        <v>#N/A</v>
      </c>
      <c r="AA328" s="4" t="e" cm="1">
        <f t="array" ref="AA328">IF(INDEX(Table2[],_xlfn.XMATCH($A328,Table2[Steel Member],0),_xlfn.XMATCH(AA$2,Table2[#Headers],0))=0,"",INDEX(Table2[],_xlfn.XMATCH($A328,Table2[Steel Member],0),_xlfn.XMATCH(AA$2,Table2[#Headers],0)))</f>
        <v>#N/A</v>
      </c>
      <c r="AB328" s="4" t="e" cm="1">
        <f t="array" ref="AB328">IF(INDEX(Table2[],_xlfn.XMATCH($A328,Table2[Steel Member],0),_xlfn.XMATCH(AB$2,Table2[#Headers],0))=0,"",INDEX(Table2[],_xlfn.XMATCH($A328,Table2[Steel Member],0),_xlfn.XMATCH(AB$2,Table2[#Headers],0)))</f>
        <v>#N/A</v>
      </c>
      <c r="AC328" s="4" t="str" cm="1">
        <f t="array" ref="AC328">IFERROR(INDEX(Table8[],_xlfn.XMATCH($O328,Table8[Dimension Name Category],0),_xlfn.XMATCH(AC$2&amp;IF($L328," w/ tag"," w/o tag"),Table8[#Headers],0)),"")</f>
        <v/>
      </c>
      <c r="AD328" s="59" t="str">
        <f t="shared" si="93"/>
        <v/>
      </c>
      <c r="AE328" s="4" t="str">
        <f t="shared" si="94"/>
        <v/>
      </c>
      <c r="AF328" s="4" t="str">
        <f t="shared" si="95"/>
        <v/>
      </c>
      <c r="AG328" s="4" t="str" cm="1">
        <f t="array" ref="AG328">IFERROR(INDEX(Table8[],_xlfn.XMATCH($O328,Table8[Dimension Name Category],0),_xlfn.XMATCH(AG$2&amp;IF($L328," w/ tag"," w/o tag"),Table8[#Headers],0)),"")</f>
        <v/>
      </c>
      <c r="AH328" s="59" t="str">
        <f t="shared" si="96"/>
        <v/>
      </c>
      <c r="AI328" s="4"/>
      <c r="AJ328" s="4" t="str">
        <f t="shared" si="97"/>
        <v/>
      </c>
      <c r="AK328" s="4" t="str">
        <f t="shared" si="98"/>
        <v/>
      </c>
      <c r="AL328" s="4" t="e" cm="1">
        <f t="array" ref="AL328">IF(INDEX(Table2[],_xlfn.XMATCH($A328,Table2[Steel Member],0),_xlfn.XMATCH(AL$2,Table2[#Headers],0))=0,"",INDEX(Table2[],_xlfn.XMATCH($A328,Table2[Steel Member],0),_xlfn.XMATCH(AL$2,Table2[#Headers],0)))</f>
        <v>#N/A</v>
      </c>
      <c r="AM328" s="4"/>
      <c r="AN328" s="4" t="str">
        <f t="shared" si="99"/>
        <v/>
      </c>
      <c r="AO328" s="4"/>
      <c r="AP328" s="4" t="e" cm="1">
        <f t="array" ref="AP328">IF(INDEX(Table2[],_xlfn.XMATCH($A328,Table2[Steel Member],0),_xlfn.XMATCH(AP$2,Table2[#Headers],0))=0,"",INDEX(Table2[],_xlfn.XMATCH($A328,Table2[Steel Member],0),_xlfn.XMATCH(AP$2,Table2[#Headers],0)))</f>
        <v>#N/A</v>
      </c>
      <c r="AQ328" s="4"/>
      <c r="AR328" s="4"/>
      <c r="AS328" s="4"/>
      <c r="AT328" s="4"/>
    </row>
    <row r="329" spans="1:46" x14ac:dyDescent="0.25">
      <c r="A329" s="52"/>
      <c r="B329" s="52"/>
      <c r="C329" s="52"/>
      <c r="D329" s="52"/>
      <c r="E329" s="52"/>
      <c r="F329" s="64" cm="1">
        <f t="array" ref="F329">IF(COUNT(FIND(PurlinsxGirthsxBracings,$C329))&gt;0,0,ROUNDUP(IF(D329=0,0,VLOOKUP(D329,'DATA SHEET'!$B:$D,2,FALSE)),2))</f>
        <v>0</v>
      </c>
      <c r="G329" s="64" cm="1">
        <f t="array" ref="G329">IF(COUNT(FIND(PurlinsxGirthsxBracings,$C329))&gt;0,0,ROUNDUP(IF(D329=0,0,VLOOKUP(D329,'DATA SHEET'!$B:$D,3,FALSE)),2))</f>
        <v>0</v>
      </c>
      <c r="H329" s="53"/>
      <c r="I329" s="66" cm="1">
        <f t="array" ref="I329">IF(AND(ISBLANK(B329),ISBLANK(C329),ISBLANK(E329)),0,IF(COUNT(FIND(PurlinsxGirthsxBracings,$C329))&gt;0,IF(B329=0,CONCATENATE(E329," ",C329),CONCATENATE(B329," - ",E329," ",C329)),IF(B329=0,IF(ISBLANK(C329),E329,CONCATENATE(D329,", ",F329,"kg/m, ",G329,"mm surface perimeter")),IF(AND(ISBLANK(C329),ISTEXT(E329)),CONCATENATE(B329," - ",E329),IF(AND(ISBLANK(C329),ISBLANK(E329)),B329,CONCATENATE(B329," - ",D329,", ",F329,"kg/m, ",G329,"mm surface perimeter"))))&amp;IF(ISBLANK(H329),"",H329)))</f>
        <v>0</v>
      </c>
      <c r="J329" s="53"/>
      <c r="L329" s="4" t="str" cm="1">
        <f t="array" ref="L329">IF(COUNT(FIND({0,1,2,3,4,5,6,7,8,9},B329))&gt;0,COUNT(FIND({0,1,2,3,4,5,6,7,8,9},B329))&gt;0,"")</f>
        <v/>
      </c>
      <c r="M329" s="4" t="str" cm="1">
        <f t="array" aca="1" ref="M329" ca="1">IFERROR(_xlfn.IFS(R329="Count",RANDBETWEEN(1,COUNTIF($R$11:$R$653,"Count")),R329="Length",RANDBETWEEN(1,COUNTIF($R$11:$R$653,"Length"))),"")</f>
        <v/>
      </c>
      <c r="N329" s="4" t="str">
        <f ca="1">IFERROR(_xlfn.RANK.EQ(M329,$M$11:$M$653)+COUNTIF($M$11:M329,M329)-1,"")</f>
        <v/>
      </c>
      <c r="O329" s="86" t="str">
        <f>IF(A329='DATA SHEET'!$L$36,C329,IFERROR(IF(AND(ISTEXT(I329),ISBLANK(C329)),"No details",VLOOKUP(C329,DimFolder,2,FALSE)),""))</f>
        <v/>
      </c>
      <c r="P329" s="4" t="str">
        <f t="shared" si="89"/>
        <v/>
      </c>
      <c r="Q329" s="58" t="str">
        <f t="shared" si="100"/>
        <v/>
      </c>
      <c r="R329" s="4" t="e" cm="1">
        <f t="array" ref="R329">IF(INDEX(Table2[],_xlfn.XMATCH($A329,Table2[Steel Member],0),_xlfn.XMATCH(R$2,Table2[#Headers],0))=0,"",INDEX(Table2[],_xlfn.XMATCH($A329,Table2[Steel Member],0),_xlfn.XMATCH(R$2,Table2[#Headers],0)))</f>
        <v>#N/A</v>
      </c>
      <c r="S329" s="4" t="e" cm="1">
        <f t="array" ref="S329">IF(INDEX(Table2[],_xlfn.XMATCH($A329,Table2[Steel Member],0),_xlfn.XMATCH(S$2,Table2[#Headers],0))=0,"",INDEX(Table2[],_xlfn.XMATCH($A329,Table2[Steel Member],0),_xlfn.XMATCH(S$2,Table2[#Headers],0)))</f>
        <v>#N/A</v>
      </c>
      <c r="T329" s="4" t="str">
        <f t="shared" si="91"/>
        <v/>
      </c>
      <c r="U329" s="4" t="e">
        <f ca="1">VLOOKUP(N329,'COLOR CODE'!$B:$D,2,FALSE)</f>
        <v>#N/A</v>
      </c>
      <c r="V329" s="4" t="str">
        <f t="shared" si="92"/>
        <v/>
      </c>
      <c r="W329" s="4" t="e" cm="1">
        <f t="array" ref="W329">IF(INDEX(Table2[],_xlfn.XMATCH($A329,Table2[Steel Member],0),_xlfn.XMATCH(W$2,Table2[#Headers],0))=0,"",INDEX(Table2[],_xlfn.XMATCH($A329,Table2[Steel Member],0),_xlfn.XMATCH(W$2,Table2[#Headers],0)))</f>
        <v>#N/A</v>
      </c>
      <c r="X329" s="4" t="e">
        <f t="shared" si="90"/>
        <v>#N/A</v>
      </c>
      <c r="Y329" s="4" t="e" cm="1">
        <f t="array" ref="Y329">IF(INDEX(Table2[],_xlfn.XMATCH($A329,Table2[Steel Member],0),_xlfn.XMATCH(Y$2,Table2[#Headers],0))=0,"",INDEX(Table2[],_xlfn.XMATCH($A329,Table2[Steel Member],0),_xlfn.XMATCH(Y$2,Table2[#Headers],0)))</f>
        <v>#N/A</v>
      </c>
      <c r="Z329" s="4" t="e" cm="1">
        <f t="array" ref="Z329">IF(INDEX(Table2[],_xlfn.XMATCH($A329,Table2[Steel Member],0),_xlfn.XMATCH(Z$2,Table2[#Headers],0))=0,"",INDEX(Table2[],_xlfn.XMATCH($A329,Table2[Steel Member],0),_xlfn.XMATCH(Z$2,Table2[#Headers],0)))</f>
        <v>#N/A</v>
      </c>
      <c r="AA329" s="4" t="e" cm="1">
        <f t="array" ref="AA329">IF(INDEX(Table2[],_xlfn.XMATCH($A329,Table2[Steel Member],0),_xlfn.XMATCH(AA$2,Table2[#Headers],0))=0,"",INDEX(Table2[],_xlfn.XMATCH($A329,Table2[Steel Member],0),_xlfn.XMATCH(AA$2,Table2[#Headers],0)))</f>
        <v>#N/A</v>
      </c>
      <c r="AB329" s="4" t="e" cm="1">
        <f t="array" ref="AB329">IF(INDEX(Table2[],_xlfn.XMATCH($A329,Table2[Steel Member],0),_xlfn.XMATCH(AB$2,Table2[#Headers],0))=0,"",INDEX(Table2[],_xlfn.XMATCH($A329,Table2[Steel Member],0),_xlfn.XMATCH(AB$2,Table2[#Headers],0)))</f>
        <v>#N/A</v>
      </c>
      <c r="AC329" s="4" t="str" cm="1">
        <f t="array" ref="AC329">IFERROR(INDEX(Table8[],_xlfn.XMATCH($O329,Table8[Dimension Name Category],0),_xlfn.XMATCH(AC$2&amp;IF($L329," w/ tag"," w/o tag"),Table8[#Headers],0)),"")</f>
        <v/>
      </c>
      <c r="AD329" s="59" t="str">
        <f t="shared" si="93"/>
        <v/>
      </c>
      <c r="AE329" s="4" t="str">
        <f t="shared" si="94"/>
        <v/>
      </c>
      <c r="AF329" s="4" t="str">
        <f t="shared" si="95"/>
        <v/>
      </c>
      <c r="AG329" s="4" t="str" cm="1">
        <f t="array" ref="AG329">IFERROR(INDEX(Table8[],_xlfn.XMATCH($O329,Table8[Dimension Name Category],0),_xlfn.XMATCH(AG$2&amp;IF($L329," w/ tag"," w/o tag"),Table8[#Headers],0)),"")</f>
        <v/>
      </c>
      <c r="AH329" s="59" t="str">
        <f t="shared" si="96"/>
        <v/>
      </c>
      <c r="AI329" s="4"/>
      <c r="AJ329" s="4" t="str">
        <f t="shared" si="97"/>
        <v/>
      </c>
      <c r="AK329" s="4" t="str">
        <f t="shared" si="98"/>
        <v/>
      </c>
      <c r="AL329" s="4" t="e" cm="1">
        <f t="array" ref="AL329">IF(INDEX(Table2[],_xlfn.XMATCH($A329,Table2[Steel Member],0),_xlfn.XMATCH(AL$2,Table2[#Headers],0))=0,"",INDEX(Table2[],_xlfn.XMATCH($A329,Table2[Steel Member],0),_xlfn.XMATCH(AL$2,Table2[#Headers],0)))</f>
        <v>#N/A</v>
      </c>
      <c r="AM329" s="4"/>
      <c r="AN329" s="4" t="str">
        <f t="shared" si="99"/>
        <v/>
      </c>
      <c r="AO329" s="4"/>
      <c r="AP329" s="4" t="e" cm="1">
        <f t="array" ref="AP329">IF(INDEX(Table2[],_xlfn.XMATCH($A329,Table2[Steel Member],0),_xlfn.XMATCH(AP$2,Table2[#Headers],0))=0,"",INDEX(Table2[],_xlfn.XMATCH($A329,Table2[Steel Member],0),_xlfn.XMATCH(AP$2,Table2[#Headers],0)))</f>
        <v>#N/A</v>
      </c>
      <c r="AQ329" s="4"/>
      <c r="AR329" s="4"/>
      <c r="AS329" s="4"/>
      <c r="AT329" s="4"/>
    </row>
    <row r="330" spans="1:46" x14ac:dyDescent="0.25">
      <c r="A330" s="52"/>
      <c r="B330" s="52"/>
      <c r="C330" s="52"/>
      <c r="D330" s="52"/>
      <c r="E330" s="52"/>
      <c r="F330" s="64" cm="1">
        <f t="array" ref="F330">IF(COUNT(FIND(PurlinsxGirthsxBracings,$C330))&gt;0,0,ROUNDUP(IF(D330=0,0,VLOOKUP(D330,'DATA SHEET'!$B:$D,2,FALSE)),2))</f>
        <v>0</v>
      </c>
      <c r="G330" s="64" cm="1">
        <f t="array" ref="G330">IF(COUNT(FIND(PurlinsxGirthsxBracings,$C330))&gt;0,0,ROUNDUP(IF(D330=0,0,VLOOKUP(D330,'DATA SHEET'!$B:$D,3,FALSE)),2))</f>
        <v>0</v>
      </c>
      <c r="H330" s="53"/>
      <c r="I330" s="66" cm="1">
        <f t="array" ref="I330">IF(AND(ISBLANK(B330),ISBLANK(C330),ISBLANK(E330)),0,IF(COUNT(FIND(PurlinsxGirthsxBracings,$C330))&gt;0,IF(B330=0,CONCATENATE(E330," ",C330),CONCATENATE(B330," - ",E330," ",C330)),IF(B330=0,IF(ISBLANK(C330),E330,CONCATENATE(D330,", ",F330,"kg/m, ",G330,"mm surface perimeter")),IF(AND(ISBLANK(C330),ISTEXT(E330)),CONCATENATE(B330," - ",E330),IF(AND(ISBLANK(C330),ISBLANK(E330)),B330,CONCATENATE(B330," - ",D330,", ",F330,"kg/m, ",G330,"mm surface perimeter"))))&amp;IF(ISBLANK(H330),"",H330)))</f>
        <v>0</v>
      </c>
      <c r="J330" s="53"/>
      <c r="L330" s="4" t="str" cm="1">
        <f t="array" ref="L330">IF(COUNT(FIND({0,1,2,3,4,5,6,7,8,9},B330))&gt;0,COUNT(FIND({0,1,2,3,4,5,6,7,8,9},B330))&gt;0,"")</f>
        <v/>
      </c>
      <c r="M330" s="4" t="str" cm="1">
        <f t="array" aca="1" ref="M330" ca="1">IFERROR(_xlfn.IFS(R330="Count",RANDBETWEEN(1,COUNTIF($R$11:$R$653,"Count")),R330="Length",RANDBETWEEN(1,COUNTIF($R$11:$R$653,"Length"))),"")</f>
        <v/>
      </c>
      <c r="N330" s="4" t="str">
        <f ca="1">IFERROR(_xlfn.RANK.EQ(M330,$M$11:$M$653)+COUNTIF($M$11:M330,M330)-1,"")</f>
        <v/>
      </c>
      <c r="O330" s="86" t="str">
        <f>IF(A330='DATA SHEET'!$L$36,C330,IFERROR(IF(AND(ISTEXT(I330),ISBLANK(C330)),"No details",VLOOKUP(C330,DimFolder,2,FALSE)),""))</f>
        <v/>
      </c>
      <c r="P330" s="4" t="str">
        <f t="shared" si="89"/>
        <v/>
      </c>
      <c r="Q330" s="58" t="str">
        <f t="shared" si="100"/>
        <v/>
      </c>
      <c r="R330" s="4" t="e" cm="1">
        <f t="array" ref="R330">IF(INDEX(Table2[],_xlfn.XMATCH($A330,Table2[Steel Member],0),_xlfn.XMATCH(R$2,Table2[#Headers],0))=0,"",INDEX(Table2[],_xlfn.XMATCH($A330,Table2[Steel Member],0),_xlfn.XMATCH(R$2,Table2[#Headers],0)))</f>
        <v>#N/A</v>
      </c>
      <c r="S330" s="4" t="e" cm="1">
        <f t="array" ref="S330">IF(INDEX(Table2[],_xlfn.XMATCH($A330,Table2[Steel Member],0),_xlfn.XMATCH(S$2,Table2[#Headers],0))=0,"",INDEX(Table2[],_xlfn.XMATCH($A330,Table2[Steel Member],0),_xlfn.XMATCH(S$2,Table2[#Headers],0)))</f>
        <v>#N/A</v>
      </c>
      <c r="T330" s="4" t="str">
        <f t="shared" si="91"/>
        <v/>
      </c>
      <c r="U330" s="4" t="e">
        <f ca="1">VLOOKUP(N330,'COLOR CODE'!$B:$D,2,FALSE)</f>
        <v>#N/A</v>
      </c>
      <c r="V330" s="4" t="str">
        <f t="shared" si="92"/>
        <v/>
      </c>
      <c r="W330" s="4" t="e" cm="1">
        <f t="array" ref="W330">IF(INDEX(Table2[],_xlfn.XMATCH($A330,Table2[Steel Member],0),_xlfn.XMATCH(W$2,Table2[#Headers],0))=0,"",INDEX(Table2[],_xlfn.XMATCH($A330,Table2[Steel Member],0),_xlfn.XMATCH(W$2,Table2[#Headers],0)))</f>
        <v>#N/A</v>
      </c>
      <c r="X330" s="4" t="e">
        <f t="shared" si="90"/>
        <v>#N/A</v>
      </c>
      <c r="Y330" s="4" t="e" cm="1">
        <f t="array" ref="Y330">IF(INDEX(Table2[],_xlfn.XMATCH($A330,Table2[Steel Member],0),_xlfn.XMATCH(Y$2,Table2[#Headers],0))=0,"",INDEX(Table2[],_xlfn.XMATCH($A330,Table2[Steel Member],0),_xlfn.XMATCH(Y$2,Table2[#Headers],0)))</f>
        <v>#N/A</v>
      </c>
      <c r="Z330" s="4" t="e" cm="1">
        <f t="array" ref="Z330">IF(INDEX(Table2[],_xlfn.XMATCH($A330,Table2[Steel Member],0),_xlfn.XMATCH(Z$2,Table2[#Headers],0))=0,"",INDEX(Table2[],_xlfn.XMATCH($A330,Table2[Steel Member],0),_xlfn.XMATCH(Z$2,Table2[#Headers],0)))</f>
        <v>#N/A</v>
      </c>
      <c r="AA330" s="4" t="e" cm="1">
        <f t="array" ref="AA330">IF(INDEX(Table2[],_xlfn.XMATCH($A330,Table2[Steel Member],0),_xlfn.XMATCH(AA$2,Table2[#Headers],0))=0,"",INDEX(Table2[],_xlfn.XMATCH($A330,Table2[Steel Member],0),_xlfn.XMATCH(AA$2,Table2[#Headers],0)))</f>
        <v>#N/A</v>
      </c>
      <c r="AB330" s="4" t="e" cm="1">
        <f t="array" ref="AB330">IF(INDEX(Table2[],_xlfn.XMATCH($A330,Table2[Steel Member],0),_xlfn.XMATCH(AB$2,Table2[#Headers],0))=0,"",INDEX(Table2[],_xlfn.XMATCH($A330,Table2[Steel Member],0),_xlfn.XMATCH(AB$2,Table2[#Headers],0)))</f>
        <v>#N/A</v>
      </c>
      <c r="AC330" s="4" t="str" cm="1">
        <f t="array" ref="AC330">IFERROR(INDEX(Table8[],_xlfn.XMATCH($O330,Table8[Dimension Name Category],0),_xlfn.XMATCH(AC$2&amp;IF($L330," w/ tag"," w/o tag"),Table8[#Headers],0)),"")</f>
        <v/>
      </c>
      <c r="AD330" s="59" t="str">
        <f t="shared" si="93"/>
        <v/>
      </c>
      <c r="AE330" s="4" t="str">
        <f t="shared" si="94"/>
        <v/>
      </c>
      <c r="AF330" s="4" t="str">
        <f t="shared" si="95"/>
        <v/>
      </c>
      <c r="AG330" s="4" t="str" cm="1">
        <f t="array" ref="AG330">IFERROR(INDEX(Table8[],_xlfn.XMATCH($O330,Table8[Dimension Name Category],0),_xlfn.XMATCH(AG$2&amp;IF($L330," w/ tag"," w/o tag"),Table8[#Headers],0)),"")</f>
        <v/>
      </c>
      <c r="AH330" s="59" t="str">
        <f t="shared" si="96"/>
        <v/>
      </c>
      <c r="AI330" s="4"/>
      <c r="AJ330" s="4" t="str">
        <f t="shared" si="97"/>
        <v/>
      </c>
      <c r="AK330" s="4" t="str">
        <f t="shared" si="98"/>
        <v/>
      </c>
      <c r="AL330" s="4" t="e" cm="1">
        <f t="array" ref="AL330">IF(INDEX(Table2[],_xlfn.XMATCH($A330,Table2[Steel Member],0),_xlfn.XMATCH(AL$2,Table2[#Headers],0))=0,"",INDEX(Table2[],_xlfn.XMATCH($A330,Table2[Steel Member],0),_xlfn.XMATCH(AL$2,Table2[#Headers],0)))</f>
        <v>#N/A</v>
      </c>
      <c r="AM330" s="4"/>
      <c r="AN330" s="4" t="str">
        <f t="shared" si="99"/>
        <v/>
      </c>
      <c r="AO330" s="4"/>
      <c r="AP330" s="4" t="e" cm="1">
        <f t="array" ref="AP330">IF(INDEX(Table2[],_xlfn.XMATCH($A330,Table2[Steel Member],0),_xlfn.XMATCH(AP$2,Table2[#Headers],0))=0,"",INDEX(Table2[],_xlfn.XMATCH($A330,Table2[Steel Member],0),_xlfn.XMATCH(AP$2,Table2[#Headers],0)))</f>
        <v>#N/A</v>
      </c>
      <c r="AQ330" s="4"/>
      <c r="AR330" s="4"/>
      <c r="AS330" s="4"/>
      <c r="AT330" s="4"/>
    </row>
    <row r="331" spans="1:46" x14ac:dyDescent="0.25">
      <c r="A331" s="52"/>
      <c r="B331" s="52"/>
      <c r="C331" s="52"/>
      <c r="D331" s="52"/>
      <c r="E331" s="52"/>
      <c r="F331" s="64" cm="1">
        <f t="array" ref="F331">IF(COUNT(FIND(PurlinsxGirthsxBracings,$C331))&gt;0,0,ROUNDUP(IF(D331=0,0,VLOOKUP(D331,'DATA SHEET'!$B:$D,2,FALSE)),2))</f>
        <v>0</v>
      </c>
      <c r="G331" s="64" cm="1">
        <f t="array" ref="G331">IF(COUNT(FIND(PurlinsxGirthsxBracings,$C331))&gt;0,0,ROUNDUP(IF(D331=0,0,VLOOKUP(D331,'DATA SHEET'!$B:$D,3,FALSE)),2))</f>
        <v>0</v>
      </c>
      <c r="H331" s="53"/>
      <c r="I331" s="66" cm="1">
        <f t="array" ref="I331">IF(AND(ISBLANK(B331),ISBLANK(C331),ISBLANK(E331)),0,IF(COUNT(FIND(PurlinsxGirthsxBracings,$C331))&gt;0,IF(B331=0,CONCATENATE(E331," ",C331),CONCATENATE(B331," - ",E331," ",C331)),IF(B331=0,IF(ISBLANK(C331),E331,CONCATENATE(D331,", ",F331,"kg/m, ",G331,"mm surface perimeter")),IF(AND(ISBLANK(C331),ISTEXT(E331)),CONCATENATE(B331," - ",E331),IF(AND(ISBLANK(C331),ISBLANK(E331)),B331,CONCATENATE(B331," - ",D331,", ",F331,"kg/m, ",G331,"mm surface perimeter"))))&amp;IF(ISBLANK(H331),"",H331)))</f>
        <v>0</v>
      </c>
      <c r="J331" s="53"/>
      <c r="L331" s="4" t="str" cm="1">
        <f t="array" ref="L331">IF(COUNT(FIND({0,1,2,3,4,5,6,7,8,9},B331))&gt;0,COUNT(FIND({0,1,2,3,4,5,6,7,8,9},B331))&gt;0,"")</f>
        <v/>
      </c>
      <c r="M331" s="4" t="str" cm="1">
        <f t="array" aca="1" ref="M331" ca="1">IFERROR(_xlfn.IFS(R331="Count",RANDBETWEEN(1,COUNTIF($R$11:$R$653,"Count")),R331="Length",RANDBETWEEN(1,COUNTIF($R$11:$R$653,"Length"))),"")</f>
        <v/>
      </c>
      <c r="N331" s="4" t="str">
        <f ca="1">IFERROR(_xlfn.RANK.EQ(M331,$M$11:$M$653)+COUNTIF($M$11:M331,M331)-1,"")</f>
        <v/>
      </c>
      <c r="O331" s="86" t="str">
        <f>IF(A331='DATA SHEET'!$L$36,C331,IFERROR(IF(AND(ISTEXT(I331),ISBLANK(C331)),"No details",VLOOKUP(C331,DimFolder,2,FALSE)),""))</f>
        <v/>
      </c>
      <c r="P331" s="4" t="str">
        <f t="shared" ref="P331:P394" si="101">IF(AND(ISBLANK(B331),ISBLANK(C331)),"",CONCATENATE("Structural\Structural Steel\",A331,"\",O331))</f>
        <v/>
      </c>
      <c r="Q331" s="58" t="str">
        <f t="shared" si="100"/>
        <v/>
      </c>
      <c r="R331" s="4" t="e" cm="1">
        <f t="array" ref="R331">IF(INDEX(Table2[],_xlfn.XMATCH($A331,Table2[Steel Member],0),_xlfn.XMATCH(R$2,Table2[#Headers],0))=0,"",INDEX(Table2[],_xlfn.XMATCH($A331,Table2[Steel Member],0),_xlfn.XMATCH(R$2,Table2[#Headers],0)))</f>
        <v>#N/A</v>
      </c>
      <c r="S331" s="4" t="e" cm="1">
        <f t="array" ref="S331">IF(INDEX(Table2[],_xlfn.XMATCH($A331,Table2[Steel Member],0),_xlfn.XMATCH(S$2,Table2[#Headers],0))=0,"",INDEX(Table2[],_xlfn.XMATCH($A331,Table2[Steel Member],0),_xlfn.XMATCH(S$2,Table2[#Headers],0)))</f>
        <v>#N/A</v>
      </c>
      <c r="T331" s="4" t="str">
        <f t="shared" si="91"/>
        <v/>
      </c>
      <c r="U331" s="4" t="e">
        <f ca="1">VLOOKUP(N331,'COLOR CODE'!$B:$D,2,FALSE)</f>
        <v>#N/A</v>
      </c>
      <c r="V331" s="4" t="str">
        <f t="shared" si="92"/>
        <v/>
      </c>
      <c r="W331" s="4" t="e" cm="1">
        <f t="array" ref="W331">IF(INDEX(Table2[],_xlfn.XMATCH($A331,Table2[Steel Member],0),_xlfn.XMATCH(W$2,Table2[#Headers],0))=0,"",INDEX(Table2[],_xlfn.XMATCH($A331,Table2[Steel Member],0),_xlfn.XMATCH(W$2,Table2[#Headers],0)))</f>
        <v>#N/A</v>
      </c>
      <c r="X331" s="4" t="e">
        <f t="shared" si="90"/>
        <v>#N/A</v>
      </c>
      <c r="Y331" s="4" t="e" cm="1">
        <f t="array" ref="Y331">IF(INDEX(Table2[],_xlfn.XMATCH($A331,Table2[Steel Member],0),_xlfn.XMATCH(Y$2,Table2[#Headers],0))=0,"",INDEX(Table2[],_xlfn.XMATCH($A331,Table2[Steel Member],0),_xlfn.XMATCH(Y$2,Table2[#Headers],0)))</f>
        <v>#N/A</v>
      </c>
      <c r="Z331" s="4" t="e" cm="1">
        <f t="array" ref="Z331">IF(INDEX(Table2[],_xlfn.XMATCH($A331,Table2[Steel Member],0),_xlfn.XMATCH(Z$2,Table2[#Headers],0))=0,"",INDEX(Table2[],_xlfn.XMATCH($A331,Table2[Steel Member],0),_xlfn.XMATCH(Z$2,Table2[#Headers],0)))</f>
        <v>#N/A</v>
      </c>
      <c r="AA331" s="4" t="e" cm="1">
        <f t="array" ref="AA331">IF(INDEX(Table2[],_xlfn.XMATCH($A331,Table2[Steel Member],0),_xlfn.XMATCH(AA$2,Table2[#Headers],0))=0,"",INDEX(Table2[],_xlfn.XMATCH($A331,Table2[Steel Member],0),_xlfn.XMATCH(AA$2,Table2[#Headers],0)))</f>
        <v>#N/A</v>
      </c>
      <c r="AB331" s="4" t="e" cm="1">
        <f t="array" ref="AB331">IF(INDEX(Table2[],_xlfn.XMATCH($A331,Table2[Steel Member],0),_xlfn.XMATCH(AB$2,Table2[#Headers],0))=0,"",INDEX(Table2[],_xlfn.XMATCH($A331,Table2[Steel Member],0),_xlfn.XMATCH(AB$2,Table2[#Headers],0)))</f>
        <v>#N/A</v>
      </c>
      <c r="AC331" s="4" t="str" cm="1">
        <f t="array" ref="AC331">IFERROR(INDEX(Table8[],_xlfn.XMATCH($O331,Table8[Dimension Name Category],0),_xlfn.XMATCH(AC$2&amp;IF($L331," w/ tag"," w/o tag"),Table8[#Headers],0)),"")</f>
        <v/>
      </c>
      <c r="AD331" s="59" t="str">
        <f t="shared" si="93"/>
        <v/>
      </c>
      <c r="AE331" s="4" t="str">
        <f t="shared" si="94"/>
        <v/>
      </c>
      <c r="AF331" s="4" t="str">
        <f t="shared" si="95"/>
        <v/>
      </c>
      <c r="AG331" s="4" t="str" cm="1">
        <f t="array" ref="AG331">IFERROR(INDEX(Table8[],_xlfn.XMATCH($O331,Table8[Dimension Name Category],0),_xlfn.XMATCH(AG$2&amp;IF($L331," w/ tag"," w/o tag"),Table8[#Headers],0)),"")</f>
        <v/>
      </c>
      <c r="AH331" s="59" t="str">
        <f t="shared" si="96"/>
        <v/>
      </c>
      <c r="AI331" s="4"/>
      <c r="AJ331" s="4" t="str">
        <f t="shared" si="97"/>
        <v/>
      </c>
      <c r="AK331" s="4" t="str">
        <f t="shared" si="98"/>
        <v/>
      </c>
      <c r="AL331" s="4" t="e" cm="1">
        <f t="array" ref="AL331">IF(INDEX(Table2[],_xlfn.XMATCH($A331,Table2[Steel Member],0),_xlfn.XMATCH(AL$2,Table2[#Headers],0))=0,"",INDEX(Table2[],_xlfn.XMATCH($A331,Table2[Steel Member],0),_xlfn.XMATCH(AL$2,Table2[#Headers],0)))</f>
        <v>#N/A</v>
      </c>
      <c r="AM331" s="4"/>
      <c r="AN331" s="4" t="str">
        <f t="shared" si="99"/>
        <v/>
      </c>
      <c r="AO331" s="4"/>
      <c r="AP331" s="4" t="e" cm="1">
        <f t="array" ref="AP331">IF(INDEX(Table2[],_xlfn.XMATCH($A331,Table2[Steel Member],0),_xlfn.XMATCH(AP$2,Table2[#Headers],0))=0,"",INDEX(Table2[],_xlfn.XMATCH($A331,Table2[Steel Member],0),_xlfn.XMATCH(AP$2,Table2[#Headers],0)))</f>
        <v>#N/A</v>
      </c>
      <c r="AQ331" s="4"/>
      <c r="AR331" s="4"/>
      <c r="AS331" s="4"/>
      <c r="AT331" s="4"/>
    </row>
    <row r="332" spans="1:46" x14ac:dyDescent="0.25">
      <c r="A332" s="52"/>
      <c r="B332" s="52"/>
      <c r="C332" s="52"/>
      <c r="D332" s="52"/>
      <c r="E332" s="52"/>
      <c r="F332" s="64" cm="1">
        <f t="array" ref="F332">IF(COUNT(FIND(PurlinsxGirthsxBracings,$C332))&gt;0,0,ROUNDUP(IF(D332=0,0,VLOOKUP(D332,'DATA SHEET'!$B:$D,2,FALSE)),2))</f>
        <v>0</v>
      </c>
      <c r="G332" s="64" cm="1">
        <f t="array" ref="G332">IF(COUNT(FIND(PurlinsxGirthsxBracings,$C332))&gt;0,0,ROUNDUP(IF(D332=0,0,VLOOKUP(D332,'DATA SHEET'!$B:$D,3,FALSE)),2))</f>
        <v>0</v>
      </c>
      <c r="H332" s="53"/>
      <c r="I332" s="66" cm="1">
        <f t="array" ref="I332">IF(AND(ISBLANK(B332),ISBLANK(C332),ISBLANK(E332)),0,IF(COUNT(FIND(PurlinsxGirthsxBracings,$C332))&gt;0,IF(B332=0,CONCATENATE(E332," ",C332),CONCATENATE(B332," - ",E332," ",C332)),IF(B332=0,IF(ISBLANK(C332),E332,CONCATENATE(D332,", ",F332,"kg/m, ",G332,"mm surface perimeter")),IF(AND(ISBLANK(C332),ISTEXT(E332)),CONCATENATE(B332," - ",E332),IF(AND(ISBLANK(C332),ISBLANK(E332)),B332,CONCATENATE(B332," - ",D332,", ",F332,"kg/m, ",G332,"mm surface perimeter"))))&amp;IF(ISBLANK(H332),"",H332)))</f>
        <v>0</v>
      </c>
      <c r="J332" s="53"/>
      <c r="L332" s="4" t="str" cm="1">
        <f t="array" ref="L332">IF(COUNT(FIND({0,1,2,3,4,5,6,7,8,9},B332))&gt;0,COUNT(FIND({0,1,2,3,4,5,6,7,8,9},B332))&gt;0,"")</f>
        <v/>
      </c>
      <c r="M332" s="4" t="str" cm="1">
        <f t="array" aca="1" ref="M332" ca="1">IFERROR(_xlfn.IFS(R332="Count",RANDBETWEEN(1,COUNTIF($R$11:$R$653,"Count")),R332="Length",RANDBETWEEN(1,COUNTIF($R$11:$R$653,"Length"))),"")</f>
        <v/>
      </c>
      <c r="N332" s="4" t="str">
        <f ca="1">IFERROR(_xlfn.RANK.EQ(M332,$M$11:$M$653)+COUNTIF($M$11:M332,M332)-1,"")</f>
        <v/>
      </c>
      <c r="O332" s="86" t="str">
        <f>IF(A332='DATA SHEET'!$L$36,C332,IFERROR(IF(AND(ISTEXT(I332),ISBLANK(C332)),"No details",VLOOKUP(C332,DimFolder,2,FALSE)),""))</f>
        <v/>
      </c>
      <c r="P332" s="4" t="str">
        <f t="shared" si="101"/>
        <v/>
      </c>
      <c r="Q332" s="58" t="str">
        <f t="shared" si="100"/>
        <v/>
      </c>
      <c r="R332" s="4" t="e" cm="1">
        <f t="array" ref="R332">IF(INDEX(Table2[],_xlfn.XMATCH($A332,Table2[Steel Member],0),_xlfn.XMATCH(R$2,Table2[#Headers],0))=0,"",INDEX(Table2[],_xlfn.XMATCH($A332,Table2[Steel Member],0),_xlfn.XMATCH(R$2,Table2[#Headers],0)))</f>
        <v>#N/A</v>
      </c>
      <c r="S332" s="4" t="e" cm="1">
        <f t="array" ref="S332">IF(INDEX(Table2[],_xlfn.XMATCH($A332,Table2[Steel Member],0),_xlfn.XMATCH(S$2,Table2[#Headers],0))=0,"",INDEX(Table2[],_xlfn.XMATCH($A332,Table2[Steel Member],0),_xlfn.XMATCH(S$2,Table2[#Headers],0)))</f>
        <v>#N/A</v>
      </c>
      <c r="T332" s="4" t="str">
        <f t="shared" si="91"/>
        <v/>
      </c>
      <c r="U332" s="4" t="e">
        <f ca="1">VLOOKUP(N332,'COLOR CODE'!$B:$D,2,FALSE)</f>
        <v>#N/A</v>
      </c>
      <c r="V332" s="4" t="str">
        <f t="shared" si="92"/>
        <v/>
      </c>
      <c r="W332" s="4" t="e" cm="1">
        <f t="array" ref="W332">IF(INDEX(Table2[],_xlfn.XMATCH($A332,Table2[Steel Member],0),_xlfn.XMATCH(W$2,Table2[#Headers],0))=0,"",INDEX(Table2[],_xlfn.XMATCH($A332,Table2[Steel Member],0),_xlfn.XMATCH(W$2,Table2[#Headers],0)))</f>
        <v>#N/A</v>
      </c>
      <c r="X332" s="4" t="e">
        <f t="shared" si="90"/>
        <v>#N/A</v>
      </c>
      <c r="Y332" s="4" t="e" cm="1">
        <f t="array" ref="Y332">IF(INDEX(Table2[],_xlfn.XMATCH($A332,Table2[Steel Member],0),_xlfn.XMATCH(Y$2,Table2[#Headers],0))=0,"",INDEX(Table2[],_xlfn.XMATCH($A332,Table2[Steel Member],0),_xlfn.XMATCH(Y$2,Table2[#Headers],0)))</f>
        <v>#N/A</v>
      </c>
      <c r="Z332" s="4" t="e" cm="1">
        <f t="array" ref="Z332">IF(INDEX(Table2[],_xlfn.XMATCH($A332,Table2[Steel Member],0),_xlfn.XMATCH(Z$2,Table2[#Headers],0))=0,"",INDEX(Table2[],_xlfn.XMATCH($A332,Table2[Steel Member],0),_xlfn.XMATCH(Z$2,Table2[#Headers],0)))</f>
        <v>#N/A</v>
      </c>
      <c r="AA332" s="4" t="e" cm="1">
        <f t="array" ref="AA332">IF(INDEX(Table2[],_xlfn.XMATCH($A332,Table2[Steel Member],0),_xlfn.XMATCH(AA$2,Table2[#Headers],0))=0,"",INDEX(Table2[],_xlfn.XMATCH($A332,Table2[Steel Member],0),_xlfn.XMATCH(AA$2,Table2[#Headers],0)))</f>
        <v>#N/A</v>
      </c>
      <c r="AB332" s="4" t="e" cm="1">
        <f t="array" ref="AB332">IF(INDEX(Table2[],_xlfn.XMATCH($A332,Table2[Steel Member],0),_xlfn.XMATCH(AB$2,Table2[#Headers],0))=0,"",INDEX(Table2[],_xlfn.XMATCH($A332,Table2[Steel Member],0),_xlfn.XMATCH(AB$2,Table2[#Headers],0)))</f>
        <v>#N/A</v>
      </c>
      <c r="AC332" s="4" t="str" cm="1">
        <f t="array" ref="AC332">IFERROR(INDEX(Table8[],_xlfn.XMATCH($O332,Table8[Dimension Name Category],0),_xlfn.XMATCH(AC$2&amp;IF($L332," w/ tag"," w/o tag"),Table8[#Headers],0)),"")</f>
        <v/>
      </c>
      <c r="AD332" s="59" t="str">
        <f t="shared" si="93"/>
        <v/>
      </c>
      <c r="AE332" s="4" t="str">
        <f t="shared" si="94"/>
        <v/>
      </c>
      <c r="AF332" s="4" t="str">
        <f t="shared" si="95"/>
        <v/>
      </c>
      <c r="AG332" s="4" t="str" cm="1">
        <f t="array" ref="AG332">IFERROR(INDEX(Table8[],_xlfn.XMATCH($O332,Table8[Dimension Name Category],0),_xlfn.XMATCH(AG$2&amp;IF($L332," w/ tag"," w/o tag"),Table8[#Headers],0)),"")</f>
        <v/>
      </c>
      <c r="AH332" s="59" t="str">
        <f t="shared" si="96"/>
        <v/>
      </c>
      <c r="AI332" s="4"/>
      <c r="AJ332" s="4" t="str">
        <f t="shared" si="97"/>
        <v/>
      </c>
      <c r="AK332" s="4" t="str">
        <f t="shared" si="98"/>
        <v/>
      </c>
      <c r="AL332" s="4" t="e" cm="1">
        <f t="array" ref="AL332">IF(INDEX(Table2[],_xlfn.XMATCH($A332,Table2[Steel Member],0),_xlfn.XMATCH(AL$2,Table2[#Headers],0))=0,"",INDEX(Table2[],_xlfn.XMATCH($A332,Table2[Steel Member],0),_xlfn.XMATCH(AL$2,Table2[#Headers],0)))</f>
        <v>#N/A</v>
      </c>
      <c r="AM332" s="4"/>
      <c r="AN332" s="4" t="str">
        <f t="shared" si="99"/>
        <v/>
      </c>
      <c r="AO332" s="4"/>
      <c r="AP332" s="4" t="e" cm="1">
        <f t="array" ref="AP332">IF(INDEX(Table2[],_xlfn.XMATCH($A332,Table2[Steel Member],0),_xlfn.XMATCH(AP$2,Table2[#Headers],0))=0,"",INDEX(Table2[],_xlfn.XMATCH($A332,Table2[Steel Member],0),_xlfn.XMATCH(AP$2,Table2[#Headers],0)))</f>
        <v>#N/A</v>
      </c>
      <c r="AQ332" s="4"/>
      <c r="AR332" s="4"/>
      <c r="AS332" s="4"/>
      <c r="AT332" s="4"/>
    </row>
    <row r="333" spans="1:46" x14ac:dyDescent="0.25">
      <c r="A333" s="52"/>
      <c r="B333" s="52"/>
      <c r="C333" s="52"/>
      <c r="D333" s="52"/>
      <c r="E333" s="52"/>
      <c r="F333" s="64" cm="1">
        <f t="array" ref="F333">IF(COUNT(FIND(PurlinsxGirthsxBracings,$C333))&gt;0,0,ROUNDUP(IF(D333=0,0,VLOOKUP(D333,'DATA SHEET'!$B:$D,2,FALSE)),2))</f>
        <v>0</v>
      </c>
      <c r="G333" s="64" cm="1">
        <f t="array" ref="G333">IF(COUNT(FIND(PurlinsxGirthsxBracings,$C333))&gt;0,0,ROUNDUP(IF(D333=0,0,VLOOKUP(D333,'DATA SHEET'!$B:$D,3,FALSE)),2))</f>
        <v>0</v>
      </c>
      <c r="H333" s="53"/>
      <c r="I333" s="66" cm="1">
        <f t="array" ref="I333">IF(AND(ISBLANK(B333),ISBLANK(C333),ISBLANK(E333)),0,IF(COUNT(FIND(PurlinsxGirthsxBracings,$C333))&gt;0,IF(B333=0,CONCATENATE(E333," ",C333),CONCATENATE(B333," - ",E333," ",C333)),IF(B333=0,IF(ISBLANK(C333),E333,CONCATENATE(D333,", ",F333,"kg/m, ",G333,"mm surface perimeter")),IF(AND(ISBLANK(C333),ISTEXT(E333)),CONCATENATE(B333," - ",E333),IF(AND(ISBLANK(C333),ISBLANK(E333)),B333,CONCATENATE(B333," - ",D333,", ",F333,"kg/m, ",G333,"mm surface perimeter"))))&amp;IF(ISBLANK(H333),"",H333)))</f>
        <v>0</v>
      </c>
      <c r="J333" s="53"/>
      <c r="L333" s="4" t="str" cm="1">
        <f t="array" ref="L333">IF(COUNT(FIND({0,1,2,3,4,5,6,7,8,9},B333))&gt;0,COUNT(FIND({0,1,2,3,4,5,6,7,8,9},B333))&gt;0,"")</f>
        <v/>
      </c>
      <c r="M333" s="4" t="str" cm="1">
        <f t="array" aca="1" ref="M333" ca="1">IFERROR(_xlfn.IFS(R333="Count",RANDBETWEEN(1,COUNTIF($R$11:$R$653,"Count")),R333="Length",RANDBETWEEN(1,COUNTIF($R$11:$R$653,"Length"))),"")</f>
        <v/>
      </c>
      <c r="N333" s="4" t="str">
        <f ca="1">IFERROR(_xlfn.RANK.EQ(M333,$M$11:$M$653)+COUNTIF($M$11:M333,M333)-1,"")</f>
        <v/>
      </c>
      <c r="O333" s="86" t="str">
        <f>IF(A333='DATA SHEET'!$L$36,C333,IFERROR(IF(AND(ISTEXT(I333),ISBLANK(C333)),"No details",VLOOKUP(C333,DimFolder,2,FALSE)),""))</f>
        <v/>
      </c>
      <c r="P333" s="4" t="str">
        <f t="shared" si="101"/>
        <v/>
      </c>
      <c r="Q333" s="58" t="str">
        <f t="shared" si="100"/>
        <v/>
      </c>
      <c r="R333" s="4" t="e" cm="1">
        <f t="array" ref="R333">IF(INDEX(Table2[],_xlfn.XMATCH($A333,Table2[Steel Member],0),_xlfn.XMATCH(R$2,Table2[#Headers],0))=0,"",INDEX(Table2[],_xlfn.XMATCH($A333,Table2[Steel Member],0),_xlfn.XMATCH(R$2,Table2[#Headers],0)))</f>
        <v>#N/A</v>
      </c>
      <c r="S333" s="4" t="e" cm="1">
        <f t="array" ref="S333">IF(INDEX(Table2[],_xlfn.XMATCH($A333,Table2[Steel Member],0),_xlfn.XMATCH(S$2,Table2[#Headers],0))=0,"",INDEX(Table2[],_xlfn.XMATCH($A333,Table2[Steel Member],0),_xlfn.XMATCH(S$2,Table2[#Headers],0)))</f>
        <v>#N/A</v>
      </c>
      <c r="T333" s="4" t="str">
        <f t="shared" si="91"/>
        <v/>
      </c>
      <c r="U333" s="4" t="e">
        <f ca="1">VLOOKUP(N333,'COLOR CODE'!$B:$D,2,FALSE)</f>
        <v>#N/A</v>
      </c>
      <c r="V333" s="4" t="str">
        <f t="shared" si="92"/>
        <v/>
      </c>
      <c r="W333" s="4" t="e" cm="1">
        <f t="array" ref="W333">IF(INDEX(Table2[],_xlfn.XMATCH($A333,Table2[Steel Member],0),_xlfn.XMATCH(W$2,Table2[#Headers],0))=0,"",INDEX(Table2[],_xlfn.XMATCH($A333,Table2[Steel Member],0),_xlfn.XMATCH(W$2,Table2[#Headers],0)))</f>
        <v>#N/A</v>
      </c>
      <c r="X333" s="4" t="e">
        <f t="shared" si="90"/>
        <v>#N/A</v>
      </c>
      <c r="Y333" s="4" t="e" cm="1">
        <f t="array" ref="Y333">IF(INDEX(Table2[],_xlfn.XMATCH($A333,Table2[Steel Member],0),_xlfn.XMATCH(Y$2,Table2[#Headers],0))=0,"",INDEX(Table2[],_xlfn.XMATCH($A333,Table2[Steel Member],0),_xlfn.XMATCH(Y$2,Table2[#Headers],0)))</f>
        <v>#N/A</v>
      </c>
      <c r="Z333" s="4" t="e" cm="1">
        <f t="array" ref="Z333">IF(INDEX(Table2[],_xlfn.XMATCH($A333,Table2[Steel Member],0),_xlfn.XMATCH(Z$2,Table2[#Headers],0))=0,"",INDEX(Table2[],_xlfn.XMATCH($A333,Table2[Steel Member],0),_xlfn.XMATCH(Z$2,Table2[#Headers],0)))</f>
        <v>#N/A</v>
      </c>
      <c r="AA333" s="4" t="e" cm="1">
        <f t="array" ref="AA333">IF(INDEX(Table2[],_xlfn.XMATCH($A333,Table2[Steel Member],0),_xlfn.XMATCH(AA$2,Table2[#Headers],0))=0,"",INDEX(Table2[],_xlfn.XMATCH($A333,Table2[Steel Member],0),_xlfn.XMATCH(AA$2,Table2[#Headers],0)))</f>
        <v>#N/A</v>
      </c>
      <c r="AB333" s="4" t="e" cm="1">
        <f t="array" ref="AB333">IF(INDEX(Table2[],_xlfn.XMATCH($A333,Table2[Steel Member],0),_xlfn.XMATCH(AB$2,Table2[#Headers],0))=0,"",INDEX(Table2[],_xlfn.XMATCH($A333,Table2[Steel Member],0),_xlfn.XMATCH(AB$2,Table2[#Headers],0)))</f>
        <v>#N/A</v>
      </c>
      <c r="AC333" s="4" t="str" cm="1">
        <f t="array" ref="AC333">IFERROR(INDEX(Table8[],_xlfn.XMATCH($O333,Table8[Dimension Name Category],0),_xlfn.XMATCH(AC$2&amp;IF($L333," w/ tag"," w/o tag"),Table8[#Headers],0)),"")</f>
        <v/>
      </c>
      <c r="AD333" s="59" t="str">
        <f t="shared" si="93"/>
        <v/>
      </c>
      <c r="AE333" s="4" t="str">
        <f t="shared" si="94"/>
        <v/>
      </c>
      <c r="AF333" s="4" t="str">
        <f t="shared" si="95"/>
        <v/>
      </c>
      <c r="AG333" s="4" t="str" cm="1">
        <f t="array" ref="AG333">IFERROR(INDEX(Table8[],_xlfn.XMATCH($O333,Table8[Dimension Name Category],0),_xlfn.XMATCH(AG$2&amp;IF($L333," w/ tag"," w/o tag"),Table8[#Headers],0)),"")</f>
        <v/>
      </c>
      <c r="AH333" s="59" t="str">
        <f t="shared" si="96"/>
        <v/>
      </c>
      <c r="AI333" s="4"/>
      <c r="AJ333" s="4" t="str">
        <f t="shared" si="97"/>
        <v/>
      </c>
      <c r="AK333" s="4" t="str">
        <f t="shared" si="98"/>
        <v/>
      </c>
      <c r="AL333" s="4" t="e" cm="1">
        <f t="array" ref="AL333">IF(INDEX(Table2[],_xlfn.XMATCH($A333,Table2[Steel Member],0),_xlfn.XMATCH(AL$2,Table2[#Headers],0))=0,"",INDEX(Table2[],_xlfn.XMATCH($A333,Table2[Steel Member],0),_xlfn.XMATCH(AL$2,Table2[#Headers],0)))</f>
        <v>#N/A</v>
      </c>
      <c r="AM333" s="4"/>
      <c r="AN333" s="4" t="str">
        <f t="shared" si="99"/>
        <v/>
      </c>
      <c r="AO333" s="4"/>
      <c r="AP333" s="4" t="e" cm="1">
        <f t="array" ref="AP333">IF(INDEX(Table2[],_xlfn.XMATCH($A333,Table2[Steel Member],0),_xlfn.XMATCH(AP$2,Table2[#Headers],0))=0,"",INDEX(Table2[],_xlfn.XMATCH($A333,Table2[Steel Member],0),_xlfn.XMATCH(AP$2,Table2[#Headers],0)))</f>
        <v>#N/A</v>
      </c>
      <c r="AQ333" s="4"/>
      <c r="AR333" s="4"/>
      <c r="AS333" s="4"/>
      <c r="AT333" s="4"/>
    </row>
    <row r="334" spans="1:46" x14ac:dyDescent="0.25">
      <c r="A334" s="52"/>
      <c r="B334" s="52"/>
      <c r="C334" s="52"/>
      <c r="D334" s="52"/>
      <c r="E334" s="52"/>
      <c r="F334" s="64" cm="1">
        <f t="array" ref="F334">IF(COUNT(FIND(PurlinsxGirthsxBracings,$C334))&gt;0,0,ROUNDUP(IF(D334=0,0,VLOOKUP(D334,'DATA SHEET'!$B:$D,2,FALSE)),2))</f>
        <v>0</v>
      </c>
      <c r="G334" s="64" cm="1">
        <f t="array" ref="G334">IF(COUNT(FIND(PurlinsxGirthsxBracings,$C334))&gt;0,0,ROUNDUP(IF(D334=0,0,VLOOKUP(D334,'DATA SHEET'!$B:$D,3,FALSE)),2))</f>
        <v>0</v>
      </c>
      <c r="H334" s="53"/>
      <c r="I334" s="66" cm="1">
        <f t="array" ref="I334">IF(AND(ISBLANK(B334),ISBLANK(C334),ISBLANK(E334)),0,IF(COUNT(FIND(PurlinsxGirthsxBracings,$C334))&gt;0,IF(B334=0,CONCATENATE(E334," ",C334),CONCATENATE(B334," - ",E334," ",C334)),IF(B334=0,IF(ISBLANK(C334),E334,CONCATENATE(D334,", ",F334,"kg/m, ",G334,"mm surface perimeter")),IF(AND(ISBLANK(C334),ISTEXT(E334)),CONCATENATE(B334," - ",E334),IF(AND(ISBLANK(C334),ISBLANK(E334)),B334,CONCATENATE(B334," - ",D334,", ",F334,"kg/m, ",G334,"mm surface perimeter"))))&amp;IF(ISBLANK(H334),"",H334)))</f>
        <v>0</v>
      </c>
      <c r="J334" s="53"/>
      <c r="L334" s="4" t="str" cm="1">
        <f t="array" ref="L334">IF(COUNT(FIND({0,1,2,3,4,5,6,7,8,9},B334))&gt;0,COUNT(FIND({0,1,2,3,4,5,6,7,8,9},B334))&gt;0,"")</f>
        <v/>
      </c>
      <c r="M334" s="4" t="str" cm="1">
        <f t="array" aca="1" ref="M334" ca="1">IFERROR(_xlfn.IFS(R334="Count",RANDBETWEEN(1,COUNTIF($R$11:$R$653,"Count")),R334="Length",RANDBETWEEN(1,COUNTIF($R$11:$R$653,"Length"))),"")</f>
        <v/>
      </c>
      <c r="N334" s="4" t="str">
        <f ca="1">IFERROR(_xlfn.RANK.EQ(M334,$M$11:$M$653)+COUNTIF($M$11:M334,M334)-1,"")</f>
        <v/>
      </c>
      <c r="O334" s="86" t="str">
        <f>IF(A334='DATA SHEET'!$L$36,C334,IFERROR(IF(AND(ISTEXT(I334),ISBLANK(C334)),"No details",VLOOKUP(C334,DimFolder,2,FALSE)),""))</f>
        <v/>
      </c>
      <c r="P334" s="4" t="str">
        <f t="shared" si="101"/>
        <v/>
      </c>
      <c r="Q334" s="58" t="str">
        <f t="shared" si="100"/>
        <v/>
      </c>
      <c r="R334" s="4" t="e" cm="1">
        <f t="array" ref="R334">IF(INDEX(Table2[],_xlfn.XMATCH($A334,Table2[Steel Member],0),_xlfn.XMATCH(R$2,Table2[#Headers],0))=0,"",INDEX(Table2[],_xlfn.XMATCH($A334,Table2[Steel Member],0),_xlfn.XMATCH(R$2,Table2[#Headers],0)))</f>
        <v>#N/A</v>
      </c>
      <c r="S334" s="4" t="e" cm="1">
        <f t="array" ref="S334">IF(INDEX(Table2[],_xlfn.XMATCH($A334,Table2[Steel Member],0),_xlfn.XMATCH(S$2,Table2[#Headers],0))=0,"",INDEX(Table2[],_xlfn.XMATCH($A334,Table2[Steel Member],0),_xlfn.XMATCH(S$2,Table2[#Headers],0)))</f>
        <v>#N/A</v>
      </c>
      <c r="T334" s="4" t="str">
        <f t="shared" si="91"/>
        <v/>
      </c>
      <c r="U334" s="4" t="e">
        <f ca="1">VLOOKUP(N334,'COLOR CODE'!$B:$D,2,FALSE)</f>
        <v>#N/A</v>
      </c>
      <c r="V334" s="4" t="str">
        <f t="shared" si="92"/>
        <v/>
      </c>
      <c r="W334" s="4" t="e" cm="1">
        <f t="array" ref="W334">IF(INDEX(Table2[],_xlfn.XMATCH($A334,Table2[Steel Member],0),_xlfn.XMATCH(W$2,Table2[#Headers],0))=0,"",INDEX(Table2[],_xlfn.XMATCH($A334,Table2[Steel Member],0),_xlfn.XMATCH(W$2,Table2[#Headers],0)))</f>
        <v>#N/A</v>
      </c>
      <c r="X334" s="4" t="e">
        <f t="shared" si="90"/>
        <v>#N/A</v>
      </c>
      <c r="Y334" s="4" t="e" cm="1">
        <f t="array" ref="Y334">IF(INDEX(Table2[],_xlfn.XMATCH($A334,Table2[Steel Member],0),_xlfn.XMATCH(Y$2,Table2[#Headers],0))=0,"",INDEX(Table2[],_xlfn.XMATCH($A334,Table2[Steel Member],0),_xlfn.XMATCH(Y$2,Table2[#Headers],0)))</f>
        <v>#N/A</v>
      </c>
      <c r="Z334" s="4" t="e" cm="1">
        <f t="array" ref="Z334">IF(INDEX(Table2[],_xlfn.XMATCH($A334,Table2[Steel Member],0),_xlfn.XMATCH(Z$2,Table2[#Headers],0))=0,"",INDEX(Table2[],_xlfn.XMATCH($A334,Table2[Steel Member],0),_xlfn.XMATCH(Z$2,Table2[#Headers],0)))</f>
        <v>#N/A</v>
      </c>
      <c r="AA334" s="4" t="e" cm="1">
        <f t="array" ref="AA334">IF(INDEX(Table2[],_xlfn.XMATCH($A334,Table2[Steel Member],0),_xlfn.XMATCH(AA$2,Table2[#Headers],0))=0,"",INDEX(Table2[],_xlfn.XMATCH($A334,Table2[Steel Member],0),_xlfn.XMATCH(AA$2,Table2[#Headers],0)))</f>
        <v>#N/A</v>
      </c>
      <c r="AB334" s="4" t="e" cm="1">
        <f t="array" ref="AB334">IF(INDEX(Table2[],_xlfn.XMATCH($A334,Table2[Steel Member],0),_xlfn.XMATCH(AB$2,Table2[#Headers],0))=0,"",INDEX(Table2[],_xlfn.XMATCH($A334,Table2[Steel Member],0),_xlfn.XMATCH(AB$2,Table2[#Headers],0)))</f>
        <v>#N/A</v>
      </c>
      <c r="AC334" s="4" t="str" cm="1">
        <f t="array" ref="AC334">IFERROR(INDEX(Table8[],_xlfn.XMATCH($O334,Table8[Dimension Name Category],0),_xlfn.XMATCH(AC$2&amp;IF($L334," w/ tag"," w/o tag"),Table8[#Headers],0)),"")</f>
        <v/>
      </c>
      <c r="AD334" s="59" t="str">
        <f t="shared" si="93"/>
        <v/>
      </c>
      <c r="AE334" s="4" t="str">
        <f t="shared" si="94"/>
        <v/>
      </c>
      <c r="AF334" s="4" t="str">
        <f t="shared" si="95"/>
        <v/>
      </c>
      <c r="AG334" s="4" t="str" cm="1">
        <f t="array" ref="AG334">IFERROR(INDEX(Table8[],_xlfn.XMATCH($O334,Table8[Dimension Name Category],0),_xlfn.XMATCH(AG$2&amp;IF($L334," w/ tag"," w/o tag"),Table8[#Headers],0)),"")</f>
        <v/>
      </c>
      <c r="AH334" s="59" t="str">
        <f t="shared" si="96"/>
        <v/>
      </c>
      <c r="AI334" s="4"/>
      <c r="AJ334" s="4" t="str">
        <f t="shared" si="97"/>
        <v/>
      </c>
      <c r="AK334" s="4" t="str">
        <f t="shared" si="98"/>
        <v/>
      </c>
      <c r="AL334" s="4" t="e" cm="1">
        <f t="array" ref="AL334">IF(INDEX(Table2[],_xlfn.XMATCH($A334,Table2[Steel Member],0),_xlfn.XMATCH(AL$2,Table2[#Headers],0))=0,"",INDEX(Table2[],_xlfn.XMATCH($A334,Table2[Steel Member],0),_xlfn.XMATCH(AL$2,Table2[#Headers],0)))</f>
        <v>#N/A</v>
      </c>
      <c r="AM334" s="4"/>
      <c r="AN334" s="4" t="str">
        <f t="shared" si="99"/>
        <v/>
      </c>
      <c r="AO334" s="4"/>
      <c r="AP334" s="4" t="e" cm="1">
        <f t="array" ref="AP334">IF(INDEX(Table2[],_xlfn.XMATCH($A334,Table2[Steel Member],0),_xlfn.XMATCH(AP$2,Table2[#Headers],0))=0,"",INDEX(Table2[],_xlfn.XMATCH($A334,Table2[Steel Member],0),_xlfn.XMATCH(AP$2,Table2[#Headers],0)))</f>
        <v>#N/A</v>
      </c>
      <c r="AQ334" s="4"/>
      <c r="AR334" s="4"/>
      <c r="AS334" s="4"/>
      <c r="AT334" s="4"/>
    </row>
    <row r="335" spans="1:46" x14ac:dyDescent="0.25">
      <c r="A335" s="52"/>
      <c r="B335" s="52"/>
      <c r="C335" s="52"/>
      <c r="D335" s="52"/>
      <c r="E335" s="52"/>
      <c r="F335" s="64" cm="1">
        <f t="array" ref="F335">IF(COUNT(FIND(PurlinsxGirthsxBracings,$C335))&gt;0,0,ROUNDUP(IF(D335=0,0,VLOOKUP(D335,'DATA SHEET'!$B:$D,2,FALSE)),2))</f>
        <v>0</v>
      </c>
      <c r="G335" s="64" cm="1">
        <f t="array" ref="G335">IF(COUNT(FIND(PurlinsxGirthsxBracings,$C335))&gt;0,0,ROUNDUP(IF(D335=0,0,VLOOKUP(D335,'DATA SHEET'!$B:$D,3,FALSE)),2))</f>
        <v>0</v>
      </c>
      <c r="H335" s="53"/>
      <c r="I335" s="66" cm="1">
        <f t="array" ref="I335">IF(AND(ISBLANK(B335),ISBLANK(C335),ISBLANK(E335)),0,IF(COUNT(FIND(PurlinsxGirthsxBracings,$C335))&gt;0,IF(B335=0,CONCATENATE(E335," ",C335),CONCATENATE(B335," - ",E335," ",C335)),IF(B335=0,IF(ISBLANK(C335),E335,CONCATENATE(D335,", ",F335,"kg/m, ",G335,"mm surface perimeter")),IF(AND(ISBLANK(C335),ISTEXT(E335)),CONCATENATE(B335," - ",E335),IF(AND(ISBLANK(C335),ISBLANK(E335)),B335,CONCATENATE(B335," - ",D335,", ",F335,"kg/m, ",G335,"mm surface perimeter"))))&amp;IF(ISBLANK(H335),"",H335)))</f>
        <v>0</v>
      </c>
      <c r="J335" s="53"/>
      <c r="L335" s="4" t="str" cm="1">
        <f t="array" ref="L335">IF(COUNT(FIND({0,1,2,3,4,5,6,7,8,9},B335))&gt;0,COUNT(FIND({0,1,2,3,4,5,6,7,8,9},B335))&gt;0,"")</f>
        <v/>
      </c>
      <c r="M335" s="4" t="str" cm="1">
        <f t="array" aca="1" ref="M335" ca="1">IFERROR(_xlfn.IFS(R335="Count",RANDBETWEEN(1,COUNTIF($R$11:$R$653,"Count")),R335="Length",RANDBETWEEN(1,COUNTIF($R$11:$R$653,"Length"))),"")</f>
        <v/>
      </c>
      <c r="N335" s="4" t="str">
        <f ca="1">IFERROR(_xlfn.RANK.EQ(M335,$M$11:$M$653)+COUNTIF($M$11:M335,M335)-1,"")</f>
        <v/>
      </c>
      <c r="O335" s="86" t="str">
        <f>IF(A335='DATA SHEET'!$L$36,C335,IFERROR(IF(AND(ISTEXT(I335),ISBLANK(C335)),"No details",VLOOKUP(C335,DimFolder,2,FALSE)),""))</f>
        <v/>
      </c>
      <c r="P335" s="4" t="str">
        <f t="shared" si="101"/>
        <v/>
      </c>
      <c r="Q335" s="58" t="str">
        <f t="shared" si="100"/>
        <v/>
      </c>
      <c r="R335" s="4" t="e" cm="1">
        <f t="array" ref="R335">IF(INDEX(Table2[],_xlfn.XMATCH($A335,Table2[Steel Member],0),_xlfn.XMATCH(R$2,Table2[#Headers],0))=0,"",INDEX(Table2[],_xlfn.XMATCH($A335,Table2[Steel Member],0),_xlfn.XMATCH(R$2,Table2[#Headers],0)))</f>
        <v>#N/A</v>
      </c>
      <c r="S335" s="4" t="e" cm="1">
        <f t="array" ref="S335">IF(INDEX(Table2[],_xlfn.XMATCH($A335,Table2[Steel Member],0),_xlfn.XMATCH(S$2,Table2[#Headers],0))=0,"",INDEX(Table2[],_xlfn.XMATCH($A335,Table2[Steel Member],0),_xlfn.XMATCH(S$2,Table2[#Headers],0)))</f>
        <v>#N/A</v>
      </c>
      <c r="T335" s="4" t="str">
        <f t="shared" si="91"/>
        <v/>
      </c>
      <c r="U335" s="4" t="e">
        <f ca="1">VLOOKUP(N335,'COLOR CODE'!$B:$D,2,FALSE)</f>
        <v>#N/A</v>
      </c>
      <c r="V335" s="4" t="str">
        <f t="shared" si="92"/>
        <v/>
      </c>
      <c r="W335" s="4" t="e" cm="1">
        <f t="array" ref="W335">IF(INDEX(Table2[],_xlfn.XMATCH($A335,Table2[Steel Member],0),_xlfn.XMATCH(W$2,Table2[#Headers],0))=0,"",INDEX(Table2[],_xlfn.XMATCH($A335,Table2[Steel Member],0),_xlfn.XMATCH(W$2,Table2[#Headers],0)))</f>
        <v>#N/A</v>
      </c>
      <c r="X335" s="4" t="e">
        <f t="shared" ref="X335:X398" si="102">W335</f>
        <v>#N/A</v>
      </c>
      <c r="Y335" s="4" t="e" cm="1">
        <f t="array" ref="Y335">IF(INDEX(Table2[],_xlfn.XMATCH($A335,Table2[Steel Member],0),_xlfn.XMATCH(Y$2,Table2[#Headers],0))=0,"",INDEX(Table2[],_xlfn.XMATCH($A335,Table2[Steel Member],0),_xlfn.XMATCH(Y$2,Table2[#Headers],0)))</f>
        <v>#N/A</v>
      </c>
      <c r="Z335" s="4" t="e" cm="1">
        <f t="array" ref="Z335">IF(INDEX(Table2[],_xlfn.XMATCH($A335,Table2[Steel Member],0),_xlfn.XMATCH(Z$2,Table2[#Headers],0))=0,"",INDEX(Table2[],_xlfn.XMATCH($A335,Table2[Steel Member],0),_xlfn.XMATCH(Z$2,Table2[#Headers],0)))</f>
        <v>#N/A</v>
      </c>
      <c r="AA335" s="4" t="e" cm="1">
        <f t="array" ref="AA335">IF(INDEX(Table2[],_xlfn.XMATCH($A335,Table2[Steel Member],0),_xlfn.XMATCH(AA$2,Table2[#Headers],0))=0,"",INDEX(Table2[],_xlfn.XMATCH($A335,Table2[Steel Member],0),_xlfn.XMATCH(AA$2,Table2[#Headers],0)))</f>
        <v>#N/A</v>
      </c>
      <c r="AB335" s="4" t="e" cm="1">
        <f t="array" ref="AB335">IF(INDEX(Table2[],_xlfn.XMATCH($A335,Table2[Steel Member],0),_xlfn.XMATCH(AB$2,Table2[#Headers],0))=0,"",INDEX(Table2[],_xlfn.XMATCH($A335,Table2[Steel Member],0),_xlfn.XMATCH(AB$2,Table2[#Headers],0)))</f>
        <v>#N/A</v>
      </c>
      <c r="AC335" s="4" t="str" cm="1">
        <f t="array" ref="AC335">IFERROR(INDEX(Table8[],_xlfn.XMATCH($O335,Table8[Dimension Name Category],0),_xlfn.XMATCH(AC$2&amp;IF($L335," w/ tag"," w/o tag"),Table8[#Headers],0)),"")</f>
        <v/>
      </c>
      <c r="AD335" s="59" t="str">
        <f t="shared" si="93"/>
        <v/>
      </c>
      <c r="AE335" s="4" t="str">
        <f t="shared" si="94"/>
        <v/>
      </c>
      <c r="AF335" s="4" t="str">
        <f t="shared" si="95"/>
        <v/>
      </c>
      <c r="AG335" s="4" t="str" cm="1">
        <f t="array" ref="AG335">IFERROR(INDEX(Table8[],_xlfn.XMATCH($O335,Table8[Dimension Name Category],0),_xlfn.XMATCH(AG$2&amp;IF($L335," w/ tag"," w/o tag"),Table8[#Headers],0)),"")</f>
        <v/>
      </c>
      <c r="AH335" s="59" t="str">
        <f t="shared" si="96"/>
        <v/>
      </c>
      <c r="AI335" s="4"/>
      <c r="AJ335" s="4" t="str">
        <f t="shared" si="97"/>
        <v/>
      </c>
      <c r="AK335" s="4" t="str">
        <f t="shared" si="98"/>
        <v/>
      </c>
      <c r="AL335" s="4" t="e" cm="1">
        <f t="array" ref="AL335">IF(INDEX(Table2[],_xlfn.XMATCH($A335,Table2[Steel Member],0),_xlfn.XMATCH(AL$2,Table2[#Headers],0))=0,"",INDEX(Table2[],_xlfn.XMATCH($A335,Table2[Steel Member],0),_xlfn.XMATCH(AL$2,Table2[#Headers],0)))</f>
        <v>#N/A</v>
      </c>
      <c r="AM335" s="4"/>
      <c r="AN335" s="4" t="str">
        <f t="shared" si="99"/>
        <v/>
      </c>
      <c r="AO335" s="4"/>
      <c r="AP335" s="4" t="e" cm="1">
        <f t="array" ref="AP335">IF(INDEX(Table2[],_xlfn.XMATCH($A335,Table2[Steel Member],0),_xlfn.XMATCH(AP$2,Table2[#Headers],0))=0,"",INDEX(Table2[],_xlfn.XMATCH($A335,Table2[Steel Member],0),_xlfn.XMATCH(AP$2,Table2[#Headers],0)))</f>
        <v>#N/A</v>
      </c>
      <c r="AQ335" s="4"/>
      <c r="AR335" s="4"/>
      <c r="AS335" s="4"/>
      <c r="AT335" s="4"/>
    </row>
    <row r="336" spans="1:46" x14ac:dyDescent="0.25">
      <c r="A336" s="52"/>
      <c r="B336" s="52"/>
      <c r="C336" s="52"/>
      <c r="D336" s="52"/>
      <c r="E336" s="52"/>
      <c r="F336" s="64" cm="1">
        <f t="array" ref="F336">IF(COUNT(FIND(PurlinsxGirthsxBracings,$C336))&gt;0,0,ROUNDUP(IF(D336=0,0,VLOOKUP(D336,'DATA SHEET'!$B:$D,2,FALSE)),2))</f>
        <v>0</v>
      </c>
      <c r="G336" s="64" cm="1">
        <f t="array" ref="G336">IF(COUNT(FIND(PurlinsxGirthsxBracings,$C336))&gt;0,0,ROUNDUP(IF(D336=0,0,VLOOKUP(D336,'DATA SHEET'!$B:$D,3,FALSE)),2))</f>
        <v>0</v>
      </c>
      <c r="H336" s="53"/>
      <c r="I336" s="66" cm="1">
        <f t="array" ref="I336">IF(AND(ISBLANK(B336),ISBLANK(C336),ISBLANK(E336)),0,IF(COUNT(FIND(PurlinsxGirthsxBracings,$C336))&gt;0,IF(B336=0,CONCATENATE(E336," ",C336),CONCATENATE(B336," - ",E336," ",C336)),IF(B336=0,IF(ISBLANK(C336),E336,CONCATENATE(D336,", ",F336,"kg/m, ",G336,"mm surface perimeter")),IF(AND(ISBLANK(C336),ISTEXT(E336)),CONCATENATE(B336," - ",E336),IF(AND(ISBLANK(C336),ISBLANK(E336)),B336,CONCATENATE(B336," - ",D336,", ",F336,"kg/m, ",G336,"mm surface perimeter"))))&amp;IF(ISBLANK(H336),"",H336)))</f>
        <v>0</v>
      </c>
      <c r="J336" s="53"/>
      <c r="L336" s="4" t="str" cm="1">
        <f t="array" ref="L336">IF(COUNT(FIND({0,1,2,3,4,5,6,7,8,9},B336))&gt;0,COUNT(FIND({0,1,2,3,4,5,6,7,8,9},B336))&gt;0,"")</f>
        <v/>
      </c>
      <c r="M336" s="4" t="str" cm="1">
        <f t="array" aca="1" ref="M336" ca="1">IFERROR(_xlfn.IFS(R336="Count",RANDBETWEEN(1,COUNTIF($R$11:$R$653,"Count")),R336="Length",RANDBETWEEN(1,COUNTIF($R$11:$R$653,"Length"))),"")</f>
        <v/>
      </c>
      <c r="N336" s="4" t="str">
        <f ca="1">IFERROR(_xlfn.RANK.EQ(M336,$M$11:$M$653)+COUNTIF($M$11:M336,M336)-1,"")</f>
        <v/>
      </c>
      <c r="O336" s="86" t="str">
        <f>IF(A336='DATA SHEET'!$L$36,C336,IFERROR(IF(AND(ISTEXT(I336),ISBLANK(C336)),"No details",VLOOKUP(C336,DimFolder,2,FALSE)),""))</f>
        <v/>
      </c>
      <c r="P336" s="4" t="str">
        <f t="shared" si="101"/>
        <v/>
      </c>
      <c r="Q336" s="58" t="str">
        <f t="shared" si="100"/>
        <v/>
      </c>
      <c r="R336" s="4" t="e" cm="1">
        <f t="array" ref="R336">IF(INDEX(Table2[],_xlfn.XMATCH($A336,Table2[Steel Member],0),_xlfn.XMATCH(R$2,Table2[#Headers],0))=0,"",INDEX(Table2[],_xlfn.XMATCH($A336,Table2[Steel Member],0),_xlfn.XMATCH(R$2,Table2[#Headers],0)))</f>
        <v>#N/A</v>
      </c>
      <c r="S336" s="4" t="e" cm="1">
        <f t="array" ref="S336">IF(INDEX(Table2[],_xlfn.XMATCH($A336,Table2[Steel Member],0),_xlfn.XMATCH(S$2,Table2[#Headers],0))=0,"",INDEX(Table2[],_xlfn.XMATCH($A336,Table2[Steel Member],0),_xlfn.XMATCH(S$2,Table2[#Headers],0)))</f>
        <v>#N/A</v>
      </c>
      <c r="T336" s="4" t="str">
        <f t="shared" si="91"/>
        <v/>
      </c>
      <c r="U336" s="4" t="e">
        <f ca="1">VLOOKUP(N336,'COLOR CODE'!$B:$D,2,FALSE)</f>
        <v>#N/A</v>
      </c>
      <c r="V336" s="4" t="str">
        <f t="shared" si="92"/>
        <v/>
      </c>
      <c r="W336" s="4" t="e" cm="1">
        <f t="array" ref="W336">IF(INDEX(Table2[],_xlfn.XMATCH($A336,Table2[Steel Member],0),_xlfn.XMATCH(W$2,Table2[#Headers],0))=0,"",INDEX(Table2[],_xlfn.XMATCH($A336,Table2[Steel Member],0),_xlfn.XMATCH(W$2,Table2[#Headers],0)))</f>
        <v>#N/A</v>
      </c>
      <c r="X336" s="4" t="e">
        <f t="shared" si="102"/>
        <v>#N/A</v>
      </c>
      <c r="Y336" s="4" t="e" cm="1">
        <f t="array" ref="Y336">IF(INDEX(Table2[],_xlfn.XMATCH($A336,Table2[Steel Member],0),_xlfn.XMATCH(Y$2,Table2[#Headers],0))=0,"",INDEX(Table2[],_xlfn.XMATCH($A336,Table2[Steel Member],0),_xlfn.XMATCH(Y$2,Table2[#Headers],0)))</f>
        <v>#N/A</v>
      </c>
      <c r="Z336" s="4" t="e" cm="1">
        <f t="array" ref="Z336">IF(INDEX(Table2[],_xlfn.XMATCH($A336,Table2[Steel Member],0),_xlfn.XMATCH(Z$2,Table2[#Headers],0))=0,"",INDEX(Table2[],_xlfn.XMATCH($A336,Table2[Steel Member],0),_xlfn.XMATCH(Z$2,Table2[#Headers],0)))</f>
        <v>#N/A</v>
      </c>
      <c r="AA336" s="4" t="e" cm="1">
        <f t="array" ref="AA336">IF(INDEX(Table2[],_xlfn.XMATCH($A336,Table2[Steel Member],0),_xlfn.XMATCH(AA$2,Table2[#Headers],0))=0,"",INDEX(Table2[],_xlfn.XMATCH($A336,Table2[Steel Member],0),_xlfn.XMATCH(AA$2,Table2[#Headers],0)))</f>
        <v>#N/A</v>
      </c>
      <c r="AB336" s="4" t="e" cm="1">
        <f t="array" ref="AB336">IF(INDEX(Table2[],_xlfn.XMATCH($A336,Table2[Steel Member],0),_xlfn.XMATCH(AB$2,Table2[#Headers],0))=0,"",INDEX(Table2[],_xlfn.XMATCH($A336,Table2[Steel Member],0),_xlfn.XMATCH(AB$2,Table2[#Headers],0)))</f>
        <v>#N/A</v>
      </c>
      <c r="AC336" s="4" t="str" cm="1">
        <f t="array" ref="AC336">IFERROR(INDEX(Table8[],_xlfn.XMATCH($O336,Table8[Dimension Name Category],0),_xlfn.XMATCH(AC$2&amp;IF($L336," w/ tag"," w/o tag"),Table8[#Headers],0)),"")</f>
        <v/>
      </c>
      <c r="AD336" s="59" t="str">
        <f t="shared" si="93"/>
        <v/>
      </c>
      <c r="AE336" s="4" t="str">
        <f t="shared" si="94"/>
        <v/>
      </c>
      <c r="AF336" s="4" t="str">
        <f t="shared" si="95"/>
        <v/>
      </c>
      <c r="AG336" s="4" t="str" cm="1">
        <f t="array" ref="AG336">IFERROR(INDEX(Table8[],_xlfn.XMATCH($O336,Table8[Dimension Name Category],0),_xlfn.XMATCH(AG$2&amp;IF($L336," w/ tag"," w/o tag"),Table8[#Headers],0)),"")</f>
        <v/>
      </c>
      <c r="AH336" s="59" t="str">
        <f t="shared" si="96"/>
        <v/>
      </c>
      <c r="AI336" s="4"/>
      <c r="AJ336" s="4" t="str">
        <f t="shared" si="97"/>
        <v/>
      </c>
      <c r="AK336" s="4" t="str">
        <f t="shared" si="98"/>
        <v/>
      </c>
      <c r="AL336" s="4" t="e" cm="1">
        <f t="array" ref="AL336">IF(INDEX(Table2[],_xlfn.XMATCH($A336,Table2[Steel Member],0),_xlfn.XMATCH(AL$2,Table2[#Headers],0))=0,"",INDEX(Table2[],_xlfn.XMATCH($A336,Table2[Steel Member],0),_xlfn.XMATCH(AL$2,Table2[#Headers],0)))</f>
        <v>#N/A</v>
      </c>
      <c r="AM336" s="4"/>
      <c r="AN336" s="4" t="str">
        <f t="shared" si="99"/>
        <v/>
      </c>
      <c r="AO336" s="4"/>
      <c r="AP336" s="4" t="e" cm="1">
        <f t="array" ref="AP336">IF(INDEX(Table2[],_xlfn.XMATCH($A336,Table2[Steel Member],0),_xlfn.XMATCH(AP$2,Table2[#Headers],0))=0,"",INDEX(Table2[],_xlfn.XMATCH($A336,Table2[Steel Member],0),_xlfn.XMATCH(AP$2,Table2[#Headers],0)))</f>
        <v>#N/A</v>
      </c>
      <c r="AQ336" s="4"/>
      <c r="AR336" s="4"/>
      <c r="AS336" s="4"/>
      <c r="AT336" s="4"/>
    </row>
    <row r="337" spans="1:46" x14ac:dyDescent="0.25">
      <c r="A337" s="52"/>
      <c r="B337" s="52"/>
      <c r="C337" s="52"/>
      <c r="D337" s="52"/>
      <c r="E337" s="52"/>
      <c r="F337" s="64" cm="1">
        <f t="array" ref="F337">IF(COUNT(FIND(PurlinsxGirthsxBracings,$C337))&gt;0,0,ROUNDUP(IF(D337=0,0,VLOOKUP(D337,'DATA SHEET'!$B:$D,2,FALSE)),2))</f>
        <v>0</v>
      </c>
      <c r="G337" s="64" cm="1">
        <f t="array" ref="G337">IF(COUNT(FIND(PurlinsxGirthsxBracings,$C337))&gt;0,0,ROUNDUP(IF(D337=0,0,VLOOKUP(D337,'DATA SHEET'!$B:$D,3,FALSE)),2))</f>
        <v>0</v>
      </c>
      <c r="H337" s="53"/>
      <c r="I337" s="66" cm="1">
        <f t="array" ref="I337">IF(AND(ISBLANK(B337),ISBLANK(C337),ISBLANK(E337)),0,IF(COUNT(FIND(PurlinsxGirthsxBracings,$C337))&gt;0,IF(B337=0,CONCATENATE(E337," ",C337),CONCATENATE(B337," - ",E337," ",C337)),IF(B337=0,IF(ISBLANK(C337),E337,CONCATENATE(D337,", ",F337,"kg/m, ",G337,"mm surface perimeter")),IF(AND(ISBLANK(C337),ISTEXT(E337)),CONCATENATE(B337," - ",E337),IF(AND(ISBLANK(C337),ISBLANK(E337)),B337,CONCATENATE(B337," - ",D337,", ",F337,"kg/m, ",G337,"mm surface perimeter"))))&amp;IF(ISBLANK(H337),"",H337)))</f>
        <v>0</v>
      </c>
      <c r="J337" s="53"/>
      <c r="L337" s="4" t="str" cm="1">
        <f t="array" ref="L337">IF(COUNT(FIND({0,1,2,3,4,5,6,7,8,9},B337))&gt;0,COUNT(FIND({0,1,2,3,4,5,6,7,8,9},B337))&gt;0,"")</f>
        <v/>
      </c>
      <c r="M337" s="4" t="str" cm="1">
        <f t="array" aca="1" ref="M337" ca="1">IFERROR(_xlfn.IFS(R337="Count",RANDBETWEEN(1,COUNTIF($R$11:$R$653,"Count")),R337="Length",RANDBETWEEN(1,COUNTIF($R$11:$R$653,"Length"))),"")</f>
        <v/>
      </c>
      <c r="N337" s="4" t="str">
        <f ca="1">IFERROR(_xlfn.RANK.EQ(M337,$M$11:$M$653)+COUNTIF($M$11:M337,M337)-1,"")</f>
        <v/>
      </c>
      <c r="O337" s="86" t="str">
        <f>IF(A337='DATA SHEET'!$L$36,C337,IFERROR(IF(AND(ISTEXT(I337),ISBLANK(C337)),"No details",VLOOKUP(C337,DimFolder,2,FALSE)),""))</f>
        <v/>
      </c>
      <c r="P337" s="4" t="str">
        <f t="shared" si="101"/>
        <v/>
      </c>
      <c r="Q337" s="58" t="str">
        <f t="shared" si="100"/>
        <v/>
      </c>
      <c r="R337" s="4" t="e" cm="1">
        <f t="array" ref="R337">IF(INDEX(Table2[],_xlfn.XMATCH($A337,Table2[Steel Member],0),_xlfn.XMATCH(R$2,Table2[#Headers],0))=0,"",INDEX(Table2[],_xlfn.XMATCH($A337,Table2[Steel Member],0),_xlfn.XMATCH(R$2,Table2[#Headers],0)))</f>
        <v>#N/A</v>
      </c>
      <c r="S337" s="4" t="e" cm="1">
        <f t="array" ref="S337">IF(INDEX(Table2[],_xlfn.XMATCH($A337,Table2[Steel Member],0),_xlfn.XMATCH(S$2,Table2[#Headers],0))=0,"",INDEX(Table2[],_xlfn.XMATCH($A337,Table2[Steel Member],0),_xlfn.XMATCH(S$2,Table2[#Headers],0)))</f>
        <v>#N/A</v>
      </c>
      <c r="T337" s="4" t="str">
        <f t="shared" si="91"/>
        <v/>
      </c>
      <c r="U337" s="4" t="e">
        <f ca="1">VLOOKUP(N337,'COLOR CODE'!$B:$D,2,FALSE)</f>
        <v>#N/A</v>
      </c>
      <c r="V337" s="4" t="str">
        <f t="shared" si="92"/>
        <v/>
      </c>
      <c r="W337" s="4" t="e" cm="1">
        <f t="array" ref="W337">IF(INDEX(Table2[],_xlfn.XMATCH($A337,Table2[Steel Member],0),_xlfn.XMATCH(W$2,Table2[#Headers],0))=0,"",INDEX(Table2[],_xlfn.XMATCH($A337,Table2[Steel Member],0),_xlfn.XMATCH(W$2,Table2[#Headers],0)))</f>
        <v>#N/A</v>
      </c>
      <c r="X337" s="4" t="e">
        <f t="shared" si="102"/>
        <v>#N/A</v>
      </c>
      <c r="Y337" s="4" t="e" cm="1">
        <f t="array" ref="Y337">IF(INDEX(Table2[],_xlfn.XMATCH($A337,Table2[Steel Member],0),_xlfn.XMATCH(Y$2,Table2[#Headers],0))=0,"",INDEX(Table2[],_xlfn.XMATCH($A337,Table2[Steel Member],0),_xlfn.XMATCH(Y$2,Table2[#Headers],0)))</f>
        <v>#N/A</v>
      </c>
      <c r="Z337" s="4" t="e" cm="1">
        <f t="array" ref="Z337">IF(INDEX(Table2[],_xlfn.XMATCH($A337,Table2[Steel Member],0),_xlfn.XMATCH(Z$2,Table2[#Headers],0))=0,"",INDEX(Table2[],_xlfn.XMATCH($A337,Table2[Steel Member],0),_xlfn.XMATCH(Z$2,Table2[#Headers],0)))</f>
        <v>#N/A</v>
      </c>
      <c r="AA337" s="4" t="e" cm="1">
        <f t="array" ref="AA337">IF(INDEX(Table2[],_xlfn.XMATCH($A337,Table2[Steel Member],0),_xlfn.XMATCH(AA$2,Table2[#Headers],0))=0,"",INDEX(Table2[],_xlfn.XMATCH($A337,Table2[Steel Member],0),_xlfn.XMATCH(AA$2,Table2[#Headers],0)))</f>
        <v>#N/A</v>
      </c>
      <c r="AB337" s="4" t="e" cm="1">
        <f t="array" ref="AB337">IF(INDEX(Table2[],_xlfn.XMATCH($A337,Table2[Steel Member],0),_xlfn.XMATCH(AB$2,Table2[#Headers],0))=0,"",INDEX(Table2[],_xlfn.XMATCH($A337,Table2[Steel Member],0),_xlfn.XMATCH(AB$2,Table2[#Headers],0)))</f>
        <v>#N/A</v>
      </c>
      <c r="AC337" s="4" t="str" cm="1">
        <f t="array" ref="AC337">IFERROR(INDEX(Table8[],_xlfn.XMATCH($O337,Table8[Dimension Name Category],0),_xlfn.XMATCH(AC$2&amp;IF($L337," w/ tag"," w/o tag"),Table8[#Headers],0)),"")</f>
        <v/>
      </c>
      <c r="AD337" s="59" t="str">
        <f t="shared" si="93"/>
        <v/>
      </c>
      <c r="AE337" s="4" t="str">
        <f t="shared" si="94"/>
        <v/>
      </c>
      <c r="AF337" s="4" t="str">
        <f t="shared" si="95"/>
        <v/>
      </c>
      <c r="AG337" s="4" t="str" cm="1">
        <f t="array" ref="AG337">IFERROR(INDEX(Table8[],_xlfn.XMATCH($O337,Table8[Dimension Name Category],0),_xlfn.XMATCH(AG$2&amp;IF($L337," w/ tag"," w/o tag"),Table8[#Headers],0)),"")</f>
        <v/>
      </c>
      <c r="AH337" s="59" t="str">
        <f t="shared" si="96"/>
        <v/>
      </c>
      <c r="AI337" s="4"/>
      <c r="AJ337" s="4" t="str">
        <f t="shared" si="97"/>
        <v/>
      </c>
      <c r="AK337" s="4" t="str">
        <f t="shared" si="98"/>
        <v/>
      </c>
      <c r="AL337" s="4" t="e" cm="1">
        <f t="array" ref="AL337">IF(INDEX(Table2[],_xlfn.XMATCH($A337,Table2[Steel Member],0),_xlfn.XMATCH(AL$2,Table2[#Headers],0))=0,"",INDEX(Table2[],_xlfn.XMATCH($A337,Table2[Steel Member],0),_xlfn.XMATCH(AL$2,Table2[#Headers],0)))</f>
        <v>#N/A</v>
      </c>
      <c r="AM337" s="4"/>
      <c r="AN337" s="4" t="str">
        <f t="shared" si="99"/>
        <v/>
      </c>
      <c r="AO337" s="4"/>
      <c r="AP337" s="4" t="e" cm="1">
        <f t="array" ref="AP337">IF(INDEX(Table2[],_xlfn.XMATCH($A337,Table2[Steel Member],0),_xlfn.XMATCH(AP$2,Table2[#Headers],0))=0,"",INDEX(Table2[],_xlfn.XMATCH($A337,Table2[Steel Member],0),_xlfn.XMATCH(AP$2,Table2[#Headers],0)))</f>
        <v>#N/A</v>
      </c>
      <c r="AQ337" s="4"/>
      <c r="AR337" s="4"/>
      <c r="AS337" s="4"/>
      <c r="AT337" s="4"/>
    </row>
    <row r="338" spans="1:46" x14ac:dyDescent="0.25">
      <c r="A338" s="52"/>
      <c r="B338" s="52"/>
      <c r="C338" s="52"/>
      <c r="D338" s="52"/>
      <c r="E338" s="52"/>
      <c r="F338" s="64" cm="1">
        <f t="array" ref="F338">IF(COUNT(FIND(PurlinsxGirthsxBracings,$C338))&gt;0,0,ROUNDUP(IF(D338=0,0,VLOOKUP(D338,'DATA SHEET'!$B:$D,2,FALSE)),2))</f>
        <v>0</v>
      </c>
      <c r="G338" s="64" cm="1">
        <f t="array" ref="G338">IF(COUNT(FIND(PurlinsxGirthsxBracings,$C338))&gt;0,0,ROUNDUP(IF(D338=0,0,VLOOKUP(D338,'DATA SHEET'!$B:$D,3,FALSE)),2))</f>
        <v>0</v>
      </c>
      <c r="H338" s="53"/>
      <c r="I338" s="66" cm="1">
        <f t="array" ref="I338">IF(AND(ISBLANK(B338),ISBLANK(C338),ISBLANK(E338)),0,IF(COUNT(FIND(PurlinsxGirthsxBracings,$C338))&gt;0,IF(B338=0,CONCATENATE(E338," ",C338),CONCATENATE(B338," - ",E338," ",C338)),IF(B338=0,IF(ISBLANK(C338),E338,CONCATENATE(D338,", ",F338,"kg/m, ",G338,"mm surface perimeter")),IF(AND(ISBLANK(C338),ISTEXT(E338)),CONCATENATE(B338," - ",E338),IF(AND(ISBLANK(C338),ISBLANK(E338)),B338,CONCATENATE(B338," - ",D338,", ",F338,"kg/m, ",G338,"mm surface perimeter"))))&amp;IF(ISBLANK(H338),"",H338)))</f>
        <v>0</v>
      </c>
      <c r="J338" s="53"/>
      <c r="L338" s="4" t="str" cm="1">
        <f t="array" ref="L338">IF(COUNT(FIND({0,1,2,3,4,5,6,7,8,9},B338))&gt;0,COUNT(FIND({0,1,2,3,4,5,6,7,8,9},B338))&gt;0,"")</f>
        <v/>
      </c>
      <c r="M338" s="4" t="str" cm="1">
        <f t="array" aca="1" ref="M338" ca="1">IFERROR(_xlfn.IFS(R338="Count",RANDBETWEEN(1,COUNTIF($R$11:$R$653,"Count")),R338="Length",RANDBETWEEN(1,COUNTIF($R$11:$R$653,"Length"))),"")</f>
        <v/>
      </c>
      <c r="N338" s="4" t="str">
        <f ca="1">IFERROR(_xlfn.RANK.EQ(M338,$M$11:$M$653)+COUNTIF($M$11:M338,M338)-1,"")</f>
        <v/>
      </c>
      <c r="O338" s="86" t="str">
        <f>IF(A338='DATA SHEET'!$L$36,C338,IFERROR(IF(AND(ISTEXT(I338),ISBLANK(C338)),"No details",VLOOKUP(C338,DimFolder,2,FALSE)),""))</f>
        <v/>
      </c>
      <c r="P338" s="4" t="str">
        <f t="shared" si="101"/>
        <v/>
      </c>
      <c r="Q338" s="58" t="str">
        <f t="shared" si="100"/>
        <v/>
      </c>
      <c r="R338" s="4" t="e" cm="1">
        <f t="array" ref="R338">IF(INDEX(Table2[],_xlfn.XMATCH($A338,Table2[Steel Member],0),_xlfn.XMATCH(R$2,Table2[#Headers],0))=0,"",INDEX(Table2[],_xlfn.XMATCH($A338,Table2[Steel Member],0),_xlfn.XMATCH(R$2,Table2[#Headers],0)))</f>
        <v>#N/A</v>
      </c>
      <c r="S338" s="4" t="e" cm="1">
        <f t="array" ref="S338">IF(INDEX(Table2[],_xlfn.XMATCH($A338,Table2[Steel Member],0),_xlfn.XMATCH(S$2,Table2[#Headers],0))=0,"",INDEX(Table2[],_xlfn.XMATCH($A338,Table2[Steel Member],0),_xlfn.XMATCH(S$2,Table2[#Headers],0)))</f>
        <v>#N/A</v>
      </c>
      <c r="T338" s="4" t="str">
        <f t="shared" si="91"/>
        <v/>
      </c>
      <c r="U338" s="4" t="e">
        <f ca="1">VLOOKUP(N338,'COLOR CODE'!$B:$D,2,FALSE)</f>
        <v>#N/A</v>
      </c>
      <c r="V338" s="4" t="str">
        <f t="shared" si="92"/>
        <v/>
      </c>
      <c r="W338" s="4" t="e" cm="1">
        <f t="array" ref="W338">IF(INDEX(Table2[],_xlfn.XMATCH($A338,Table2[Steel Member],0),_xlfn.XMATCH(W$2,Table2[#Headers],0))=0,"",INDEX(Table2[],_xlfn.XMATCH($A338,Table2[Steel Member],0),_xlfn.XMATCH(W$2,Table2[#Headers],0)))</f>
        <v>#N/A</v>
      </c>
      <c r="X338" s="4" t="e">
        <f t="shared" si="102"/>
        <v>#N/A</v>
      </c>
      <c r="Y338" s="4" t="e" cm="1">
        <f t="array" ref="Y338">IF(INDEX(Table2[],_xlfn.XMATCH($A338,Table2[Steel Member],0),_xlfn.XMATCH(Y$2,Table2[#Headers],0))=0,"",INDEX(Table2[],_xlfn.XMATCH($A338,Table2[Steel Member],0),_xlfn.XMATCH(Y$2,Table2[#Headers],0)))</f>
        <v>#N/A</v>
      </c>
      <c r="Z338" s="4" t="e" cm="1">
        <f t="array" ref="Z338">IF(INDEX(Table2[],_xlfn.XMATCH($A338,Table2[Steel Member],0),_xlfn.XMATCH(Z$2,Table2[#Headers],0))=0,"",INDEX(Table2[],_xlfn.XMATCH($A338,Table2[Steel Member],0),_xlfn.XMATCH(Z$2,Table2[#Headers],0)))</f>
        <v>#N/A</v>
      </c>
      <c r="AA338" s="4" t="e" cm="1">
        <f t="array" ref="AA338">IF(INDEX(Table2[],_xlfn.XMATCH($A338,Table2[Steel Member],0),_xlfn.XMATCH(AA$2,Table2[#Headers],0))=0,"",INDEX(Table2[],_xlfn.XMATCH($A338,Table2[Steel Member],0),_xlfn.XMATCH(AA$2,Table2[#Headers],0)))</f>
        <v>#N/A</v>
      </c>
      <c r="AB338" s="4" t="e" cm="1">
        <f t="array" ref="AB338">IF(INDEX(Table2[],_xlfn.XMATCH($A338,Table2[Steel Member],0),_xlfn.XMATCH(AB$2,Table2[#Headers],0))=0,"",INDEX(Table2[],_xlfn.XMATCH($A338,Table2[Steel Member],0),_xlfn.XMATCH(AB$2,Table2[#Headers],0)))</f>
        <v>#N/A</v>
      </c>
      <c r="AC338" s="4" t="str" cm="1">
        <f t="array" ref="AC338">IFERROR(INDEX(Table8[],_xlfn.XMATCH($O338,Table8[Dimension Name Category],0),_xlfn.XMATCH(AC$2&amp;IF($L338," w/ tag"," w/o tag"),Table8[#Headers],0)),"")</f>
        <v/>
      </c>
      <c r="AD338" s="59" t="str">
        <f t="shared" si="93"/>
        <v/>
      </c>
      <c r="AE338" s="4" t="str">
        <f t="shared" si="94"/>
        <v/>
      </c>
      <c r="AF338" s="4" t="str">
        <f t="shared" si="95"/>
        <v/>
      </c>
      <c r="AG338" s="4" t="str" cm="1">
        <f t="array" ref="AG338">IFERROR(INDEX(Table8[],_xlfn.XMATCH($O338,Table8[Dimension Name Category],0),_xlfn.XMATCH(AG$2&amp;IF($L338," w/ tag"," w/o tag"),Table8[#Headers],0)),"")</f>
        <v/>
      </c>
      <c r="AH338" s="59" t="str">
        <f t="shared" si="96"/>
        <v/>
      </c>
      <c r="AI338" s="4"/>
      <c r="AJ338" s="4" t="str">
        <f t="shared" si="97"/>
        <v/>
      </c>
      <c r="AK338" s="4" t="str">
        <f t="shared" si="98"/>
        <v/>
      </c>
      <c r="AL338" s="4" t="e" cm="1">
        <f t="array" ref="AL338">IF(INDEX(Table2[],_xlfn.XMATCH($A338,Table2[Steel Member],0),_xlfn.XMATCH(AL$2,Table2[#Headers],0))=0,"",INDEX(Table2[],_xlfn.XMATCH($A338,Table2[Steel Member],0),_xlfn.XMATCH(AL$2,Table2[#Headers],0)))</f>
        <v>#N/A</v>
      </c>
      <c r="AM338" s="4"/>
      <c r="AN338" s="4" t="str">
        <f t="shared" si="99"/>
        <v/>
      </c>
      <c r="AO338" s="4"/>
      <c r="AP338" s="4" t="e" cm="1">
        <f t="array" ref="AP338">IF(INDEX(Table2[],_xlfn.XMATCH($A338,Table2[Steel Member],0),_xlfn.XMATCH(AP$2,Table2[#Headers],0))=0,"",INDEX(Table2[],_xlfn.XMATCH($A338,Table2[Steel Member],0),_xlfn.XMATCH(AP$2,Table2[#Headers],0)))</f>
        <v>#N/A</v>
      </c>
      <c r="AQ338" s="4"/>
      <c r="AR338" s="4"/>
      <c r="AS338" s="4"/>
      <c r="AT338" s="4"/>
    </row>
    <row r="339" spans="1:46" x14ac:dyDescent="0.25">
      <c r="A339" s="52"/>
      <c r="B339" s="52"/>
      <c r="C339" s="52"/>
      <c r="D339" s="52"/>
      <c r="E339" s="52"/>
      <c r="F339" s="64" cm="1">
        <f t="array" ref="F339">IF(COUNT(FIND(PurlinsxGirthsxBracings,$C339))&gt;0,0,ROUNDUP(IF(D339=0,0,VLOOKUP(D339,'DATA SHEET'!$B:$D,2,FALSE)),2))</f>
        <v>0</v>
      </c>
      <c r="G339" s="64" cm="1">
        <f t="array" ref="G339">IF(COUNT(FIND(PurlinsxGirthsxBracings,$C339))&gt;0,0,ROUNDUP(IF(D339=0,0,VLOOKUP(D339,'DATA SHEET'!$B:$D,3,FALSE)),2))</f>
        <v>0</v>
      </c>
      <c r="H339" s="53"/>
      <c r="I339" s="66" cm="1">
        <f t="array" ref="I339">IF(AND(ISBLANK(B339),ISBLANK(C339),ISBLANK(E339)),0,IF(COUNT(FIND(PurlinsxGirthsxBracings,$C339))&gt;0,IF(B339=0,CONCATENATE(E339," ",C339),CONCATENATE(B339," - ",E339," ",C339)),IF(B339=0,IF(ISBLANK(C339),E339,CONCATENATE(D339,", ",F339,"kg/m, ",G339,"mm surface perimeter")),IF(AND(ISBLANK(C339),ISTEXT(E339)),CONCATENATE(B339," - ",E339),IF(AND(ISBLANK(C339),ISBLANK(E339)),B339,CONCATENATE(B339," - ",D339,", ",F339,"kg/m, ",G339,"mm surface perimeter"))))&amp;IF(ISBLANK(H339),"",H339)))</f>
        <v>0</v>
      </c>
      <c r="J339" s="53"/>
      <c r="L339" s="4" t="str" cm="1">
        <f t="array" ref="L339">IF(COUNT(FIND({0,1,2,3,4,5,6,7,8,9},B339))&gt;0,COUNT(FIND({0,1,2,3,4,5,6,7,8,9},B339))&gt;0,"")</f>
        <v/>
      </c>
      <c r="M339" s="4" t="str" cm="1">
        <f t="array" aca="1" ref="M339" ca="1">IFERROR(_xlfn.IFS(R339="Count",RANDBETWEEN(1,COUNTIF($R$11:$R$653,"Count")),R339="Length",RANDBETWEEN(1,COUNTIF($R$11:$R$653,"Length"))),"")</f>
        <v/>
      </c>
      <c r="N339" s="4" t="str">
        <f ca="1">IFERROR(_xlfn.RANK.EQ(M339,$M$11:$M$653)+COUNTIF($M$11:M339,M339)-1,"")</f>
        <v/>
      </c>
      <c r="O339" s="86" t="str">
        <f>IF(A339='DATA SHEET'!$L$36,C339,IFERROR(IF(AND(ISTEXT(I339),ISBLANK(C339)),"No details",VLOOKUP(C339,DimFolder,2,FALSE)),""))</f>
        <v/>
      </c>
      <c r="P339" s="4" t="str">
        <f t="shared" si="101"/>
        <v/>
      </c>
      <c r="Q339" s="58" t="str">
        <f t="shared" si="100"/>
        <v/>
      </c>
      <c r="R339" s="4" t="e" cm="1">
        <f t="array" ref="R339">IF(INDEX(Table2[],_xlfn.XMATCH($A339,Table2[Steel Member],0),_xlfn.XMATCH(R$2,Table2[#Headers],0))=0,"",INDEX(Table2[],_xlfn.XMATCH($A339,Table2[Steel Member],0),_xlfn.XMATCH(R$2,Table2[#Headers],0)))</f>
        <v>#N/A</v>
      </c>
      <c r="S339" s="4" t="e" cm="1">
        <f t="array" ref="S339">IF(INDEX(Table2[],_xlfn.XMATCH($A339,Table2[Steel Member],0),_xlfn.XMATCH(S$2,Table2[#Headers],0))=0,"",INDEX(Table2[],_xlfn.XMATCH($A339,Table2[Steel Member],0),_xlfn.XMATCH(S$2,Table2[#Headers],0)))</f>
        <v>#N/A</v>
      </c>
      <c r="T339" s="4" t="str">
        <f t="shared" si="91"/>
        <v/>
      </c>
      <c r="U339" s="4" t="e">
        <f ca="1">VLOOKUP(N339,'COLOR CODE'!$B:$D,2,FALSE)</f>
        <v>#N/A</v>
      </c>
      <c r="V339" s="4" t="str">
        <f t="shared" si="92"/>
        <v/>
      </c>
      <c r="W339" s="4" t="e" cm="1">
        <f t="array" ref="W339">IF(INDEX(Table2[],_xlfn.XMATCH($A339,Table2[Steel Member],0),_xlfn.XMATCH(W$2,Table2[#Headers],0))=0,"",INDEX(Table2[],_xlfn.XMATCH($A339,Table2[Steel Member],0),_xlfn.XMATCH(W$2,Table2[#Headers],0)))</f>
        <v>#N/A</v>
      </c>
      <c r="X339" s="4" t="e">
        <f t="shared" si="102"/>
        <v>#N/A</v>
      </c>
      <c r="Y339" s="4" t="e" cm="1">
        <f t="array" ref="Y339">IF(INDEX(Table2[],_xlfn.XMATCH($A339,Table2[Steel Member],0),_xlfn.XMATCH(Y$2,Table2[#Headers],0))=0,"",INDEX(Table2[],_xlfn.XMATCH($A339,Table2[Steel Member],0),_xlfn.XMATCH(Y$2,Table2[#Headers],0)))</f>
        <v>#N/A</v>
      </c>
      <c r="Z339" s="4" t="e" cm="1">
        <f t="array" ref="Z339">IF(INDEX(Table2[],_xlfn.XMATCH($A339,Table2[Steel Member],0),_xlfn.XMATCH(Z$2,Table2[#Headers],0))=0,"",INDEX(Table2[],_xlfn.XMATCH($A339,Table2[Steel Member],0),_xlfn.XMATCH(Z$2,Table2[#Headers],0)))</f>
        <v>#N/A</v>
      </c>
      <c r="AA339" s="4" t="e" cm="1">
        <f t="array" ref="AA339">IF(INDEX(Table2[],_xlfn.XMATCH($A339,Table2[Steel Member],0),_xlfn.XMATCH(AA$2,Table2[#Headers],0))=0,"",INDEX(Table2[],_xlfn.XMATCH($A339,Table2[Steel Member],0),_xlfn.XMATCH(AA$2,Table2[#Headers],0)))</f>
        <v>#N/A</v>
      </c>
      <c r="AB339" s="4" t="e" cm="1">
        <f t="array" ref="AB339">IF(INDEX(Table2[],_xlfn.XMATCH($A339,Table2[Steel Member],0),_xlfn.XMATCH(AB$2,Table2[#Headers],0))=0,"",INDEX(Table2[],_xlfn.XMATCH($A339,Table2[Steel Member],0),_xlfn.XMATCH(AB$2,Table2[#Headers],0)))</f>
        <v>#N/A</v>
      </c>
      <c r="AC339" s="4" t="str" cm="1">
        <f t="array" ref="AC339">IFERROR(INDEX(Table8[],_xlfn.XMATCH($O339,Table8[Dimension Name Category],0),_xlfn.XMATCH(AC$2&amp;IF($L339," w/ tag"," w/o tag"),Table8[#Headers],0)),"")</f>
        <v/>
      </c>
      <c r="AD339" s="59" t="str">
        <f t="shared" si="93"/>
        <v/>
      </c>
      <c r="AE339" s="4" t="str">
        <f t="shared" si="94"/>
        <v/>
      </c>
      <c r="AF339" s="4" t="str">
        <f t="shared" si="95"/>
        <v/>
      </c>
      <c r="AG339" s="4" t="str" cm="1">
        <f t="array" ref="AG339">IFERROR(INDEX(Table8[],_xlfn.XMATCH($O339,Table8[Dimension Name Category],0),_xlfn.XMATCH(AG$2&amp;IF($L339," w/ tag"," w/o tag"),Table8[#Headers],0)),"")</f>
        <v/>
      </c>
      <c r="AH339" s="59" t="str">
        <f t="shared" si="96"/>
        <v/>
      </c>
      <c r="AI339" s="4"/>
      <c r="AJ339" s="4" t="str">
        <f t="shared" si="97"/>
        <v/>
      </c>
      <c r="AK339" s="4" t="str">
        <f t="shared" si="98"/>
        <v/>
      </c>
      <c r="AL339" s="4" t="e" cm="1">
        <f t="array" ref="AL339">IF(INDEX(Table2[],_xlfn.XMATCH($A339,Table2[Steel Member],0),_xlfn.XMATCH(AL$2,Table2[#Headers],0))=0,"",INDEX(Table2[],_xlfn.XMATCH($A339,Table2[Steel Member],0),_xlfn.XMATCH(AL$2,Table2[#Headers],0)))</f>
        <v>#N/A</v>
      </c>
      <c r="AM339" s="4"/>
      <c r="AN339" s="4" t="str">
        <f t="shared" si="99"/>
        <v/>
      </c>
      <c r="AO339" s="4"/>
      <c r="AP339" s="4" t="e" cm="1">
        <f t="array" ref="AP339">IF(INDEX(Table2[],_xlfn.XMATCH($A339,Table2[Steel Member],0),_xlfn.XMATCH(AP$2,Table2[#Headers],0))=0,"",INDEX(Table2[],_xlfn.XMATCH($A339,Table2[Steel Member],0),_xlfn.XMATCH(AP$2,Table2[#Headers],0)))</f>
        <v>#N/A</v>
      </c>
      <c r="AQ339" s="4"/>
      <c r="AR339" s="4"/>
      <c r="AS339" s="4"/>
      <c r="AT339" s="4"/>
    </row>
    <row r="340" spans="1:46" x14ac:dyDescent="0.25">
      <c r="A340" s="52"/>
      <c r="B340" s="52"/>
      <c r="C340" s="52"/>
      <c r="D340" s="52"/>
      <c r="E340" s="52"/>
      <c r="F340" s="64" cm="1">
        <f t="array" ref="F340">IF(COUNT(FIND(PurlinsxGirthsxBracings,$C340))&gt;0,0,ROUNDUP(IF(D340=0,0,VLOOKUP(D340,'DATA SHEET'!$B:$D,2,FALSE)),2))</f>
        <v>0</v>
      </c>
      <c r="G340" s="64" cm="1">
        <f t="array" ref="G340">IF(COUNT(FIND(PurlinsxGirthsxBracings,$C340))&gt;0,0,ROUNDUP(IF(D340=0,0,VLOOKUP(D340,'DATA SHEET'!$B:$D,3,FALSE)),2))</f>
        <v>0</v>
      </c>
      <c r="H340" s="53"/>
      <c r="I340" s="66" cm="1">
        <f t="array" ref="I340">IF(AND(ISBLANK(B340),ISBLANK(C340),ISBLANK(E340)),0,IF(COUNT(FIND(PurlinsxGirthsxBracings,$C340))&gt;0,IF(B340=0,CONCATENATE(E340," ",C340),CONCATENATE(B340," - ",E340," ",C340)),IF(B340=0,IF(ISBLANK(C340),E340,CONCATENATE(D340,", ",F340,"kg/m, ",G340,"mm surface perimeter")),IF(AND(ISBLANK(C340),ISTEXT(E340)),CONCATENATE(B340," - ",E340),IF(AND(ISBLANK(C340),ISBLANK(E340)),B340,CONCATENATE(B340," - ",D340,", ",F340,"kg/m, ",G340,"mm surface perimeter"))))&amp;IF(ISBLANK(H340),"",H340)))</f>
        <v>0</v>
      </c>
      <c r="J340" s="53"/>
      <c r="L340" s="4" t="str" cm="1">
        <f t="array" ref="L340">IF(COUNT(FIND({0,1,2,3,4,5,6,7,8,9},B340))&gt;0,COUNT(FIND({0,1,2,3,4,5,6,7,8,9},B340))&gt;0,"")</f>
        <v/>
      </c>
      <c r="M340" s="4" t="str" cm="1">
        <f t="array" aca="1" ref="M340" ca="1">IFERROR(_xlfn.IFS(R340="Count",RANDBETWEEN(1,COUNTIF($R$11:$R$653,"Count")),R340="Length",RANDBETWEEN(1,COUNTIF($R$11:$R$653,"Length"))),"")</f>
        <v/>
      </c>
      <c r="N340" s="4" t="str">
        <f ca="1">IFERROR(_xlfn.RANK.EQ(M340,$M$11:$M$653)+COUNTIF($M$11:M340,M340)-1,"")</f>
        <v/>
      </c>
      <c r="O340" s="86" t="str">
        <f>IF(A340='DATA SHEET'!$L$36,C340,IFERROR(IF(AND(ISTEXT(I340),ISBLANK(C340)),"No details",VLOOKUP(C340,DimFolder,2,FALSE)),""))</f>
        <v/>
      </c>
      <c r="P340" s="4" t="str">
        <f t="shared" si="101"/>
        <v/>
      </c>
      <c r="Q340" s="58" t="str">
        <f t="shared" si="100"/>
        <v/>
      </c>
      <c r="R340" s="4" t="e" cm="1">
        <f t="array" ref="R340">IF(INDEX(Table2[],_xlfn.XMATCH($A340,Table2[Steel Member],0),_xlfn.XMATCH(R$2,Table2[#Headers],0))=0,"",INDEX(Table2[],_xlfn.XMATCH($A340,Table2[Steel Member],0),_xlfn.XMATCH(R$2,Table2[#Headers],0)))</f>
        <v>#N/A</v>
      </c>
      <c r="S340" s="4" t="e" cm="1">
        <f t="array" ref="S340">IF(INDEX(Table2[],_xlfn.XMATCH($A340,Table2[Steel Member],0),_xlfn.XMATCH(S$2,Table2[#Headers],0))=0,"",INDEX(Table2[],_xlfn.XMATCH($A340,Table2[Steel Member],0),_xlfn.XMATCH(S$2,Table2[#Headers],0)))</f>
        <v>#N/A</v>
      </c>
      <c r="T340" s="4" t="str">
        <f t="shared" si="91"/>
        <v/>
      </c>
      <c r="U340" s="4" t="e">
        <f ca="1">VLOOKUP(N340,'COLOR CODE'!$B:$D,2,FALSE)</f>
        <v>#N/A</v>
      </c>
      <c r="V340" s="4" t="str">
        <f t="shared" si="92"/>
        <v/>
      </c>
      <c r="W340" s="4" t="e" cm="1">
        <f t="array" ref="W340">IF(INDEX(Table2[],_xlfn.XMATCH($A340,Table2[Steel Member],0),_xlfn.XMATCH(W$2,Table2[#Headers],0))=0,"",INDEX(Table2[],_xlfn.XMATCH($A340,Table2[Steel Member],0),_xlfn.XMATCH(W$2,Table2[#Headers],0)))</f>
        <v>#N/A</v>
      </c>
      <c r="X340" s="4" t="e">
        <f t="shared" si="102"/>
        <v>#N/A</v>
      </c>
      <c r="Y340" s="4" t="e" cm="1">
        <f t="array" ref="Y340">IF(INDEX(Table2[],_xlfn.XMATCH($A340,Table2[Steel Member],0),_xlfn.XMATCH(Y$2,Table2[#Headers],0))=0,"",INDEX(Table2[],_xlfn.XMATCH($A340,Table2[Steel Member],0),_xlfn.XMATCH(Y$2,Table2[#Headers],0)))</f>
        <v>#N/A</v>
      </c>
      <c r="Z340" s="4" t="e" cm="1">
        <f t="array" ref="Z340">IF(INDEX(Table2[],_xlfn.XMATCH($A340,Table2[Steel Member],0),_xlfn.XMATCH(Z$2,Table2[#Headers],0))=0,"",INDEX(Table2[],_xlfn.XMATCH($A340,Table2[Steel Member],0),_xlfn.XMATCH(Z$2,Table2[#Headers],0)))</f>
        <v>#N/A</v>
      </c>
      <c r="AA340" s="4" t="e" cm="1">
        <f t="array" ref="AA340">IF(INDEX(Table2[],_xlfn.XMATCH($A340,Table2[Steel Member],0),_xlfn.XMATCH(AA$2,Table2[#Headers],0))=0,"",INDEX(Table2[],_xlfn.XMATCH($A340,Table2[Steel Member],0),_xlfn.XMATCH(AA$2,Table2[#Headers],0)))</f>
        <v>#N/A</v>
      </c>
      <c r="AB340" s="4" t="e" cm="1">
        <f t="array" ref="AB340">IF(INDEX(Table2[],_xlfn.XMATCH($A340,Table2[Steel Member],0),_xlfn.XMATCH(AB$2,Table2[#Headers],0))=0,"",INDEX(Table2[],_xlfn.XMATCH($A340,Table2[Steel Member],0),_xlfn.XMATCH(AB$2,Table2[#Headers],0)))</f>
        <v>#N/A</v>
      </c>
      <c r="AC340" s="4" t="str" cm="1">
        <f t="array" ref="AC340">IFERROR(INDEX(Table8[],_xlfn.XMATCH($O340,Table8[Dimension Name Category],0),_xlfn.XMATCH(AC$2&amp;IF($L340," w/ tag"," w/o tag"),Table8[#Headers],0)),"")</f>
        <v/>
      </c>
      <c r="AD340" s="59" t="str">
        <f t="shared" si="93"/>
        <v/>
      </c>
      <c r="AE340" s="4" t="str">
        <f t="shared" si="94"/>
        <v/>
      </c>
      <c r="AF340" s="4" t="str">
        <f t="shared" si="95"/>
        <v/>
      </c>
      <c r="AG340" s="4" t="str" cm="1">
        <f t="array" ref="AG340">IFERROR(INDEX(Table8[],_xlfn.XMATCH($O340,Table8[Dimension Name Category],0),_xlfn.XMATCH(AG$2&amp;IF($L340," w/ tag"," w/o tag"),Table8[#Headers],0)),"")</f>
        <v/>
      </c>
      <c r="AH340" s="59" t="str">
        <f t="shared" si="96"/>
        <v/>
      </c>
      <c r="AI340" s="4"/>
      <c r="AJ340" s="4" t="str">
        <f t="shared" si="97"/>
        <v/>
      </c>
      <c r="AK340" s="4" t="str">
        <f t="shared" si="98"/>
        <v/>
      </c>
      <c r="AL340" s="4" t="e" cm="1">
        <f t="array" ref="AL340">IF(INDEX(Table2[],_xlfn.XMATCH($A340,Table2[Steel Member],0),_xlfn.XMATCH(AL$2,Table2[#Headers],0))=0,"",INDEX(Table2[],_xlfn.XMATCH($A340,Table2[Steel Member],0),_xlfn.XMATCH(AL$2,Table2[#Headers],0)))</f>
        <v>#N/A</v>
      </c>
      <c r="AM340" s="4"/>
      <c r="AN340" s="4" t="str">
        <f t="shared" si="99"/>
        <v/>
      </c>
      <c r="AO340" s="4"/>
      <c r="AP340" s="4" t="e" cm="1">
        <f t="array" ref="AP340">IF(INDEX(Table2[],_xlfn.XMATCH($A340,Table2[Steel Member],0),_xlfn.XMATCH(AP$2,Table2[#Headers],0))=0,"",INDEX(Table2[],_xlfn.XMATCH($A340,Table2[Steel Member],0),_xlfn.XMATCH(AP$2,Table2[#Headers],0)))</f>
        <v>#N/A</v>
      </c>
      <c r="AQ340" s="4"/>
      <c r="AR340" s="4"/>
      <c r="AS340" s="4"/>
      <c r="AT340" s="4"/>
    </row>
    <row r="341" spans="1:46" x14ac:dyDescent="0.25">
      <c r="A341" s="52"/>
      <c r="B341" s="52"/>
      <c r="C341" s="52"/>
      <c r="D341" s="52"/>
      <c r="E341" s="52"/>
      <c r="F341" s="64" cm="1">
        <f t="array" ref="F341">IF(COUNT(FIND(PurlinsxGirthsxBracings,$C341))&gt;0,0,ROUNDUP(IF(D341=0,0,VLOOKUP(D341,'DATA SHEET'!$B:$D,2,FALSE)),2))</f>
        <v>0</v>
      </c>
      <c r="G341" s="64" cm="1">
        <f t="array" ref="G341">IF(COUNT(FIND(PurlinsxGirthsxBracings,$C341))&gt;0,0,ROUNDUP(IF(D341=0,0,VLOOKUP(D341,'DATA SHEET'!$B:$D,3,FALSE)),2))</f>
        <v>0</v>
      </c>
      <c r="H341" s="53"/>
      <c r="I341" s="66" cm="1">
        <f t="array" ref="I341">IF(AND(ISBLANK(B341),ISBLANK(C341),ISBLANK(E341)),0,IF(COUNT(FIND(PurlinsxGirthsxBracings,$C341))&gt;0,IF(B341=0,CONCATENATE(E341," ",C341),CONCATENATE(B341," - ",E341," ",C341)),IF(B341=0,IF(ISBLANK(C341),E341,CONCATENATE(D341,", ",F341,"kg/m, ",G341,"mm surface perimeter")),IF(AND(ISBLANK(C341),ISTEXT(E341)),CONCATENATE(B341," - ",E341),IF(AND(ISBLANK(C341),ISBLANK(E341)),B341,CONCATENATE(B341," - ",D341,", ",F341,"kg/m, ",G341,"mm surface perimeter"))))&amp;IF(ISBLANK(H341),"",H341)))</f>
        <v>0</v>
      </c>
      <c r="J341" s="53"/>
      <c r="L341" s="4" t="str" cm="1">
        <f t="array" ref="L341">IF(COUNT(FIND({0,1,2,3,4,5,6,7,8,9},B341))&gt;0,COUNT(FIND({0,1,2,3,4,5,6,7,8,9},B341))&gt;0,"")</f>
        <v/>
      </c>
      <c r="M341" s="4" t="str" cm="1">
        <f t="array" aca="1" ref="M341" ca="1">IFERROR(_xlfn.IFS(R341="Count",RANDBETWEEN(1,COUNTIF($R$11:$R$653,"Count")),R341="Length",RANDBETWEEN(1,COUNTIF($R$11:$R$653,"Length"))),"")</f>
        <v/>
      </c>
      <c r="N341" s="4" t="str">
        <f ca="1">IFERROR(_xlfn.RANK.EQ(M341,$M$11:$M$653)+COUNTIF($M$11:M341,M341)-1,"")</f>
        <v/>
      </c>
      <c r="O341" s="86" t="str">
        <f>IF(A341='DATA SHEET'!$L$36,C341,IFERROR(IF(AND(ISTEXT(I341),ISBLANK(C341)),"No details",VLOOKUP(C341,DimFolder,2,FALSE)),""))</f>
        <v/>
      </c>
      <c r="P341" s="4" t="str">
        <f t="shared" si="101"/>
        <v/>
      </c>
      <c r="Q341" s="58" t="str">
        <f t="shared" si="100"/>
        <v/>
      </c>
      <c r="R341" s="4" t="e" cm="1">
        <f t="array" ref="R341">IF(INDEX(Table2[],_xlfn.XMATCH($A341,Table2[Steel Member],0),_xlfn.XMATCH(R$2,Table2[#Headers],0))=0,"",INDEX(Table2[],_xlfn.XMATCH($A341,Table2[Steel Member],0),_xlfn.XMATCH(R$2,Table2[#Headers],0)))</f>
        <v>#N/A</v>
      </c>
      <c r="S341" s="4" t="e" cm="1">
        <f t="array" ref="S341">IF(INDEX(Table2[],_xlfn.XMATCH($A341,Table2[Steel Member],0),_xlfn.XMATCH(S$2,Table2[#Headers],0))=0,"",INDEX(Table2[],_xlfn.XMATCH($A341,Table2[Steel Member],0),_xlfn.XMATCH(S$2,Table2[#Headers],0)))</f>
        <v>#N/A</v>
      </c>
      <c r="T341" s="4" t="str">
        <f t="shared" si="91"/>
        <v/>
      </c>
      <c r="U341" s="4" t="e">
        <f ca="1">VLOOKUP(N341,'COLOR CODE'!$B:$D,2,FALSE)</f>
        <v>#N/A</v>
      </c>
      <c r="V341" s="4" t="str">
        <f t="shared" si="92"/>
        <v/>
      </c>
      <c r="W341" s="4" t="e" cm="1">
        <f t="array" ref="W341">IF(INDEX(Table2[],_xlfn.XMATCH($A341,Table2[Steel Member],0),_xlfn.XMATCH(W$2,Table2[#Headers],0))=0,"",INDEX(Table2[],_xlfn.XMATCH($A341,Table2[Steel Member],0),_xlfn.XMATCH(W$2,Table2[#Headers],0)))</f>
        <v>#N/A</v>
      </c>
      <c r="X341" s="4" t="e">
        <f t="shared" si="102"/>
        <v>#N/A</v>
      </c>
      <c r="Y341" s="4" t="e" cm="1">
        <f t="array" ref="Y341">IF(INDEX(Table2[],_xlfn.XMATCH($A341,Table2[Steel Member],0),_xlfn.XMATCH(Y$2,Table2[#Headers],0))=0,"",INDEX(Table2[],_xlfn.XMATCH($A341,Table2[Steel Member],0),_xlfn.XMATCH(Y$2,Table2[#Headers],0)))</f>
        <v>#N/A</v>
      </c>
      <c r="Z341" s="4" t="e" cm="1">
        <f t="array" ref="Z341">IF(INDEX(Table2[],_xlfn.XMATCH($A341,Table2[Steel Member],0),_xlfn.XMATCH(Z$2,Table2[#Headers],0))=0,"",INDEX(Table2[],_xlfn.XMATCH($A341,Table2[Steel Member],0),_xlfn.XMATCH(Z$2,Table2[#Headers],0)))</f>
        <v>#N/A</v>
      </c>
      <c r="AA341" s="4" t="e" cm="1">
        <f t="array" ref="AA341">IF(INDEX(Table2[],_xlfn.XMATCH($A341,Table2[Steel Member],0),_xlfn.XMATCH(AA$2,Table2[#Headers],0))=0,"",INDEX(Table2[],_xlfn.XMATCH($A341,Table2[Steel Member],0),_xlfn.XMATCH(AA$2,Table2[#Headers],0)))</f>
        <v>#N/A</v>
      </c>
      <c r="AB341" s="4" t="e" cm="1">
        <f t="array" ref="AB341">IF(INDEX(Table2[],_xlfn.XMATCH($A341,Table2[Steel Member],0),_xlfn.XMATCH(AB$2,Table2[#Headers],0))=0,"",INDEX(Table2[],_xlfn.XMATCH($A341,Table2[Steel Member],0),_xlfn.XMATCH(AB$2,Table2[#Headers],0)))</f>
        <v>#N/A</v>
      </c>
      <c r="AC341" s="4" t="str" cm="1">
        <f t="array" ref="AC341">IFERROR(INDEX(Table8[],_xlfn.XMATCH($O341,Table8[Dimension Name Category],0),_xlfn.XMATCH(AC$2&amp;IF($L341," w/ tag"," w/o tag"),Table8[#Headers],0)),"")</f>
        <v/>
      </c>
      <c r="AD341" s="59" t="str">
        <f t="shared" si="93"/>
        <v/>
      </c>
      <c r="AE341" s="4" t="str">
        <f t="shared" si="94"/>
        <v/>
      </c>
      <c r="AF341" s="4" t="str">
        <f t="shared" si="95"/>
        <v/>
      </c>
      <c r="AG341" s="4" t="str" cm="1">
        <f t="array" ref="AG341">IFERROR(INDEX(Table8[],_xlfn.XMATCH($O341,Table8[Dimension Name Category],0),_xlfn.XMATCH(AG$2&amp;IF($L341," w/ tag"," w/o tag"),Table8[#Headers],0)),"")</f>
        <v/>
      </c>
      <c r="AH341" s="59" t="str">
        <f t="shared" si="96"/>
        <v/>
      </c>
      <c r="AI341" s="4"/>
      <c r="AJ341" s="4" t="str">
        <f t="shared" si="97"/>
        <v/>
      </c>
      <c r="AK341" s="4" t="str">
        <f t="shared" si="98"/>
        <v/>
      </c>
      <c r="AL341" s="4" t="e" cm="1">
        <f t="array" ref="AL341">IF(INDEX(Table2[],_xlfn.XMATCH($A341,Table2[Steel Member],0),_xlfn.XMATCH(AL$2,Table2[#Headers],0))=0,"",INDEX(Table2[],_xlfn.XMATCH($A341,Table2[Steel Member],0),_xlfn.XMATCH(AL$2,Table2[#Headers],0)))</f>
        <v>#N/A</v>
      </c>
      <c r="AM341" s="4"/>
      <c r="AN341" s="4" t="str">
        <f t="shared" si="99"/>
        <v/>
      </c>
      <c r="AO341" s="4"/>
      <c r="AP341" s="4" t="e" cm="1">
        <f t="array" ref="AP341">IF(INDEX(Table2[],_xlfn.XMATCH($A341,Table2[Steel Member],0),_xlfn.XMATCH(AP$2,Table2[#Headers],0))=0,"",INDEX(Table2[],_xlfn.XMATCH($A341,Table2[Steel Member],0),_xlfn.XMATCH(AP$2,Table2[#Headers],0)))</f>
        <v>#N/A</v>
      </c>
      <c r="AQ341" s="4"/>
      <c r="AR341" s="4"/>
      <c r="AS341" s="4"/>
      <c r="AT341" s="4"/>
    </row>
    <row r="342" spans="1:46" x14ac:dyDescent="0.25">
      <c r="A342" s="52"/>
      <c r="B342" s="52"/>
      <c r="C342" s="52"/>
      <c r="D342" s="52"/>
      <c r="E342" s="52"/>
      <c r="F342" s="64" cm="1">
        <f t="array" ref="F342">IF(COUNT(FIND(PurlinsxGirthsxBracings,$C342))&gt;0,0,ROUNDUP(IF(D342=0,0,VLOOKUP(D342,'DATA SHEET'!$B:$D,2,FALSE)),2))</f>
        <v>0</v>
      </c>
      <c r="G342" s="64" cm="1">
        <f t="array" ref="G342">IF(COUNT(FIND(PurlinsxGirthsxBracings,$C342))&gt;0,0,ROUNDUP(IF(D342=0,0,VLOOKUP(D342,'DATA SHEET'!$B:$D,3,FALSE)),2))</f>
        <v>0</v>
      </c>
      <c r="H342" s="53"/>
      <c r="I342" s="66" cm="1">
        <f t="array" ref="I342">IF(AND(ISBLANK(B342),ISBLANK(C342),ISBLANK(E342)),0,IF(COUNT(FIND(PurlinsxGirthsxBracings,$C342))&gt;0,IF(B342=0,CONCATENATE(E342," ",C342),CONCATENATE(B342," - ",E342," ",C342)),IF(B342=0,IF(ISBLANK(C342),E342,CONCATENATE(D342,", ",F342,"kg/m, ",G342,"mm surface perimeter")),IF(AND(ISBLANK(C342),ISTEXT(E342)),CONCATENATE(B342," - ",E342),IF(AND(ISBLANK(C342),ISBLANK(E342)),B342,CONCATENATE(B342," - ",D342,", ",F342,"kg/m, ",G342,"mm surface perimeter"))))&amp;IF(ISBLANK(H342),"",H342)))</f>
        <v>0</v>
      </c>
      <c r="J342" s="53"/>
      <c r="L342" s="4" t="str" cm="1">
        <f t="array" ref="L342">IF(COUNT(FIND({0,1,2,3,4,5,6,7,8,9},B342))&gt;0,COUNT(FIND({0,1,2,3,4,5,6,7,8,9},B342))&gt;0,"")</f>
        <v/>
      </c>
      <c r="M342" s="4" t="str" cm="1">
        <f t="array" aca="1" ref="M342" ca="1">IFERROR(_xlfn.IFS(R342="Count",RANDBETWEEN(1,COUNTIF($R$11:$R$653,"Count")),R342="Length",RANDBETWEEN(1,COUNTIF($R$11:$R$653,"Length"))),"")</f>
        <v/>
      </c>
      <c r="N342" s="4" t="str">
        <f ca="1">IFERROR(_xlfn.RANK.EQ(M342,$M$11:$M$653)+COUNTIF($M$11:M342,M342)-1,"")</f>
        <v/>
      </c>
      <c r="O342" s="86" t="str">
        <f>IF(A342='DATA SHEET'!$L$36,C342,IFERROR(IF(AND(ISTEXT(I342),ISBLANK(C342)),"No details",VLOOKUP(C342,DimFolder,2,FALSE)),""))</f>
        <v/>
      </c>
      <c r="P342" s="4" t="str">
        <f t="shared" si="101"/>
        <v/>
      </c>
      <c r="Q342" s="58" t="str">
        <f t="shared" si="100"/>
        <v/>
      </c>
      <c r="R342" s="4" t="e" cm="1">
        <f t="array" ref="R342">IF(INDEX(Table2[],_xlfn.XMATCH($A342,Table2[Steel Member],0),_xlfn.XMATCH(R$2,Table2[#Headers],0))=0,"",INDEX(Table2[],_xlfn.XMATCH($A342,Table2[Steel Member],0),_xlfn.XMATCH(R$2,Table2[#Headers],0)))</f>
        <v>#N/A</v>
      </c>
      <c r="S342" s="4" t="e" cm="1">
        <f t="array" ref="S342">IF(INDEX(Table2[],_xlfn.XMATCH($A342,Table2[Steel Member],0),_xlfn.XMATCH(S$2,Table2[#Headers],0))=0,"",INDEX(Table2[],_xlfn.XMATCH($A342,Table2[Steel Member],0),_xlfn.XMATCH(S$2,Table2[#Headers],0)))</f>
        <v>#N/A</v>
      </c>
      <c r="T342" s="4" t="str">
        <f t="shared" si="91"/>
        <v/>
      </c>
      <c r="U342" s="4" t="e">
        <f ca="1">VLOOKUP(N342,'COLOR CODE'!$B:$D,2,FALSE)</f>
        <v>#N/A</v>
      </c>
      <c r="V342" s="4" t="str">
        <f t="shared" si="92"/>
        <v/>
      </c>
      <c r="W342" s="4" t="e" cm="1">
        <f t="array" ref="W342">IF(INDEX(Table2[],_xlfn.XMATCH($A342,Table2[Steel Member],0),_xlfn.XMATCH(W$2,Table2[#Headers],0))=0,"",INDEX(Table2[],_xlfn.XMATCH($A342,Table2[Steel Member],0),_xlfn.XMATCH(W$2,Table2[#Headers],0)))</f>
        <v>#N/A</v>
      </c>
      <c r="X342" s="4" t="e">
        <f t="shared" si="102"/>
        <v>#N/A</v>
      </c>
      <c r="Y342" s="4" t="e" cm="1">
        <f t="array" ref="Y342">IF(INDEX(Table2[],_xlfn.XMATCH($A342,Table2[Steel Member],0),_xlfn.XMATCH(Y$2,Table2[#Headers],0))=0,"",INDEX(Table2[],_xlfn.XMATCH($A342,Table2[Steel Member],0),_xlfn.XMATCH(Y$2,Table2[#Headers],0)))</f>
        <v>#N/A</v>
      </c>
      <c r="Z342" s="4" t="e" cm="1">
        <f t="array" ref="Z342">IF(INDEX(Table2[],_xlfn.XMATCH($A342,Table2[Steel Member],0),_xlfn.XMATCH(Z$2,Table2[#Headers],0))=0,"",INDEX(Table2[],_xlfn.XMATCH($A342,Table2[Steel Member],0),_xlfn.XMATCH(Z$2,Table2[#Headers],0)))</f>
        <v>#N/A</v>
      </c>
      <c r="AA342" s="4" t="e" cm="1">
        <f t="array" ref="AA342">IF(INDEX(Table2[],_xlfn.XMATCH($A342,Table2[Steel Member],0),_xlfn.XMATCH(AA$2,Table2[#Headers],0))=0,"",INDEX(Table2[],_xlfn.XMATCH($A342,Table2[Steel Member],0),_xlfn.XMATCH(AA$2,Table2[#Headers],0)))</f>
        <v>#N/A</v>
      </c>
      <c r="AB342" s="4" t="e" cm="1">
        <f t="array" ref="AB342">IF(INDEX(Table2[],_xlfn.XMATCH($A342,Table2[Steel Member],0),_xlfn.XMATCH(AB$2,Table2[#Headers],0))=0,"",INDEX(Table2[],_xlfn.XMATCH($A342,Table2[Steel Member],0),_xlfn.XMATCH(AB$2,Table2[#Headers],0)))</f>
        <v>#N/A</v>
      </c>
      <c r="AC342" s="4" t="str" cm="1">
        <f t="array" ref="AC342">IFERROR(INDEX(Table8[],_xlfn.XMATCH($O342,Table8[Dimension Name Category],0),_xlfn.XMATCH(AC$2&amp;IF($L342," w/ tag"," w/o tag"),Table8[#Headers],0)),"")</f>
        <v/>
      </c>
      <c r="AD342" s="59" t="str">
        <f t="shared" si="93"/>
        <v/>
      </c>
      <c r="AE342" s="4" t="str">
        <f t="shared" si="94"/>
        <v/>
      </c>
      <c r="AF342" s="4" t="str">
        <f t="shared" si="95"/>
        <v/>
      </c>
      <c r="AG342" s="4" t="str" cm="1">
        <f t="array" ref="AG342">IFERROR(INDEX(Table8[],_xlfn.XMATCH($O342,Table8[Dimension Name Category],0),_xlfn.XMATCH(AG$2&amp;IF($L342," w/ tag"," w/o tag"),Table8[#Headers],0)),"")</f>
        <v/>
      </c>
      <c r="AH342" s="59" t="str">
        <f t="shared" si="96"/>
        <v/>
      </c>
      <c r="AI342" s="4"/>
      <c r="AJ342" s="4" t="str">
        <f t="shared" si="97"/>
        <v/>
      </c>
      <c r="AK342" s="4" t="str">
        <f t="shared" si="98"/>
        <v/>
      </c>
      <c r="AL342" s="4" t="e" cm="1">
        <f t="array" ref="AL342">IF(INDEX(Table2[],_xlfn.XMATCH($A342,Table2[Steel Member],0),_xlfn.XMATCH(AL$2,Table2[#Headers],0))=0,"",INDEX(Table2[],_xlfn.XMATCH($A342,Table2[Steel Member],0),_xlfn.XMATCH(AL$2,Table2[#Headers],0)))</f>
        <v>#N/A</v>
      </c>
      <c r="AM342" s="4"/>
      <c r="AN342" s="4" t="str">
        <f t="shared" si="99"/>
        <v/>
      </c>
      <c r="AO342" s="4"/>
      <c r="AP342" s="4" t="e" cm="1">
        <f t="array" ref="AP342">IF(INDEX(Table2[],_xlfn.XMATCH($A342,Table2[Steel Member],0),_xlfn.XMATCH(AP$2,Table2[#Headers],0))=0,"",INDEX(Table2[],_xlfn.XMATCH($A342,Table2[Steel Member],0),_xlfn.XMATCH(AP$2,Table2[#Headers],0)))</f>
        <v>#N/A</v>
      </c>
      <c r="AQ342" s="4"/>
      <c r="AR342" s="4"/>
      <c r="AS342" s="4"/>
      <c r="AT342" s="4"/>
    </row>
    <row r="343" spans="1:46" x14ac:dyDescent="0.25">
      <c r="A343" s="52"/>
      <c r="B343" s="52"/>
      <c r="C343" s="52"/>
      <c r="D343" s="52"/>
      <c r="E343" s="52"/>
      <c r="F343" s="64" cm="1">
        <f t="array" ref="F343">IF(COUNT(FIND(PurlinsxGirthsxBracings,$C343))&gt;0,0,ROUNDUP(IF(D343=0,0,VLOOKUP(D343,'DATA SHEET'!$B:$D,2,FALSE)),2))</f>
        <v>0</v>
      </c>
      <c r="G343" s="64" cm="1">
        <f t="array" ref="G343">IF(COUNT(FIND(PurlinsxGirthsxBracings,$C343))&gt;0,0,ROUNDUP(IF(D343=0,0,VLOOKUP(D343,'DATA SHEET'!$B:$D,3,FALSE)),2))</f>
        <v>0</v>
      </c>
      <c r="H343" s="53"/>
      <c r="I343" s="66" cm="1">
        <f t="array" ref="I343">IF(AND(ISBLANK(B343),ISBLANK(C343),ISBLANK(E343)),0,IF(COUNT(FIND(PurlinsxGirthsxBracings,$C343))&gt;0,IF(B343=0,CONCATENATE(E343," ",C343),CONCATENATE(B343," - ",E343," ",C343)),IF(B343=0,IF(ISBLANK(C343),E343,CONCATENATE(D343,", ",F343,"kg/m, ",G343,"mm surface perimeter")),IF(AND(ISBLANK(C343),ISTEXT(E343)),CONCATENATE(B343," - ",E343),IF(AND(ISBLANK(C343),ISBLANK(E343)),B343,CONCATENATE(B343," - ",D343,", ",F343,"kg/m, ",G343,"mm surface perimeter"))))&amp;IF(ISBLANK(H343),"",H343)))</f>
        <v>0</v>
      </c>
      <c r="J343" s="53"/>
      <c r="L343" s="4" t="str" cm="1">
        <f t="array" ref="L343">IF(COUNT(FIND({0,1,2,3,4,5,6,7,8,9},B343))&gt;0,COUNT(FIND({0,1,2,3,4,5,6,7,8,9},B343))&gt;0,"")</f>
        <v/>
      </c>
      <c r="M343" s="4" t="str" cm="1">
        <f t="array" aca="1" ref="M343" ca="1">IFERROR(_xlfn.IFS(R343="Count",RANDBETWEEN(1,COUNTIF($R$11:$R$653,"Count")),R343="Length",RANDBETWEEN(1,COUNTIF($R$11:$R$653,"Length"))),"")</f>
        <v/>
      </c>
      <c r="N343" s="4" t="str">
        <f ca="1">IFERROR(_xlfn.RANK.EQ(M343,$M$11:$M$653)+COUNTIF($M$11:M343,M343)-1,"")</f>
        <v/>
      </c>
      <c r="O343" s="86" t="str">
        <f>IF(A343='DATA SHEET'!$L$36,C343,IFERROR(IF(AND(ISTEXT(I343),ISBLANK(C343)),"No details",VLOOKUP(C343,DimFolder,2,FALSE)),""))</f>
        <v/>
      </c>
      <c r="P343" s="4" t="str">
        <f t="shared" si="101"/>
        <v/>
      </c>
      <c r="Q343" s="58" t="str">
        <f t="shared" si="100"/>
        <v/>
      </c>
      <c r="R343" s="4" t="e" cm="1">
        <f t="array" ref="R343">IF(INDEX(Table2[],_xlfn.XMATCH($A343,Table2[Steel Member],0),_xlfn.XMATCH(R$2,Table2[#Headers],0))=0,"",INDEX(Table2[],_xlfn.XMATCH($A343,Table2[Steel Member],0),_xlfn.XMATCH(R$2,Table2[#Headers],0)))</f>
        <v>#N/A</v>
      </c>
      <c r="S343" s="4" t="e" cm="1">
        <f t="array" ref="S343">IF(INDEX(Table2[],_xlfn.XMATCH($A343,Table2[Steel Member],0),_xlfn.XMATCH(S$2,Table2[#Headers],0))=0,"",INDEX(Table2[],_xlfn.XMATCH($A343,Table2[Steel Member],0),_xlfn.XMATCH(S$2,Table2[#Headers],0)))</f>
        <v>#N/A</v>
      </c>
      <c r="T343" s="4" t="str">
        <f t="shared" si="91"/>
        <v/>
      </c>
      <c r="U343" s="4" t="e">
        <f ca="1">VLOOKUP(N343,'COLOR CODE'!$B:$D,2,FALSE)</f>
        <v>#N/A</v>
      </c>
      <c r="V343" s="4" t="str">
        <f t="shared" si="92"/>
        <v/>
      </c>
      <c r="W343" s="4" t="e" cm="1">
        <f t="array" ref="W343">IF(INDEX(Table2[],_xlfn.XMATCH($A343,Table2[Steel Member],0),_xlfn.XMATCH(W$2,Table2[#Headers],0))=0,"",INDEX(Table2[],_xlfn.XMATCH($A343,Table2[Steel Member],0),_xlfn.XMATCH(W$2,Table2[#Headers],0)))</f>
        <v>#N/A</v>
      </c>
      <c r="X343" s="4" t="e">
        <f t="shared" si="102"/>
        <v>#N/A</v>
      </c>
      <c r="Y343" s="4" t="e" cm="1">
        <f t="array" ref="Y343">IF(INDEX(Table2[],_xlfn.XMATCH($A343,Table2[Steel Member],0),_xlfn.XMATCH(Y$2,Table2[#Headers],0))=0,"",INDEX(Table2[],_xlfn.XMATCH($A343,Table2[Steel Member],0),_xlfn.XMATCH(Y$2,Table2[#Headers],0)))</f>
        <v>#N/A</v>
      </c>
      <c r="Z343" s="4" t="e" cm="1">
        <f t="array" ref="Z343">IF(INDEX(Table2[],_xlfn.XMATCH($A343,Table2[Steel Member],0),_xlfn.XMATCH(Z$2,Table2[#Headers],0))=0,"",INDEX(Table2[],_xlfn.XMATCH($A343,Table2[Steel Member],0),_xlfn.XMATCH(Z$2,Table2[#Headers],0)))</f>
        <v>#N/A</v>
      </c>
      <c r="AA343" s="4" t="e" cm="1">
        <f t="array" ref="AA343">IF(INDEX(Table2[],_xlfn.XMATCH($A343,Table2[Steel Member],0),_xlfn.XMATCH(AA$2,Table2[#Headers],0))=0,"",INDEX(Table2[],_xlfn.XMATCH($A343,Table2[Steel Member],0),_xlfn.XMATCH(AA$2,Table2[#Headers],0)))</f>
        <v>#N/A</v>
      </c>
      <c r="AB343" s="4" t="e" cm="1">
        <f t="array" ref="AB343">IF(INDEX(Table2[],_xlfn.XMATCH($A343,Table2[Steel Member],0),_xlfn.XMATCH(AB$2,Table2[#Headers],0))=0,"",INDEX(Table2[],_xlfn.XMATCH($A343,Table2[Steel Member],0),_xlfn.XMATCH(AB$2,Table2[#Headers],0)))</f>
        <v>#N/A</v>
      </c>
      <c r="AC343" s="4" t="str" cm="1">
        <f t="array" ref="AC343">IFERROR(INDEX(Table8[],_xlfn.XMATCH($O343,Table8[Dimension Name Category],0),_xlfn.XMATCH(AC$2&amp;IF($L343," w/ tag"," w/o tag"),Table8[#Headers],0)),"")</f>
        <v/>
      </c>
      <c r="AD343" s="59" t="str">
        <f t="shared" si="93"/>
        <v/>
      </c>
      <c r="AE343" s="4" t="str">
        <f t="shared" si="94"/>
        <v/>
      </c>
      <c r="AF343" s="4" t="str">
        <f t="shared" si="95"/>
        <v/>
      </c>
      <c r="AG343" s="4" t="str" cm="1">
        <f t="array" ref="AG343">IFERROR(INDEX(Table8[],_xlfn.XMATCH($O343,Table8[Dimension Name Category],0),_xlfn.XMATCH(AG$2&amp;IF($L343," w/ tag"," w/o tag"),Table8[#Headers],0)),"")</f>
        <v/>
      </c>
      <c r="AH343" s="59" t="str">
        <f t="shared" si="96"/>
        <v/>
      </c>
      <c r="AI343" s="4"/>
      <c r="AJ343" s="4" t="str">
        <f t="shared" si="97"/>
        <v/>
      </c>
      <c r="AK343" s="4" t="str">
        <f t="shared" si="98"/>
        <v/>
      </c>
      <c r="AL343" s="4" t="e" cm="1">
        <f t="array" ref="AL343">IF(INDEX(Table2[],_xlfn.XMATCH($A343,Table2[Steel Member],0),_xlfn.XMATCH(AL$2,Table2[#Headers],0))=0,"",INDEX(Table2[],_xlfn.XMATCH($A343,Table2[Steel Member],0),_xlfn.XMATCH(AL$2,Table2[#Headers],0)))</f>
        <v>#N/A</v>
      </c>
      <c r="AM343" s="4"/>
      <c r="AN343" s="4" t="str">
        <f t="shared" si="99"/>
        <v/>
      </c>
      <c r="AO343" s="4"/>
      <c r="AP343" s="4" t="e" cm="1">
        <f t="array" ref="AP343">IF(INDEX(Table2[],_xlfn.XMATCH($A343,Table2[Steel Member],0),_xlfn.XMATCH(AP$2,Table2[#Headers],0))=0,"",INDEX(Table2[],_xlfn.XMATCH($A343,Table2[Steel Member],0),_xlfn.XMATCH(AP$2,Table2[#Headers],0)))</f>
        <v>#N/A</v>
      </c>
      <c r="AQ343" s="4"/>
      <c r="AR343" s="4"/>
      <c r="AS343" s="4"/>
      <c r="AT343" s="4"/>
    </row>
    <row r="344" spans="1:46" x14ac:dyDescent="0.25">
      <c r="A344" s="52"/>
      <c r="B344" s="52"/>
      <c r="C344" s="52"/>
      <c r="D344" s="52"/>
      <c r="E344" s="52"/>
      <c r="F344" s="64" cm="1">
        <f t="array" ref="F344">IF(COUNT(FIND(PurlinsxGirthsxBracings,$C344))&gt;0,0,ROUNDUP(IF(D344=0,0,VLOOKUP(D344,'DATA SHEET'!$B:$D,2,FALSE)),2))</f>
        <v>0</v>
      </c>
      <c r="G344" s="64" cm="1">
        <f t="array" ref="G344">IF(COUNT(FIND(PurlinsxGirthsxBracings,$C344))&gt;0,0,ROUNDUP(IF(D344=0,0,VLOOKUP(D344,'DATA SHEET'!$B:$D,3,FALSE)),2))</f>
        <v>0</v>
      </c>
      <c r="H344" s="53"/>
      <c r="I344" s="66" cm="1">
        <f t="array" ref="I344">IF(AND(ISBLANK(B344),ISBLANK(C344),ISBLANK(E344)),0,IF(COUNT(FIND(PurlinsxGirthsxBracings,$C344))&gt;0,IF(B344=0,CONCATENATE(E344," ",C344),CONCATENATE(B344," - ",E344," ",C344)),IF(B344=0,IF(ISBLANK(C344),E344,CONCATENATE(D344,", ",F344,"kg/m, ",G344,"mm surface perimeter")),IF(AND(ISBLANK(C344),ISTEXT(E344)),CONCATENATE(B344," - ",E344),IF(AND(ISBLANK(C344),ISBLANK(E344)),B344,CONCATENATE(B344," - ",D344,", ",F344,"kg/m, ",G344,"mm surface perimeter"))))&amp;IF(ISBLANK(H344),"",H344)))</f>
        <v>0</v>
      </c>
      <c r="J344" s="53"/>
      <c r="L344" s="4" t="str" cm="1">
        <f t="array" ref="L344">IF(COUNT(FIND({0,1,2,3,4,5,6,7,8,9},B344))&gt;0,COUNT(FIND({0,1,2,3,4,5,6,7,8,9},B344))&gt;0,"")</f>
        <v/>
      </c>
      <c r="M344" s="4" t="str" cm="1">
        <f t="array" aca="1" ref="M344" ca="1">IFERROR(_xlfn.IFS(R344="Count",RANDBETWEEN(1,COUNTIF($R$11:$R$653,"Count")),R344="Length",RANDBETWEEN(1,COUNTIF($R$11:$R$653,"Length"))),"")</f>
        <v/>
      </c>
      <c r="N344" s="4" t="str">
        <f ca="1">IFERROR(_xlfn.RANK.EQ(M344,$M$11:$M$653)+COUNTIF($M$11:M344,M344)-1,"")</f>
        <v/>
      </c>
      <c r="O344" s="86" t="str">
        <f>IF(A344='DATA SHEET'!$L$36,C344,IFERROR(IF(AND(ISTEXT(I344),ISBLANK(C344)),"No details",VLOOKUP(C344,DimFolder,2,FALSE)),""))</f>
        <v/>
      </c>
      <c r="P344" s="4" t="str">
        <f t="shared" si="101"/>
        <v/>
      </c>
      <c r="Q344" s="58" t="str">
        <f t="shared" si="100"/>
        <v/>
      </c>
      <c r="R344" s="4" t="e" cm="1">
        <f t="array" ref="R344">IF(INDEX(Table2[],_xlfn.XMATCH($A344,Table2[Steel Member],0),_xlfn.XMATCH(R$2,Table2[#Headers],0))=0,"",INDEX(Table2[],_xlfn.XMATCH($A344,Table2[Steel Member],0),_xlfn.XMATCH(R$2,Table2[#Headers],0)))</f>
        <v>#N/A</v>
      </c>
      <c r="S344" s="4" t="e" cm="1">
        <f t="array" ref="S344">IF(INDEX(Table2[],_xlfn.XMATCH($A344,Table2[Steel Member],0),_xlfn.XMATCH(S$2,Table2[#Headers],0))=0,"",INDEX(Table2[],_xlfn.XMATCH($A344,Table2[Steel Member],0),_xlfn.XMATCH(S$2,Table2[#Headers],0)))</f>
        <v>#N/A</v>
      </c>
      <c r="T344" s="4" t="str">
        <f t="shared" si="91"/>
        <v/>
      </c>
      <c r="U344" s="4" t="e">
        <f ca="1">VLOOKUP(N344,'COLOR CODE'!$B:$D,2,FALSE)</f>
        <v>#N/A</v>
      </c>
      <c r="V344" s="4" t="str">
        <f t="shared" si="92"/>
        <v/>
      </c>
      <c r="W344" s="4" t="e" cm="1">
        <f t="array" ref="W344">IF(INDEX(Table2[],_xlfn.XMATCH($A344,Table2[Steel Member],0),_xlfn.XMATCH(W$2,Table2[#Headers],0))=0,"",INDEX(Table2[],_xlfn.XMATCH($A344,Table2[Steel Member],0),_xlfn.XMATCH(W$2,Table2[#Headers],0)))</f>
        <v>#N/A</v>
      </c>
      <c r="X344" s="4" t="e">
        <f t="shared" si="102"/>
        <v>#N/A</v>
      </c>
      <c r="Y344" s="4" t="e" cm="1">
        <f t="array" ref="Y344">IF(INDEX(Table2[],_xlfn.XMATCH($A344,Table2[Steel Member],0),_xlfn.XMATCH(Y$2,Table2[#Headers],0))=0,"",INDEX(Table2[],_xlfn.XMATCH($A344,Table2[Steel Member],0),_xlfn.XMATCH(Y$2,Table2[#Headers],0)))</f>
        <v>#N/A</v>
      </c>
      <c r="Z344" s="4" t="e" cm="1">
        <f t="array" ref="Z344">IF(INDEX(Table2[],_xlfn.XMATCH($A344,Table2[Steel Member],0),_xlfn.XMATCH(Z$2,Table2[#Headers],0))=0,"",INDEX(Table2[],_xlfn.XMATCH($A344,Table2[Steel Member],0),_xlfn.XMATCH(Z$2,Table2[#Headers],0)))</f>
        <v>#N/A</v>
      </c>
      <c r="AA344" s="4" t="e" cm="1">
        <f t="array" ref="AA344">IF(INDEX(Table2[],_xlfn.XMATCH($A344,Table2[Steel Member],0),_xlfn.XMATCH(AA$2,Table2[#Headers],0))=0,"",INDEX(Table2[],_xlfn.XMATCH($A344,Table2[Steel Member],0),_xlfn.XMATCH(AA$2,Table2[#Headers],0)))</f>
        <v>#N/A</v>
      </c>
      <c r="AB344" s="4" t="e" cm="1">
        <f t="array" ref="AB344">IF(INDEX(Table2[],_xlfn.XMATCH($A344,Table2[Steel Member],0),_xlfn.XMATCH(AB$2,Table2[#Headers],0))=0,"",INDEX(Table2[],_xlfn.XMATCH($A344,Table2[Steel Member],0),_xlfn.XMATCH(AB$2,Table2[#Headers],0)))</f>
        <v>#N/A</v>
      </c>
      <c r="AC344" s="4" t="str" cm="1">
        <f t="array" ref="AC344">IFERROR(INDEX(Table8[],_xlfn.XMATCH($O344,Table8[Dimension Name Category],0),_xlfn.XMATCH(AC$2&amp;IF($L344," w/ tag"," w/o tag"),Table8[#Headers],0)),"")</f>
        <v/>
      </c>
      <c r="AD344" s="59" t="str">
        <f t="shared" si="93"/>
        <v/>
      </c>
      <c r="AE344" s="4" t="str">
        <f t="shared" si="94"/>
        <v/>
      </c>
      <c r="AF344" s="4" t="str">
        <f t="shared" si="95"/>
        <v/>
      </c>
      <c r="AG344" s="4" t="str" cm="1">
        <f t="array" ref="AG344">IFERROR(INDEX(Table8[],_xlfn.XMATCH($O344,Table8[Dimension Name Category],0),_xlfn.XMATCH(AG$2&amp;IF($L344," w/ tag"," w/o tag"),Table8[#Headers],0)),"")</f>
        <v/>
      </c>
      <c r="AH344" s="59" t="str">
        <f t="shared" si="96"/>
        <v/>
      </c>
      <c r="AI344" s="4"/>
      <c r="AJ344" s="4" t="str">
        <f t="shared" si="97"/>
        <v/>
      </c>
      <c r="AK344" s="4" t="str">
        <f t="shared" si="98"/>
        <v/>
      </c>
      <c r="AL344" s="4" t="e" cm="1">
        <f t="array" ref="AL344">IF(INDEX(Table2[],_xlfn.XMATCH($A344,Table2[Steel Member],0),_xlfn.XMATCH(AL$2,Table2[#Headers],0))=0,"",INDEX(Table2[],_xlfn.XMATCH($A344,Table2[Steel Member],0),_xlfn.XMATCH(AL$2,Table2[#Headers],0)))</f>
        <v>#N/A</v>
      </c>
      <c r="AM344" s="4"/>
      <c r="AN344" s="4" t="str">
        <f t="shared" si="99"/>
        <v/>
      </c>
      <c r="AO344" s="4"/>
      <c r="AP344" s="4" t="e" cm="1">
        <f t="array" ref="AP344">IF(INDEX(Table2[],_xlfn.XMATCH($A344,Table2[Steel Member],0),_xlfn.XMATCH(AP$2,Table2[#Headers],0))=0,"",INDEX(Table2[],_xlfn.XMATCH($A344,Table2[Steel Member],0),_xlfn.XMATCH(AP$2,Table2[#Headers],0)))</f>
        <v>#N/A</v>
      </c>
      <c r="AQ344" s="4"/>
      <c r="AR344" s="4"/>
      <c r="AS344" s="4"/>
      <c r="AT344" s="4"/>
    </row>
    <row r="345" spans="1:46" x14ac:dyDescent="0.25">
      <c r="A345" s="52"/>
      <c r="B345" s="52"/>
      <c r="C345" s="52"/>
      <c r="D345" s="52"/>
      <c r="E345" s="52"/>
      <c r="F345" s="64" cm="1">
        <f t="array" ref="F345">IF(COUNT(FIND(PurlinsxGirthsxBracings,$C345))&gt;0,0,ROUNDUP(IF(D345=0,0,VLOOKUP(D345,'DATA SHEET'!$B:$D,2,FALSE)),2))</f>
        <v>0</v>
      </c>
      <c r="G345" s="64" cm="1">
        <f t="array" ref="G345">IF(COUNT(FIND(PurlinsxGirthsxBracings,$C345))&gt;0,0,ROUNDUP(IF(D345=0,0,VLOOKUP(D345,'DATA SHEET'!$B:$D,3,FALSE)),2))</f>
        <v>0</v>
      </c>
      <c r="H345" s="53"/>
      <c r="I345" s="66" cm="1">
        <f t="array" ref="I345">IF(AND(ISBLANK(B345),ISBLANK(C345),ISBLANK(E345)),0,IF(COUNT(FIND(PurlinsxGirthsxBracings,$C345))&gt;0,IF(B345=0,CONCATENATE(E345," ",C345),CONCATENATE(B345," - ",E345," ",C345)),IF(B345=0,IF(ISBLANK(C345),E345,CONCATENATE(D345,", ",F345,"kg/m, ",G345,"mm surface perimeter")),IF(AND(ISBLANK(C345),ISTEXT(E345)),CONCATENATE(B345," - ",E345),IF(AND(ISBLANK(C345),ISBLANK(E345)),B345,CONCATENATE(B345," - ",D345,", ",F345,"kg/m, ",G345,"mm surface perimeter"))))&amp;IF(ISBLANK(H345),"",H345)))</f>
        <v>0</v>
      </c>
      <c r="J345" s="53"/>
      <c r="L345" s="4" t="str" cm="1">
        <f t="array" ref="L345">IF(COUNT(FIND({0,1,2,3,4,5,6,7,8,9},B345))&gt;0,COUNT(FIND({0,1,2,3,4,5,6,7,8,9},B345))&gt;0,"")</f>
        <v/>
      </c>
      <c r="M345" s="4" t="str" cm="1">
        <f t="array" aca="1" ref="M345" ca="1">IFERROR(_xlfn.IFS(R345="Count",RANDBETWEEN(1,COUNTIF($R$11:$R$653,"Count")),R345="Length",RANDBETWEEN(1,COUNTIF($R$11:$R$653,"Length"))),"")</f>
        <v/>
      </c>
      <c r="N345" s="4" t="str">
        <f ca="1">IFERROR(_xlfn.RANK.EQ(M345,$M$11:$M$653)+COUNTIF($M$11:M345,M345)-1,"")</f>
        <v/>
      </c>
      <c r="O345" s="86" t="str">
        <f>IF(A345='DATA SHEET'!$L$36,C345,IFERROR(IF(AND(ISTEXT(I345),ISBLANK(C345)),"No details",VLOOKUP(C345,DimFolder,2,FALSE)),""))</f>
        <v/>
      </c>
      <c r="P345" s="4" t="str">
        <f t="shared" si="101"/>
        <v/>
      </c>
      <c r="Q345" s="58" t="str">
        <f t="shared" si="100"/>
        <v/>
      </c>
      <c r="R345" s="4" t="e" cm="1">
        <f t="array" ref="R345">IF(INDEX(Table2[],_xlfn.XMATCH($A345,Table2[Steel Member],0),_xlfn.XMATCH(R$2,Table2[#Headers],0))=0,"",INDEX(Table2[],_xlfn.XMATCH($A345,Table2[Steel Member],0),_xlfn.XMATCH(R$2,Table2[#Headers],0)))</f>
        <v>#N/A</v>
      </c>
      <c r="S345" s="4" t="e" cm="1">
        <f t="array" ref="S345">IF(INDEX(Table2[],_xlfn.XMATCH($A345,Table2[Steel Member],0),_xlfn.XMATCH(S$2,Table2[#Headers],0))=0,"",INDEX(Table2[],_xlfn.XMATCH($A345,Table2[Steel Member],0),_xlfn.XMATCH(S$2,Table2[#Headers],0)))</f>
        <v>#N/A</v>
      </c>
      <c r="T345" s="4" t="str">
        <f t="shared" si="91"/>
        <v/>
      </c>
      <c r="U345" s="4" t="e">
        <f ca="1">VLOOKUP(N345,'COLOR CODE'!$B:$D,2,FALSE)</f>
        <v>#N/A</v>
      </c>
      <c r="V345" s="4" t="str">
        <f t="shared" si="92"/>
        <v/>
      </c>
      <c r="W345" s="4" t="e" cm="1">
        <f t="array" ref="W345">IF(INDEX(Table2[],_xlfn.XMATCH($A345,Table2[Steel Member],0),_xlfn.XMATCH(W$2,Table2[#Headers],0))=0,"",INDEX(Table2[],_xlfn.XMATCH($A345,Table2[Steel Member],0),_xlfn.XMATCH(W$2,Table2[#Headers],0)))</f>
        <v>#N/A</v>
      </c>
      <c r="X345" s="4" t="e">
        <f t="shared" si="102"/>
        <v>#N/A</v>
      </c>
      <c r="Y345" s="4" t="e" cm="1">
        <f t="array" ref="Y345">IF(INDEX(Table2[],_xlfn.XMATCH($A345,Table2[Steel Member],0),_xlfn.XMATCH(Y$2,Table2[#Headers],0))=0,"",INDEX(Table2[],_xlfn.XMATCH($A345,Table2[Steel Member],0),_xlfn.XMATCH(Y$2,Table2[#Headers],0)))</f>
        <v>#N/A</v>
      </c>
      <c r="Z345" s="4" t="e" cm="1">
        <f t="array" ref="Z345">IF(INDEX(Table2[],_xlfn.XMATCH($A345,Table2[Steel Member],0),_xlfn.XMATCH(Z$2,Table2[#Headers],0))=0,"",INDEX(Table2[],_xlfn.XMATCH($A345,Table2[Steel Member],0),_xlfn.XMATCH(Z$2,Table2[#Headers],0)))</f>
        <v>#N/A</v>
      </c>
      <c r="AA345" s="4" t="e" cm="1">
        <f t="array" ref="AA345">IF(INDEX(Table2[],_xlfn.XMATCH($A345,Table2[Steel Member],0),_xlfn.XMATCH(AA$2,Table2[#Headers],0))=0,"",INDEX(Table2[],_xlfn.XMATCH($A345,Table2[Steel Member],0),_xlfn.XMATCH(AA$2,Table2[#Headers],0)))</f>
        <v>#N/A</v>
      </c>
      <c r="AB345" s="4" t="e" cm="1">
        <f t="array" ref="AB345">IF(INDEX(Table2[],_xlfn.XMATCH($A345,Table2[Steel Member],0),_xlfn.XMATCH(AB$2,Table2[#Headers],0))=0,"",INDEX(Table2[],_xlfn.XMATCH($A345,Table2[Steel Member],0),_xlfn.XMATCH(AB$2,Table2[#Headers],0)))</f>
        <v>#N/A</v>
      </c>
      <c r="AC345" s="4" t="str" cm="1">
        <f t="array" ref="AC345">IFERROR(INDEX(Table8[],_xlfn.XMATCH($O345,Table8[Dimension Name Category],0),_xlfn.XMATCH(AC$2&amp;IF($L345," w/ tag"," w/o tag"),Table8[#Headers],0)),"")</f>
        <v/>
      </c>
      <c r="AD345" s="59" t="str">
        <f t="shared" si="93"/>
        <v/>
      </c>
      <c r="AE345" s="4" t="str">
        <f t="shared" si="94"/>
        <v/>
      </c>
      <c r="AF345" s="4" t="str">
        <f t="shared" si="95"/>
        <v/>
      </c>
      <c r="AG345" s="4" t="str" cm="1">
        <f t="array" ref="AG345">IFERROR(INDEX(Table8[],_xlfn.XMATCH($O345,Table8[Dimension Name Category],0),_xlfn.XMATCH(AG$2&amp;IF($L345," w/ tag"," w/o tag"),Table8[#Headers],0)),"")</f>
        <v/>
      </c>
      <c r="AH345" s="59" t="str">
        <f t="shared" si="96"/>
        <v/>
      </c>
      <c r="AI345" s="4"/>
      <c r="AJ345" s="4" t="str">
        <f t="shared" si="97"/>
        <v/>
      </c>
      <c r="AK345" s="4" t="str">
        <f t="shared" si="98"/>
        <v/>
      </c>
      <c r="AL345" s="4" t="e" cm="1">
        <f t="array" ref="AL345">IF(INDEX(Table2[],_xlfn.XMATCH($A345,Table2[Steel Member],0),_xlfn.XMATCH(AL$2,Table2[#Headers],0))=0,"",INDEX(Table2[],_xlfn.XMATCH($A345,Table2[Steel Member],0),_xlfn.XMATCH(AL$2,Table2[#Headers],0)))</f>
        <v>#N/A</v>
      </c>
      <c r="AM345" s="4"/>
      <c r="AN345" s="4" t="str">
        <f t="shared" si="99"/>
        <v/>
      </c>
      <c r="AO345" s="4"/>
      <c r="AP345" s="4" t="e" cm="1">
        <f t="array" ref="AP345">IF(INDEX(Table2[],_xlfn.XMATCH($A345,Table2[Steel Member],0),_xlfn.XMATCH(AP$2,Table2[#Headers],0))=0,"",INDEX(Table2[],_xlfn.XMATCH($A345,Table2[Steel Member],0),_xlfn.XMATCH(AP$2,Table2[#Headers],0)))</f>
        <v>#N/A</v>
      </c>
      <c r="AQ345" s="4"/>
      <c r="AR345" s="4"/>
      <c r="AS345" s="4"/>
      <c r="AT345" s="4"/>
    </row>
    <row r="346" spans="1:46" x14ac:dyDescent="0.25">
      <c r="A346" s="52"/>
      <c r="B346" s="52"/>
      <c r="C346" s="52"/>
      <c r="D346" s="52"/>
      <c r="E346" s="52"/>
      <c r="F346" s="64" cm="1">
        <f t="array" ref="F346">IF(COUNT(FIND(PurlinsxGirthsxBracings,$C346))&gt;0,0,ROUNDUP(IF(D346=0,0,VLOOKUP(D346,'DATA SHEET'!$B:$D,2,FALSE)),2))</f>
        <v>0</v>
      </c>
      <c r="G346" s="64" cm="1">
        <f t="array" ref="G346">IF(COUNT(FIND(PurlinsxGirthsxBracings,$C346))&gt;0,0,ROUNDUP(IF(D346=0,0,VLOOKUP(D346,'DATA SHEET'!$B:$D,3,FALSE)),2))</f>
        <v>0</v>
      </c>
      <c r="H346" s="53"/>
      <c r="I346" s="66" cm="1">
        <f t="array" ref="I346">IF(AND(ISBLANK(B346),ISBLANK(C346),ISBLANK(E346)),0,IF(COUNT(FIND(PurlinsxGirthsxBracings,$C346))&gt;0,IF(B346=0,CONCATENATE(E346," ",C346),CONCATENATE(B346," - ",E346," ",C346)),IF(B346=0,IF(ISBLANK(C346),E346,CONCATENATE(D346,", ",F346,"kg/m, ",G346,"mm surface perimeter")),IF(AND(ISBLANK(C346),ISTEXT(E346)),CONCATENATE(B346," - ",E346),IF(AND(ISBLANK(C346),ISBLANK(E346)),B346,CONCATENATE(B346," - ",D346,", ",F346,"kg/m, ",G346,"mm surface perimeter"))))&amp;IF(ISBLANK(H346),"",H346)))</f>
        <v>0</v>
      </c>
      <c r="J346" s="53"/>
      <c r="L346" s="4" t="str" cm="1">
        <f t="array" ref="L346">IF(COUNT(FIND({0,1,2,3,4,5,6,7,8,9},B346))&gt;0,COUNT(FIND({0,1,2,3,4,5,6,7,8,9},B346))&gt;0,"")</f>
        <v/>
      </c>
      <c r="M346" s="4" t="str" cm="1">
        <f t="array" aca="1" ref="M346" ca="1">IFERROR(_xlfn.IFS(R346="Count",RANDBETWEEN(1,COUNTIF($R$11:$R$653,"Count")),R346="Length",RANDBETWEEN(1,COUNTIF($R$11:$R$653,"Length"))),"")</f>
        <v/>
      </c>
      <c r="N346" s="4" t="str">
        <f ca="1">IFERROR(_xlfn.RANK.EQ(M346,$M$11:$M$653)+COUNTIF($M$11:M346,M346)-1,"")</f>
        <v/>
      </c>
      <c r="O346" s="86" t="str">
        <f>IF(A346='DATA SHEET'!$L$36,C346,IFERROR(IF(AND(ISTEXT(I346),ISBLANK(C346)),"No details",VLOOKUP(C346,DimFolder,2,FALSE)),""))</f>
        <v/>
      </c>
      <c r="P346" s="4" t="str">
        <f t="shared" si="101"/>
        <v/>
      </c>
      <c r="Q346" s="58" t="str">
        <f t="shared" si="100"/>
        <v/>
      </c>
      <c r="R346" s="4" t="e" cm="1">
        <f t="array" ref="R346">IF(INDEX(Table2[],_xlfn.XMATCH($A346,Table2[Steel Member],0),_xlfn.XMATCH(R$2,Table2[#Headers],0))=0,"",INDEX(Table2[],_xlfn.XMATCH($A346,Table2[Steel Member],0),_xlfn.XMATCH(R$2,Table2[#Headers],0)))</f>
        <v>#N/A</v>
      </c>
      <c r="S346" s="4" t="e" cm="1">
        <f t="array" ref="S346">IF(INDEX(Table2[],_xlfn.XMATCH($A346,Table2[Steel Member],0),_xlfn.XMATCH(S$2,Table2[#Headers],0))=0,"",INDEX(Table2[],_xlfn.XMATCH($A346,Table2[Steel Member],0),_xlfn.XMATCH(S$2,Table2[#Headers],0)))</f>
        <v>#N/A</v>
      </c>
      <c r="T346" s="4" t="str">
        <f t="shared" si="91"/>
        <v/>
      </c>
      <c r="U346" s="4" t="e">
        <f ca="1">VLOOKUP(N346,'COLOR CODE'!$B:$D,2,FALSE)</f>
        <v>#N/A</v>
      </c>
      <c r="V346" s="4" t="str">
        <f t="shared" si="92"/>
        <v/>
      </c>
      <c r="W346" s="4" t="e" cm="1">
        <f t="array" ref="W346">IF(INDEX(Table2[],_xlfn.XMATCH($A346,Table2[Steel Member],0),_xlfn.XMATCH(W$2,Table2[#Headers],0))=0,"",INDEX(Table2[],_xlfn.XMATCH($A346,Table2[Steel Member],0),_xlfn.XMATCH(W$2,Table2[#Headers],0)))</f>
        <v>#N/A</v>
      </c>
      <c r="X346" s="4" t="e">
        <f t="shared" si="102"/>
        <v>#N/A</v>
      </c>
      <c r="Y346" s="4" t="e" cm="1">
        <f t="array" ref="Y346">IF(INDEX(Table2[],_xlfn.XMATCH($A346,Table2[Steel Member],0),_xlfn.XMATCH(Y$2,Table2[#Headers],0))=0,"",INDEX(Table2[],_xlfn.XMATCH($A346,Table2[Steel Member],0),_xlfn.XMATCH(Y$2,Table2[#Headers],0)))</f>
        <v>#N/A</v>
      </c>
      <c r="Z346" s="4" t="e" cm="1">
        <f t="array" ref="Z346">IF(INDEX(Table2[],_xlfn.XMATCH($A346,Table2[Steel Member],0),_xlfn.XMATCH(Z$2,Table2[#Headers],0))=0,"",INDEX(Table2[],_xlfn.XMATCH($A346,Table2[Steel Member],0),_xlfn.XMATCH(Z$2,Table2[#Headers],0)))</f>
        <v>#N/A</v>
      </c>
      <c r="AA346" s="4" t="e" cm="1">
        <f t="array" ref="AA346">IF(INDEX(Table2[],_xlfn.XMATCH($A346,Table2[Steel Member],0),_xlfn.XMATCH(AA$2,Table2[#Headers],0))=0,"",INDEX(Table2[],_xlfn.XMATCH($A346,Table2[Steel Member],0),_xlfn.XMATCH(AA$2,Table2[#Headers],0)))</f>
        <v>#N/A</v>
      </c>
      <c r="AB346" s="4" t="e" cm="1">
        <f t="array" ref="AB346">IF(INDEX(Table2[],_xlfn.XMATCH($A346,Table2[Steel Member],0),_xlfn.XMATCH(AB$2,Table2[#Headers],0))=0,"",INDEX(Table2[],_xlfn.XMATCH($A346,Table2[Steel Member],0),_xlfn.XMATCH(AB$2,Table2[#Headers],0)))</f>
        <v>#N/A</v>
      </c>
      <c r="AC346" s="4" t="str" cm="1">
        <f t="array" ref="AC346">IFERROR(INDEX(Table8[],_xlfn.XMATCH($O346,Table8[Dimension Name Category],0),_xlfn.XMATCH(AC$2&amp;IF($L346," w/ tag"," w/o tag"),Table8[#Headers],0)),"")</f>
        <v/>
      </c>
      <c r="AD346" s="59" t="str">
        <f t="shared" si="93"/>
        <v/>
      </c>
      <c r="AE346" s="4" t="str">
        <f t="shared" si="94"/>
        <v/>
      </c>
      <c r="AF346" s="4" t="str">
        <f t="shared" si="95"/>
        <v/>
      </c>
      <c r="AG346" s="4" t="str" cm="1">
        <f t="array" ref="AG346">IFERROR(INDEX(Table8[],_xlfn.XMATCH($O346,Table8[Dimension Name Category],0),_xlfn.XMATCH(AG$2&amp;IF($L346," w/ tag"," w/o tag"),Table8[#Headers],0)),"")</f>
        <v/>
      </c>
      <c r="AH346" s="59" t="str">
        <f t="shared" si="96"/>
        <v/>
      </c>
      <c r="AI346" s="4"/>
      <c r="AJ346" s="4" t="str">
        <f t="shared" si="97"/>
        <v/>
      </c>
      <c r="AK346" s="4" t="str">
        <f t="shared" si="98"/>
        <v/>
      </c>
      <c r="AL346" s="4" t="e" cm="1">
        <f t="array" ref="AL346">IF(INDEX(Table2[],_xlfn.XMATCH($A346,Table2[Steel Member],0),_xlfn.XMATCH(AL$2,Table2[#Headers],0))=0,"",INDEX(Table2[],_xlfn.XMATCH($A346,Table2[Steel Member],0),_xlfn.XMATCH(AL$2,Table2[#Headers],0)))</f>
        <v>#N/A</v>
      </c>
      <c r="AM346" s="4"/>
      <c r="AN346" s="4" t="str">
        <f t="shared" si="99"/>
        <v/>
      </c>
      <c r="AO346" s="4"/>
      <c r="AP346" s="4" t="e" cm="1">
        <f t="array" ref="AP346">IF(INDEX(Table2[],_xlfn.XMATCH($A346,Table2[Steel Member],0),_xlfn.XMATCH(AP$2,Table2[#Headers],0))=0,"",INDEX(Table2[],_xlfn.XMATCH($A346,Table2[Steel Member],0),_xlfn.XMATCH(AP$2,Table2[#Headers],0)))</f>
        <v>#N/A</v>
      </c>
      <c r="AQ346" s="4"/>
      <c r="AR346" s="4"/>
      <c r="AS346" s="4"/>
      <c r="AT346" s="4"/>
    </row>
    <row r="347" spans="1:46" x14ac:dyDescent="0.25">
      <c r="A347" s="52"/>
      <c r="B347" s="52"/>
      <c r="C347" s="52"/>
      <c r="D347" s="52"/>
      <c r="E347" s="52"/>
      <c r="F347" s="64" cm="1">
        <f t="array" ref="F347">IF(COUNT(FIND(PurlinsxGirthsxBracings,$C347))&gt;0,0,ROUNDUP(IF(D347=0,0,VLOOKUP(D347,'DATA SHEET'!$B:$D,2,FALSE)),2))</f>
        <v>0</v>
      </c>
      <c r="G347" s="64" cm="1">
        <f t="array" ref="G347">IF(COUNT(FIND(PurlinsxGirthsxBracings,$C347))&gt;0,0,ROUNDUP(IF(D347=0,0,VLOOKUP(D347,'DATA SHEET'!$B:$D,3,FALSE)),2))</f>
        <v>0</v>
      </c>
      <c r="H347" s="53"/>
      <c r="I347" s="66" cm="1">
        <f t="array" ref="I347">IF(AND(ISBLANK(B347),ISBLANK(C347),ISBLANK(E347)),0,IF(COUNT(FIND(PurlinsxGirthsxBracings,$C347))&gt;0,IF(B347=0,CONCATENATE(E347," ",C347),CONCATENATE(B347," - ",E347," ",C347)),IF(B347=0,IF(ISBLANK(C347),E347,CONCATENATE(D347,", ",F347,"kg/m, ",G347,"mm surface perimeter")),IF(AND(ISBLANK(C347),ISTEXT(E347)),CONCATENATE(B347," - ",E347),IF(AND(ISBLANK(C347),ISBLANK(E347)),B347,CONCATENATE(B347," - ",D347,", ",F347,"kg/m, ",G347,"mm surface perimeter"))))&amp;IF(ISBLANK(H347),"",H347)))</f>
        <v>0</v>
      </c>
      <c r="J347" s="53"/>
      <c r="L347" s="4" t="str" cm="1">
        <f t="array" ref="L347">IF(COUNT(FIND({0,1,2,3,4,5,6,7,8,9},B347))&gt;0,COUNT(FIND({0,1,2,3,4,5,6,7,8,9},B347))&gt;0,"")</f>
        <v/>
      </c>
      <c r="M347" s="4" t="str" cm="1">
        <f t="array" aca="1" ref="M347" ca="1">IFERROR(_xlfn.IFS(R347="Count",RANDBETWEEN(1,COUNTIF($R$11:$R$653,"Count")),R347="Length",RANDBETWEEN(1,COUNTIF($R$11:$R$653,"Length"))),"")</f>
        <v/>
      </c>
      <c r="N347" s="4" t="str">
        <f ca="1">IFERROR(_xlfn.RANK.EQ(M347,$M$11:$M$653)+COUNTIF($M$11:M347,M347)-1,"")</f>
        <v/>
      </c>
      <c r="O347" s="86" t="str">
        <f>IF(A347='DATA SHEET'!$L$36,C347,IFERROR(IF(AND(ISTEXT(I347),ISBLANK(C347)),"No details",VLOOKUP(C347,DimFolder,2,FALSE)),""))</f>
        <v/>
      </c>
      <c r="P347" s="4" t="str">
        <f t="shared" si="101"/>
        <v/>
      </c>
      <c r="Q347" s="58" t="str">
        <f t="shared" si="100"/>
        <v/>
      </c>
      <c r="R347" s="4" t="e" cm="1">
        <f t="array" ref="R347">IF(INDEX(Table2[],_xlfn.XMATCH($A347,Table2[Steel Member],0),_xlfn.XMATCH(R$2,Table2[#Headers],0))=0,"",INDEX(Table2[],_xlfn.XMATCH($A347,Table2[Steel Member],0),_xlfn.XMATCH(R$2,Table2[#Headers],0)))</f>
        <v>#N/A</v>
      </c>
      <c r="S347" s="4" t="e" cm="1">
        <f t="array" ref="S347">IF(INDEX(Table2[],_xlfn.XMATCH($A347,Table2[Steel Member],0),_xlfn.XMATCH(S$2,Table2[#Headers],0))=0,"",INDEX(Table2[],_xlfn.XMATCH($A347,Table2[Steel Member],0),_xlfn.XMATCH(S$2,Table2[#Headers],0)))</f>
        <v>#N/A</v>
      </c>
      <c r="T347" s="4" t="str">
        <f t="shared" si="91"/>
        <v/>
      </c>
      <c r="U347" s="4" t="e">
        <f ca="1">VLOOKUP(N347,'COLOR CODE'!$B:$D,2,FALSE)</f>
        <v>#N/A</v>
      </c>
      <c r="V347" s="4" t="str">
        <f t="shared" si="92"/>
        <v/>
      </c>
      <c r="W347" s="4" t="e" cm="1">
        <f t="array" ref="W347">IF(INDEX(Table2[],_xlfn.XMATCH($A347,Table2[Steel Member],0),_xlfn.XMATCH(W$2,Table2[#Headers],0))=0,"",INDEX(Table2[],_xlfn.XMATCH($A347,Table2[Steel Member],0),_xlfn.XMATCH(W$2,Table2[#Headers],0)))</f>
        <v>#N/A</v>
      </c>
      <c r="X347" s="4" t="e">
        <f t="shared" si="102"/>
        <v>#N/A</v>
      </c>
      <c r="Y347" s="4" t="e" cm="1">
        <f t="array" ref="Y347">IF(INDEX(Table2[],_xlfn.XMATCH($A347,Table2[Steel Member],0),_xlfn.XMATCH(Y$2,Table2[#Headers],0))=0,"",INDEX(Table2[],_xlfn.XMATCH($A347,Table2[Steel Member],0),_xlfn.XMATCH(Y$2,Table2[#Headers],0)))</f>
        <v>#N/A</v>
      </c>
      <c r="Z347" s="4" t="e" cm="1">
        <f t="array" ref="Z347">IF(INDEX(Table2[],_xlfn.XMATCH($A347,Table2[Steel Member],0),_xlfn.XMATCH(Z$2,Table2[#Headers],0))=0,"",INDEX(Table2[],_xlfn.XMATCH($A347,Table2[Steel Member],0),_xlfn.XMATCH(Z$2,Table2[#Headers],0)))</f>
        <v>#N/A</v>
      </c>
      <c r="AA347" s="4" t="e" cm="1">
        <f t="array" ref="AA347">IF(INDEX(Table2[],_xlfn.XMATCH($A347,Table2[Steel Member],0),_xlfn.XMATCH(AA$2,Table2[#Headers],0))=0,"",INDEX(Table2[],_xlfn.XMATCH($A347,Table2[Steel Member],0),_xlfn.XMATCH(AA$2,Table2[#Headers],0)))</f>
        <v>#N/A</v>
      </c>
      <c r="AB347" s="4" t="e" cm="1">
        <f t="array" ref="AB347">IF(INDEX(Table2[],_xlfn.XMATCH($A347,Table2[Steel Member],0),_xlfn.XMATCH(AB$2,Table2[#Headers],0))=0,"",INDEX(Table2[],_xlfn.XMATCH($A347,Table2[Steel Member],0),_xlfn.XMATCH(AB$2,Table2[#Headers],0)))</f>
        <v>#N/A</v>
      </c>
      <c r="AC347" s="4" t="str" cm="1">
        <f t="array" ref="AC347">IFERROR(INDEX(Table8[],_xlfn.XMATCH($O347,Table8[Dimension Name Category],0),_xlfn.XMATCH(AC$2&amp;IF($L347," w/ tag"," w/o tag"),Table8[#Headers],0)),"")</f>
        <v/>
      </c>
      <c r="AD347" s="59" t="str">
        <f t="shared" si="93"/>
        <v/>
      </c>
      <c r="AE347" s="4" t="str">
        <f t="shared" si="94"/>
        <v/>
      </c>
      <c r="AF347" s="4" t="str">
        <f t="shared" si="95"/>
        <v/>
      </c>
      <c r="AG347" s="4" t="str" cm="1">
        <f t="array" ref="AG347">IFERROR(INDEX(Table8[],_xlfn.XMATCH($O347,Table8[Dimension Name Category],0),_xlfn.XMATCH(AG$2&amp;IF($L347," w/ tag"," w/o tag"),Table8[#Headers],0)),"")</f>
        <v/>
      </c>
      <c r="AH347" s="59" t="str">
        <f t="shared" si="96"/>
        <v/>
      </c>
      <c r="AI347" s="4"/>
      <c r="AJ347" s="4" t="str">
        <f t="shared" si="97"/>
        <v/>
      </c>
      <c r="AK347" s="4" t="str">
        <f t="shared" si="98"/>
        <v/>
      </c>
      <c r="AL347" s="4" t="e" cm="1">
        <f t="array" ref="AL347">IF(INDEX(Table2[],_xlfn.XMATCH($A347,Table2[Steel Member],0),_xlfn.XMATCH(AL$2,Table2[#Headers],0))=0,"",INDEX(Table2[],_xlfn.XMATCH($A347,Table2[Steel Member],0),_xlfn.XMATCH(AL$2,Table2[#Headers],0)))</f>
        <v>#N/A</v>
      </c>
      <c r="AM347" s="4"/>
      <c r="AN347" s="4" t="str">
        <f t="shared" si="99"/>
        <v/>
      </c>
      <c r="AO347" s="4"/>
      <c r="AP347" s="4" t="e" cm="1">
        <f t="array" ref="AP347">IF(INDEX(Table2[],_xlfn.XMATCH($A347,Table2[Steel Member],0),_xlfn.XMATCH(AP$2,Table2[#Headers],0))=0,"",INDEX(Table2[],_xlfn.XMATCH($A347,Table2[Steel Member],0),_xlfn.XMATCH(AP$2,Table2[#Headers],0)))</f>
        <v>#N/A</v>
      </c>
      <c r="AQ347" s="4"/>
      <c r="AR347" s="4"/>
      <c r="AS347" s="4"/>
      <c r="AT347" s="4"/>
    </row>
    <row r="348" spans="1:46" x14ac:dyDescent="0.25">
      <c r="A348" s="52"/>
      <c r="B348" s="52"/>
      <c r="C348" s="52"/>
      <c r="D348" s="52"/>
      <c r="E348" s="52"/>
      <c r="F348" s="64" cm="1">
        <f t="array" ref="F348">IF(COUNT(FIND(PurlinsxGirthsxBracings,$C348))&gt;0,0,ROUNDUP(IF(D348=0,0,VLOOKUP(D348,'DATA SHEET'!$B:$D,2,FALSE)),2))</f>
        <v>0</v>
      </c>
      <c r="G348" s="64" cm="1">
        <f t="array" ref="G348">IF(COUNT(FIND(PurlinsxGirthsxBracings,$C348))&gt;0,0,ROUNDUP(IF(D348=0,0,VLOOKUP(D348,'DATA SHEET'!$B:$D,3,FALSE)),2))</f>
        <v>0</v>
      </c>
      <c r="H348" s="53"/>
      <c r="I348" s="66" cm="1">
        <f t="array" ref="I348">IF(AND(ISBLANK(B348),ISBLANK(C348),ISBLANK(E348)),0,IF(COUNT(FIND(PurlinsxGirthsxBracings,$C348))&gt;0,IF(B348=0,CONCATENATE(E348," ",C348),CONCATENATE(B348," - ",E348," ",C348)),IF(B348=0,IF(ISBLANK(C348),E348,CONCATENATE(D348,", ",F348,"kg/m, ",G348,"mm surface perimeter")),IF(AND(ISBLANK(C348),ISTEXT(E348)),CONCATENATE(B348," - ",E348),IF(AND(ISBLANK(C348),ISBLANK(E348)),B348,CONCATENATE(B348," - ",D348,", ",F348,"kg/m, ",G348,"mm surface perimeter"))))&amp;IF(ISBLANK(H348),"",H348)))</f>
        <v>0</v>
      </c>
      <c r="J348" s="53"/>
      <c r="L348" s="4" t="str" cm="1">
        <f t="array" ref="L348">IF(COUNT(FIND({0,1,2,3,4,5,6,7,8,9},B348))&gt;0,COUNT(FIND({0,1,2,3,4,5,6,7,8,9},B348))&gt;0,"")</f>
        <v/>
      </c>
      <c r="M348" s="4" t="str" cm="1">
        <f t="array" aca="1" ref="M348" ca="1">IFERROR(_xlfn.IFS(R348="Count",RANDBETWEEN(1,COUNTIF($R$11:$R$653,"Count")),R348="Length",RANDBETWEEN(1,COUNTIF($R$11:$R$653,"Length"))),"")</f>
        <v/>
      </c>
      <c r="N348" s="4" t="str">
        <f ca="1">IFERROR(_xlfn.RANK.EQ(M348,$M$11:$M$653)+COUNTIF($M$11:M348,M348)-1,"")</f>
        <v/>
      </c>
      <c r="O348" s="86" t="str">
        <f>IF(A348='DATA SHEET'!$L$36,C348,IFERROR(IF(AND(ISTEXT(I348),ISBLANK(C348)),"No details",VLOOKUP(C348,DimFolder,2,FALSE)),""))</f>
        <v/>
      </c>
      <c r="P348" s="4" t="str">
        <f t="shared" si="101"/>
        <v/>
      </c>
      <c r="Q348" s="58" t="str">
        <f t="shared" si="100"/>
        <v/>
      </c>
      <c r="R348" s="4" t="e" cm="1">
        <f t="array" ref="R348">IF(INDEX(Table2[],_xlfn.XMATCH($A348,Table2[Steel Member],0),_xlfn.XMATCH(R$2,Table2[#Headers],0))=0,"",INDEX(Table2[],_xlfn.XMATCH($A348,Table2[Steel Member],0),_xlfn.XMATCH(R$2,Table2[#Headers],0)))</f>
        <v>#N/A</v>
      </c>
      <c r="S348" s="4" t="e" cm="1">
        <f t="array" ref="S348">IF(INDEX(Table2[],_xlfn.XMATCH($A348,Table2[Steel Member],0),_xlfn.XMATCH(S$2,Table2[#Headers],0))=0,"",INDEX(Table2[],_xlfn.XMATCH($A348,Table2[Steel Member],0),_xlfn.XMATCH(S$2,Table2[#Headers],0)))</f>
        <v>#N/A</v>
      </c>
      <c r="T348" s="4" t="str">
        <f t="shared" si="91"/>
        <v/>
      </c>
      <c r="U348" s="4" t="e">
        <f ca="1">VLOOKUP(N348,'COLOR CODE'!$B:$D,2,FALSE)</f>
        <v>#N/A</v>
      </c>
      <c r="V348" s="4" t="str">
        <f t="shared" si="92"/>
        <v/>
      </c>
      <c r="W348" s="4" t="e" cm="1">
        <f t="array" ref="W348">IF(INDEX(Table2[],_xlfn.XMATCH($A348,Table2[Steel Member],0),_xlfn.XMATCH(W$2,Table2[#Headers],0))=0,"",INDEX(Table2[],_xlfn.XMATCH($A348,Table2[Steel Member],0),_xlfn.XMATCH(W$2,Table2[#Headers],0)))</f>
        <v>#N/A</v>
      </c>
      <c r="X348" s="4" t="e">
        <f t="shared" si="102"/>
        <v>#N/A</v>
      </c>
      <c r="Y348" s="4" t="e" cm="1">
        <f t="array" ref="Y348">IF(INDEX(Table2[],_xlfn.XMATCH($A348,Table2[Steel Member],0),_xlfn.XMATCH(Y$2,Table2[#Headers],0))=0,"",INDEX(Table2[],_xlfn.XMATCH($A348,Table2[Steel Member],0),_xlfn.XMATCH(Y$2,Table2[#Headers],0)))</f>
        <v>#N/A</v>
      </c>
      <c r="Z348" s="4" t="e" cm="1">
        <f t="array" ref="Z348">IF(INDEX(Table2[],_xlfn.XMATCH($A348,Table2[Steel Member],0),_xlfn.XMATCH(Z$2,Table2[#Headers],0))=0,"",INDEX(Table2[],_xlfn.XMATCH($A348,Table2[Steel Member],0),_xlfn.XMATCH(Z$2,Table2[#Headers],0)))</f>
        <v>#N/A</v>
      </c>
      <c r="AA348" s="4" t="e" cm="1">
        <f t="array" ref="AA348">IF(INDEX(Table2[],_xlfn.XMATCH($A348,Table2[Steel Member],0),_xlfn.XMATCH(AA$2,Table2[#Headers],0))=0,"",INDEX(Table2[],_xlfn.XMATCH($A348,Table2[Steel Member],0),_xlfn.XMATCH(AA$2,Table2[#Headers],0)))</f>
        <v>#N/A</v>
      </c>
      <c r="AB348" s="4" t="e" cm="1">
        <f t="array" ref="AB348">IF(INDEX(Table2[],_xlfn.XMATCH($A348,Table2[Steel Member],0),_xlfn.XMATCH(AB$2,Table2[#Headers],0))=0,"",INDEX(Table2[],_xlfn.XMATCH($A348,Table2[Steel Member],0),_xlfn.XMATCH(AB$2,Table2[#Headers],0)))</f>
        <v>#N/A</v>
      </c>
      <c r="AC348" s="4" t="str" cm="1">
        <f t="array" ref="AC348">IFERROR(INDEX(Table8[],_xlfn.XMATCH($O348,Table8[Dimension Name Category],0),_xlfn.XMATCH(AC$2&amp;IF($L348," w/ tag"," w/o tag"),Table8[#Headers],0)),"")</f>
        <v/>
      </c>
      <c r="AD348" s="59" t="str">
        <f t="shared" si="93"/>
        <v/>
      </c>
      <c r="AE348" s="4" t="str">
        <f t="shared" si="94"/>
        <v/>
      </c>
      <c r="AF348" s="4" t="str">
        <f t="shared" si="95"/>
        <v/>
      </c>
      <c r="AG348" s="4" t="str" cm="1">
        <f t="array" ref="AG348">IFERROR(INDEX(Table8[],_xlfn.XMATCH($O348,Table8[Dimension Name Category],0),_xlfn.XMATCH(AG$2&amp;IF($L348," w/ tag"," w/o tag"),Table8[#Headers],0)),"")</f>
        <v/>
      </c>
      <c r="AH348" s="59" t="str">
        <f t="shared" si="96"/>
        <v/>
      </c>
      <c r="AI348" s="4"/>
      <c r="AJ348" s="4" t="str">
        <f t="shared" si="97"/>
        <v/>
      </c>
      <c r="AK348" s="4" t="str">
        <f t="shared" si="98"/>
        <v/>
      </c>
      <c r="AL348" s="4" t="e" cm="1">
        <f t="array" ref="AL348">IF(INDEX(Table2[],_xlfn.XMATCH($A348,Table2[Steel Member],0),_xlfn.XMATCH(AL$2,Table2[#Headers],0))=0,"",INDEX(Table2[],_xlfn.XMATCH($A348,Table2[Steel Member],0),_xlfn.XMATCH(AL$2,Table2[#Headers],0)))</f>
        <v>#N/A</v>
      </c>
      <c r="AM348" s="4"/>
      <c r="AN348" s="4" t="str">
        <f t="shared" si="99"/>
        <v/>
      </c>
      <c r="AO348" s="4"/>
      <c r="AP348" s="4" t="e" cm="1">
        <f t="array" ref="AP348">IF(INDEX(Table2[],_xlfn.XMATCH($A348,Table2[Steel Member],0),_xlfn.XMATCH(AP$2,Table2[#Headers],0))=0,"",INDEX(Table2[],_xlfn.XMATCH($A348,Table2[Steel Member],0),_xlfn.XMATCH(AP$2,Table2[#Headers],0)))</f>
        <v>#N/A</v>
      </c>
      <c r="AQ348" s="4"/>
      <c r="AR348" s="4"/>
      <c r="AS348" s="4"/>
      <c r="AT348" s="4"/>
    </row>
    <row r="349" spans="1:46" x14ac:dyDescent="0.25">
      <c r="A349" s="52"/>
      <c r="B349" s="52"/>
      <c r="C349" s="52"/>
      <c r="D349" s="52"/>
      <c r="E349" s="52"/>
      <c r="F349" s="64" cm="1">
        <f t="array" ref="F349">IF(COUNT(FIND(PurlinsxGirthsxBracings,$C349))&gt;0,0,ROUNDUP(IF(D349=0,0,VLOOKUP(D349,'DATA SHEET'!$B:$D,2,FALSE)),2))</f>
        <v>0</v>
      </c>
      <c r="G349" s="64" cm="1">
        <f t="array" ref="G349">IF(COUNT(FIND(PurlinsxGirthsxBracings,$C349))&gt;0,0,ROUNDUP(IF(D349=0,0,VLOOKUP(D349,'DATA SHEET'!$B:$D,3,FALSE)),2))</f>
        <v>0</v>
      </c>
      <c r="H349" s="53"/>
      <c r="I349" s="66" cm="1">
        <f t="array" ref="I349">IF(AND(ISBLANK(B349),ISBLANK(C349),ISBLANK(E349)),0,IF(COUNT(FIND(PurlinsxGirthsxBracings,$C349))&gt;0,IF(B349=0,CONCATENATE(E349," ",C349),CONCATENATE(B349," - ",E349," ",C349)),IF(B349=0,IF(ISBLANK(C349),E349,CONCATENATE(D349,", ",F349,"kg/m, ",G349,"mm surface perimeter")),IF(AND(ISBLANK(C349),ISTEXT(E349)),CONCATENATE(B349," - ",E349),IF(AND(ISBLANK(C349),ISBLANK(E349)),B349,CONCATENATE(B349," - ",D349,", ",F349,"kg/m, ",G349,"mm surface perimeter"))))&amp;IF(ISBLANK(H349),"",H349)))</f>
        <v>0</v>
      </c>
      <c r="J349" s="53"/>
      <c r="L349" s="4" t="str" cm="1">
        <f t="array" ref="L349">IF(COUNT(FIND({0,1,2,3,4,5,6,7,8,9},B349))&gt;0,COUNT(FIND({0,1,2,3,4,5,6,7,8,9},B349))&gt;0,"")</f>
        <v/>
      </c>
      <c r="M349" s="4" t="str" cm="1">
        <f t="array" aca="1" ref="M349" ca="1">IFERROR(_xlfn.IFS(R349="Count",RANDBETWEEN(1,COUNTIF($R$11:$R$653,"Count")),R349="Length",RANDBETWEEN(1,COUNTIF($R$11:$R$653,"Length"))),"")</f>
        <v/>
      </c>
      <c r="N349" s="4" t="str">
        <f ca="1">IFERROR(_xlfn.RANK.EQ(M349,$M$11:$M$653)+COUNTIF($M$11:M349,M349)-1,"")</f>
        <v/>
      </c>
      <c r="O349" s="86" t="str">
        <f>IF(A349='DATA SHEET'!$L$36,C349,IFERROR(IF(AND(ISTEXT(I349),ISBLANK(C349)),"No details",VLOOKUP(C349,DimFolder,2,FALSE)),""))</f>
        <v/>
      </c>
      <c r="P349" s="4" t="str">
        <f t="shared" si="101"/>
        <v/>
      </c>
      <c r="Q349" s="58" t="str">
        <f t="shared" si="100"/>
        <v/>
      </c>
      <c r="R349" s="4" t="e" cm="1">
        <f t="array" ref="R349">IF(INDEX(Table2[],_xlfn.XMATCH($A349,Table2[Steel Member],0),_xlfn.XMATCH(R$2,Table2[#Headers],0))=0,"",INDEX(Table2[],_xlfn.XMATCH($A349,Table2[Steel Member],0),_xlfn.XMATCH(R$2,Table2[#Headers],0)))</f>
        <v>#N/A</v>
      </c>
      <c r="S349" s="4" t="e" cm="1">
        <f t="array" ref="S349">IF(INDEX(Table2[],_xlfn.XMATCH($A349,Table2[Steel Member],0),_xlfn.XMATCH(S$2,Table2[#Headers],0))=0,"",INDEX(Table2[],_xlfn.XMATCH($A349,Table2[Steel Member],0),_xlfn.XMATCH(S$2,Table2[#Headers],0)))</f>
        <v>#N/A</v>
      </c>
      <c r="T349" s="4" t="str">
        <f t="shared" si="91"/>
        <v/>
      </c>
      <c r="U349" s="4" t="e">
        <f ca="1">VLOOKUP(N349,'COLOR CODE'!$B:$D,2,FALSE)</f>
        <v>#N/A</v>
      </c>
      <c r="V349" s="4" t="str">
        <f t="shared" si="92"/>
        <v/>
      </c>
      <c r="W349" s="4" t="e" cm="1">
        <f t="array" ref="W349">IF(INDEX(Table2[],_xlfn.XMATCH($A349,Table2[Steel Member],0),_xlfn.XMATCH(W$2,Table2[#Headers],0))=0,"",INDEX(Table2[],_xlfn.XMATCH($A349,Table2[Steel Member],0),_xlfn.XMATCH(W$2,Table2[#Headers],0)))</f>
        <v>#N/A</v>
      </c>
      <c r="X349" s="4" t="e">
        <f t="shared" si="102"/>
        <v>#N/A</v>
      </c>
      <c r="Y349" s="4" t="e" cm="1">
        <f t="array" ref="Y349">IF(INDEX(Table2[],_xlfn.XMATCH($A349,Table2[Steel Member],0),_xlfn.XMATCH(Y$2,Table2[#Headers],0))=0,"",INDEX(Table2[],_xlfn.XMATCH($A349,Table2[Steel Member],0),_xlfn.XMATCH(Y$2,Table2[#Headers],0)))</f>
        <v>#N/A</v>
      </c>
      <c r="Z349" s="4" t="e" cm="1">
        <f t="array" ref="Z349">IF(INDEX(Table2[],_xlfn.XMATCH($A349,Table2[Steel Member],0),_xlfn.XMATCH(Z$2,Table2[#Headers],0))=0,"",INDEX(Table2[],_xlfn.XMATCH($A349,Table2[Steel Member],0),_xlfn.XMATCH(Z$2,Table2[#Headers],0)))</f>
        <v>#N/A</v>
      </c>
      <c r="AA349" s="4" t="e" cm="1">
        <f t="array" ref="AA349">IF(INDEX(Table2[],_xlfn.XMATCH($A349,Table2[Steel Member],0),_xlfn.XMATCH(AA$2,Table2[#Headers],0))=0,"",INDEX(Table2[],_xlfn.XMATCH($A349,Table2[Steel Member],0),_xlfn.XMATCH(AA$2,Table2[#Headers],0)))</f>
        <v>#N/A</v>
      </c>
      <c r="AB349" s="4" t="e" cm="1">
        <f t="array" ref="AB349">IF(INDEX(Table2[],_xlfn.XMATCH($A349,Table2[Steel Member],0),_xlfn.XMATCH(AB$2,Table2[#Headers],0))=0,"",INDEX(Table2[],_xlfn.XMATCH($A349,Table2[Steel Member],0),_xlfn.XMATCH(AB$2,Table2[#Headers],0)))</f>
        <v>#N/A</v>
      </c>
      <c r="AC349" s="4" t="str" cm="1">
        <f t="array" ref="AC349">IFERROR(INDEX(Table8[],_xlfn.XMATCH($O349,Table8[Dimension Name Category],0),_xlfn.XMATCH(AC$2&amp;IF($L349," w/ tag"," w/o tag"),Table8[#Headers],0)),"")</f>
        <v/>
      </c>
      <c r="AD349" s="59" t="str">
        <f t="shared" si="93"/>
        <v/>
      </c>
      <c r="AE349" s="4" t="str">
        <f t="shared" si="94"/>
        <v/>
      </c>
      <c r="AF349" s="4" t="str">
        <f t="shared" si="95"/>
        <v/>
      </c>
      <c r="AG349" s="4" t="str" cm="1">
        <f t="array" ref="AG349">IFERROR(INDEX(Table8[],_xlfn.XMATCH($O349,Table8[Dimension Name Category],0),_xlfn.XMATCH(AG$2&amp;IF($L349," w/ tag"," w/o tag"),Table8[#Headers],0)),"")</f>
        <v/>
      </c>
      <c r="AH349" s="59" t="str">
        <f t="shared" si="96"/>
        <v/>
      </c>
      <c r="AI349" s="4"/>
      <c r="AJ349" s="4" t="str">
        <f t="shared" si="97"/>
        <v/>
      </c>
      <c r="AK349" s="4" t="str">
        <f t="shared" si="98"/>
        <v/>
      </c>
      <c r="AL349" s="4" t="e" cm="1">
        <f t="array" ref="AL349">IF(INDEX(Table2[],_xlfn.XMATCH($A349,Table2[Steel Member],0),_xlfn.XMATCH(AL$2,Table2[#Headers],0))=0,"",INDEX(Table2[],_xlfn.XMATCH($A349,Table2[Steel Member],0),_xlfn.XMATCH(AL$2,Table2[#Headers],0)))</f>
        <v>#N/A</v>
      </c>
      <c r="AM349" s="4"/>
      <c r="AN349" s="4" t="str">
        <f t="shared" si="99"/>
        <v/>
      </c>
      <c r="AO349" s="4"/>
      <c r="AP349" s="4" t="e" cm="1">
        <f t="array" ref="AP349">IF(INDEX(Table2[],_xlfn.XMATCH($A349,Table2[Steel Member],0),_xlfn.XMATCH(AP$2,Table2[#Headers],0))=0,"",INDEX(Table2[],_xlfn.XMATCH($A349,Table2[Steel Member],0),_xlfn.XMATCH(AP$2,Table2[#Headers],0)))</f>
        <v>#N/A</v>
      </c>
      <c r="AQ349" s="4"/>
      <c r="AR349" s="4"/>
      <c r="AS349" s="4"/>
      <c r="AT349" s="4"/>
    </row>
    <row r="350" spans="1:46" x14ac:dyDescent="0.25">
      <c r="A350" s="52"/>
      <c r="B350" s="52"/>
      <c r="C350" s="52"/>
      <c r="D350" s="52"/>
      <c r="E350" s="52"/>
      <c r="F350" s="64" cm="1">
        <f t="array" ref="F350">IF(COUNT(FIND(PurlinsxGirthsxBracings,$C350))&gt;0,0,ROUNDUP(IF(D350=0,0,VLOOKUP(D350,'DATA SHEET'!$B:$D,2,FALSE)),2))</f>
        <v>0</v>
      </c>
      <c r="G350" s="64" cm="1">
        <f t="array" ref="G350">IF(COUNT(FIND(PurlinsxGirthsxBracings,$C350))&gt;0,0,ROUNDUP(IF(D350=0,0,VLOOKUP(D350,'DATA SHEET'!$B:$D,3,FALSE)),2))</f>
        <v>0</v>
      </c>
      <c r="H350" s="53"/>
      <c r="I350" s="66" cm="1">
        <f t="array" ref="I350">IF(AND(ISBLANK(B350),ISBLANK(C350),ISBLANK(E350)),0,IF(COUNT(FIND(PurlinsxGirthsxBracings,$C350))&gt;0,IF(B350=0,CONCATENATE(E350," ",C350),CONCATENATE(B350," - ",E350," ",C350)),IF(B350=0,IF(ISBLANK(C350),E350,CONCATENATE(D350,", ",F350,"kg/m, ",G350,"mm surface perimeter")),IF(AND(ISBLANK(C350),ISTEXT(E350)),CONCATENATE(B350," - ",E350),IF(AND(ISBLANK(C350),ISBLANK(E350)),B350,CONCATENATE(B350," - ",D350,", ",F350,"kg/m, ",G350,"mm surface perimeter"))))&amp;IF(ISBLANK(H350),"",H350)))</f>
        <v>0</v>
      </c>
      <c r="J350" s="53"/>
      <c r="L350" s="4" t="str" cm="1">
        <f t="array" ref="L350">IF(COUNT(FIND({0,1,2,3,4,5,6,7,8,9},B350))&gt;0,COUNT(FIND({0,1,2,3,4,5,6,7,8,9},B350))&gt;0,"")</f>
        <v/>
      </c>
      <c r="M350" s="4" t="str" cm="1">
        <f t="array" aca="1" ref="M350" ca="1">IFERROR(_xlfn.IFS(R350="Count",RANDBETWEEN(1,COUNTIF($R$11:$R$653,"Count")),R350="Length",RANDBETWEEN(1,COUNTIF($R$11:$R$653,"Length"))),"")</f>
        <v/>
      </c>
      <c r="N350" s="4" t="str">
        <f ca="1">IFERROR(_xlfn.RANK.EQ(M350,$M$11:$M$653)+COUNTIF($M$11:M350,M350)-1,"")</f>
        <v/>
      </c>
      <c r="O350" s="86" t="str">
        <f>IF(A350='DATA SHEET'!$L$36,C350,IFERROR(IF(AND(ISTEXT(I350),ISBLANK(C350)),"No details",VLOOKUP(C350,DimFolder,2,FALSE)),""))</f>
        <v/>
      </c>
      <c r="P350" s="4" t="str">
        <f t="shared" si="101"/>
        <v/>
      </c>
      <c r="Q350" s="58" t="str">
        <f t="shared" si="100"/>
        <v/>
      </c>
      <c r="R350" s="4" t="e" cm="1">
        <f t="array" ref="R350">IF(INDEX(Table2[],_xlfn.XMATCH($A350,Table2[Steel Member],0),_xlfn.XMATCH(R$2,Table2[#Headers],0))=0,"",INDEX(Table2[],_xlfn.XMATCH($A350,Table2[Steel Member],0),_xlfn.XMATCH(R$2,Table2[#Headers],0)))</f>
        <v>#N/A</v>
      </c>
      <c r="S350" s="4" t="e" cm="1">
        <f t="array" ref="S350">IF(INDEX(Table2[],_xlfn.XMATCH($A350,Table2[Steel Member],0),_xlfn.XMATCH(S$2,Table2[#Headers],0))=0,"",INDEX(Table2[],_xlfn.XMATCH($A350,Table2[Steel Member],0),_xlfn.XMATCH(S$2,Table2[#Headers],0)))</f>
        <v>#N/A</v>
      </c>
      <c r="T350" s="4" t="str">
        <f t="shared" si="91"/>
        <v/>
      </c>
      <c r="U350" s="4" t="e">
        <f ca="1">VLOOKUP(N350,'COLOR CODE'!$B:$D,2,FALSE)</f>
        <v>#N/A</v>
      </c>
      <c r="V350" s="4" t="str">
        <f t="shared" si="92"/>
        <v/>
      </c>
      <c r="W350" s="4" t="e" cm="1">
        <f t="array" ref="W350">IF(INDEX(Table2[],_xlfn.XMATCH($A350,Table2[Steel Member],0),_xlfn.XMATCH(W$2,Table2[#Headers],0))=0,"",INDEX(Table2[],_xlfn.XMATCH($A350,Table2[Steel Member],0),_xlfn.XMATCH(W$2,Table2[#Headers],0)))</f>
        <v>#N/A</v>
      </c>
      <c r="X350" s="4" t="e">
        <f t="shared" si="102"/>
        <v>#N/A</v>
      </c>
      <c r="Y350" s="4" t="e" cm="1">
        <f t="array" ref="Y350">IF(INDEX(Table2[],_xlfn.XMATCH($A350,Table2[Steel Member],0),_xlfn.XMATCH(Y$2,Table2[#Headers],0))=0,"",INDEX(Table2[],_xlfn.XMATCH($A350,Table2[Steel Member],0),_xlfn.XMATCH(Y$2,Table2[#Headers],0)))</f>
        <v>#N/A</v>
      </c>
      <c r="Z350" s="4" t="e" cm="1">
        <f t="array" ref="Z350">IF(INDEX(Table2[],_xlfn.XMATCH($A350,Table2[Steel Member],0),_xlfn.XMATCH(Z$2,Table2[#Headers],0))=0,"",INDEX(Table2[],_xlfn.XMATCH($A350,Table2[Steel Member],0),_xlfn.XMATCH(Z$2,Table2[#Headers],0)))</f>
        <v>#N/A</v>
      </c>
      <c r="AA350" s="4" t="e" cm="1">
        <f t="array" ref="AA350">IF(INDEX(Table2[],_xlfn.XMATCH($A350,Table2[Steel Member],0),_xlfn.XMATCH(AA$2,Table2[#Headers],0))=0,"",INDEX(Table2[],_xlfn.XMATCH($A350,Table2[Steel Member],0),_xlfn.XMATCH(AA$2,Table2[#Headers],0)))</f>
        <v>#N/A</v>
      </c>
      <c r="AB350" s="4" t="e" cm="1">
        <f t="array" ref="AB350">IF(INDEX(Table2[],_xlfn.XMATCH($A350,Table2[Steel Member],0),_xlfn.XMATCH(AB$2,Table2[#Headers],0))=0,"",INDEX(Table2[],_xlfn.XMATCH($A350,Table2[Steel Member],0),_xlfn.XMATCH(AB$2,Table2[#Headers],0)))</f>
        <v>#N/A</v>
      </c>
      <c r="AC350" s="4" t="str" cm="1">
        <f t="array" ref="AC350">IFERROR(INDEX(Table8[],_xlfn.XMATCH($O350,Table8[Dimension Name Category],0),_xlfn.XMATCH(AC$2&amp;IF($L350," w/ tag"," w/o tag"),Table8[#Headers],0)),"")</f>
        <v/>
      </c>
      <c r="AD350" s="59" t="str">
        <f t="shared" si="93"/>
        <v/>
      </c>
      <c r="AE350" s="4" t="str">
        <f t="shared" si="94"/>
        <v/>
      </c>
      <c r="AF350" s="4" t="str">
        <f t="shared" si="95"/>
        <v/>
      </c>
      <c r="AG350" s="4" t="str" cm="1">
        <f t="array" ref="AG350">IFERROR(INDEX(Table8[],_xlfn.XMATCH($O350,Table8[Dimension Name Category],0),_xlfn.XMATCH(AG$2&amp;IF($L350," w/ tag"," w/o tag"),Table8[#Headers],0)),"")</f>
        <v/>
      </c>
      <c r="AH350" s="59" t="str">
        <f t="shared" si="96"/>
        <v/>
      </c>
      <c r="AI350" s="4"/>
      <c r="AJ350" s="4" t="str">
        <f t="shared" si="97"/>
        <v/>
      </c>
      <c r="AK350" s="4" t="str">
        <f t="shared" si="98"/>
        <v/>
      </c>
      <c r="AL350" s="4" t="e" cm="1">
        <f t="array" ref="AL350">IF(INDEX(Table2[],_xlfn.XMATCH($A350,Table2[Steel Member],0),_xlfn.XMATCH(AL$2,Table2[#Headers],0))=0,"",INDEX(Table2[],_xlfn.XMATCH($A350,Table2[Steel Member],0),_xlfn.XMATCH(AL$2,Table2[#Headers],0)))</f>
        <v>#N/A</v>
      </c>
      <c r="AM350" s="4"/>
      <c r="AN350" s="4" t="str">
        <f t="shared" si="99"/>
        <v/>
      </c>
      <c r="AO350" s="4"/>
      <c r="AP350" s="4" t="e" cm="1">
        <f t="array" ref="AP350">IF(INDEX(Table2[],_xlfn.XMATCH($A350,Table2[Steel Member],0),_xlfn.XMATCH(AP$2,Table2[#Headers],0))=0,"",INDEX(Table2[],_xlfn.XMATCH($A350,Table2[Steel Member],0),_xlfn.XMATCH(AP$2,Table2[#Headers],0)))</f>
        <v>#N/A</v>
      </c>
      <c r="AQ350" s="4"/>
      <c r="AR350" s="4"/>
      <c r="AS350" s="4"/>
      <c r="AT350" s="4"/>
    </row>
    <row r="351" spans="1:46" x14ac:dyDescent="0.25">
      <c r="A351" s="52"/>
      <c r="B351" s="52"/>
      <c r="C351" s="52"/>
      <c r="D351" s="52"/>
      <c r="E351" s="52"/>
      <c r="F351" s="64" cm="1">
        <f t="array" ref="F351">IF(COUNT(FIND(PurlinsxGirthsxBracings,$C351))&gt;0,0,ROUNDUP(IF(D351=0,0,VLOOKUP(D351,'DATA SHEET'!$B:$D,2,FALSE)),2))</f>
        <v>0</v>
      </c>
      <c r="G351" s="64" cm="1">
        <f t="array" ref="G351">IF(COUNT(FIND(PurlinsxGirthsxBracings,$C351))&gt;0,0,ROUNDUP(IF(D351=0,0,VLOOKUP(D351,'DATA SHEET'!$B:$D,3,FALSE)),2))</f>
        <v>0</v>
      </c>
      <c r="H351" s="53"/>
      <c r="I351" s="66" cm="1">
        <f t="array" ref="I351">IF(AND(ISBLANK(B351),ISBLANK(C351),ISBLANK(E351)),0,IF(COUNT(FIND(PurlinsxGirthsxBracings,$C351))&gt;0,IF(B351=0,CONCATENATE(E351," ",C351),CONCATENATE(B351," - ",E351," ",C351)),IF(B351=0,IF(ISBLANK(C351),E351,CONCATENATE(D351,", ",F351,"kg/m, ",G351,"mm surface perimeter")),IF(AND(ISBLANK(C351),ISTEXT(E351)),CONCATENATE(B351," - ",E351),IF(AND(ISBLANK(C351),ISBLANK(E351)),B351,CONCATENATE(B351," - ",D351,", ",F351,"kg/m, ",G351,"mm surface perimeter"))))&amp;IF(ISBLANK(H351),"",H351)))</f>
        <v>0</v>
      </c>
      <c r="J351" s="53"/>
      <c r="L351" s="4" t="str" cm="1">
        <f t="array" ref="L351">IF(COUNT(FIND({0,1,2,3,4,5,6,7,8,9},B351))&gt;0,COUNT(FIND({0,1,2,3,4,5,6,7,8,9},B351))&gt;0,"")</f>
        <v/>
      </c>
      <c r="M351" s="4" t="str" cm="1">
        <f t="array" aca="1" ref="M351" ca="1">IFERROR(_xlfn.IFS(R351="Count",RANDBETWEEN(1,COUNTIF($R$11:$R$653,"Count")),R351="Length",RANDBETWEEN(1,COUNTIF($R$11:$R$653,"Length"))),"")</f>
        <v/>
      </c>
      <c r="N351" s="4" t="str">
        <f ca="1">IFERROR(_xlfn.RANK.EQ(M351,$M$11:$M$653)+COUNTIF($M$11:M351,M351)-1,"")</f>
        <v/>
      </c>
      <c r="O351" s="86" t="str">
        <f>IF(A351='DATA SHEET'!$L$36,C351,IFERROR(IF(AND(ISTEXT(I351),ISBLANK(C351)),"No details",VLOOKUP(C351,DimFolder,2,FALSE)),""))</f>
        <v/>
      </c>
      <c r="P351" s="4" t="str">
        <f t="shared" si="101"/>
        <v/>
      </c>
      <c r="Q351" s="58" t="str">
        <f t="shared" si="100"/>
        <v/>
      </c>
      <c r="R351" s="4" t="e" cm="1">
        <f t="array" ref="R351">IF(INDEX(Table2[],_xlfn.XMATCH($A351,Table2[Steel Member],0),_xlfn.XMATCH(R$2,Table2[#Headers],0))=0,"",INDEX(Table2[],_xlfn.XMATCH($A351,Table2[Steel Member],0),_xlfn.XMATCH(R$2,Table2[#Headers],0)))</f>
        <v>#N/A</v>
      </c>
      <c r="S351" s="4" t="e" cm="1">
        <f t="array" ref="S351">IF(INDEX(Table2[],_xlfn.XMATCH($A351,Table2[Steel Member],0),_xlfn.XMATCH(S$2,Table2[#Headers],0))=0,"",INDEX(Table2[],_xlfn.XMATCH($A351,Table2[Steel Member],0),_xlfn.XMATCH(S$2,Table2[#Headers],0)))</f>
        <v>#N/A</v>
      </c>
      <c r="T351" s="4" t="str">
        <f t="shared" si="91"/>
        <v/>
      </c>
      <c r="U351" s="4" t="e">
        <f ca="1">VLOOKUP(N351,'COLOR CODE'!$B:$D,2,FALSE)</f>
        <v>#N/A</v>
      </c>
      <c r="V351" s="4" t="str">
        <f t="shared" si="92"/>
        <v/>
      </c>
      <c r="W351" s="4" t="e" cm="1">
        <f t="array" ref="W351">IF(INDEX(Table2[],_xlfn.XMATCH($A351,Table2[Steel Member],0),_xlfn.XMATCH(W$2,Table2[#Headers],0))=0,"",INDEX(Table2[],_xlfn.XMATCH($A351,Table2[Steel Member],0),_xlfn.XMATCH(W$2,Table2[#Headers],0)))</f>
        <v>#N/A</v>
      </c>
      <c r="X351" s="4" t="e">
        <f t="shared" si="102"/>
        <v>#N/A</v>
      </c>
      <c r="Y351" s="4" t="e" cm="1">
        <f t="array" ref="Y351">IF(INDEX(Table2[],_xlfn.XMATCH($A351,Table2[Steel Member],0),_xlfn.XMATCH(Y$2,Table2[#Headers],0))=0,"",INDEX(Table2[],_xlfn.XMATCH($A351,Table2[Steel Member],0),_xlfn.XMATCH(Y$2,Table2[#Headers],0)))</f>
        <v>#N/A</v>
      </c>
      <c r="Z351" s="4" t="e" cm="1">
        <f t="array" ref="Z351">IF(INDEX(Table2[],_xlfn.XMATCH($A351,Table2[Steel Member],0),_xlfn.XMATCH(Z$2,Table2[#Headers],0))=0,"",INDEX(Table2[],_xlfn.XMATCH($A351,Table2[Steel Member],0),_xlfn.XMATCH(Z$2,Table2[#Headers],0)))</f>
        <v>#N/A</v>
      </c>
      <c r="AA351" s="4" t="e" cm="1">
        <f t="array" ref="AA351">IF(INDEX(Table2[],_xlfn.XMATCH($A351,Table2[Steel Member],0),_xlfn.XMATCH(AA$2,Table2[#Headers],0))=0,"",INDEX(Table2[],_xlfn.XMATCH($A351,Table2[Steel Member],0),_xlfn.XMATCH(AA$2,Table2[#Headers],0)))</f>
        <v>#N/A</v>
      </c>
      <c r="AB351" s="4" t="e" cm="1">
        <f t="array" ref="AB351">IF(INDEX(Table2[],_xlfn.XMATCH($A351,Table2[Steel Member],0),_xlfn.XMATCH(AB$2,Table2[#Headers],0))=0,"",INDEX(Table2[],_xlfn.XMATCH($A351,Table2[Steel Member],0),_xlfn.XMATCH(AB$2,Table2[#Headers],0)))</f>
        <v>#N/A</v>
      </c>
      <c r="AC351" s="4" t="str" cm="1">
        <f t="array" ref="AC351">IFERROR(INDEX(Table8[],_xlfn.XMATCH($O351,Table8[Dimension Name Category],0),_xlfn.XMATCH(AC$2&amp;IF($L351," w/ tag"," w/o tag"),Table8[#Headers],0)),"")</f>
        <v/>
      </c>
      <c r="AD351" s="59" t="str">
        <f t="shared" si="93"/>
        <v/>
      </c>
      <c r="AE351" s="4" t="str">
        <f t="shared" si="94"/>
        <v/>
      </c>
      <c r="AF351" s="4" t="str">
        <f t="shared" si="95"/>
        <v/>
      </c>
      <c r="AG351" s="4" t="str" cm="1">
        <f t="array" ref="AG351">IFERROR(INDEX(Table8[],_xlfn.XMATCH($O351,Table8[Dimension Name Category],0),_xlfn.XMATCH(AG$2&amp;IF($L351," w/ tag"," w/o tag"),Table8[#Headers],0)),"")</f>
        <v/>
      </c>
      <c r="AH351" s="59" t="str">
        <f t="shared" si="96"/>
        <v/>
      </c>
      <c r="AI351" s="4"/>
      <c r="AJ351" s="4" t="str">
        <f t="shared" si="97"/>
        <v/>
      </c>
      <c r="AK351" s="4" t="str">
        <f t="shared" si="98"/>
        <v/>
      </c>
      <c r="AL351" s="4" t="e" cm="1">
        <f t="array" ref="AL351">IF(INDEX(Table2[],_xlfn.XMATCH($A351,Table2[Steel Member],0),_xlfn.XMATCH(AL$2,Table2[#Headers],0))=0,"",INDEX(Table2[],_xlfn.XMATCH($A351,Table2[Steel Member],0),_xlfn.XMATCH(AL$2,Table2[#Headers],0)))</f>
        <v>#N/A</v>
      </c>
      <c r="AM351" s="4"/>
      <c r="AN351" s="4" t="str">
        <f t="shared" si="99"/>
        <v/>
      </c>
      <c r="AO351" s="4"/>
      <c r="AP351" s="4" t="e" cm="1">
        <f t="array" ref="AP351">IF(INDEX(Table2[],_xlfn.XMATCH($A351,Table2[Steel Member],0),_xlfn.XMATCH(AP$2,Table2[#Headers],0))=0,"",INDEX(Table2[],_xlfn.XMATCH($A351,Table2[Steel Member],0),_xlfn.XMATCH(AP$2,Table2[#Headers],0)))</f>
        <v>#N/A</v>
      </c>
      <c r="AQ351" s="4"/>
      <c r="AR351" s="4"/>
      <c r="AS351" s="4"/>
      <c r="AT351" s="4"/>
    </row>
    <row r="352" spans="1:46" x14ac:dyDescent="0.25">
      <c r="A352" s="52"/>
      <c r="B352" s="52"/>
      <c r="C352" s="52"/>
      <c r="D352" s="52"/>
      <c r="E352" s="52"/>
      <c r="F352" s="64" cm="1">
        <f t="array" ref="F352">IF(COUNT(FIND(PurlinsxGirthsxBracings,$C352))&gt;0,0,ROUNDUP(IF(D352=0,0,VLOOKUP(D352,'DATA SHEET'!$B:$D,2,FALSE)),2))</f>
        <v>0</v>
      </c>
      <c r="G352" s="64" cm="1">
        <f t="array" ref="G352">IF(COUNT(FIND(PurlinsxGirthsxBracings,$C352))&gt;0,0,ROUNDUP(IF(D352=0,0,VLOOKUP(D352,'DATA SHEET'!$B:$D,3,FALSE)),2))</f>
        <v>0</v>
      </c>
      <c r="H352" s="53"/>
      <c r="I352" s="66" cm="1">
        <f t="array" ref="I352">IF(AND(ISBLANK(B352),ISBLANK(C352),ISBLANK(E352)),0,IF(COUNT(FIND(PurlinsxGirthsxBracings,$C352))&gt;0,IF(B352=0,CONCATENATE(E352," ",C352),CONCATENATE(B352," - ",E352," ",C352)),IF(B352=0,IF(ISBLANK(C352),E352,CONCATENATE(D352,", ",F352,"kg/m, ",G352,"mm surface perimeter")),IF(AND(ISBLANK(C352),ISTEXT(E352)),CONCATENATE(B352," - ",E352),IF(AND(ISBLANK(C352),ISBLANK(E352)),B352,CONCATENATE(B352," - ",D352,", ",F352,"kg/m, ",G352,"mm surface perimeter"))))&amp;IF(ISBLANK(H352),"",H352)))</f>
        <v>0</v>
      </c>
      <c r="J352" s="53"/>
      <c r="L352" s="4" t="str" cm="1">
        <f t="array" ref="L352">IF(COUNT(FIND({0,1,2,3,4,5,6,7,8,9},B352))&gt;0,COUNT(FIND({0,1,2,3,4,5,6,7,8,9},B352))&gt;0,"")</f>
        <v/>
      </c>
      <c r="M352" s="4" t="str" cm="1">
        <f t="array" aca="1" ref="M352" ca="1">IFERROR(_xlfn.IFS(R352="Count",RANDBETWEEN(1,COUNTIF($R$11:$R$653,"Count")),R352="Length",RANDBETWEEN(1,COUNTIF($R$11:$R$653,"Length"))),"")</f>
        <v/>
      </c>
      <c r="N352" s="4" t="str">
        <f ca="1">IFERROR(_xlfn.RANK.EQ(M352,$M$11:$M$653)+COUNTIF($M$11:M352,M352)-1,"")</f>
        <v/>
      </c>
      <c r="O352" s="86" t="str">
        <f>IF(A352='DATA SHEET'!$L$36,C352,IFERROR(IF(AND(ISTEXT(I352),ISBLANK(C352)),"No details",VLOOKUP(C352,DimFolder,2,FALSE)),""))</f>
        <v/>
      </c>
      <c r="P352" s="4" t="str">
        <f t="shared" si="101"/>
        <v/>
      </c>
      <c r="Q352" s="58" t="str">
        <f t="shared" si="100"/>
        <v/>
      </c>
      <c r="R352" s="4" t="e" cm="1">
        <f t="array" ref="R352">IF(INDEX(Table2[],_xlfn.XMATCH($A352,Table2[Steel Member],0),_xlfn.XMATCH(R$2,Table2[#Headers],0))=0,"",INDEX(Table2[],_xlfn.XMATCH($A352,Table2[Steel Member],0),_xlfn.XMATCH(R$2,Table2[#Headers],0)))</f>
        <v>#N/A</v>
      </c>
      <c r="S352" s="4" t="e" cm="1">
        <f t="array" ref="S352">IF(INDEX(Table2[],_xlfn.XMATCH($A352,Table2[Steel Member],0),_xlfn.XMATCH(S$2,Table2[#Headers],0))=0,"",INDEX(Table2[],_xlfn.XMATCH($A352,Table2[Steel Member],0),_xlfn.XMATCH(S$2,Table2[#Headers],0)))</f>
        <v>#N/A</v>
      </c>
      <c r="T352" s="4" t="str">
        <f t="shared" si="91"/>
        <v/>
      </c>
      <c r="U352" s="4" t="e">
        <f ca="1">VLOOKUP(N352,'COLOR CODE'!$B:$D,2,FALSE)</f>
        <v>#N/A</v>
      </c>
      <c r="V352" s="4" t="str">
        <f t="shared" si="92"/>
        <v/>
      </c>
      <c r="W352" s="4" t="e" cm="1">
        <f t="array" ref="W352">IF(INDEX(Table2[],_xlfn.XMATCH($A352,Table2[Steel Member],0),_xlfn.XMATCH(W$2,Table2[#Headers],0))=0,"",INDEX(Table2[],_xlfn.XMATCH($A352,Table2[Steel Member],0),_xlfn.XMATCH(W$2,Table2[#Headers],0)))</f>
        <v>#N/A</v>
      </c>
      <c r="X352" s="4" t="e">
        <f t="shared" si="102"/>
        <v>#N/A</v>
      </c>
      <c r="Y352" s="4" t="e" cm="1">
        <f t="array" ref="Y352">IF(INDEX(Table2[],_xlfn.XMATCH($A352,Table2[Steel Member],0),_xlfn.XMATCH(Y$2,Table2[#Headers],0))=0,"",INDEX(Table2[],_xlfn.XMATCH($A352,Table2[Steel Member],0),_xlfn.XMATCH(Y$2,Table2[#Headers],0)))</f>
        <v>#N/A</v>
      </c>
      <c r="Z352" s="4" t="e" cm="1">
        <f t="array" ref="Z352">IF(INDEX(Table2[],_xlfn.XMATCH($A352,Table2[Steel Member],0),_xlfn.XMATCH(Z$2,Table2[#Headers],0))=0,"",INDEX(Table2[],_xlfn.XMATCH($A352,Table2[Steel Member],0),_xlfn.XMATCH(Z$2,Table2[#Headers],0)))</f>
        <v>#N/A</v>
      </c>
      <c r="AA352" s="4" t="e" cm="1">
        <f t="array" ref="AA352">IF(INDEX(Table2[],_xlfn.XMATCH($A352,Table2[Steel Member],0),_xlfn.XMATCH(AA$2,Table2[#Headers],0))=0,"",INDEX(Table2[],_xlfn.XMATCH($A352,Table2[Steel Member],0),_xlfn.XMATCH(AA$2,Table2[#Headers],0)))</f>
        <v>#N/A</v>
      </c>
      <c r="AB352" s="4" t="e" cm="1">
        <f t="array" ref="AB352">IF(INDEX(Table2[],_xlfn.XMATCH($A352,Table2[Steel Member],0),_xlfn.XMATCH(AB$2,Table2[#Headers],0))=0,"",INDEX(Table2[],_xlfn.XMATCH($A352,Table2[Steel Member],0),_xlfn.XMATCH(AB$2,Table2[#Headers],0)))</f>
        <v>#N/A</v>
      </c>
      <c r="AC352" s="4" t="str" cm="1">
        <f t="array" ref="AC352">IFERROR(INDEX(Table8[],_xlfn.XMATCH($O352,Table8[Dimension Name Category],0),_xlfn.XMATCH(AC$2&amp;IF($L352," w/ tag"," w/o tag"),Table8[#Headers],0)),"")</f>
        <v/>
      </c>
      <c r="AD352" s="59" t="str">
        <f t="shared" si="93"/>
        <v/>
      </c>
      <c r="AE352" s="4" t="str">
        <f t="shared" si="94"/>
        <v/>
      </c>
      <c r="AF352" s="4" t="str">
        <f t="shared" si="95"/>
        <v/>
      </c>
      <c r="AG352" s="4" t="str" cm="1">
        <f t="array" ref="AG352">IFERROR(INDEX(Table8[],_xlfn.XMATCH($O352,Table8[Dimension Name Category],0),_xlfn.XMATCH(AG$2&amp;IF($L352," w/ tag"," w/o tag"),Table8[#Headers],0)),"")</f>
        <v/>
      </c>
      <c r="AH352" s="59" t="str">
        <f t="shared" si="96"/>
        <v/>
      </c>
      <c r="AI352" s="4"/>
      <c r="AJ352" s="4" t="str">
        <f t="shared" si="97"/>
        <v/>
      </c>
      <c r="AK352" s="4" t="str">
        <f t="shared" si="98"/>
        <v/>
      </c>
      <c r="AL352" s="4" t="e" cm="1">
        <f t="array" ref="AL352">IF(INDEX(Table2[],_xlfn.XMATCH($A352,Table2[Steel Member],0),_xlfn.XMATCH(AL$2,Table2[#Headers],0))=0,"",INDEX(Table2[],_xlfn.XMATCH($A352,Table2[Steel Member],0),_xlfn.XMATCH(AL$2,Table2[#Headers],0)))</f>
        <v>#N/A</v>
      </c>
      <c r="AM352" s="4"/>
      <c r="AN352" s="4" t="str">
        <f t="shared" si="99"/>
        <v/>
      </c>
      <c r="AO352" s="4"/>
      <c r="AP352" s="4" t="e" cm="1">
        <f t="array" ref="AP352">IF(INDEX(Table2[],_xlfn.XMATCH($A352,Table2[Steel Member],0),_xlfn.XMATCH(AP$2,Table2[#Headers],0))=0,"",INDEX(Table2[],_xlfn.XMATCH($A352,Table2[Steel Member],0),_xlfn.XMATCH(AP$2,Table2[#Headers],0)))</f>
        <v>#N/A</v>
      </c>
      <c r="AQ352" s="4"/>
      <c r="AR352" s="4"/>
      <c r="AS352" s="4"/>
      <c r="AT352" s="4"/>
    </row>
    <row r="353" spans="1:46" x14ac:dyDescent="0.25">
      <c r="A353" s="52"/>
      <c r="B353" s="52"/>
      <c r="C353" s="52"/>
      <c r="D353" s="52"/>
      <c r="E353" s="52"/>
      <c r="F353" s="64" cm="1">
        <f t="array" ref="F353">IF(COUNT(FIND(PurlinsxGirthsxBracings,$C353))&gt;0,0,ROUNDUP(IF(D353=0,0,VLOOKUP(D353,'DATA SHEET'!$B:$D,2,FALSE)),2))</f>
        <v>0</v>
      </c>
      <c r="G353" s="64" cm="1">
        <f t="array" ref="G353">IF(COUNT(FIND(PurlinsxGirthsxBracings,$C353))&gt;0,0,ROUNDUP(IF(D353=0,0,VLOOKUP(D353,'DATA SHEET'!$B:$D,3,FALSE)),2))</f>
        <v>0</v>
      </c>
      <c r="H353" s="53"/>
      <c r="I353" s="66" cm="1">
        <f t="array" ref="I353">IF(AND(ISBLANK(B353),ISBLANK(C353),ISBLANK(E353)),0,IF(COUNT(FIND(PurlinsxGirthsxBracings,$C353))&gt;0,IF(B353=0,CONCATENATE(E353," ",C353),CONCATENATE(B353," - ",E353," ",C353)),IF(B353=0,IF(ISBLANK(C353),E353,CONCATENATE(D353,", ",F353,"kg/m, ",G353,"mm surface perimeter")),IF(AND(ISBLANK(C353),ISTEXT(E353)),CONCATENATE(B353," - ",E353),IF(AND(ISBLANK(C353),ISBLANK(E353)),B353,CONCATENATE(B353," - ",D353,", ",F353,"kg/m, ",G353,"mm surface perimeter"))))&amp;IF(ISBLANK(H353),"",H353)))</f>
        <v>0</v>
      </c>
      <c r="J353" s="53"/>
      <c r="L353" s="4" t="str" cm="1">
        <f t="array" ref="L353">IF(COUNT(FIND({0,1,2,3,4,5,6,7,8,9},B353))&gt;0,COUNT(FIND({0,1,2,3,4,5,6,7,8,9},B353))&gt;0,"")</f>
        <v/>
      </c>
      <c r="M353" s="4" t="str" cm="1">
        <f t="array" aca="1" ref="M353" ca="1">IFERROR(_xlfn.IFS(R353="Count",RANDBETWEEN(1,COUNTIF($R$11:$R$653,"Count")),R353="Length",RANDBETWEEN(1,COUNTIF($R$11:$R$653,"Length"))),"")</f>
        <v/>
      </c>
      <c r="N353" s="4" t="str">
        <f ca="1">IFERROR(_xlfn.RANK.EQ(M353,$M$11:$M$653)+COUNTIF($M$11:M353,M353)-1,"")</f>
        <v/>
      </c>
      <c r="O353" s="86" t="str">
        <f>IF(A353='DATA SHEET'!$L$36,C353,IFERROR(IF(AND(ISTEXT(I353),ISBLANK(C353)),"No details",VLOOKUP(C353,DimFolder,2,FALSE)),""))</f>
        <v/>
      </c>
      <c r="P353" s="4" t="str">
        <f t="shared" si="101"/>
        <v/>
      </c>
      <c r="Q353" s="58" t="str">
        <f t="shared" si="100"/>
        <v/>
      </c>
      <c r="R353" s="4" t="e" cm="1">
        <f t="array" ref="R353">IF(INDEX(Table2[],_xlfn.XMATCH($A353,Table2[Steel Member],0),_xlfn.XMATCH(R$2,Table2[#Headers],0))=0,"",INDEX(Table2[],_xlfn.XMATCH($A353,Table2[Steel Member],0),_xlfn.XMATCH(R$2,Table2[#Headers],0)))</f>
        <v>#N/A</v>
      </c>
      <c r="S353" s="4" t="e" cm="1">
        <f t="array" ref="S353">IF(INDEX(Table2[],_xlfn.XMATCH($A353,Table2[Steel Member],0),_xlfn.XMATCH(S$2,Table2[#Headers],0))=0,"",INDEX(Table2[],_xlfn.XMATCH($A353,Table2[Steel Member],0),_xlfn.XMATCH(S$2,Table2[#Headers],0)))</f>
        <v>#N/A</v>
      </c>
      <c r="T353" s="4" t="str">
        <f t="shared" si="91"/>
        <v/>
      </c>
      <c r="U353" s="4" t="e">
        <f ca="1">VLOOKUP(N353,'COLOR CODE'!$B:$D,2,FALSE)</f>
        <v>#N/A</v>
      </c>
      <c r="V353" s="4" t="str">
        <f t="shared" si="92"/>
        <v/>
      </c>
      <c r="W353" s="4" t="e" cm="1">
        <f t="array" ref="W353">IF(INDEX(Table2[],_xlfn.XMATCH($A353,Table2[Steel Member],0),_xlfn.XMATCH(W$2,Table2[#Headers],0))=0,"",INDEX(Table2[],_xlfn.XMATCH($A353,Table2[Steel Member],0),_xlfn.XMATCH(W$2,Table2[#Headers],0)))</f>
        <v>#N/A</v>
      </c>
      <c r="X353" s="4" t="e">
        <f t="shared" si="102"/>
        <v>#N/A</v>
      </c>
      <c r="Y353" s="4" t="e" cm="1">
        <f t="array" ref="Y353">IF(INDEX(Table2[],_xlfn.XMATCH($A353,Table2[Steel Member],0),_xlfn.XMATCH(Y$2,Table2[#Headers],0))=0,"",INDEX(Table2[],_xlfn.XMATCH($A353,Table2[Steel Member],0),_xlfn.XMATCH(Y$2,Table2[#Headers],0)))</f>
        <v>#N/A</v>
      </c>
      <c r="Z353" s="4" t="e" cm="1">
        <f t="array" ref="Z353">IF(INDEX(Table2[],_xlfn.XMATCH($A353,Table2[Steel Member],0),_xlfn.XMATCH(Z$2,Table2[#Headers],0))=0,"",INDEX(Table2[],_xlfn.XMATCH($A353,Table2[Steel Member],0),_xlfn.XMATCH(Z$2,Table2[#Headers],0)))</f>
        <v>#N/A</v>
      </c>
      <c r="AA353" s="4" t="e" cm="1">
        <f t="array" ref="AA353">IF(INDEX(Table2[],_xlfn.XMATCH($A353,Table2[Steel Member],0),_xlfn.XMATCH(AA$2,Table2[#Headers],0))=0,"",INDEX(Table2[],_xlfn.XMATCH($A353,Table2[Steel Member],0),_xlfn.XMATCH(AA$2,Table2[#Headers],0)))</f>
        <v>#N/A</v>
      </c>
      <c r="AB353" s="4" t="e" cm="1">
        <f t="array" ref="AB353">IF(INDEX(Table2[],_xlfn.XMATCH($A353,Table2[Steel Member],0),_xlfn.XMATCH(AB$2,Table2[#Headers],0))=0,"",INDEX(Table2[],_xlfn.XMATCH($A353,Table2[Steel Member],0),_xlfn.XMATCH(AB$2,Table2[#Headers],0)))</f>
        <v>#N/A</v>
      </c>
      <c r="AC353" s="4" t="str" cm="1">
        <f t="array" ref="AC353">IFERROR(INDEX(Table8[],_xlfn.XMATCH($O353,Table8[Dimension Name Category],0),_xlfn.XMATCH(AC$2&amp;IF($L353," w/ tag"," w/o tag"),Table8[#Headers],0)),"")</f>
        <v/>
      </c>
      <c r="AD353" s="59" t="str">
        <f t="shared" si="93"/>
        <v/>
      </c>
      <c r="AE353" s="4" t="str">
        <f t="shared" si="94"/>
        <v/>
      </c>
      <c r="AF353" s="4" t="str">
        <f t="shared" si="95"/>
        <v/>
      </c>
      <c r="AG353" s="4" t="str" cm="1">
        <f t="array" ref="AG353">IFERROR(INDEX(Table8[],_xlfn.XMATCH($O353,Table8[Dimension Name Category],0),_xlfn.XMATCH(AG$2&amp;IF($L353," w/ tag"," w/o tag"),Table8[#Headers],0)),"")</f>
        <v/>
      </c>
      <c r="AH353" s="59" t="str">
        <f t="shared" si="96"/>
        <v/>
      </c>
      <c r="AI353" s="4"/>
      <c r="AJ353" s="4" t="str">
        <f t="shared" si="97"/>
        <v/>
      </c>
      <c r="AK353" s="4" t="str">
        <f t="shared" si="98"/>
        <v/>
      </c>
      <c r="AL353" s="4" t="e" cm="1">
        <f t="array" ref="AL353">IF(INDEX(Table2[],_xlfn.XMATCH($A353,Table2[Steel Member],0),_xlfn.XMATCH(AL$2,Table2[#Headers],0))=0,"",INDEX(Table2[],_xlfn.XMATCH($A353,Table2[Steel Member],0),_xlfn.XMATCH(AL$2,Table2[#Headers],0)))</f>
        <v>#N/A</v>
      </c>
      <c r="AM353" s="4"/>
      <c r="AN353" s="4" t="str">
        <f t="shared" si="99"/>
        <v/>
      </c>
      <c r="AO353" s="4"/>
      <c r="AP353" s="4" t="e" cm="1">
        <f t="array" ref="AP353">IF(INDEX(Table2[],_xlfn.XMATCH($A353,Table2[Steel Member],0),_xlfn.XMATCH(AP$2,Table2[#Headers],0))=0,"",INDEX(Table2[],_xlfn.XMATCH($A353,Table2[Steel Member],0),_xlfn.XMATCH(AP$2,Table2[#Headers],0)))</f>
        <v>#N/A</v>
      </c>
      <c r="AQ353" s="4"/>
      <c r="AR353" s="4"/>
      <c r="AS353" s="4"/>
      <c r="AT353" s="4"/>
    </row>
    <row r="354" spans="1:46" x14ac:dyDescent="0.25">
      <c r="A354" s="52"/>
      <c r="B354" s="52"/>
      <c r="C354" s="52"/>
      <c r="D354" s="52"/>
      <c r="E354" s="52"/>
      <c r="F354" s="64" cm="1">
        <f t="array" ref="F354">IF(COUNT(FIND(PurlinsxGirthsxBracings,$C354))&gt;0,0,ROUNDUP(IF(D354=0,0,VLOOKUP(D354,'DATA SHEET'!$B:$D,2,FALSE)),2))</f>
        <v>0</v>
      </c>
      <c r="G354" s="64" cm="1">
        <f t="array" ref="G354">IF(COUNT(FIND(PurlinsxGirthsxBracings,$C354))&gt;0,0,ROUNDUP(IF(D354=0,0,VLOOKUP(D354,'DATA SHEET'!$B:$D,3,FALSE)),2))</f>
        <v>0</v>
      </c>
      <c r="H354" s="53"/>
      <c r="I354" s="66" cm="1">
        <f t="array" ref="I354">IF(AND(ISBLANK(B354),ISBLANK(C354),ISBLANK(E354)),0,IF(COUNT(FIND(PurlinsxGirthsxBracings,$C354))&gt;0,IF(B354=0,CONCATENATE(E354," ",C354),CONCATENATE(B354," - ",E354," ",C354)),IF(B354=0,IF(ISBLANK(C354),E354,CONCATENATE(D354,", ",F354,"kg/m, ",G354,"mm surface perimeter")),IF(AND(ISBLANK(C354),ISTEXT(E354)),CONCATENATE(B354," - ",E354),IF(AND(ISBLANK(C354),ISBLANK(E354)),B354,CONCATENATE(B354," - ",D354,", ",F354,"kg/m, ",G354,"mm surface perimeter"))))&amp;IF(ISBLANK(H354),"",H354)))</f>
        <v>0</v>
      </c>
      <c r="J354" s="53"/>
      <c r="L354" s="4" t="str" cm="1">
        <f t="array" ref="L354">IF(COUNT(FIND({0,1,2,3,4,5,6,7,8,9},B354))&gt;0,COUNT(FIND({0,1,2,3,4,5,6,7,8,9},B354))&gt;0,"")</f>
        <v/>
      </c>
      <c r="M354" s="4" t="str" cm="1">
        <f t="array" aca="1" ref="M354" ca="1">IFERROR(_xlfn.IFS(R354="Count",RANDBETWEEN(1,COUNTIF($R$11:$R$653,"Count")),R354="Length",RANDBETWEEN(1,COUNTIF($R$11:$R$653,"Length"))),"")</f>
        <v/>
      </c>
      <c r="N354" s="4" t="str">
        <f ca="1">IFERROR(_xlfn.RANK.EQ(M354,$M$11:$M$653)+COUNTIF($M$11:M354,M354)-1,"")</f>
        <v/>
      </c>
      <c r="O354" s="86" t="str">
        <f>IF(A354='DATA SHEET'!$L$36,C354,IFERROR(IF(AND(ISTEXT(I354),ISBLANK(C354)),"No details",VLOOKUP(C354,DimFolder,2,FALSE)),""))</f>
        <v/>
      </c>
      <c r="P354" s="4" t="str">
        <f t="shared" si="101"/>
        <v/>
      </c>
      <c r="Q354" s="58" t="str">
        <f t="shared" si="100"/>
        <v/>
      </c>
      <c r="R354" s="4" t="e" cm="1">
        <f t="array" ref="R354">IF(INDEX(Table2[],_xlfn.XMATCH($A354,Table2[Steel Member],0),_xlfn.XMATCH(R$2,Table2[#Headers],0))=0,"",INDEX(Table2[],_xlfn.XMATCH($A354,Table2[Steel Member],0),_xlfn.XMATCH(R$2,Table2[#Headers],0)))</f>
        <v>#N/A</v>
      </c>
      <c r="S354" s="4" t="e" cm="1">
        <f t="array" ref="S354">IF(INDEX(Table2[],_xlfn.XMATCH($A354,Table2[Steel Member],0),_xlfn.XMATCH(S$2,Table2[#Headers],0))=0,"",INDEX(Table2[],_xlfn.XMATCH($A354,Table2[Steel Member],0),_xlfn.XMATCH(S$2,Table2[#Headers],0)))</f>
        <v>#N/A</v>
      </c>
      <c r="T354" s="4" t="str">
        <f t="shared" si="91"/>
        <v/>
      </c>
      <c r="U354" s="4" t="e">
        <f ca="1">VLOOKUP(N354,'COLOR CODE'!$B:$D,2,FALSE)</f>
        <v>#N/A</v>
      </c>
      <c r="V354" s="4" t="str">
        <f t="shared" si="92"/>
        <v/>
      </c>
      <c r="W354" s="4" t="e" cm="1">
        <f t="array" ref="W354">IF(INDEX(Table2[],_xlfn.XMATCH($A354,Table2[Steel Member],0),_xlfn.XMATCH(W$2,Table2[#Headers],0))=0,"",INDEX(Table2[],_xlfn.XMATCH($A354,Table2[Steel Member],0),_xlfn.XMATCH(W$2,Table2[#Headers],0)))</f>
        <v>#N/A</v>
      </c>
      <c r="X354" s="4" t="e">
        <f t="shared" si="102"/>
        <v>#N/A</v>
      </c>
      <c r="Y354" s="4" t="e" cm="1">
        <f t="array" ref="Y354">IF(INDEX(Table2[],_xlfn.XMATCH($A354,Table2[Steel Member],0),_xlfn.XMATCH(Y$2,Table2[#Headers],0))=0,"",INDEX(Table2[],_xlfn.XMATCH($A354,Table2[Steel Member],0),_xlfn.XMATCH(Y$2,Table2[#Headers],0)))</f>
        <v>#N/A</v>
      </c>
      <c r="Z354" s="4" t="e" cm="1">
        <f t="array" ref="Z354">IF(INDEX(Table2[],_xlfn.XMATCH($A354,Table2[Steel Member],0),_xlfn.XMATCH(Z$2,Table2[#Headers],0))=0,"",INDEX(Table2[],_xlfn.XMATCH($A354,Table2[Steel Member],0),_xlfn.XMATCH(Z$2,Table2[#Headers],0)))</f>
        <v>#N/A</v>
      </c>
      <c r="AA354" s="4" t="e" cm="1">
        <f t="array" ref="AA354">IF(INDEX(Table2[],_xlfn.XMATCH($A354,Table2[Steel Member],0),_xlfn.XMATCH(AA$2,Table2[#Headers],0))=0,"",INDEX(Table2[],_xlfn.XMATCH($A354,Table2[Steel Member],0),_xlfn.XMATCH(AA$2,Table2[#Headers],0)))</f>
        <v>#N/A</v>
      </c>
      <c r="AB354" s="4" t="e" cm="1">
        <f t="array" ref="AB354">IF(INDEX(Table2[],_xlfn.XMATCH($A354,Table2[Steel Member],0),_xlfn.XMATCH(AB$2,Table2[#Headers],0))=0,"",INDEX(Table2[],_xlfn.XMATCH($A354,Table2[Steel Member],0),_xlfn.XMATCH(AB$2,Table2[#Headers],0)))</f>
        <v>#N/A</v>
      </c>
      <c r="AC354" s="4" t="str" cm="1">
        <f t="array" ref="AC354">IFERROR(INDEX(Table8[],_xlfn.XMATCH($O354,Table8[Dimension Name Category],0),_xlfn.XMATCH(AC$2&amp;IF($L354," w/ tag"," w/o tag"),Table8[#Headers],0)),"")</f>
        <v/>
      </c>
      <c r="AD354" s="59" t="str">
        <f t="shared" si="93"/>
        <v/>
      </c>
      <c r="AE354" s="4" t="str">
        <f t="shared" si="94"/>
        <v/>
      </c>
      <c r="AF354" s="4" t="str">
        <f t="shared" si="95"/>
        <v/>
      </c>
      <c r="AG354" s="4" t="str" cm="1">
        <f t="array" ref="AG354">IFERROR(INDEX(Table8[],_xlfn.XMATCH($O354,Table8[Dimension Name Category],0),_xlfn.XMATCH(AG$2&amp;IF($L354," w/ tag"," w/o tag"),Table8[#Headers],0)),"")</f>
        <v/>
      </c>
      <c r="AH354" s="59" t="str">
        <f t="shared" si="96"/>
        <v/>
      </c>
      <c r="AI354" s="4"/>
      <c r="AJ354" s="4" t="str">
        <f t="shared" si="97"/>
        <v/>
      </c>
      <c r="AK354" s="4" t="str">
        <f t="shared" si="98"/>
        <v/>
      </c>
      <c r="AL354" s="4" t="e" cm="1">
        <f t="array" ref="AL354">IF(INDEX(Table2[],_xlfn.XMATCH($A354,Table2[Steel Member],0),_xlfn.XMATCH(AL$2,Table2[#Headers],0))=0,"",INDEX(Table2[],_xlfn.XMATCH($A354,Table2[Steel Member],0),_xlfn.XMATCH(AL$2,Table2[#Headers],0)))</f>
        <v>#N/A</v>
      </c>
      <c r="AM354" s="4"/>
      <c r="AN354" s="4" t="str">
        <f t="shared" si="99"/>
        <v/>
      </c>
      <c r="AO354" s="4"/>
      <c r="AP354" s="4" t="e" cm="1">
        <f t="array" ref="AP354">IF(INDEX(Table2[],_xlfn.XMATCH($A354,Table2[Steel Member],0),_xlfn.XMATCH(AP$2,Table2[#Headers],0))=0,"",INDEX(Table2[],_xlfn.XMATCH($A354,Table2[Steel Member],0),_xlfn.XMATCH(AP$2,Table2[#Headers],0)))</f>
        <v>#N/A</v>
      </c>
      <c r="AQ354" s="4"/>
      <c r="AR354" s="4"/>
      <c r="AS354" s="4"/>
      <c r="AT354" s="4"/>
    </row>
    <row r="355" spans="1:46" x14ac:dyDescent="0.25">
      <c r="A355" s="52"/>
      <c r="B355" s="52"/>
      <c r="C355" s="52"/>
      <c r="D355" s="52"/>
      <c r="E355" s="52"/>
      <c r="F355" s="64" cm="1">
        <f t="array" ref="F355">IF(COUNT(FIND(PurlinsxGirthsxBracings,$C355))&gt;0,0,ROUNDUP(IF(D355=0,0,VLOOKUP(D355,'DATA SHEET'!$B:$D,2,FALSE)),2))</f>
        <v>0</v>
      </c>
      <c r="G355" s="64" cm="1">
        <f t="array" ref="G355">IF(COUNT(FIND(PurlinsxGirthsxBracings,$C355))&gt;0,0,ROUNDUP(IF(D355=0,0,VLOOKUP(D355,'DATA SHEET'!$B:$D,3,FALSE)),2))</f>
        <v>0</v>
      </c>
      <c r="H355" s="53"/>
      <c r="I355" s="66" cm="1">
        <f t="array" ref="I355">IF(AND(ISBLANK(B355),ISBLANK(C355),ISBLANK(E355)),0,IF(COUNT(FIND(PurlinsxGirthsxBracings,$C355))&gt;0,IF(B355=0,CONCATENATE(E355," ",C355),CONCATENATE(B355," - ",E355," ",C355)),IF(B355=0,IF(ISBLANK(C355),E355,CONCATENATE(D355,", ",F355,"kg/m, ",G355,"mm surface perimeter")),IF(AND(ISBLANK(C355),ISTEXT(E355)),CONCATENATE(B355," - ",E355),IF(AND(ISBLANK(C355),ISBLANK(E355)),B355,CONCATENATE(B355," - ",D355,", ",F355,"kg/m, ",G355,"mm surface perimeter"))))&amp;IF(ISBLANK(H355),"",H355)))</f>
        <v>0</v>
      </c>
      <c r="J355" s="53"/>
      <c r="L355" s="4" t="str" cm="1">
        <f t="array" ref="L355">IF(COUNT(FIND({0,1,2,3,4,5,6,7,8,9},B355))&gt;0,COUNT(FIND({0,1,2,3,4,5,6,7,8,9},B355))&gt;0,"")</f>
        <v/>
      </c>
      <c r="M355" s="4" t="str" cm="1">
        <f t="array" aca="1" ref="M355" ca="1">IFERROR(_xlfn.IFS(R355="Count",RANDBETWEEN(1,COUNTIF($R$11:$R$653,"Count")),R355="Length",RANDBETWEEN(1,COUNTIF($R$11:$R$653,"Length"))),"")</f>
        <v/>
      </c>
      <c r="N355" s="4" t="str">
        <f ca="1">IFERROR(_xlfn.RANK.EQ(M355,$M$11:$M$653)+COUNTIF($M$11:M355,M355)-1,"")</f>
        <v/>
      </c>
      <c r="O355" s="86" t="str">
        <f>IF(A355='DATA SHEET'!$L$36,C355,IFERROR(IF(AND(ISTEXT(I355),ISBLANK(C355)),"No details",VLOOKUP(C355,DimFolder,2,FALSE)),""))</f>
        <v/>
      </c>
      <c r="P355" s="4" t="str">
        <f t="shared" si="101"/>
        <v/>
      </c>
      <c r="Q355" s="58" t="str">
        <f t="shared" si="100"/>
        <v/>
      </c>
      <c r="R355" s="4" t="e" cm="1">
        <f t="array" ref="R355">IF(INDEX(Table2[],_xlfn.XMATCH($A355,Table2[Steel Member],0),_xlfn.XMATCH(R$2,Table2[#Headers],0))=0,"",INDEX(Table2[],_xlfn.XMATCH($A355,Table2[Steel Member],0),_xlfn.XMATCH(R$2,Table2[#Headers],0)))</f>
        <v>#N/A</v>
      </c>
      <c r="S355" s="4" t="e" cm="1">
        <f t="array" ref="S355">IF(INDEX(Table2[],_xlfn.XMATCH($A355,Table2[Steel Member],0),_xlfn.XMATCH(S$2,Table2[#Headers],0))=0,"",INDEX(Table2[],_xlfn.XMATCH($A355,Table2[Steel Member],0),_xlfn.XMATCH(S$2,Table2[#Headers],0)))</f>
        <v>#N/A</v>
      </c>
      <c r="T355" s="4" t="str">
        <f t="shared" si="91"/>
        <v/>
      </c>
      <c r="U355" s="4" t="e">
        <f ca="1">VLOOKUP(N355,'COLOR CODE'!$B:$D,2,FALSE)</f>
        <v>#N/A</v>
      </c>
      <c r="V355" s="4" t="str">
        <f t="shared" si="92"/>
        <v/>
      </c>
      <c r="W355" s="4" t="e" cm="1">
        <f t="array" ref="W355">IF(INDEX(Table2[],_xlfn.XMATCH($A355,Table2[Steel Member],0),_xlfn.XMATCH(W$2,Table2[#Headers],0))=0,"",INDEX(Table2[],_xlfn.XMATCH($A355,Table2[Steel Member],0),_xlfn.XMATCH(W$2,Table2[#Headers],0)))</f>
        <v>#N/A</v>
      </c>
      <c r="X355" s="4" t="e">
        <f t="shared" si="102"/>
        <v>#N/A</v>
      </c>
      <c r="Y355" s="4" t="e" cm="1">
        <f t="array" ref="Y355">IF(INDEX(Table2[],_xlfn.XMATCH($A355,Table2[Steel Member],0),_xlfn.XMATCH(Y$2,Table2[#Headers],0))=0,"",INDEX(Table2[],_xlfn.XMATCH($A355,Table2[Steel Member],0),_xlfn.XMATCH(Y$2,Table2[#Headers],0)))</f>
        <v>#N/A</v>
      </c>
      <c r="Z355" s="4" t="e" cm="1">
        <f t="array" ref="Z355">IF(INDEX(Table2[],_xlfn.XMATCH($A355,Table2[Steel Member],0),_xlfn.XMATCH(Z$2,Table2[#Headers],0))=0,"",INDEX(Table2[],_xlfn.XMATCH($A355,Table2[Steel Member],0),_xlfn.XMATCH(Z$2,Table2[#Headers],0)))</f>
        <v>#N/A</v>
      </c>
      <c r="AA355" s="4" t="e" cm="1">
        <f t="array" ref="AA355">IF(INDEX(Table2[],_xlfn.XMATCH($A355,Table2[Steel Member],0),_xlfn.XMATCH(AA$2,Table2[#Headers],0))=0,"",INDEX(Table2[],_xlfn.XMATCH($A355,Table2[Steel Member],0),_xlfn.XMATCH(AA$2,Table2[#Headers],0)))</f>
        <v>#N/A</v>
      </c>
      <c r="AB355" s="4" t="e" cm="1">
        <f t="array" ref="AB355">IF(INDEX(Table2[],_xlfn.XMATCH($A355,Table2[Steel Member],0),_xlfn.XMATCH(AB$2,Table2[#Headers],0))=0,"",INDEX(Table2[],_xlfn.XMATCH($A355,Table2[Steel Member],0),_xlfn.XMATCH(AB$2,Table2[#Headers],0)))</f>
        <v>#N/A</v>
      </c>
      <c r="AC355" s="4" t="str" cm="1">
        <f t="array" ref="AC355">IFERROR(INDEX(Table8[],_xlfn.XMATCH($O355,Table8[Dimension Name Category],0),_xlfn.XMATCH(AC$2&amp;IF($L355," w/ tag"," w/o tag"),Table8[#Headers],0)),"")</f>
        <v/>
      </c>
      <c r="AD355" s="59" t="str">
        <f t="shared" si="93"/>
        <v/>
      </c>
      <c r="AE355" s="4" t="str">
        <f t="shared" si="94"/>
        <v/>
      </c>
      <c r="AF355" s="4" t="str">
        <f t="shared" si="95"/>
        <v/>
      </c>
      <c r="AG355" s="4" t="str" cm="1">
        <f t="array" ref="AG355">IFERROR(INDEX(Table8[],_xlfn.XMATCH($O355,Table8[Dimension Name Category],0),_xlfn.XMATCH(AG$2&amp;IF($L355," w/ tag"," w/o tag"),Table8[#Headers],0)),"")</f>
        <v/>
      </c>
      <c r="AH355" s="59" t="str">
        <f t="shared" si="96"/>
        <v/>
      </c>
      <c r="AI355" s="4"/>
      <c r="AJ355" s="4" t="str">
        <f t="shared" si="97"/>
        <v/>
      </c>
      <c r="AK355" s="4" t="str">
        <f t="shared" si="98"/>
        <v/>
      </c>
      <c r="AL355" s="4" t="e" cm="1">
        <f t="array" ref="AL355">IF(INDEX(Table2[],_xlfn.XMATCH($A355,Table2[Steel Member],0),_xlfn.XMATCH(AL$2,Table2[#Headers],0))=0,"",INDEX(Table2[],_xlfn.XMATCH($A355,Table2[Steel Member],0),_xlfn.XMATCH(AL$2,Table2[#Headers],0)))</f>
        <v>#N/A</v>
      </c>
      <c r="AM355" s="4"/>
      <c r="AN355" s="4" t="str">
        <f t="shared" si="99"/>
        <v/>
      </c>
      <c r="AO355" s="4"/>
      <c r="AP355" s="4" t="e" cm="1">
        <f t="array" ref="AP355">IF(INDEX(Table2[],_xlfn.XMATCH($A355,Table2[Steel Member],0),_xlfn.XMATCH(AP$2,Table2[#Headers],0))=0,"",INDEX(Table2[],_xlfn.XMATCH($A355,Table2[Steel Member],0),_xlfn.XMATCH(AP$2,Table2[#Headers],0)))</f>
        <v>#N/A</v>
      </c>
      <c r="AQ355" s="4"/>
      <c r="AR355" s="4"/>
      <c r="AS355" s="4"/>
      <c r="AT355" s="4"/>
    </row>
    <row r="356" spans="1:46" x14ac:dyDescent="0.25">
      <c r="A356" s="52"/>
      <c r="B356" s="52"/>
      <c r="C356" s="52"/>
      <c r="D356" s="52"/>
      <c r="E356" s="52"/>
      <c r="F356" s="64" cm="1">
        <f t="array" ref="F356">IF(COUNT(FIND(PurlinsxGirthsxBracings,$C356))&gt;0,0,ROUNDUP(IF(D356=0,0,VLOOKUP(D356,'DATA SHEET'!$B:$D,2,FALSE)),2))</f>
        <v>0</v>
      </c>
      <c r="G356" s="64" cm="1">
        <f t="array" ref="G356">IF(COUNT(FIND(PurlinsxGirthsxBracings,$C356))&gt;0,0,ROUNDUP(IF(D356=0,0,VLOOKUP(D356,'DATA SHEET'!$B:$D,3,FALSE)),2))</f>
        <v>0</v>
      </c>
      <c r="H356" s="53"/>
      <c r="I356" s="66" cm="1">
        <f t="array" ref="I356">IF(AND(ISBLANK(B356),ISBLANK(C356),ISBLANK(E356)),0,IF(COUNT(FIND(PurlinsxGirthsxBracings,$C356))&gt;0,IF(B356=0,CONCATENATE(E356," ",C356),CONCATENATE(B356," - ",E356," ",C356)),IF(B356=0,IF(ISBLANK(C356),E356,CONCATENATE(D356,", ",F356,"kg/m, ",G356,"mm surface perimeter")),IF(AND(ISBLANK(C356),ISTEXT(E356)),CONCATENATE(B356," - ",E356),IF(AND(ISBLANK(C356),ISBLANK(E356)),B356,CONCATENATE(B356," - ",D356,", ",F356,"kg/m, ",G356,"mm surface perimeter"))))&amp;IF(ISBLANK(H356),"",H356)))</f>
        <v>0</v>
      </c>
      <c r="J356" s="53"/>
      <c r="L356" s="4" t="str" cm="1">
        <f t="array" ref="L356">IF(COUNT(FIND({0,1,2,3,4,5,6,7,8,9},B356))&gt;0,COUNT(FIND({0,1,2,3,4,5,6,7,8,9},B356))&gt;0,"")</f>
        <v/>
      </c>
      <c r="M356" s="4" t="str" cm="1">
        <f t="array" aca="1" ref="M356" ca="1">IFERROR(_xlfn.IFS(R356="Count",RANDBETWEEN(1,COUNTIF($R$11:$R$653,"Count")),R356="Length",RANDBETWEEN(1,COUNTIF($R$11:$R$653,"Length"))),"")</f>
        <v/>
      </c>
      <c r="N356" s="4" t="str">
        <f ca="1">IFERROR(_xlfn.RANK.EQ(M356,$M$11:$M$653)+COUNTIF($M$11:M356,M356)-1,"")</f>
        <v/>
      </c>
      <c r="O356" s="86" t="str">
        <f>IF(A356='DATA SHEET'!$L$36,C356,IFERROR(IF(AND(ISTEXT(I356),ISBLANK(C356)),"No details",VLOOKUP(C356,DimFolder,2,FALSE)),""))</f>
        <v/>
      </c>
      <c r="P356" s="4" t="str">
        <f t="shared" si="101"/>
        <v/>
      </c>
      <c r="Q356" s="58" t="str">
        <f t="shared" si="100"/>
        <v/>
      </c>
      <c r="R356" s="4" t="e" cm="1">
        <f t="array" ref="R356">IF(INDEX(Table2[],_xlfn.XMATCH($A356,Table2[Steel Member],0),_xlfn.XMATCH(R$2,Table2[#Headers],0))=0,"",INDEX(Table2[],_xlfn.XMATCH($A356,Table2[Steel Member],0),_xlfn.XMATCH(R$2,Table2[#Headers],0)))</f>
        <v>#N/A</v>
      </c>
      <c r="S356" s="4" t="e" cm="1">
        <f t="array" ref="S356">IF(INDEX(Table2[],_xlfn.XMATCH($A356,Table2[Steel Member],0),_xlfn.XMATCH(S$2,Table2[#Headers],0))=0,"",INDEX(Table2[],_xlfn.XMATCH($A356,Table2[Steel Member],0),_xlfn.XMATCH(S$2,Table2[#Headers],0)))</f>
        <v>#N/A</v>
      </c>
      <c r="T356" s="4" t="str">
        <f t="shared" si="91"/>
        <v/>
      </c>
      <c r="U356" s="4" t="e">
        <f ca="1">VLOOKUP(N356,'COLOR CODE'!$B:$D,2,FALSE)</f>
        <v>#N/A</v>
      </c>
      <c r="V356" s="4" t="str">
        <f t="shared" si="92"/>
        <v/>
      </c>
      <c r="W356" s="4" t="e" cm="1">
        <f t="array" ref="W356">IF(INDEX(Table2[],_xlfn.XMATCH($A356,Table2[Steel Member],0),_xlfn.XMATCH(W$2,Table2[#Headers],0))=0,"",INDEX(Table2[],_xlfn.XMATCH($A356,Table2[Steel Member],0),_xlfn.XMATCH(W$2,Table2[#Headers],0)))</f>
        <v>#N/A</v>
      </c>
      <c r="X356" s="4" t="e">
        <f t="shared" si="102"/>
        <v>#N/A</v>
      </c>
      <c r="Y356" s="4" t="e" cm="1">
        <f t="array" ref="Y356">IF(INDEX(Table2[],_xlfn.XMATCH($A356,Table2[Steel Member],0),_xlfn.XMATCH(Y$2,Table2[#Headers],0))=0,"",INDEX(Table2[],_xlfn.XMATCH($A356,Table2[Steel Member],0),_xlfn.XMATCH(Y$2,Table2[#Headers],0)))</f>
        <v>#N/A</v>
      </c>
      <c r="Z356" s="4" t="e" cm="1">
        <f t="array" ref="Z356">IF(INDEX(Table2[],_xlfn.XMATCH($A356,Table2[Steel Member],0),_xlfn.XMATCH(Z$2,Table2[#Headers],0))=0,"",INDEX(Table2[],_xlfn.XMATCH($A356,Table2[Steel Member],0),_xlfn.XMATCH(Z$2,Table2[#Headers],0)))</f>
        <v>#N/A</v>
      </c>
      <c r="AA356" s="4" t="e" cm="1">
        <f t="array" ref="AA356">IF(INDEX(Table2[],_xlfn.XMATCH($A356,Table2[Steel Member],0),_xlfn.XMATCH(AA$2,Table2[#Headers],0))=0,"",INDEX(Table2[],_xlfn.XMATCH($A356,Table2[Steel Member],0),_xlfn.XMATCH(AA$2,Table2[#Headers],0)))</f>
        <v>#N/A</v>
      </c>
      <c r="AB356" s="4" t="e" cm="1">
        <f t="array" ref="AB356">IF(INDEX(Table2[],_xlfn.XMATCH($A356,Table2[Steel Member],0),_xlfn.XMATCH(AB$2,Table2[#Headers],0))=0,"",INDEX(Table2[],_xlfn.XMATCH($A356,Table2[Steel Member],0),_xlfn.XMATCH(AB$2,Table2[#Headers],0)))</f>
        <v>#N/A</v>
      </c>
      <c r="AC356" s="4" t="str" cm="1">
        <f t="array" ref="AC356">IFERROR(INDEX(Table8[],_xlfn.XMATCH($O356,Table8[Dimension Name Category],0),_xlfn.XMATCH(AC$2&amp;IF($L356," w/ tag"," w/o tag"),Table8[#Headers],0)),"")</f>
        <v/>
      </c>
      <c r="AD356" s="59" t="str">
        <f t="shared" si="93"/>
        <v/>
      </c>
      <c r="AE356" s="4" t="str">
        <f t="shared" si="94"/>
        <v/>
      </c>
      <c r="AF356" s="4" t="str">
        <f t="shared" si="95"/>
        <v/>
      </c>
      <c r="AG356" s="4" t="str" cm="1">
        <f t="array" ref="AG356">IFERROR(INDEX(Table8[],_xlfn.XMATCH($O356,Table8[Dimension Name Category],0),_xlfn.XMATCH(AG$2&amp;IF($L356," w/ tag"," w/o tag"),Table8[#Headers],0)),"")</f>
        <v/>
      </c>
      <c r="AH356" s="59" t="str">
        <f t="shared" si="96"/>
        <v/>
      </c>
      <c r="AI356" s="4"/>
      <c r="AJ356" s="4" t="str">
        <f t="shared" si="97"/>
        <v/>
      </c>
      <c r="AK356" s="4" t="str">
        <f t="shared" si="98"/>
        <v/>
      </c>
      <c r="AL356" s="4" t="e" cm="1">
        <f t="array" ref="AL356">IF(INDEX(Table2[],_xlfn.XMATCH($A356,Table2[Steel Member],0),_xlfn.XMATCH(AL$2,Table2[#Headers],0))=0,"",INDEX(Table2[],_xlfn.XMATCH($A356,Table2[Steel Member],0),_xlfn.XMATCH(AL$2,Table2[#Headers],0)))</f>
        <v>#N/A</v>
      </c>
      <c r="AM356" s="4"/>
      <c r="AN356" s="4" t="str">
        <f t="shared" si="99"/>
        <v/>
      </c>
      <c r="AO356" s="4"/>
      <c r="AP356" s="4" t="e" cm="1">
        <f t="array" ref="AP356">IF(INDEX(Table2[],_xlfn.XMATCH($A356,Table2[Steel Member],0),_xlfn.XMATCH(AP$2,Table2[#Headers],0))=0,"",INDEX(Table2[],_xlfn.XMATCH($A356,Table2[Steel Member],0),_xlfn.XMATCH(AP$2,Table2[#Headers],0)))</f>
        <v>#N/A</v>
      </c>
      <c r="AQ356" s="4"/>
      <c r="AR356" s="4"/>
      <c r="AS356" s="4"/>
      <c r="AT356" s="4"/>
    </row>
    <row r="357" spans="1:46" x14ac:dyDescent="0.25">
      <c r="A357" s="52"/>
      <c r="B357" s="52"/>
      <c r="C357" s="52"/>
      <c r="D357" s="52"/>
      <c r="E357" s="52"/>
      <c r="F357" s="64" cm="1">
        <f t="array" ref="F357">IF(COUNT(FIND(PurlinsxGirthsxBracings,$C357))&gt;0,0,ROUNDUP(IF(D357=0,0,VLOOKUP(D357,'DATA SHEET'!$B:$D,2,FALSE)),2))</f>
        <v>0</v>
      </c>
      <c r="G357" s="64" cm="1">
        <f t="array" ref="G357">IF(COUNT(FIND(PurlinsxGirthsxBracings,$C357))&gt;0,0,ROUNDUP(IF(D357=0,0,VLOOKUP(D357,'DATA SHEET'!$B:$D,3,FALSE)),2))</f>
        <v>0</v>
      </c>
      <c r="H357" s="53"/>
      <c r="I357" s="66" cm="1">
        <f t="array" ref="I357">IF(AND(ISBLANK(B357),ISBLANK(C357),ISBLANK(E357)),0,IF(COUNT(FIND(PurlinsxGirthsxBracings,$C357))&gt;0,IF(B357=0,CONCATENATE(E357," ",C357),CONCATENATE(B357," - ",E357," ",C357)),IF(B357=0,IF(ISBLANK(C357),E357,CONCATENATE(D357,", ",F357,"kg/m, ",G357,"mm surface perimeter")),IF(AND(ISBLANK(C357),ISTEXT(E357)),CONCATENATE(B357," - ",E357),IF(AND(ISBLANK(C357),ISBLANK(E357)),B357,CONCATENATE(B357," - ",D357,", ",F357,"kg/m, ",G357,"mm surface perimeter"))))&amp;IF(ISBLANK(H357),"",H357)))</f>
        <v>0</v>
      </c>
      <c r="J357" s="53"/>
      <c r="L357" s="4" t="str" cm="1">
        <f t="array" ref="L357">IF(COUNT(FIND({0,1,2,3,4,5,6,7,8,9},B357))&gt;0,COUNT(FIND({0,1,2,3,4,5,6,7,8,9},B357))&gt;0,"")</f>
        <v/>
      </c>
      <c r="M357" s="4" t="str" cm="1">
        <f t="array" aca="1" ref="M357" ca="1">IFERROR(_xlfn.IFS(R357="Count",RANDBETWEEN(1,COUNTIF($R$11:$R$653,"Count")),R357="Length",RANDBETWEEN(1,COUNTIF($R$11:$R$653,"Length"))),"")</f>
        <v/>
      </c>
      <c r="N357" s="4" t="str">
        <f ca="1">IFERROR(_xlfn.RANK.EQ(M357,$M$11:$M$653)+COUNTIF($M$11:M357,M357)-1,"")</f>
        <v/>
      </c>
      <c r="O357" s="86" t="str">
        <f>IF(A357='DATA SHEET'!$L$36,C357,IFERROR(IF(AND(ISTEXT(I357),ISBLANK(C357)),"No details",VLOOKUP(C357,DimFolder,2,FALSE)),""))</f>
        <v/>
      </c>
      <c r="P357" s="4" t="str">
        <f t="shared" si="101"/>
        <v/>
      </c>
      <c r="Q357" s="58" t="str">
        <f t="shared" si="100"/>
        <v/>
      </c>
      <c r="R357" s="4" t="e" cm="1">
        <f t="array" ref="R357">IF(INDEX(Table2[],_xlfn.XMATCH($A357,Table2[Steel Member],0),_xlfn.XMATCH(R$2,Table2[#Headers],0))=0,"",INDEX(Table2[],_xlfn.XMATCH($A357,Table2[Steel Member],0),_xlfn.XMATCH(R$2,Table2[#Headers],0)))</f>
        <v>#N/A</v>
      </c>
      <c r="S357" s="4" t="e" cm="1">
        <f t="array" ref="S357">IF(INDEX(Table2[],_xlfn.XMATCH($A357,Table2[Steel Member],0),_xlfn.XMATCH(S$2,Table2[#Headers],0))=0,"",INDEX(Table2[],_xlfn.XMATCH($A357,Table2[Steel Member],0),_xlfn.XMATCH(S$2,Table2[#Headers],0)))</f>
        <v>#N/A</v>
      </c>
      <c r="T357" s="4" t="str">
        <f t="shared" si="91"/>
        <v/>
      </c>
      <c r="U357" s="4" t="e">
        <f ca="1">VLOOKUP(N357,'COLOR CODE'!$B:$D,2,FALSE)</f>
        <v>#N/A</v>
      </c>
      <c r="V357" s="4" t="str">
        <f t="shared" si="92"/>
        <v/>
      </c>
      <c r="W357" s="4" t="e" cm="1">
        <f t="array" ref="W357">IF(INDEX(Table2[],_xlfn.XMATCH($A357,Table2[Steel Member],0),_xlfn.XMATCH(W$2,Table2[#Headers],0))=0,"",INDEX(Table2[],_xlfn.XMATCH($A357,Table2[Steel Member],0),_xlfn.XMATCH(W$2,Table2[#Headers],0)))</f>
        <v>#N/A</v>
      </c>
      <c r="X357" s="4" t="e">
        <f t="shared" si="102"/>
        <v>#N/A</v>
      </c>
      <c r="Y357" s="4" t="e" cm="1">
        <f t="array" ref="Y357">IF(INDEX(Table2[],_xlfn.XMATCH($A357,Table2[Steel Member],0),_xlfn.XMATCH(Y$2,Table2[#Headers],0))=0,"",INDEX(Table2[],_xlfn.XMATCH($A357,Table2[Steel Member],0),_xlfn.XMATCH(Y$2,Table2[#Headers],0)))</f>
        <v>#N/A</v>
      </c>
      <c r="Z357" s="4" t="e" cm="1">
        <f t="array" ref="Z357">IF(INDEX(Table2[],_xlfn.XMATCH($A357,Table2[Steel Member],0),_xlfn.XMATCH(Z$2,Table2[#Headers],0))=0,"",INDEX(Table2[],_xlfn.XMATCH($A357,Table2[Steel Member],0),_xlfn.XMATCH(Z$2,Table2[#Headers],0)))</f>
        <v>#N/A</v>
      </c>
      <c r="AA357" s="4" t="e" cm="1">
        <f t="array" ref="AA357">IF(INDEX(Table2[],_xlfn.XMATCH($A357,Table2[Steel Member],0),_xlfn.XMATCH(AA$2,Table2[#Headers],0))=0,"",INDEX(Table2[],_xlfn.XMATCH($A357,Table2[Steel Member],0),_xlfn.XMATCH(AA$2,Table2[#Headers],0)))</f>
        <v>#N/A</v>
      </c>
      <c r="AB357" s="4" t="e" cm="1">
        <f t="array" ref="AB357">IF(INDEX(Table2[],_xlfn.XMATCH($A357,Table2[Steel Member],0),_xlfn.XMATCH(AB$2,Table2[#Headers],0))=0,"",INDEX(Table2[],_xlfn.XMATCH($A357,Table2[Steel Member],0),_xlfn.XMATCH(AB$2,Table2[#Headers],0)))</f>
        <v>#N/A</v>
      </c>
      <c r="AC357" s="4" t="str" cm="1">
        <f t="array" ref="AC357">IFERROR(INDEX(Table8[],_xlfn.XMATCH($O357,Table8[Dimension Name Category],0),_xlfn.XMATCH(AC$2&amp;IF($L357," w/ tag"," w/o tag"),Table8[#Headers],0)),"")</f>
        <v/>
      </c>
      <c r="AD357" s="59" t="str">
        <f t="shared" si="93"/>
        <v/>
      </c>
      <c r="AE357" s="4" t="str">
        <f t="shared" si="94"/>
        <v/>
      </c>
      <c r="AF357" s="4" t="str">
        <f t="shared" si="95"/>
        <v/>
      </c>
      <c r="AG357" s="4" t="str" cm="1">
        <f t="array" ref="AG357">IFERROR(INDEX(Table8[],_xlfn.XMATCH($O357,Table8[Dimension Name Category],0),_xlfn.XMATCH(AG$2&amp;IF($L357," w/ tag"," w/o tag"),Table8[#Headers],0)),"")</f>
        <v/>
      </c>
      <c r="AH357" s="59" t="str">
        <f t="shared" si="96"/>
        <v/>
      </c>
      <c r="AI357" s="4"/>
      <c r="AJ357" s="4" t="str">
        <f t="shared" si="97"/>
        <v/>
      </c>
      <c r="AK357" s="4" t="str">
        <f t="shared" si="98"/>
        <v/>
      </c>
      <c r="AL357" s="4" t="e" cm="1">
        <f t="array" ref="AL357">IF(INDEX(Table2[],_xlfn.XMATCH($A357,Table2[Steel Member],0),_xlfn.XMATCH(AL$2,Table2[#Headers],0))=0,"",INDEX(Table2[],_xlfn.XMATCH($A357,Table2[Steel Member],0),_xlfn.XMATCH(AL$2,Table2[#Headers],0)))</f>
        <v>#N/A</v>
      </c>
      <c r="AM357" s="4"/>
      <c r="AN357" s="4" t="str">
        <f t="shared" si="99"/>
        <v/>
      </c>
      <c r="AO357" s="4"/>
      <c r="AP357" s="4" t="e" cm="1">
        <f t="array" ref="AP357">IF(INDEX(Table2[],_xlfn.XMATCH($A357,Table2[Steel Member],0),_xlfn.XMATCH(AP$2,Table2[#Headers],0))=0,"",INDEX(Table2[],_xlfn.XMATCH($A357,Table2[Steel Member],0),_xlfn.XMATCH(AP$2,Table2[#Headers],0)))</f>
        <v>#N/A</v>
      </c>
      <c r="AQ357" s="4"/>
      <c r="AR357" s="4"/>
      <c r="AS357" s="4"/>
      <c r="AT357" s="4"/>
    </row>
    <row r="358" spans="1:46" x14ac:dyDescent="0.25">
      <c r="A358" s="52"/>
      <c r="B358" s="52"/>
      <c r="C358" s="52"/>
      <c r="D358" s="52"/>
      <c r="E358" s="52"/>
      <c r="F358" s="64" cm="1">
        <f t="array" ref="F358">IF(COUNT(FIND(PurlinsxGirthsxBracings,$C358))&gt;0,0,ROUNDUP(IF(D358=0,0,VLOOKUP(D358,'DATA SHEET'!$B:$D,2,FALSE)),2))</f>
        <v>0</v>
      </c>
      <c r="G358" s="64" cm="1">
        <f t="array" ref="G358">IF(COUNT(FIND(PurlinsxGirthsxBracings,$C358))&gt;0,0,ROUNDUP(IF(D358=0,0,VLOOKUP(D358,'DATA SHEET'!$B:$D,3,FALSE)),2))</f>
        <v>0</v>
      </c>
      <c r="H358" s="53"/>
      <c r="I358" s="66" cm="1">
        <f t="array" ref="I358">IF(AND(ISBLANK(B358),ISBLANK(C358),ISBLANK(E358)),0,IF(COUNT(FIND(PurlinsxGirthsxBracings,$C358))&gt;0,IF(B358=0,CONCATENATE(E358," ",C358),CONCATENATE(B358," - ",E358," ",C358)),IF(B358=0,IF(ISBLANK(C358),E358,CONCATENATE(D358,", ",F358,"kg/m, ",G358,"mm surface perimeter")),IF(AND(ISBLANK(C358),ISTEXT(E358)),CONCATENATE(B358," - ",E358),IF(AND(ISBLANK(C358),ISBLANK(E358)),B358,CONCATENATE(B358," - ",D358,", ",F358,"kg/m, ",G358,"mm surface perimeter"))))&amp;IF(ISBLANK(H358),"",H358)))</f>
        <v>0</v>
      </c>
      <c r="J358" s="53"/>
      <c r="L358" s="4" t="str" cm="1">
        <f t="array" ref="L358">IF(COUNT(FIND({0,1,2,3,4,5,6,7,8,9},B358))&gt;0,COUNT(FIND({0,1,2,3,4,5,6,7,8,9},B358))&gt;0,"")</f>
        <v/>
      </c>
      <c r="M358" s="4" t="str" cm="1">
        <f t="array" aca="1" ref="M358" ca="1">IFERROR(_xlfn.IFS(R358="Count",RANDBETWEEN(1,COUNTIF($R$11:$R$653,"Count")),R358="Length",RANDBETWEEN(1,COUNTIF($R$11:$R$653,"Length"))),"")</f>
        <v/>
      </c>
      <c r="N358" s="4" t="str">
        <f ca="1">IFERROR(_xlfn.RANK.EQ(M358,$M$11:$M$653)+COUNTIF($M$11:M358,M358)-1,"")</f>
        <v/>
      </c>
      <c r="O358" s="86" t="str">
        <f>IF(A358='DATA SHEET'!$L$36,C358,IFERROR(IF(AND(ISTEXT(I358),ISBLANK(C358)),"No details",VLOOKUP(C358,DimFolder,2,FALSE)),""))</f>
        <v/>
      </c>
      <c r="P358" s="4" t="str">
        <f t="shared" si="101"/>
        <v/>
      </c>
      <c r="Q358" s="58" t="str">
        <f t="shared" si="100"/>
        <v/>
      </c>
      <c r="R358" s="4" t="e" cm="1">
        <f t="array" ref="R358">IF(INDEX(Table2[],_xlfn.XMATCH($A358,Table2[Steel Member],0),_xlfn.XMATCH(R$2,Table2[#Headers],0))=0,"",INDEX(Table2[],_xlfn.XMATCH($A358,Table2[Steel Member],0),_xlfn.XMATCH(R$2,Table2[#Headers],0)))</f>
        <v>#N/A</v>
      </c>
      <c r="S358" s="4" t="e" cm="1">
        <f t="array" ref="S358">IF(INDEX(Table2[],_xlfn.XMATCH($A358,Table2[Steel Member],0),_xlfn.XMATCH(S$2,Table2[#Headers],0))=0,"",INDEX(Table2[],_xlfn.XMATCH($A358,Table2[Steel Member],0),_xlfn.XMATCH(S$2,Table2[#Headers],0)))</f>
        <v>#N/A</v>
      </c>
      <c r="T358" s="4" t="str">
        <f t="shared" si="91"/>
        <v/>
      </c>
      <c r="U358" s="4" t="e">
        <f ca="1">VLOOKUP(N358,'COLOR CODE'!$B:$D,2,FALSE)</f>
        <v>#N/A</v>
      </c>
      <c r="V358" s="4" t="str">
        <f t="shared" si="92"/>
        <v/>
      </c>
      <c r="W358" s="4" t="e" cm="1">
        <f t="array" ref="W358">IF(INDEX(Table2[],_xlfn.XMATCH($A358,Table2[Steel Member],0),_xlfn.XMATCH(W$2,Table2[#Headers],0))=0,"",INDEX(Table2[],_xlfn.XMATCH($A358,Table2[Steel Member],0),_xlfn.XMATCH(W$2,Table2[#Headers],0)))</f>
        <v>#N/A</v>
      </c>
      <c r="X358" s="4" t="e">
        <f t="shared" si="102"/>
        <v>#N/A</v>
      </c>
      <c r="Y358" s="4" t="e" cm="1">
        <f t="array" ref="Y358">IF(INDEX(Table2[],_xlfn.XMATCH($A358,Table2[Steel Member],0),_xlfn.XMATCH(Y$2,Table2[#Headers],0))=0,"",INDEX(Table2[],_xlfn.XMATCH($A358,Table2[Steel Member],0),_xlfn.XMATCH(Y$2,Table2[#Headers],0)))</f>
        <v>#N/A</v>
      </c>
      <c r="Z358" s="4" t="e" cm="1">
        <f t="array" ref="Z358">IF(INDEX(Table2[],_xlfn.XMATCH($A358,Table2[Steel Member],0),_xlfn.XMATCH(Z$2,Table2[#Headers],0))=0,"",INDEX(Table2[],_xlfn.XMATCH($A358,Table2[Steel Member],0),_xlfn.XMATCH(Z$2,Table2[#Headers],0)))</f>
        <v>#N/A</v>
      </c>
      <c r="AA358" s="4" t="e" cm="1">
        <f t="array" ref="AA358">IF(INDEX(Table2[],_xlfn.XMATCH($A358,Table2[Steel Member],0),_xlfn.XMATCH(AA$2,Table2[#Headers],0))=0,"",INDEX(Table2[],_xlfn.XMATCH($A358,Table2[Steel Member],0),_xlfn.XMATCH(AA$2,Table2[#Headers],0)))</f>
        <v>#N/A</v>
      </c>
      <c r="AB358" s="4" t="e" cm="1">
        <f t="array" ref="AB358">IF(INDEX(Table2[],_xlfn.XMATCH($A358,Table2[Steel Member],0),_xlfn.XMATCH(AB$2,Table2[#Headers],0))=0,"",INDEX(Table2[],_xlfn.XMATCH($A358,Table2[Steel Member],0),_xlfn.XMATCH(AB$2,Table2[#Headers],0)))</f>
        <v>#N/A</v>
      </c>
      <c r="AC358" s="4" t="str" cm="1">
        <f t="array" ref="AC358">IFERROR(INDEX(Table8[],_xlfn.XMATCH($O358,Table8[Dimension Name Category],0),_xlfn.XMATCH(AC$2&amp;IF($L358," w/ tag"," w/o tag"),Table8[#Headers],0)),"")</f>
        <v/>
      </c>
      <c r="AD358" s="59" t="str">
        <f t="shared" si="93"/>
        <v/>
      </c>
      <c r="AE358" s="4" t="str">
        <f t="shared" si="94"/>
        <v/>
      </c>
      <c r="AF358" s="4" t="str">
        <f t="shared" si="95"/>
        <v/>
      </c>
      <c r="AG358" s="4" t="str" cm="1">
        <f t="array" ref="AG358">IFERROR(INDEX(Table8[],_xlfn.XMATCH($O358,Table8[Dimension Name Category],0),_xlfn.XMATCH(AG$2&amp;IF($L358," w/ tag"," w/o tag"),Table8[#Headers],0)),"")</f>
        <v/>
      </c>
      <c r="AH358" s="59" t="str">
        <f t="shared" si="96"/>
        <v/>
      </c>
      <c r="AI358" s="4"/>
      <c r="AJ358" s="4" t="str">
        <f t="shared" si="97"/>
        <v/>
      </c>
      <c r="AK358" s="4" t="str">
        <f t="shared" si="98"/>
        <v/>
      </c>
      <c r="AL358" s="4" t="e" cm="1">
        <f t="array" ref="AL358">IF(INDEX(Table2[],_xlfn.XMATCH($A358,Table2[Steel Member],0),_xlfn.XMATCH(AL$2,Table2[#Headers],0))=0,"",INDEX(Table2[],_xlfn.XMATCH($A358,Table2[Steel Member],0),_xlfn.XMATCH(AL$2,Table2[#Headers],0)))</f>
        <v>#N/A</v>
      </c>
      <c r="AM358" s="4"/>
      <c r="AN358" s="4" t="str">
        <f t="shared" si="99"/>
        <v/>
      </c>
      <c r="AO358" s="4"/>
      <c r="AP358" s="4" t="e" cm="1">
        <f t="array" ref="AP358">IF(INDEX(Table2[],_xlfn.XMATCH($A358,Table2[Steel Member],0),_xlfn.XMATCH(AP$2,Table2[#Headers],0))=0,"",INDEX(Table2[],_xlfn.XMATCH($A358,Table2[Steel Member],0),_xlfn.XMATCH(AP$2,Table2[#Headers],0)))</f>
        <v>#N/A</v>
      </c>
      <c r="AQ358" s="4"/>
      <c r="AR358" s="4"/>
      <c r="AS358" s="4"/>
      <c r="AT358" s="4"/>
    </row>
    <row r="359" spans="1:46" x14ac:dyDescent="0.25">
      <c r="A359" s="52"/>
      <c r="B359" s="52"/>
      <c r="C359" s="52"/>
      <c r="D359" s="52"/>
      <c r="E359" s="52"/>
      <c r="F359" s="64" cm="1">
        <f t="array" ref="F359">IF(COUNT(FIND(PurlinsxGirthsxBracings,$C359))&gt;0,0,ROUNDUP(IF(D359=0,0,VLOOKUP(D359,'DATA SHEET'!$B:$D,2,FALSE)),2))</f>
        <v>0</v>
      </c>
      <c r="G359" s="64" cm="1">
        <f t="array" ref="G359">IF(COUNT(FIND(PurlinsxGirthsxBracings,$C359))&gt;0,0,ROUNDUP(IF(D359=0,0,VLOOKUP(D359,'DATA SHEET'!$B:$D,3,FALSE)),2))</f>
        <v>0</v>
      </c>
      <c r="H359" s="53"/>
      <c r="I359" s="66" cm="1">
        <f t="array" ref="I359">IF(AND(ISBLANK(B359),ISBLANK(C359),ISBLANK(E359)),0,IF(COUNT(FIND(PurlinsxGirthsxBracings,$C359))&gt;0,IF(B359=0,CONCATENATE(E359," ",C359),CONCATENATE(B359," - ",E359," ",C359)),IF(B359=0,IF(ISBLANK(C359),E359,CONCATENATE(D359,", ",F359,"kg/m, ",G359,"mm surface perimeter")),IF(AND(ISBLANK(C359),ISTEXT(E359)),CONCATENATE(B359," - ",E359),IF(AND(ISBLANK(C359),ISBLANK(E359)),B359,CONCATENATE(B359," - ",D359,", ",F359,"kg/m, ",G359,"mm surface perimeter"))))&amp;IF(ISBLANK(H359),"",H359)))</f>
        <v>0</v>
      </c>
      <c r="J359" s="53"/>
      <c r="L359" s="4" t="str" cm="1">
        <f t="array" ref="L359">IF(COUNT(FIND({0,1,2,3,4,5,6,7,8,9},B359))&gt;0,COUNT(FIND({0,1,2,3,4,5,6,7,8,9},B359))&gt;0,"")</f>
        <v/>
      </c>
      <c r="M359" s="4" t="str" cm="1">
        <f t="array" aca="1" ref="M359" ca="1">IFERROR(_xlfn.IFS(R359="Count",RANDBETWEEN(1,COUNTIF($R$11:$R$653,"Count")),R359="Length",RANDBETWEEN(1,COUNTIF($R$11:$R$653,"Length"))),"")</f>
        <v/>
      </c>
      <c r="N359" s="4" t="str">
        <f ca="1">IFERROR(_xlfn.RANK.EQ(M359,$M$11:$M$653)+COUNTIF($M$11:M359,M359)-1,"")</f>
        <v/>
      </c>
      <c r="O359" s="86" t="str">
        <f>IF(A359='DATA SHEET'!$L$36,C359,IFERROR(IF(AND(ISTEXT(I359),ISBLANK(C359)),"No details",VLOOKUP(C359,DimFolder,2,FALSE)),""))</f>
        <v/>
      </c>
      <c r="P359" s="4" t="str">
        <f t="shared" si="101"/>
        <v/>
      </c>
      <c r="Q359" s="58" t="str">
        <f t="shared" si="100"/>
        <v/>
      </c>
      <c r="R359" s="4" t="e" cm="1">
        <f t="array" ref="R359">IF(INDEX(Table2[],_xlfn.XMATCH($A359,Table2[Steel Member],0),_xlfn.XMATCH(R$2,Table2[#Headers],0))=0,"",INDEX(Table2[],_xlfn.XMATCH($A359,Table2[Steel Member],0),_xlfn.XMATCH(R$2,Table2[#Headers],0)))</f>
        <v>#N/A</v>
      </c>
      <c r="S359" s="4" t="e" cm="1">
        <f t="array" ref="S359">IF(INDEX(Table2[],_xlfn.XMATCH($A359,Table2[Steel Member],0),_xlfn.XMATCH(S$2,Table2[#Headers],0))=0,"",INDEX(Table2[],_xlfn.XMATCH($A359,Table2[Steel Member],0),_xlfn.XMATCH(S$2,Table2[#Headers],0)))</f>
        <v>#N/A</v>
      </c>
      <c r="T359" s="4" t="str">
        <f t="shared" si="91"/>
        <v/>
      </c>
      <c r="U359" s="4" t="e">
        <f ca="1">VLOOKUP(N359,'COLOR CODE'!$B:$D,2,FALSE)</f>
        <v>#N/A</v>
      </c>
      <c r="V359" s="4" t="str">
        <f t="shared" si="92"/>
        <v/>
      </c>
      <c r="W359" s="4" t="e" cm="1">
        <f t="array" ref="W359">IF(INDEX(Table2[],_xlfn.XMATCH($A359,Table2[Steel Member],0),_xlfn.XMATCH(W$2,Table2[#Headers],0))=0,"",INDEX(Table2[],_xlfn.XMATCH($A359,Table2[Steel Member],0),_xlfn.XMATCH(W$2,Table2[#Headers],0)))</f>
        <v>#N/A</v>
      </c>
      <c r="X359" s="4" t="e">
        <f t="shared" si="102"/>
        <v>#N/A</v>
      </c>
      <c r="Y359" s="4" t="e" cm="1">
        <f t="array" ref="Y359">IF(INDEX(Table2[],_xlfn.XMATCH($A359,Table2[Steel Member],0),_xlfn.XMATCH(Y$2,Table2[#Headers],0))=0,"",INDEX(Table2[],_xlfn.XMATCH($A359,Table2[Steel Member],0),_xlfn.XMATCH(Y$2,Table2[#Headers],0)))</f>
        <v>#N/A</v>
      </c>
      <c r="Z359" s="4" t="e" cm="1">
        <f t="array" ref="Z359">IF(INDEX(Table2[],_xlfn.XMATCH($A359,Table2[Steel Member],0),_xlfn.XMATCH(Z$2,Table2[#Headers],0))=0,"",INDEX(Table2[],_xlfn.XMATCH($A359,Table2[Steel Member],0),_xlfn.XMATCH(Z$2,Table2[#Headers],0)))</f>
        <v>#N/A</v>
      </c>
      <c r="AA359" s="4" t="e" cm="1">
        <f t="array" ref="AA359">IF(INDEX(Table2[],_xlfn.XMATCH($A359,Table2[Steel Member],0),_xlfn.XMATCH(AA$2,Table2[#Headers],0))=0,"",INDEX(Table2[],_xlfn.XMATCH($A359,Table2[Steel Member],0),_xlfn.XMATCH(AA$2,Table2[#Headers],0)))</f>
        <v>#N/A</v>
      </c>
      <c r="AB359" s="4" t="e" cm="1">
        <f t="array" ref="AB359">IF(INDEX(Table2[],_xlfn.XMATCH($A359,Table2[Steel Member],0),_xlfn.XMATCH(AB$2,Table2[#Headers],0))=0,"",INDEX(Table2[],_xlfn.XMATCH($A359,Table2[Steel Member],0),_xlfn.XMATCH(AB$2,Table2[#Headers],0)))</f>
        <v>#N/A</v>
      </c>
      <c r="AC359" s="4" t="str" cm="1">
        <f t="array" ref="AC359">IFERROR(INDEX(Table8[],_xlfn.XMATCH($O359,Table8[Dimension Name Category],0),_xlfn.XMATCH(AC$2&amp;IF($L359," w/ tag"," w/o tag"),Table8[#Headers],0)),"")</f>
        <v/>
      </c>
      <c r="AD359" s="59" t="str">
        <f t="shared" si="93"/>
        <v/>
      </c>
      <c r="AE359" s="4" t="str">
        <f t="shared" si="94"/>
        <v/>
      </c>
      <c r="AF359" s="4" t="str">
        <f t="shared" si="95"/>
        <v/>
      </c>
      <c r="AG359" s="4" t="str" cm="1">
        <f t="array" ref="AG359">IFERROR(INDEX(Table8[],_xlfn.XMATCH($O359,Table8[Dimension Name Category],0),_xlfn.XMATCH(AG$2&amp;IF($L359," w/ tag"," w/o tag"),Table8[#Headers],0)),"")</f>
        <v/>
      </c>
      <c r="AH359" s="59" t="str">
        <f t="shared" si="96"/>
        <v/>
      </c>
      <c r="AI359" s="4"/>
      <c r="AJ359" s="4" t="str">
        <f t="shared" si="97"/>
        <v/>
      </c>
      <c r="AK359" s="4" t="str">
        <f t="shared" si="98"/>
        <v/>
      </c>
      <c r="AL359" s="4" t="e" cm="1">
        <f t="array" ref="AL359">IF(INDEX(Table2[],_xlfn.XMATCH($A359,Table2[Steel Member],0),_xlfn.XMATCH(AL$2,Table2[#Headers],0))=0,"",INDEX(Table2[],_xlfn.XMATCH($A359,Table2[Steel Member],0),_xlfn.XMATCH(AL$2,Table2[#Headers],0)))</f>
        <v>#N/A</v>
      </c>
      <c r="AM359" s="4"/>
      <c r="AN359" s="4" t="str">
        <f t="shared" si="99"/>
        <v/>
      </c>
      <c r="AO359" s="4"/>
      <c r="AP359" s="4" t="e" cm="1">
        <f t="array" ref="AP359">IF(INDEX(Table2[],_xlfn.XMATCH($A359,Table2[Steel Member],0),_xlfn.XMATCH(AP$2,Table2[#Headers],0))=0,"",INDEX(Table2[],_xlfn.XMATCH($A359,Table2[Steel Member],0),_xlfn.XMATCH(AP$2,Table2[#Headers],0)))</f>
        <v>#N/A</v>
      </c>
      <c r="AQ359" s="4"/>
      <c r="AR359" s="4"/>
      <c r="AS359" s="4"/>
      <c r="AT359" s="4"/>
    </row>
    <row r="360" spans="1:46" x14ac:dyDescent="0.25">
      <c r="A360" s="52"/>
      <c r="B360" s="52"/>
      <c r="C360" s="52"/>
      <c r="D360" s="52"/>
      <c r="E360" s="52"/>
      <c r="F360" s="64" cm="1">
        <f t="array" ref="F360">IF(COUNT(FIND(PurlinsxGirthsxBracings,$C360))&gt;0,0,ROUNDUP(IF(D360=0,0,VLOOKUP(D360,'DATA SHEET'!$B:$D,2,FALSE)),2))</f>
        <v>0</v>
      </c>
      <c r="G360" s="64" cm="1">
        <f t="array" ref="G360">IF(COUNT(FIND(PurlinsxGirthsxBracings,$C360))&gt;0,0,ROUNDUP(IF(D360=0,0,VLOOKUP(D360,'DATA SHEET'!$B:$D,3,FALSE)),2))</f>
        <v>0</v>
      </c>
      <c r="H360" s="53"/>
      <c r="I360" s="66" cm="1">
        <f t="array" ref="I360">IF(AND(ISBLANK(B360),ISBLANK(C360),ISBLANK(E360)),0,IF(COUNT(FIND(PurlinsxGirthsxBracings,$C360))&gt;0,IF(B360=0,CONCATENATE(E360," ",C360),CONCATENATE(B360," - ",E360," ",C360)),IF(B360=0,IF(ISBLANK(C360),E360,CONCATENATE(D360,", ",F360,"kg/m, ",G360,"mm surface perimeter")),IF(AND(ISBLANK(C360),ISTEXT(E360)),CONCATENATE(B360," - ",E360),IF(AND(ISBLANK(C360),ISBLANK(E360)),B360,CONCATENATE(B360," - ",D360,", ",F360,"kg/m, ",G360,"mm surface perimeter"))))&amp;IF(ISBLANK(H360),"",H360)))</f>
        <v>0</v>
      </c>
      <c r="J360" s="53"/>
      <c r="L360" s="4" t="str" cm="1">
        <f t="array" ref="L360">IF(COUNT(FIND({0,1,2,3,4,5,6,7,8,9},B360))&gt;0,COUNT(FIND({0,1,2,3,4,5,6,7,8,9},B360))&gt;0,"")</f>
        <v/>
      </c>
      <c r="M360" s="4" t="str" cm="1">
        <f t="array" aca="1" ref="M360" ca="1">IFERROR(_xlfn.IFS(R360="Count",RANDBETWEEN(1,COUNTIF($R$11:$R$653,"Count")),R360="Length",RANDBETWEEN(1,COUNTIF($R$11:$R$653,"Length"))),"")</f>
        <v/>
      </c>
      <c r="N360" s="4" t="str">
        <f ca="1">IFERROR(_xlfn.RANK.EQ(M360,$M$11:$M$653)+COUNTIF($M$11:M360,M360)-1,"")</f>
        <v/>
      </c>
      <c r="O360" s="86" t="str">
        <f>IF(A360='DATA SHEET'!$L$36,C360,IFERROR(IF(AND(ISTEXT(I360),ISBLANK(C360)),"No details",VLOOKUP(C360,DimFolder,2,FALSE)),""))</f>
        <v/>
      </c>
      <c r="P360" s="4" t="str">
        <f t="shared" si="101"/>
        <v/>
      </c>
      <c r="Q360" s="58" t="str">
        <f t="shared" si="100"/>
        <v/>
      </c>
      <c r="R360" s="4" t="e" cm="1">
        <f t="array" ref="R360">IF(INDEX(Table2[],_xlfn.XMATCH($A360,Table2[Steel Member],0),_xlfn.XMATCH(R$2,Table2[#Headers],0))=0,"",INDEX(Table2[],_xlfn.XMATCH($A360,Table2[Steel Member],0),_xlfn.XMATCH(R$2,Table2[#Headers],0)))</f>
        <v>#N/A</v>
      </c>
      <c r="S360" s="4" t="e" cm="1">
        <f t="array" ref="S360">IF(INDEX(Table2[],_xlfn.XMATCH($A360,Table2[Steel Member],0),_xlfn.XMATCH(S$2,Table2[#Headers],0))=0,"",INDEX(Table2[],_xlfn.XMATCH($A360,Table2[Steel Member],0),_xlfn.XMATCH(S$2,Table2[#Headers],0)))</f>
        <v>#N/A</v>
      </c>
      <c r="T360" s="4" t="str">
        <f t="shared" si="91"/>
        <v/>
      </c>
      <c r="U360" s="4" t="e">
        <f ca="1">VLOOKUP(N360,'COLOR CODE'!$B:$D,2,FALSE)</f>
        <v>#N/A</v>
      </c>
      <c r="V360" s="4" t="str">
        <f t="shared" si="92"/>
        <v/>
      </c>
      <c r="W360" s="4" t="e" cm="1">
        <f t="array" ref="W360">IF(INDEX(Table2[],_xlfn.XMATCH($A360,Table2[Steel Member],0),_xlfn.XMATCH(W$2,Table2[#Headers],0))=0,"",INDEX(Table2[],_xlfn.XMATCH($A360,Table2[Steel Member],0),_xlfn.XMATCH(W$2,Table2[#Headers],0)))</f>
        <v>#N/A</v>
      </c>
      <c r="X360" s="4" t="e">
        <f t="shared" si="102"/>
        <v>#N/A</v>
      </c>
      <c r="Y360" s="4" t="e" cm="1">
        <f t="array" ref="Y360">IF(INDEX(Table2[],_xlfn.XMATCH($A360,Table2[Steel Member],0),_xlfn.XMATCH(Y$2,Table2[#Headers],0))=0,"",INDEX(Table2[],_xlfn.XMATCH($A360,Table2[Steel Member],0),_xlfn.XMATCH(Y$2,Table2[#Headers],0)))</f>
        <v>#N/A</v>
      </c>
      <c r="Z360" s="4" t="e" cm="1">
        <f t="array" ref="Z360">IF(INDEX(Table2[],_xlfn.XMATCH($A360,Table2[Steel Member],0),_xlfn.XMATCH(Z$2,Table2[#Headers],0))=0,"",INDEX(Table2[],_xlfn.XMATCH($A360,Table2[Steel Member],0),_xlfn.XMATCH(Z$2,Table2[#Headers],0)))</f>
        <v>#N/A</v>
      </c>
      <c r="AA360" s="4" t="e" cm="1">
        <f t="array" ref="AA360">IF(INDEX(Table2[],_xlfn.XMATCH($A360,Table2[Steel Member],0),_xlfn.XMATCH(AA$2,Table2[#Headers],0))=0,"",INDEX(Table2[],_xlfn.XMATCH($A360,Table2[Steel Member],0),_xlfn.XMATCH(AA$2,Table2[#Headers],0)))</f>
        <v>#N/A</v>
      </c>
      <c r="AB360" s="4" t="e" cm="1">
        <f t="array" ref="AB360">IF(INDEX(Table2[],_xlfn.XMATCH($A360,Table2[Steel Member],0),_xlfn.XMATCH(AB$2,Table2[#Headers],0))=0,"",INDEX(Table2[],_xlfn.XMATCH($A360,Table2[Steel Member],0),_xlfn.XMATCH(AB$2,Table2[#Headers],0)))</f>
        <v>#N/A</v>
      </c>
      <c r="AC360" s="4" t="str" cm="1">
        <f t="array" ref="AC360">IFERROR(INDEX(Table8[],_xlfn.XMATCH($O360,Table8[Dimension Name Category],0),_xlfn.XMATCH(AC$2&amp;IF($L360," w/ tag"," w/o tag"),Table8[#Headers],0)),"")</f>
        <v/>
      </c>
      <c r="AD360" s="59" t="str">
        <f t="shared" si="93"/>
        <v/>
      </c>
      <c r="AE360" s="4" t="str">
        <f t="shared" si="94"/>
        <v/>
      </c>
      <c r="AF360" s="4" t="str">
        <f t="shared" si="95"/>
        <v/>
      </c>
      <c r="AG360" s="4" t="str" cm="1">
        <f t="array" ref="AG360">IFERROR(INDEX(Table8[],_xlfn.XMATCH($O360,Table8[Dimension Name Category],0),_xlfn.XMATCH(AG$2&amp;IF($L360," w/ tag"," w/o tag"),Table8[#Headers],0)),"")</f>
        <v/>
      </c>
      <c r="AH360" s="59" t="str">
        <f t="shared" si="96"/>
        <v/>
      </c>
      <c r="AI360" s="4"/>
      <c r="AJ360" s="4" t="str">
        <f t="shared" si="97"/>
        <v/>
      </c>
      <c r="AK360" s="4" t="str">
        <f t="shared" si="98"/>
        <v/>
      </c>
      <c r="AL360" s="4" t="e" cm="1">
        <f t="array" ref="AL360">IF(INDEX(Table2[],_xlfn.XMATCH($A360,Table2[Steel Member],0),_xlfn.XMATCH(AL$2,Table2[#Headers],0))=0,"",INDEX(Table2[],_xlfn.XMATCH($A360,Table2[Steel Member],0),_xlfn.XMATCH(AL$2,Table2[#Headers],0)))</f>
        <v>#N/A</v>
      </c>
      <c r="AM360" s="4"/>
      <c r="AN360" s="4" t="str">
        <f t="shared" si="99"/>
        <v/>
      </c>
      <c r="AO360" s="4"/>
      <c r="AP360" s="4" t="e" cm="1">
        <f t="array" ref="AP360">IF(INDEX(Table2[],_xlfn.XMATCH($A360,Table2[Steel Member],0),_xlfn.XMATCH(AP$2,Table2[#Headers],0))=0,"",INDEX(Table2[],_xlfn.XMATCH($A360,Table2[Steel Member],0),_xlfn.XMATCH(AP$2,Table2[#Headers],0)))</f>
        <v>#N/A</v>
      </c>
      <c r="AQ360" s="4"/>
      <c r="AR360" s="4"/>
      <c r="AS360" s="4"/>
      <c r="AT360" s="4"/>
    </row>
    <row r="361" spans="1:46" x14ac:dyDescent="0.25">
      <c r="A361" s="52"/>
      <c r="B361" s="52"/>
      <c r="C361" s="52"/>
      <c r="D361" s="52"/>
      <c r="E361" s="52"/>
      <c r="F361" s="64" cm="1">
        <f t="array" ref="F361">IF(COUNT(FIND(PurlinsxGirthsxBracings,$C361))&gt;0,0,ROUNDUP(IF(D361=0,0,VLOOKUP(D361,'DATA SHEET'!$B:$D,2,FALSE)),2))</f>
        <v>0</v>
      </c>
      <c r="G361" s="64" cm="1">
        <f t="array" ref="G361">IF(COUNT(FIND(PurlinsxGirthsxBracings,$C361))&gt;0,0,ROUNDUP(IF(D361=0,0,VLOOKUP(D361,'DATA SHEET'!$B:$D,3,FALSE)),2))</f>
        <v>0</v>
      </c>
      <c r="H361" s="53"/>
      <c r="I361" s="66" cm="1">
        <f t="array" ref="I361">IF(AND(ISBLANK(B361),ISBLANK(C361),ISBLANK(E361)),0,IF(COUNT(FIND(PurlinsxGirthsxBracings,$C361))&gt;0,IF(B361=0,CONCATENATE(E361," ",C361),CONCATENATE(B361," - ",E361," ",C361)),IF(B361=0,IF(ISBLANK(C361),E361,CONCATENATE(D361,", ",F361,"kg/m, ",G361,"mm surface perimeter")),IF(AND(ISBLANK(C361),ISTEXT(E361)),CONCATENATE(B361," - ",E361),IF(AND(ISBLANK(C361),ISBLANK(E361)),B361,CONCATENATE(B361," - ",D361,", ",F361,"kg/m, ",G361,"mm surface perimeter"))))&amp;IF(ISBLANK(H361),"",H361)))</f>
        <v>0</v>
      </c>
      <c r="J361" s="53"/>
      <c r="L361" s="4" t="str" cm="1">
        <f t="array" ref="L361">IF(COUNT(FIND({0,1,2,3,4,5,6,7,8,9},B361))&gt;0,COUNT(FIND({0,1,2,3,4,5,6,7,8,9},B361))&gt;0,"")</f>
        <v/>
      </c>
      <c r="M361" s="4" t="str" cm="1">
        <f t="array" aca="1" ref="M361" ca="1">IFERROR(_xlfn.IFS(R361="Count",RANDBETWEEN(1,COUNTIF($R$11:$R$653,"Count")),R361="Length",RANDBETWEEN(1,COUNTIF($R$11:$R$653,"Length"))),"")</f>
        <v/>
      </c>
      <c r="N361" s="4" t="str">
        <f ca="1">IFERROR(_xlfn.RANK.EQ(M361,$M$11:$M$653)+COUNTIF($M$11:M361,M361)-1,"")</f>
        <v/>
      </c>
      <c r="O361" s="86" t="str">
        <f>IF(A361='DATA SHEET'!$L$36,C361,IFERROR(IF(AND(ISTEXT(I361),ISBLANK(C361)),"No details",VLOOKUP(C361,DimFolder,2,FALSE)),""))</f>
        <v/>
      </c>
      <c r="P361" s="4" t="str">
        <f t="shared" si="101"/>
        <v/>
      </c>
      <c r="Q361" s="58" t="str">
        <f t="shared" si="100"/>
        <v/>
      </c>
      <c r="R361" s="4" t="e" cm="1">
        <f t="array" ref="R361">IF(INDEX(Table2[],_xlfn.XMATCH($A361,Table2[Steel Member],0),_xlfn.XMATCH(R$2,Table2[#Headers],0))=0,"",INDEX(Table2[],_xlfn.XMATCH($A361,Table2[Steel Member],0),_xlfn.XMATCH(R$2,Table2[#Headers],0)))</f>
        <v>#N/A</v>
      </c>
      <c r="S361" s="4" t="e" cm="1">
        <f t="array" ref="S361">IF(INDEX(Table2[],_xlfn.XMATCH($A361,Table2[Steel Member],0),_xlfn.XMATCH(S$2,Table2[#Headers],0))=0,"",INDEX(Table2[],_xlfn.XMATCH($A361,Table2[Steel Member],0),_xlfn.XMATCH(S$2,Table2[#Headers],0)))</f>
        <v>#N/A</v>
      </c>
      <c r="T361" s="4" t="str">
        <f t="shared" si="91"/>
        <v/>
      </c>
      <c r="U361" s="4" t="e">
        <f ca="1">VLOOKUP(N361,'COLOR CODE'!$B:$D,2,FALSE)</f>
        <v>#N/A</v>
      </c>
      <c r="V361" s="4" t="str">
        <f t="shared" si="92"/>
        <v/>
      </c>
      <c r="W361" s="4" t="e" cm="1">
        <f t="array" ref="W361">IF(INDEX(Table2[],_xlfn.XMATCH($A361,Table2[Steel Member],0),_xlfn.XMATCH(W$2,Table2[#Headers],0))=0,"",INDEX(Table2[],_xlfn.XMATCH($A361,Table2[Steel Member],0),_xlfn.XMATCH(W$2,Table2[#Headers],0)))</f>
        <v>#N/A</v>
      </c>
      <c r="X361" s="4" t="e">
        <f t="shared" si="102"/>
        <v>#N/A</v>
      </c>
      <c r="Y361" s="4" t="e" cm="1">
        <f t="array" ref="Y361">IF(INDEX(Table2[],_xlfn.XMATCH($A361,Table2[Steel Member],0),_xlfn.XMATCH(Y$2,Table2[#Headers],0))=0,"",INDEX(Table2[],_xlfn.XMATCH($A361,Table2[Steel Member],0),_xlfn.XMATCH(Y$2,Table2[#Headers],0)))</f>
        <v>#N/A</v>
      </c>
      <c r="Z361" s="4" t="e" cm="1">
        <f t="array" ref="Z361">IF(INDEX(Table2[],_xlfn.XMATCH($A361,Table2[Steel Member],0),_xlfn.XMATCH(Z$2,Table2[#Headers],0))=0,"",INDEX(Table2[],_xlfn.XMATCH($A361,Table2[Steel Member],0),_xlfn.XMATCH(Z$2,Table2[#Headers],0)))</f>
        <v>#N/A</v>
      </c>
      <c r="AA361" s="4" t="e" cm="1">
        <f t="array" ref="AA361">IF(INDEX(Table2[],_xlfn.XMATCH($A361,Table2[Steel Member],0),_xlfn.XMATCH(AA$2,Table2[#Headers],0))=0,"",INDEX(Table2[],_xlfn.XMATCH($A361,Table2[Steel Member],0),_xlfn.XMATCH(AA$2,Table2[#Headers],0)))</f>
        <v>#N/A</v>
      </c>
      <c r="AB361" s="4" t="e" cm="1">
        <f t="array" ref="AB361">IF(INDEX(Table2[],_xlfn.XMATCH($A361,Table2[Steel Member],0),_xlfn.XMATCH(AB$2,Table2[#Headers],0))=0,"",INDEX(Table2[],_xlfn.XMATCH($A361,Table2[Steel Member],0),_xlfn.XMATCH(AB$2,Table2[#Headers],0)))</f>
        <v>#N/A</v>
      </c>
      <c r="AC361" s="4" t="str" cm="1">
        <f t="array" ref="AC361">IFERROR(INDEX(Table8[],_xlfn.XMATCH($O361,Table8[Dimension Name Category],0),_xlfn.XMATCH(AC$2&amp;IF($L361," w/ tag"," w/o tag"),Table8[#Headers],0)),"")</f>
        <v/>
      </c>
      <c r="AD361" s="59" t="str">
        <f t="shared" si="93"/>
        <v/>
      </c>
      <c r="AE361" s="4" t="str">
        <f t="shared" si="94"/>
        <v/>
      </c>
      <c r="AF361" s="4" t="str">
        <f t="shared" si="95"/>
        <v/>
      </c>
      <c r="AG361" s="4" t="str" cm="1">
        <f t="array" ref="AG361">IFERROR(INDEX(Table8[],_xlfn.XMATCH($O361,Table8[Dimension Name Category],0),_xlfn.XMATCH(AG$2&amp;IF($L361," w/ tag"," w/o tag"),Table8[#Headers],0)),"")</f>
        <v/>
      </c>
      <c r="AH361" s="59" t="str">
        <f t="shared" si="96"/>
        <v/>
      </c>
      <c r="AI361" s="4"/>
      <c r="AJ361" s="4" t="str">
        <f t="shared" si="97"/>
        <v/>
      </c>
      <c r="AK361" s="4" t="str">
        <f t="shared" si="98"/>
        <v/>
      </c>
      <c r="AL361" s="4" t="e" cm="1">
        <f t="array" ref="AL361">IF(INDEX(Table2[],_xlfn.XMATCH($A361,Table2[Steel Member],0),_xlfn.XMATCH(AL$2,Table2[#Headers],0))=0,"",INDEX(Table2[],_xlfn.XMATCH($A361,Table2[Steel Member],0),_xlfn.XMATCH(AL$2,Table2[#Headers],0)))</f>
        <v>#N/A</v>
      </c>
      <c r="AM361" s="4"/>
      <c r="AN361" s="4" t="str">
        <f t="shared" si="99"/>
        <v/>
      </c>
      <c r="AO361" s="4"/>
      <c r="AP361" s="4" t="e" cm="1">
        <f t="array" ref="AP361">IF(INDEX(Table2[],_xlfn.XMATCH($A361,Table2[Steel Member],0),_xlfn.XMATCH(AP$2,Table2[#Headers],0))=0,"",INDEX(Table2[],_xlfn.XMATCH($A361,Table2[Steel Member],0),_xlfn.XMATCH(AP$2,Table2[#Headers],0)))</f>
        <v>#N/A</v>
      </c>
      <c r="AQ361" s="4"/>
      <c r="AR361" s="4"/>
      <c r="AS361" s="4"/>
      <c r="AT361" s="4"/>
    </row>
    <row r="362" spans="1:46" x14ac:dyDescent="0.25">
      <c r="A362" s="52"/>
      <c r="B362" s="52"/>
      <c r="C362" s="52"/>
      <c r="D362" s="52"/>
      <c r="E362" s="52"/>
      <c r="F362" s="64" cm="1">
        <f t="array" ref="F362">IF(COUNT(FIND(PurlinsxGirthsxBracings,$C362))&gt;0,0,ROUNDUP(IF(D362=0,0,VLOOKUP(D362,'DATA SHEET'!$B:$D,2,FALSE)),2))</f>
        <v>0</v>
      </c>
      <c r="G362" s="64" cm="1">
        <f t="array" ref="G362">IF(COUNT(FIND(PurlinsxGirthsxBracings,$C362))&gt;0,0,ROUNDUP(IF(D362=0,0,VLOOKUP(D362,'DATA SHEET'!$B:$D,3,FALSE)),2))</f>
        <v>0</v>
      </c>
      <c r="H362" s="53"/>
      <c r="I362" s="66" cm="1">
        <f t="array" ref="I362">IF(AND(ISBLANK(B362),ISBLANK(C362),ISBLANK(E362)),0,IF(COUNT(FIND(PurlinsxGirthsxBracings,$C362))&gt;0,IF(B362=0,CONCATENATE(E362," ",C362),CONCATENATE(B362," - ",E362," ",C362)),IF(B362=0,IF(ISBLANK(C362),E362,CONCATENATE(D362,", ",F362,"kg/m, ",G362,"mm surface perimeter")),IF(AND(ISBLANK(C362),ISTEXT(E362)),CONCATENATE(B362," - ",E362),IF(AND(ISBLANK(C362),ISBLANK(E362)),B362,CONCATENATE(B362," - ",D362,", ",F362,"kg/m, ",G362,"mm surface perimeter"))))&amp;IF(ISBLANK(H362),"",H362)))</f>
        <v>0</v>
      </c>
      <c r="J362" s="53"/>
      <c r="L362" s="4" t="str" cm="1">
        <f t="array" ref="L362">IF(COUNT(FIND({0,1,2,3,4,5,6,7,8,9},B362))&gt;0,COUNT(FIND({0,1,2,3,4,5,6,7,8,9},B362))&gt;0,"")</f>
        <v/>
      </c>
      <c r="M362" s="4" t="str" cm="1">
        <f t="array" aca="1" ref="M362" ca="1">IFERROR(_xlfn.IFS(R362="Count",RANDBETWEEN(1,COUNTIF($R$11:$R$653,"Count")),R362="Length",RANDBETWEEN(1,COUNTIF($R$11:$R$653,"Length"))),"")</f>
        <v/>
      </c>
      <c r="N362" s="4" t="str">
        <f ca="1">IFERROR(_xlfn.RANK.EQ(M362,$M$11:$M$653)+COUNTIF($M$11:M362,M362)-1,"")</f>
        <v/>
      </c>
      <c r="O362" s="86" t="str">
        <f>IF(A362='DATA SHEET'!$L$36,C362,IFERROR(IF(AND(ISTEXT(I362),ISBLANK(C362)),"No details",VLOOKUP(C362,DimFolder,2,FALSE)),""))</f>
        <v/>
      </c>
      <c r="P362" s="4" t="str">
        <f t="shared" si="101"/>
        <v/>
      </c>
      <c r="Q362" s="58" t="str">
        <f t="shared" si="100"/>
        <v/>
      </c>
      <c r="R362" s="4" t="e" cm="1">
        <f t="array" ref="R362">IF(INDEX(Table2[],_xlfn.XMATCH($A362,Table2[Steel Member],0),_xlfn.XMATCH(R$2,Table2[#Headers],0))=0,"",INDEX(Table2[],_xlfn.XMATCH($A362,Table2[Steel Member],0),_xlfn.XMATCH(R$2,Table2[#Headers],0)))</f>
        <v>#N/A</v>
      </c>
      <c r="S362" s="4" t="e" cm="1">
        <f t="array" ref="S362">IF(INDEX(Table2[],_xlfn.XMATCH($A362,Table2[Steel Member],0),_xlfn.XMATCH(S$2,Table2[#Headers],0))=0,"",INDEX(Table2[],_xlfn.XMATCH($A362,Table2[Steel Member],0),_xlfn.XMATCH(S$2,Table2[#Headers],0)))</f>
        <v>#N/A</v>
      </c>
      <c r="T362" s="4" t="str">
        <f t="shared" si="91"/>
        <v/>
      </c>
      <c r="U362" s="4" t="e">
        <f ca="1">VLOOKUP(N362,'COLOR CODE'!$B:$D,2,FALSE)</f>
        <v>#N/A</v>
      </c>
      <c r="V362" s="4" t="str">
        <f t="shared" si="92"/>
        <v/>
      </c>
      <c r="W362" s="4" t="e" cm="1">
        <f t="array" ref="W362">IF(INDEX(Table2[],_xlfn.XMATCH($A362,Table2[Steel Member],0),_xlfn.XMATCH(W$2,Table2[#Headers],0))=0,"",INDEX(Table2[],_xlfn.XMATCH($A362,Table2[Steel Member],0),_xlfn.XMATCH(W$2,Table2[#Headers],0)))</f>
        <v>#N/A</v>
      </c>
      <c r="X362" s="4" t="e">
        <f t="shared" si="102"/>
        <v>#N/A</v>
      </c>
      <c r="Y362" s="4" t="e" cm="1">
        <f t="array" ref="Y362">IF(INDEX(Table2[],_xlfn.XMATCH($A362,Table2[Steel Member],0),_xlfn.XMATCH(Y$2,Table2[#Headers],0))=0,"",INDEX(Table2[],_xlfn.XMATCH($A362,Table2[Steel Member],0),_xlfn.XMATCH(Y$2,Table2[#Headers],0)))</f>
        <v>#N/A</v>
      </c>
      <c r="Z362" s="4" t="e" cm="1">
        <f t="array" ref="Z362">IF(INDEX(Table2[],_xlfn.XMATCH($A362,Table2[Steel Member],0),_xlfn.XMATCH(Z$2,Table2[#Headers],0))=0,"",INDEX(Table2[],_xlfn.XMATCH($A362,Table2[Steel Member],0),_xlfn.XMATCH(Z$2,Table2[#Headers],0)))</f>
        <v>#N/A</v>
      </c>
      <c r="AA362" s="4" t="e" cm="1">
        <f t="array" ref="AA362">IF(INDEX(Table2[],_xlfn.XMATCH($A362,Table2[Steel Member],0),_xlfn.XMATCH(AA$2,Table2[#Headers],0))=0,"",INDEX(Table2[],_xlfn.XMATCH($A362,Table2[Steel Member],0),_xlfn.XMATCH(AA$2,Table2[#Headers],0)))</f>
        <v>#N/A</v>
      </c>
      <c r="AB362" s="4" t="e" cm="1">
        <f t="array" ref="AB362">IF(INDEX(Table2[],_xlfn.XMATCH($A362,Table2[Steel Member],0),_xlfn.XMATCH(AB$2,Table2[#Headers],0))=0,"",INDEX(Table2[],_xlfn.XMATCH($A362,Table2[Steel Member],0),_xlfn.XMATCH(AB$2,Table2[#Headers],0)))</f>
        <v>#N/A</v>
      </c>
      <c r="AC362" s="4" t="str" cm="1">
        <f t="array" ref="AC362">IFERROR(INDEX(Table8[],_xlfn.XMATCH($O362,Table8[Dimension Name Category],0),_xlfn.XMATCH(AC$2&amp;IF($L362," w/ tag"," w/o tag"),Table8[#Headers],0)),"")</f>
        <v/>
      </c>
      <c r="AD362" s="59" t="str">
        <f t="shared" si="93"/>
        <v/>
      </c>
      <c r="AE362" s="4" t="str">
        <f t="shared" si="94"/>
        <v/>
      </c>
      <c r="AF362" s="4" t="str">
        <f t="shared" si="95"/>
        <v/>
      </c>
      <c r="AG362" s="4" t="str" cm="1">
        <f t="array" ref="AG362">IFERROR(INDEX(Table8[],_xlfn.XMATCH($O362,Table8[Dimension Name Category],0),_xlfn.XMATCH(AG$2&amp;IF($L362," w/ tag"," w/o tag"),Table8[#Headers],0)),"")</f>
        <v/>
      </c>
      <c r="AH362" s="59" t="str">
        <f t="shared" si="96"/>
        <v/>
      </c>
      <c r="AI362" s="4"/>
      <c r="AJ362" s="4" t="str">
        <f t="shared" si="97"/>
        <v/>
      </c>
      <c r="AK362" s="4" t="str">
        <f t="shared" si="98"/>
        <v/>
      </c>
      <c r="AL362" s="4" t="e" cm="1">
        <f t="array" ref="AL362">IF(INDEX(Table2[],_xlfn.XMATCH($A362,Table2[Steel Member],0),_xlfn.XMATCH(AL$2,Table2[#Headers],0))=0,"",INDEX(Table2[],_xlfn.XMATCH($A362,Table2[Steel Member],0),_xlfn.XMATCH(AL$2,Table2[#Headers],0)))</f>
        <v>#N/A</v>
      </c>
      <c r="AM362" s="4"/>
      <c r="AN362" s="4" t="str">
        <f t="shared" si="99"/>
        <v/>
      </c>
      <c r="AO362" s="4"/>
      <c r="AP362" s="4" t="e" cm="1">
        <f t="array" ref="AP362">IF(INDEX(Table2[],_xlfn.XMATCH($A362,Table2[Steel Member],0),_xlfn.XMATCH(AP$2,Table2[#Headers],0))=0,"",INDEX(Table2[],_xlfn.XMATCH($A362,Table2[Steel Member],0),_xlfn.XMATCH(AP$2,Table2[#Headers],0)))</f>
        <v>#N/A</v>
      </c>
      <c r="AQ362" s="4"/>
      <c r="AR362" s="4"/>
      <c r="AS362" s="4"/>
      <c r="AT362" s="4"/>
    </row>
    <row r="363" spans="1:46" x14ac:dyDescent="0.25">
      <c r="A363" s="52"/>
      <c r="B363" s="52"/>
      <c r="C363" s="52"/>
      <c r="D363" s="52"/>
      <c r="E363" s="52"/>
      <c r="F363" s="64" cm="1">
        <f t="array" ref="F363">IF(COUNT(FIND(PurlinsxGirthsxBracings,$C363))&gt;0,0,ROUNDUP(IF(D363=0,0,VLOOKUP(D363,'DATA SHEET'!$B:$D,2,FALSE)),2))</f>
        <v>0</v>
      </c>
      <c r="G363" s="64" cm="1">
        <f t="array" ref="G363">IF(COUNT(FIND(PurlinsxGirthsxBracings,$C363))&gt;0,0,ROUNDUP(IF(D363=0,0,VLOOKUP(D363,'DATA SHEET'!$B:$D,3,FALSE)),2))</f>
        <v>0</v>
      </c>
      <c r="H363" s="53"/>
      <c r="I363" s="66" cm="1">
        <f t="array" ref="I363">IF(AND(ISBLANK(B363),ISBLANK(C363),ISBLANK(E363)),0,IF(COUNT(FIND(PurlinsxGirthsxBracings,$C363))&gt;0,IF(B363=0,CONCATENATE(E363," ",C363),CONCATENATE(B363," - ",E363," ",C363)),IF(B363=0,IF(ISBLANK(C363),E363,CONCATENATE(D363,", ",F363,"kg/m, ",G363,"mm surface perimeter")),IF(AND(ISBLANK(C363),ISTEXT(E363)),CONCATENATE(B363," - ",E363),IF(AND(ISBLANK(C363),ISBLANK(E363)),B363,CONCATENATE(B363," - ",D363,", ",F363,"kg/m, ",G363,"mm surface perimeter"))))&amp;IF(ISBLANK(H363),"",H363)))</f>
        <v>0</v>
      </c>
      <c r="J363" s="53"/>
      <c r="L363" s="4" t="str" cm="1">
        <f t="array" ref="L363">IF(COUNT(FIND({0,1,2,3,4,5,6,7,8,9},B363))&gt;0,COUNT(FIND({0,1,2,3,4,5,6,7,8,9},B363))&gt;0,"")</f>
        <v/>
      </c>
      <c r="M363" s="4" t="str" cm="1">
        <f t="array" aca="1" ref="M363" ca="1">IFERROR(_xlfn.IFS(R363="Count",RANDBETWEEN(1,COUNTIF($R$11:$R$653,"Count")),R363="Length",RANDBETWEEN(1,COUNTIF($R$11:$R$653,"Length"))),"")</f>
        <v/>
      </c>
      <c r="N363" s="4" t="str">
        <f ca="1">IFERROR(_xlfn.RANK.EQ(M363,$M$11:$M$653)+COUNTIF($M$11:M363,M363)-1,"")</f>
        <v/>
      </c>
      <c r="O363" s="86" t="str">
        <f>IF(A363='DATA SHEET'!$L$36,C363,IFERROR(IF(AND(ISTEXT(I363),ISBLANK(C363)),"No details",VLOOKUP(C363,DimFolder,2,FALSE)),""))</f>
        <v/>
      </c>
      <c r="P363" s="4" t="str">
        <f t="shared" si="101"/>
        <v/>
      </c>
      <c r="Q363" s="58" t="str">
        <f t="shared" si="100"/>
        <v/>
      </c>
      <c r="R363" s="4" t="e" cm="1">
        <f t="array" ref="R363">IF(INDEX(Table2[],_xlfn.XMATCH($A363,Table2[Steel Member],0),_xlfn.XMATCH(R$2,Table2[#Headers],0))=0,"",INDEX(Table2[],_xlfn.XMATCH($A363,Table2[Steel Member],0),_xlfn.XMATCH(R$2,Table2[#Headers],0)))</f>
        <v>#N/A</v>
      </c>
      <c r="S363" s="4" t="e" cm="1">
        <f t="array" ref="S363">IF(INDEX(Table2[],_xlfn.XMATCH($A363,Table2[Steel Member],0),_xlfn.XMATCH(S$2,Table2[#Headers],0))=0,"",INDEX(Table2[],_xlfn.XMATCH($A363,Table2[Steel Member],0),_xlfn.XMATCH(S$2,Table2[#Headers],0)))</f>
        <v>#N/A</v>
      </c>
      <c r="T363" s="4" t="str">
        <f t="shared" si="91"/>
        <v/>
      </c>
      <c r="U363" s="4" t="e">
        <f ca="1">VLOOKUP(N363,'COLOR CODE'!$B:$D,2,FALSE)</f>
        <v>#N/A</v>
      </c>
      <c r="V363" s="4" t="str">
        <f t="shared" si="92"/>
        <v/>
      </c>
      <c r="W363" s="4" t="e" cm="1">
        <f t="array" ref="W363">IF(INDEX(Table2[],_xlfn.XMATCH($A363,Table2[Steel Member],0),_xlfn.XMATCH(W$2,Table2[#Headers],0))=0,"",INDEX(Table2[],_xlfn.XMATCH($A363,Table2[Steel Member],0),_xlfn.XMATCH(W$2,Table2[#Headers],0)))</f>
        <v>#N/A</v>
      </c>
      <c r="X363" s="4" t="e">
        <f t="shared" si="102"/>
        <v>#N/A</v>
      </c>
      <c r="Y363" s="4" t="e" cm="1">
        <f t="array" ref="Y363">IF(INDEX(Table2[],_xlfn.XMATCH($A363,Table2[Steel Member],0),_xlfn.XMATCH(Y$2,Table2[#Headers],0))=0,"",INDEX(Table2[],_xlfn.XMATCH($A363,Table2[Steel Member],0),_xlfn.XMATCH(Y$2,Table2[#Headers],0)))</f>
        <v>#N/A</v>
      </c>
      <c r="Z363" s="4" t="e" cm="1">
        <f t="array" ref="Z363">IF(INDEX(Table2[],_xlfn.XMATCH($A363,Table2[Steel Member],0),_xlfn.XMATCH(Z$2,Table2[#Headers],0))=0,"",INDEX(Table2[],_xlfn.XMATCH($A363,Table2[Steel Member],0),_xlfn.XMATCH(Z$2,Table2[#Headers],0)))</f>
        <v>#N/A</v>
      </c>
      <c r="AA363" s="4" t="e" cm="1">
        <f t="array" ref="AA363">IF(INDEX(Table2[],_xlfn.XMATCH($A363,Table2[Steel Member],0),_xlfn.XMATCH(AA$2,Table2[#Headers],0))=0,"",INDEX(Table2[],_xlfn.XMATCH($A363,Table2[Steel Member],0),_xlfn.XMATCH(AA$2,Table2[#Headers],0)))</f>
        <v>#N/A</v>
      </c>
      <c r="AB363" s="4" t="e" cm="1">
        <f t="array" ref="AB363">IF(INDEX(Table2[],_xlfn.XMATCH($A363,Table2[Steel Member],0),_xlfn.XMATCH(AB$2,Table2[#Headers],0))=0,"",INDEX(Table2[],_xlfn.XMATCH($A363,Table2[Steel Member],0),_xlfn.XMATCH(AB$2,Table2[#Headers],0)))</f>
        <v>#N/A</v>
      </c>
      <c r="AC363" s="4" t="str" cm="1">
        <f t="array" ref="AC363">IFERROR(INDEX(Table8[],_xlfn.XMATCH($O363,Table8[Dimension Name Category],0),_xlfn.XMATCH(AC$2&amp;IF($L363," w/ tag"," w/o tag"),Table8[#Headers],0)),"")</f>
        <v/>
      </c>
      <c r="AD363" s="59" t="str">
        <f t="shared" si="93"/>
        <v/>
      </c>
      <c r="AE363" s="4" t="str">
        <f t="shared" si="94"/>
        <v/>
      </c>
      <c r="AF363" s="4" t="str">
        <f t="shared" si="95"/>
        <v/>
      </c>
      <c r="AG363" s="4" t="str" cm="1">
        <f t="array" ref="AG363">IFERROR(INDEX(Table8[],_xlfn.XMATCH($O363,Table8[Dimension Name Category],0),_xlfn.XMATCH(AG$2&amp;IF($L363," w/ tag"," w/o tag"),Table8[#Headers],0)),"")</f>
        <v/>
      </c>
      <c r="AH363" s="59" t="str">
        <f t="shared" si="96"/>
        <v/>
      </c>
      <c r="AI363" s="4"/>
      <c r="AJ363" s="4" t="str">
        <f t="shared" si="97"/>
        <v/>
      </c>
      <c r="AK363" s="4" t="str">
        <f t="shared" si="98"/>
        <v/>
      </c>
      <c r="AL363" s="4" t="e" cm="1">
        <f t="array" ref="AL363">IF(INDEX(Table2[],_xlfn.XMATCH($A363,Table2[Steel Member],0),_xlfn.XMATCH(AL$2,Table2[#Headers],0))=0,"",INDEX(Table2[],_xlfn.XMATCH($A363,Table2[Steel Member],0),_xlfn.XMATCH(AL$2,Table2[#Headers],0)))</f>
        <v>#N/A</v>
      </c>
      <c r="AM363" s="4"/>
      <c r="AN363" s="4" t="str">
        <f t="shared" si="99"/>
        <v/>
      </c>
      <c r="AO363" s="4"/>
      <c r="AP363" s="4" t="e" cm="1">
        <f t="array" ref="AP363">IF(INDEX(Table2[],_xlfn.XMATCH($A363,Table2[Steel Member],0),_xlfn.XMATCH(AP$2,Table2[#Headers],0))=0,"",INDEX(Table2[],_xlfn.XMATCH($A363,Table2[Steel Member],0),_xlfn.XMATCH(AP$2,Table2[#Headers],0)))</f>
        <v>#N/A</v>
      </c>
      <c r="AQ363" s="4"/>
      <c r="AR363" s="4"/>
      <c r="AS363" s="4"/>
      <c r="AT363" s="4"/>
    </row>
    <row r="364" spans="1:46" x14ac:dyDescent="0.25">
      <c r="A364" s="52"/>
      <c r="B364" s="52"/>
      <c r="C364" s="52"/>
      <c r="D364" s="52"/>
      <c r="E364" s="52"/>
      <c r="F364" s="64" cm="1">
        <f t="array" ref="F364">IF(COUNT(FIND(PurlinsxGirthsxBracings,$C364))&gt;0,0,ROUNDUP(IF(D364=0,0,VLOOKUP(D364,'DATA SHEET'!$B:$D,2,FALSE)),2))</f>
        <v>0</v>
      </c>
      <c r="G364" s="64" cm="1">
        <f t="array" ref="G364">IF(COUNT(FIND(PurlinsxGirthsxBracings,$C364))&gt;0,0,ROUNDUP(IF(D364=0,0,VLOOKUP(D364,'DATA SHEET'!$B:$D,3,FALSE)),2))</f>
        <v>0</v>
      </c>
      <c r="H364" s="53"/>
      <c r="I364" s="66" cm="1">
        <f t="array" ref="I364">IF(AND(ISBLANK(B364),ISBLANK(C364),ISBLANK(E364)),0,IF(COUNT(FIND(PurlinsxGirthsxBracings,$C364))&gt;0,IF(B364=0,CONCATENATE(E364," ",C364),CONCATENATE(B364," - ",E364," ",C364)),IF(B364=0,IF(ISBLANK(C364),E364,CONCATENATE(D364,", ",F364,"kg/m, ",G364,"mm surface perimeter")),IF(AND(ISBLANK(C364),ISTEXT(E364)),CONCATENATE(B364," - ",E364),IF(AND(ISBLANK(C364),ISBLANK(E364)),B364,CONCATENATE(B364," - ",D364,", ",F364,"kg/m, ",G364,"mm surface perimeter"))))&amp;IF(ISBLANK(H364),"",H364)))</f>
        <v>0</v>
      </c>
      <c r="J364" s="53"/>
      <c r="L364" s="4" t="str" cm="1">
        <f t="array" ref="L364">IF(COUNT(FIND({0,1,2,3,4,5,6,7,8,9},B364))&gt;0,COUNT(FIND({0,1,2,3,4,5,6,7,8,9},B364))&gt;0,"")</f>
        <v/>
      </c>
      <c r="M364" s="4" t="str" cm="1">
        <f t="array" aca="1" ref="M364" ca="1">IFERROR(_xlfn.IFS(R364="Count",RANDBETWEEN(1,COUNTIF($R$11:$R$653,"Count")),R364="Length",RANDBETWEEN(1,COUNTIF($R$11:$R$653,"Length"))),"")</f>
        <v/>
      </c>
      <c r="N364" s="4" t="str">
        <f ca="1">IFERROR(_xlfn.RANK.EQ(M364,$M$11:$M$653)+COUNTIF($M$11:M364,M364)-1,"")</f>
        <v/>
      </c>
      <c r="O364" s="86" t="str">
        <f>IF(A364='DATA SHEET'!$L$36,C364,IFERROR(IF(AND(ISTEXT(I364),ISBLANK(C364)),"No details",VLOOKUP(C364,DimFolder,2,FALSE)),""))</f>
        <v/>
      </c>
      <c r="P364" s="4" t="str">
        <f t="shared" si="101"/>
        <v/>
      </c>
      <c r="Q364" s="58" t="str">
        <f t="shared" si="100"/>
        <v/>
      </c>
      <c r="R364" s="4" t="e" cm="1">
        <f t="array" ref="R364">IF(INDEX(Table2[],_xlfn.XMATCH($A364,Table2[Steel Member],0),_xlfn.XMATCH(R$2,Table2[#Headers],0))=0,"",INDEX(Table2[],_xlfn.XMATCH($A364,Table2[Steel Member],0),_xlfn.XMATCH(R$2,Table2[#Headers],0)))</f>
        <v>#N/A</v>
      </c>
      <c r="S364" s="4" t="e" cm="1">
        <f t="array" ref="S364">IF(INDEX(Table2[],_xlfn.XMATCH($A364,Table2[Steel Member],0),_xlfn.XMATCH(S$2,Table2[#Headers],0))=0,"",INDEX(Table2[],_xlfn.XMATCH($A364,Table2[Steel Member],0),_xlfn.XMATCH(S$2,Table2[#Headers],0)))</f>
        <v>#N/A</v>
      </c>
      <c r="T364" s="4" t="str">
        <f t="shared" si="91"/>
        <v/>
      </c>
      <c r="U364" s="4" t="e">
        <f ca="1">VLOOKUP(N364,'COLOR CODE'!$B:$D,2,FALSE)</f>
        <v>#N/A</v>
      </c>
      <c r="V364" s="4" t="str">
        <f t="shared" si="92"/>
        <v/>
      </c>
      <c r="W364" s="4" t="e" cm="1">
        <f t="array" ref="W364">IF(INDEX(Table2[],_xlfn.XMATCH($A364,Table2[Steel Member],0),_xlfn.XMATCH(W$2,Table2[#Headers],0))=0,"",INDEX(Table2[],_xlfn.XMATCH($A364,Table2[Steel Member],0),_xlfn.XMATCH(W$2,Table2[#Headers],0)))</f>
        <v>#N/A</v>
      </c>
      <c r="X364" s="4" t="e">
        <f t="shared" si="102"/>
        <v>#N/A</v>
      </c>
      <c r="Y364" s="4" t="e" cm="1">
        <f t="array" ref="Y364">IF(INDEX(Table2[],_xlfn.XMATCH($A364,Table2[Steel Member],0),_xlfn.XMATCH(Y$2,Table2[#Headers],0))=0,"",INDEX(Table2[],_xlfn.XMATCH($A364,Table2[Steel Member],0),_xlfn.XMATCH(Y$2,Table2[#Headers],0)))</f>
        <v>#N/A</v>
      </c>
      <c r="Z364" s="4" t="e" cm="1">
        <f t="array" ref="Z364">IF(INDEX(Table2[],_xlfn.XMATCH($A364,Table2[Steel Member],0),_xlfn.XMATCH(Z$2,Table2[#Headers],0))=0,"",INDEX(Table2[],_xlfn.XMATCH($A364,Table2[Steel Member],0),_xlfn.XMATCH(Z$2,Table2[#Headers],0)))</f>
        <v>#N/A</v>
      </c>
      <c r="AA364" s="4" t="e" cm="1">
        <f t="array" ref="AA364">IF(INDEX(Table2[],_xlfn.XMATCH($A364,Table2[Steel Member],0),_xlfn.XMATCH(AA$2,Table2[#Headers],0))=0,"",INDEX(Table2[],_xlfn.XMATCH($A364,Table2[Steel Member],0),_xlfn.XMATCH(AA$2,Table2[#Headers],0)))</f>
        <v>#N/A</v>
      </c>
      <c r="AB364" s="4" t="e" cm="1">
        <f t="array" ref="AB364">IF(INDEX(Table2[],_xlfn.XMATCH($A364,Table2[Steel Member],0),_xlfn.XMATCH(AB$2,Table2[#Headers],0))=0,"",INDEX(Table2[],_xlfn.XMATCH($A364,Table2[Steel Member],0),_xlfn.XMATCH(AB$2,Table2[#Headers],0)))</f>
        <v>#N/A</v>
      </c>
      <c r="AC364" s="4" t="str" cm="1">
        <f t="array" ref="AC364">IFERROR(INDEX(Table8[],_xlfn.XMATCH($O364,Table8[Dimension Name Category],0),_xlfn.XMATCH(AC$2&amp;IF($L364," w/ tag"," w/o tag"),Table8[#Headers],0)),"")</f>
        <v/>
      </c>
      <c r="AD364" s="59" t="str">
        <f t="shared" si="93"/>
        <v/>
      </c>
      <c r="AE364" s="4" t="str">
        <f t="shared" si="94"/>
        <v/>
      </c>
      <c r="AF364" s="4" t="str">
        <f t="shared" si="95"/>
        <v/>
      </c>
      <c r="AG364" s="4" t="str" cm="1">
        <f t="array" ref="AG364">IFERROR(INDEX(Table8[],_xlfn.XMATCH($O364,Table8[Dimension Name Category],0),_xlfn.XMATCH(AG$2&amp;IF($L364," w/ tag"," w/o tag"),Table8[#Headers],0)),"")</f>
        <v/>
      </c>
      <c r="AH364" s="59" t="str">
        <f t="shared" si="96"/>
        <v/>
      </c>
      <c r="AI364" s="4"/>
      <c r="AJ364" s="4" t="str">
        <f t="shared" si="97"/>
        <v/>
      </c>
      <c r="AK364" s="4" t="str">
        <f t="shared" si="98"/>
        <v/>
      </c>
      <c r="AL364" s="4" t="e" cm="1">
        <f t="array" ref="AL364">IF(INDEX(Table2[],_xlfn.XMATCH($A364,Table2[Steel Member],0),_xlfn.XMATCH(AL$2,Table2[#Headers],0))=0,"",INDEX(Table2[],_xlfn.XMATCH($A364,Table2[Steel Member],0),_xlfn.XMATCH(AL$2,Table2[#Headers],0)))</f>
        <v>#N/A</v>
      </c>
      <c r="AM364" s="4"/>
      <c r="AN364" s="4" t="str">
        <f t="shared" si="99"/>
        <v/>
      </c>
      <c r="AO364" s="4"/>
      <c r="AP364" s="4" t="e" cm="1">
        <f t="array" ref="AP364">IF(INDEX(Table2[],_xlfn.XMATCH($A364,Table2[Steel Member],0),_xlfn.XMATCH(AP$2,Table2[#Headers],0))=0,"",INDEX(Table2[],_xlfn.XMATCH($A364,Table2[Steel Member],0),_xlfn.XMATCH(AP$2,Table2[#Headers],0)))</f>
        <v>#N/A</v>
      </c>
      <c r="AQ364" s="4"/>
      <c r="AR364" s="4"/>
      <c r="AS364" s="4"/>
      <c r="AT364" s="4"/>
    </row>
    <row r="365" spans="1:46" x14ac:dyDescent="0.25">
      <c r="A365" s="52"/>
      <c r="B365" s="52"/>
      <c r="C365" s="52"/>
      <c r="D365" s="52"/>
      <c r="E365" s="52"/>
      <c r="F365" s="64" cm="1">
        <f t="array" ref="F365">IF(COUNT(FIND(PurlinsxGirthsxBracings,$C365))&gt;0,0,ROUNDUP(IF(D365=0,0,VLOOKUP(D365,'DATA SHEET'!$B:$D,2,FALSE)),2))</f>
        <v>0</v>
      </c>
      <c r="G365" s="64" cm="1">
        <f t="array" ref="G365">IF(COUNT(FIND(PurlinsxGirthsxBracings,$C365))&gt;0,0,ROUNDUP(IF(D365=0,0,VLOOKUP(D365,'DATA SHEET'!$B:$D,3,FALSE)),2))</f>
        <v>0</v>
      </c>
      <c r="H365" s="53"/>
      <c r="I365" s="66" cm="1">
        <f t="array" ref="I365">IF(AND(ISBLANK(B365),ISBLANK(C365),ISBLANK(E365)),0,IF(COUNT(FIND(PurlinsxGirthsxBracings,$C365))&gt;0,IF(B365=0,CONCATENATE(E365," ",C365),CONCATENATE(B365," - ",E365," ",C365)),IF(B365=0,IF(ISBLANK(C365),E365,CONCATENATE(D365,", ",F365,"kg/m, ",G365,"mm surface perimeter")),IF(AND(ISBLANK(C365),ISTEXT(E365)),CONCATENATE(B365," - ",E365),IF(AND(ISBLANK(C365),ISBLANK(E365)),B365,CONCATENATE(B365," - ",D365,", ",F365,"kg/m, ",G365,"mm surface perimeter"))))&amp;IF(ISBLANK(H365),"",H365)))</f>
        <v>0</v>
      </c>
      <c r="J365" s="53"/>
      <c r="L365" s="4" t="str" cm="1">
        <f t="array" ref="L365">IF(COUNT(FIND({0,1,2,3,4,5,6,7,8,9},B365))&gt;0,COUNT(FIND({0,1,2,3,4,5,6,7,8,9},B365))&gt;0,"")</f>
        <v/>
      </c>
      <c r="M365" s="4" t="str" cm="1">
        <f t="array" aca="1" ref="M365" ca="1">IFERROR(_xlfn.IFS(R365="Count",RANDBETWEEN(1,COUNTIF($R$11:$R$653,"Count")),R365="Length",RANDBETWEEN(1,COUNTIF($R$11:$R$653,"Length"))),"")</f>
        <v/>
      </c>
      <c r="N365" s="4" t="str">
        <f ca="1">IFERROR(_xlfn.RANK.EQ(M365,$M$11:$M$653)+COUNTIF($M$11:M365,M365)-1,"")</f>
        <v/>
      </c>
      <c r="O365" s="86" t="str">
        <f>IF(A365='DATA SHEET'!$L$36,C365,IFERROR(IF(AND(ISTEXT(I365),ISBLANK(C365)),"No details",VLOOKUP(C365,DimFolder,2,FALSE)),""))</f>
        <v/>
      </c>
      <c r="P365" s="4" t="str">
        <f t="shared" si="101"/>
        <v/>
      </c>
      <c r="Q365" s="58" t="str">
        <f t="shared" si="100"/>
        <v/>
      </c>
      <c r="R365" s="4" t="e" cm="1">
        <f t="array" ref="R365">IF(INDEX(Table2[],_xlfn.XMATCH($A365,Table2[Steel Member],0),_xlfn.XMATCH(R$2,Table2[#Headers],0))=0,"",INDEX(Table2[],_xlfn.XMATCH($A365,Table2[Steel Member],0),_xlfn.XMATCH(R$2,Table2[#Headers],0)))</f>
        <v>#N/A</v>
      </c>
      <c r="S365" s="4" t="e" cm="1">
        <f t="array" ref="S365">IF(INDEX(Table2[],_xlfn.XMATCH($A365,Table2[Steel Member],0),_xlfn.XMATCH(S$2,Table2[#Headers],0))=0,"",INDEX(Table2[],_xlfn.XMATCH($A365,Table2[Steel Member],0),_xlfn.XMATCH(S$2,Table2[#Headers],0)))</f>
        <v>#N/A</v>
      </c>
      <c r="T365" s="4" t="str">
        <f t="shared" si="91"/>
        <v/>
      </c>
      <c r="U365" s="4" t="e">
        <f ca="1">VLOOKUP(N365,'COLOR CODE'!$B:$D,2,FALSE)</f>
        <v>#N/A</v>
      </c>
      <c r="V365" s="4" t="str">
        <f t="shared" si="92"/>
        <v/>
      </c>
      <c r="W365" s="4" t="e" cm="1">
        <f t="array" ref="W365">IF(INDEX(Table2[],_xlfn.XMATCH($A365,Table2[Steel Member],0),_xlfn.XMATCH(W$2,Table2[#Headers],0))=0,"",INDEX(Table2[],_xlfn.XMATCH($A365,Table2[Steel Member],0),_xlfn.XMATCH(W$2,Table2[#Headers],0)))</f>
        <v>#N/A</v>
      </c>
      <c r="X365" s="4" t="e">
        <f t="shared" si="102"/>
        <v>#N/A</v>
      </c>
      <c r="Y365" s="4" t="e" cm="1">
        <f t="array" ref="Y365">IF(INDEX(Table2[],_xlfn.XMATCH($A365,Table2[Steel Member],0),_xlfn.XMATCH(Y$2,Table2[#Headers],0))=0,"",INDEX(Table2[],_xlfn.XMATCH($A365,Table2[Steel Member],0),_xlfn.XMATCH(Y$2,Table2[#Headers],0)))</f>
        <v>#N/A</v>
      </c>
      <c r="Z365" s="4" t="e" cm="1">
        <f t="array" ref="Z365">IF(INDEX(Table2[],_xlfn.XMATCH($A365,Table2[Steel Member],0),_xlfn.XMATCH(Z$2,Table2[#Headers],0))=0,"",INDEX(Table2[],_xlfn.XMATCH($A365,Table2[Steel Member],0),_xlfn.XMATCH(Z$2,Table2[#Headers],0)))</f>
        <v>#N/A</v>
      </c>
      <c r="AA365" s="4" t="e" cm="1">
        <f t="array" ref="AA365">IF(INDEX(Table2[],_xlfn.XMATCH($A365,Table2[Steel Member],0),_xlfn.XMATCH(AA$2,Table2[#Headers],0))=0,"",INDEX(Table2[],_xlfn.XMATCH($A365,Table2[Steel Member],0),_xlfn.XMATCH(AA$2,Table2[#Headers],0)))</f>
        <v>#N/A</v>
      </c>
      <c r="AB365" s="4" t="e" cm="1">
        <f t="array" ref="AB365">IF(INDEX(Table2[],_xlfn.XMATCH($A365,Table2[Steel Member],0),_xlfn.XMATCH(AB$2,Table2[#Headers],0))=0,"",INDEX(Table2[],_xlfn.XMATCH($A365,Table2[Steel Member],0),_xlfn.XMATCH(AB$2,Table2[#Headers],0)))</f>
        <v>#N/A</v>
      </c>
      <c r="AC365" s="4" t="str" cm="1">
        <f t="array" ref="AC365">IFERROR(INDEX(Table8[],_xlfn.XMATCH($O365,Table8[Dimension Name Category],0),_xlfn.XMATCH(AC$2&amp;IF($L365," w/ tag"," w/o tag"),Table8[#Headers],0)),"")</f>
        <v/>
      </c>
      <c r="AD365" s="59" t="str">
        <f t="shared" si="93"/>
        <v/>
      </c>
      <c r="AE365" s="4" t="str">
        <f t="shared" si="94"/>
        <v/>
      </c>
      <c r="AF365" s="4" t="str">
        <f t="shared" si="95"/>
        <v/>
      </c>
      <c r="AG365" s="4" t="str" cm="1">
        <f t="array" ref="AG365">IFERROR(INDEX(Table8[],_xlfn.XMATCH($O365,Table8[Dimension Name Category],0),_xlfn.XMATCH(AG$2&amp;IF($L365," w/ tag"," w/o tag"),Table8[#Headers],0)),"")</f>
        <v/>
      </c>
      <c r="AH365" s="59" t="str">
        <f t="shared" si="96"/>
        <v/>
      </c>
      <c r="AI365" s="4"/>
      <c r="AJ365" s="4" t="str">
        <f t="shared" si="97"/>
        <v/>
      </c>
      <c r="AK365" s="4" t="str">
        <f t="shared" si="98"/>
        <v/>
      </c>
      <c r="AL365" s="4" t="e" cm="1">
        <f t="array" ref="AL365">IF(INDEX(Table2[],_xlfn.XMATCH($A365,Table2[Steel Member],0),_xlfn.XMATCH(AL$2,Table2[#Headers],0))=0,"",INDEX(Table2[],_xlfn.XMATCH($A365,Table2[Steel Member],0),_xlfn.XMATCH(AL$2,Table2[#Headers],0)))</f>
        <v>#N/A</v>
      </c>
      <c r="AM365" s="4"/>
      <c r="AN365" s="4" t="str">
        <f t="shared" si="99"/>
        <v/>
      </c>
      <c r="AO365" s="4"/>
      <c r="AP365" s="4" t="e" cm="1">
        <f t="array" ref="AP365">IF(INDEX(Table2[],_xlfn.XMATCH($A365,Table2[Steel Member],0),_xlfn.XMATCH(AP$2,Table2[#Headers],0))=0,"",INDEX(Table2[],_xlfn.XMATCH($A365,Table2[Steel Member],0),_xlfn.XMATCH(AP$2,Table2[#Headers],0)))</f>
        <v>#N/A</v>
      </c>
      <c r="AQ365" s="4"/>
      <c r="AR365" s="4"/>
      <c r="AS365" s="4"/>
      <c r="AT365" s="4"/>
    </row>
    <row r="366" spans="1:46" x14ac:dyDescent="0.25">
      <c r="A366" s="52"/>
      <c r="B366" s="52"/>
      <c r="C366" s="52"/>
      <c r="D366" s="52"/>
      <c r="E366" s="52"/>
      <c r="F366" s="64" cm="1">
        <f t="array" ref="F366">IF(COUNT(FIND(PurlinsxGirthsxBracings,$C366))&gt;0,0,ROUNDUP(IF(D366=0,0,VLOOKUP(D366,'DATA SHEET'!$B:$D,2,FALSE)),2))</f>
        <v>0</v>
      </c>
      <c r="G366" s="64" cm="1">
        <f t="array" ref="G366">IF(COUNT(FIND(PurlinsxGirthsxBracings,$C366))&gt;0,0,ROUNDUP(IF(D366=0,0,VLOOKUP(D366,'DATA SHEET'!$B:$D,3,FALSE)),2))</f>
        <v>0</v>
      </c>
      <c r="H366" s="53"/>
      <c r="I366" s="66" cm="1">
        <f t="array" ref="I366">IF(AND(ISBLANK(B366),ISBLANK(C366),ISBLANK(E366)),0,IF(COUNT(FIND(PurlinsxGirthsxBracings,$C366))&gt;0,IF(B366=0,CONCATENATE(E366," ",C366),CONCATENATE(B366," - ",E366," ",C366)),IF(B366=0,IF(ISBLANK(C366),E366,CONCATENATE(D366,", ",F366,"kg/m, ",G366,"mm surface perimeter")),IF(AND(ISBLANK(C366),ISTEXT(E366)),CONCATENATE(B366," - ",E366),IF(AND(ISBLANK(C366),ISBLANK(E366)),B366,CONCATENATE(B366," - ",D366,", ",F366,"kg/m, ",G366,"mm surface perimeter"))))&amp;IF(ISBLANK(H366),"",H366)))</f>
        <v>0</v>
      </c>
      <c r="J366" s="53"/>
      <c r="L366" s="4" t="str" cm="1">
        <f t="array" ref="L366">IF(COUNT(FIND({0,1,2,3,4,5,6,7,8,9},B366))&gt;0,COUNT(FIND({0,1,2,3,4,5,6,7,8,9},B366))&gt;0,"")</f>
        <v/>
      </c>
      <c r="M366" s="4" t="str" cm="1">
        <f t="array" aca="1" ref="M366" ca="1">IFERROR(_xlfn.IFS(R366="Count",RANDBETWEEN(1,COUNTIF($R$11:$R$653,"Count")),R366="Length",RANDBETWEEN(1,COUNTIF($R$11:$R$653,"Length"))),"")</f>
        <v/>
      </c>
      <c r="N366" s="4" t="str">
        <f ca="1">IFERROR(_xlfn.RANK.EQ(M366,$M$11:$M$653)+COUNTIF($M$11:M366,M366)-1,"")</f>
        <v/>
      </c>
      <c r="O366" s="86" t="str">
        <f>IF(A366='DATA SHEET'!$L$36,C366,IFERROR(IF(AND(ISTEXT(I366),ISBLANK(C366)),"No details",VLOOKUP(C366,DimFolder,2,FALSE)),""))</f>
        <v/>
      </c>
      <c r="P366" s="4" t="str">
        <f t="shared" si="101"/>
        <v/>
      </c>
      <c r="Q366" s="58" t="str">
        <f t="shared" si="100"/>
        <v/>
      </c>
      <c r="R366" s="4" t="e" cm="1">
        <f t="array" ref="R366">IF(INDEX(Table2[],_xlfn.XMATCH($A366,Table2[Steel Member],0),_xlfn.XMATCH(R$2,Table2[#Headers],0))=0,"",INDEX(Table2[],_xlfn.XMATCH($A366,Table2[Steel Member],0),_xlfn.XMATCH(R$2,Table2[#Headers],0)))</f>
        <v>#N/A</v>
      </c>
      <c r="S366" s="4" t="e" cm="1">
        <f t="array" ref="S366">IF(INDEX(Table2[],_xlfn.XMATCH($A366,Table2[Steel Member],0),_xlfn.XMATCH(S$2,Table2[#Headers],0))=0,"",INDEX(Table2[],_xlfn.XMATCH($A366,Table2[Steel Member],0),_xlfn.XMATCH(S$2,Table2[#Headers],0)))</f>
        <v>#N/A</v>
      </c>
      <c r="T366" s="4" t="str">
        <f t="shared" si="91"/>
        <v/>
      </c>
      <c r="U366" s="4" t="e">
        <f ca="1">VLOOKUP(N366,'COLOR CODE'!$B:$D,2,FALSE)</f>
        <v>#N/A</v>
      </c>
      <c r="V366" s="4" t="str">
        <f t="shared" si="92"/>
        <v/>
      </c>
      <c r="W366" s="4" t="e" cm="1">
        <f t="array" ref="W366">IF(INDEX(Table2[],_xlfn.XMATCH($A366,Table2[Steel Member],0),_xlfn.XMATCH(W$2,Table2[#Headers],0))=0,"",INDEX(Table2[],_xlfn.XMATCH($A366,Table2[Steel Member],0),_xlfn.XMATCH(W$2,Table2[#Headers],0)))</f>
        <v>#N/A</v>
      </c>
      <c r="X366" s="4" t="e">
        <f t="shared" si="102"/>
        <v>#N/A</v>
      </c>
      <c r="Y366" s="4" t="e" cm="1">
        <f t="array" ref="Y366">IF(INDEX(Table2[],_xlfn.XMATCH($A366,Table2[Steel Member],0),_xlfn.XMATCH(Y$2,Table2[#Headers],0))=0,"",INDEX(Table2[],_xlfn.XMATCH($A366,Table2[Steel Member],0),_xlfn.XMATCH(Y$2,Table2[#Headers],0)))</f>
        <v>#N/A</v>
      </c>
      <c r="Z366" s="4" t="e" cm="1">
        <f t="array" ref="Z366">IF(INDEX(Table2[],_xlfn.XMATCH($A366,Table2[Steel Member],0),_xlfn.XMATCH(Z$2,Table2[#Headers],0))=0,"",INDEX(Table2[],_xlfn.XMATCH($A366,Table2[Steel Member],0),_xlfn.XMATCH(Z$2,Table2[#Headers],0)))</f>
        <v>#N/A</v>
      </c>
      <c r="AA366" s="4" t="e" cm="1">
        <f t="array" ref="AA366">IF(INDEX(Table2[],_xlfn.XMATCH($A366,Table2[Steel Member],0),_xlfn.XMATCH(AA$2,Table2[#Headers],0))=0,"",INDEX(Table2[],_xlfn.XMATCH($A366,Table2[Steel Member],0),_xlfn.XMATCH(AA$2,Table2[#Headers],0)))</f>
        <v>#N/A</v>
      </c>
      <c r="AB366" s="4" t="e" cm="1">
        <f t="array" ref="AB366">IF(INDEX(Table2[],_xlfn.XMATCH($A366,Table2[Steel Member],0),_xlfn.XMATCH(AB$2,Table2[#Headers],0))=0,"",INDEX(Table2[],_xlfn.XMATCH($A366,Table2[Steel Member],0),_xlfn.XMATCH(AB$2,Table2[#Headers],0)))</f>
        <v>#N/A</v>
      </c>
      <c r="AC366" s="4" t="str" cm="1">
        <f t="array" ref="AC366">IFERROR(INDEX(Table8[],_xlfn.XMATCH($O366,Table8[Dimension Name Category],0),_xlfn.XMATCH(AC$2&amp;IF($L366," w/ tag"," w/o tag"),Table8[#Headers],0)),"")</f>
        <v/>
      </c>
      <c r="AD366" s="59" t="str">
        <f t="shared" si="93"/>
        <v/>
      </c>
      <c r="AE366" s="4" t="str">
        <f t="shared" si="94"/>
        <v/>
      </c>
      <c r="AF366" s="4" t="str">
        <f t="shared" si="95"/>
        <v/>
      </c>
      <c r="AG366" s="4" t="str" cm="1">
        <f t="array" ref="AG366">IFERROR(INDEX(Table8[],_xlfn.XMATCH($O366,Table8[Dimension Name Category],0),_xlfn.XMATCH(AG$2&amp;IF($L366," w/ tag"," w/o tag"),Table8[#Headers],0)),"")</f>
        <v/>
      </c>
      <c r="AH366" s="59" t="str">
        <f t="shared" si="96"/>
        <v/>
      </c>
      <c r="AI366" s="4"/>
      <c r="AJ366" s="4" t="str">
        <f t="shared" si="97"/>
        <v/>
      </c>
      <c r="AK366" s="4" t="str">
        <f t="shared" si="98"/>
        <v/>
      </c>
      <c r="AL366" s="4" t="e" cm="1">
        <f t="array" ref="AL366">IF(INDEX(Table2[],_xlfn.XMATCH($A366,Table2[Steel Member],0),_xlfn.XMATCH(AL$2,Table2[#Headers],0))=0,"",INDEX(Table2[],_xlfn.XMATCH($A366,Table2[Steel Member],0),_xlfn.XMATCH(AL$2,Table2[#Headers],0)))</f>
        <v>#N/A</v>
      </c>
      <c r="AM366" s="4"/>
      <c r="AN366" s="4" t="str">
        <f t="shared" si="99"/>
        <v/>
      </c>
      <c r="AO366" s="4"/>
      <c r="AP366" s="4" t="e" cm="1">
        <f t="array" ref="AP366">IF(INDEX(Table2[],_xlfn.XMATCH($A366,Table2[Steel Member],0),_xlfn.XMATCH(AP$2,Table2[#Headers],0))=0,"",INDEX(Table2[],_xlfn.XMATCH($A366,Table2[Steel Member],0),_xlfn.XMATCH(AP$2,Table2[#Headers],0)))</f>
        <v>#N/A</v>
      </c>
      <c r="AQ366" s="4"/>
      <c r="AR366" s="4"/>
      <c r="AS366" s="4"/>
      <c r="AT366" s="4"/>
    </row>
    <row r="367" spans="1:46" x14ac:dyDescent="0.25">
      <c r="A367" s="52"/>
      <c r="B367" s="52"/>
      <c r="C367" s="52"/>
      <c r="D367" s="52"/>
      <c r="E367" s="52"/>
      <c r="F367" s="64" cm="1">
        <f t="array" ref="F367">IF(COUNT(FIND(PurlinsxGirthsxBracings,$C367))&gt;0,0,ROUNDUP(IF(D367=0,0,VLOOKUP(D367,'DATA SHEET'!$B:$D,2,FALSE)),2))</f>
        <v>0</v>
      </c>
      <c r="G367" s="64" cm="1">
        <f t="array" ref="G367">IF(COUNT(FIND(PurlinsxGirthsxBracings,$C367))&gt;0,0,ROUNDUP(IF(D367=0,0,VLOOKUP(D367,'DATA SHEET'!$B:$D,3,FALSE)),2))</f>
        <v>0</v>
      </c>
      <c r="H367" s="53"/>
      <c r="I367" s="66" cm="1">
        <f t="array" ref="I367">IF(AND(ISBLANK(B367),ISBLANK(C367),ISBLANK(E367)),0,IF(COUNT(FIND(PurlinsxGirthsxBracings,$C367))&gt;0,IF(B367=0,CONCATENATE(E367," ",C367),CONCATENATE(B367," - ",E367," ",C367)),IF(B367=0,IF(ISBLANK(C367),E367,CONCATENATE(D367,", ",F367,"kg/m, ",G367,"mm surface perimeter")),IF(AND(ISBLANK(C367),ISTEXT(E367)),CONCATENATE(B367," - ",E367),IF(AND(ISBLANK(C367),ISBLANK(E367)),B367,CONCATENATE(B367," - ",D367,", ",F367,"kg/m, ",G367,"mm surface perimeter"))))&amp;IF(ISBLANK(H367),"",H367)))</f>
        <v>0</v>
      </c>
      <c r="J367" s="53"/>
      <c r="L367" s="4" t="str" cm="1">
        <f t="array" ref="L367">IF(COUNT(FIND({0,1,2,3,4,5,6,7,8,9},B367))&gt;0,COUNT(FIND({0,1,2,3,4,5,6,7,8,9},B367))&gt;0,"")</f>
        <v/>
      </c>
      <c r="M367" s="4" t="str" cm="1">
        <f t="array" aca="1" ref="M367" ca="1">IFERROR(_xlfn.IFS(R367="Count",RANDBETWEEN(1,COUNTIF($R$11:$R$653,"Count")),R367="Length",RANDBETWEEN(1,COUNTIF($R$11:$R$653,"Length"))),"")</f>
        <v/>
      </c>
      <c r="N367" s="4" t="str">
        <f ca="1">IFERROR(_xlfn.RANK.EQ(M367,$M$11:$M$653)+COUNTIF($M$11:M367,M367)-1,"")</f>
        <v/>
      </c>
      <c r="O367" s="86" t="str">
        <f>IF(A367='DATA SHEET'!$L$36,C367,IFERROR(IF(AND(ISTEXT(I367),ISBLANK(C367)),"No details",VLOOKUP(C367,DimFolder,2,FALSE)),""))</f>
        <v/>
      </c>
      <c r="P367" s="4" t="str">
        <f t="shared" si="101"/>
        <v/>
      </c>
      <c r="Q367" s="58" t="str">
        <f t="shared" si="100"/>
        <v/>
      </c>
      <c r="R367" s="4" t="e" cm="1">
        <f t="array" ref="R367">IF(INDEX(Table2[],_xlfn.XMATCH($A367,Table2[Steel Member],0),_xlfn.XMATCH(R$2,Table2[#Headers],0))=0,"",INDEX(Table2[],_xlfn.XMATCH($A367,Table2[Steel Member],0),_xlfn.XMATCH(R$2,Table2[#Headers],0)))</f>
        <v>#N/A</v>
      </c>
      <c r="S367" s="4" t="e" cm="1">
        <f t="array" ref="S367">IF(INDEX(Table2[],_xlfn.XMATCH($A367,Table2[Steel Member],0),_xlfn.XMATCH(S$2,Table2[#Headers],0))=0,"",INDEX(Table2[],_xlfn.XMATCH($A367,Table2[Steel Member],0),_xlfn.XMATCH(S$2,Table2[#Headers],0)))</f>
        <v>#N/A</v>
      </c>
      <c r="T367" s="4" t="str">
        <f t="shared" si="91"/>
        <v/>
      </c>
      <c r="U367" s="4" t="e">
        <f ca="1">VLOOKUP(N367,'COLOR CODE'!$B:$D,2,FALSE)</f>
        <v>#N/A</v>
      </c>
      <c r="V367" s="4" t="str">
        <f t="shared" si="92"/>
        <v/>
      </c>
      <c r="W367" s="4" t="e" cm="1">
        <f t="array" ref="W367">IF(INDEX(Table2[],_xlfn.XMATCH($A367,Table2[Steel Member],0),_xlfn.XMATCH(W$2,Table2[#Headers],0))=0,"",INDEX(Table2[],_xlfn.XMATCH($A367,Table2[Steel Member],0),_xlfn.XMATCH(W$2,Table2[#Headers],0)))</f>
        <v>#N/A</v>
      </c>
      <c r="X367" s="4" t="e">
        <f t="shared" si="102"/>
        <v>#N/A</v>
      </c>
      <c r="Y367" s="4" t="e" cm="1">
        <f t="array" ref="Y367">IF(INDEX(Table2[],_xlfn.XMATCH($A367,Table2[Steel Member],0),_xlfn.XMATCH(Y$2,Table2[#Headers],0))=0,"",INDEX(Table2[],_xlfn.XMATCH($A367,Table2[Steel Member],0),_xlfn.XMATCH(Y$2,Table2[#Headers],0)))</f>
        <v>#N/A</v>
      </c>
      <c r="Z367" s="4" t="e" cm="1">
        <f t="array" ref="Z367">IF(INDEX(Table2[],_xlfn.XMATCH($A367,Table2[Steel Member],0),_xlfn.XMATCH(Z$2,Table2[#Headers],0))=0,"",INDEX(Table2[],_xlfn.XMATCH($A367,Table2[Steel Member],0),_xlfn.XMATCH(Z$2,Table2[#Headers],0)))</f>
        <v>#N/A</v>
      </c>
      <c r="AA367" s="4" t="e" cm="1">
        <f t="array" ref="AA367">IF(INDEX(Table2[],_xlfn.XMATCH($A367,Table2[Steel Member],0),_xlfn.XMATCH(AA$2,Table2[#Headers],0))=0,"",INDEX(Table2[],_xlfn.XMATCH($A367,Table2[Steel Member],0),_xlfn.XMATCH(AA$2,Table2[#Headers],0)))</f>
        <v>#N/A</v>
      </c>
      <c r="AB367" s="4" t="e" cm="1">
        <f t="array" ref="AB367">IF(INDEX(Table2[],_xlfn.XMATCH($A367,Table2[Steel Member],0),_xlfn.XMATCH(AB$2,Table2[#Headers],0))=0,"",INDEX(Table2[],_xlfn.XMATCH($A367,Table2[Steel Member],0),_xlfn.XMATCH(AB$2,Table2[#Headers],0)))</f>
        <v>#N/A</v>
      </c>
      <c r="AC367" s="4" t="str" cm="1">
        <f t="array" ref="AC367">IFERROR(INDEX(Table8[],_xlfn.XMATCH($O367,Table8[Dimension Name Category],0),_xlfn.XMATCH(AC$2&amp;IF($L367," w/ tag"," w/o tag"),Table8[#Headers],0)),"")</f>
        <v/>
      </c>
      <c r="AD367" s="59" t="str">
        <f t="shared" si="93"/>
        <v/>
      </c>
      <c r="AE367" s="4" t="str">
        <f t="shared" si="94"/>
        <v/>
      </c>
      <c r="AF367" s="4" t="str">
        <f t="shared" si="95"/>
        <v/>
      </c>
      <c r="AG367" s="4" t="str" cm="1">
        <f t="array" ref="AG367">IFERROR(INDEX(Table8[],_xlfn.XMATCH($O367,Table8[Dimension Name Category],0),_xlfn.XMATCH(AG$2&amp;IF($L367," w/ tag"," w/o tag"),Table8[#Headers],0)),"")</f>
        <v/>
      </c>
      <c r="AH367" s="59" t="str">
        <f t="shared" si="96"/>
        <v/>
      </c>
      <c r="AI367" s="4"/>
      <c r="AJ367" s="4" t="str">
        <f t="shared" si="97"/>
        <v/>
      </c>
      <c r="AK367" s="4" t="str">
        <f t="shared" si="98"/>
        <v/>
      </c>
      <c r="AL367" s="4" t="e" cm="1">
        <f t="array" ref="AL367">IF(INDEX(Table2[],_xlfn.XMATCH($A367,Table2[Steel Member],0),_xlfn.XMATCH(AL$2,Table2[#Headers],0))=0,"",INDEX(Table2[],_xlfn.XMATCH($A367,Table2[Steel Member],0),_xlfn.XMATCH(AL$2,Table2[#Headers],0)))</f>
        <v>#N/A</v>
      </c>
      <c r="AM367" s="4"/>
      <c r="AN367" s="4" t="str">
        <f t="shared" si="99"/>
        <v/>
      </c>
      <c r="AO367" s="4"/>
      <c r="AP367" s="4" t="e" cm="1">
        <f t="array" ref="AP367">IF(INDEX(Table2[],_xlfn.XMATCH($A367,Table2[Steel Member],0),_xlfn.XMATCH(AP$2,Table2[#Headers],0))=0,"",INDEX(Table2[],_xlfn.XMATCH($A367,Table2[Steel Member],0),_xlfn.XMATCH(AP$2,Table2[#Headers],0)))</f>
        <v>#N/A</v>
      </c>
      <c r="AQ367" s="4"/>
      <c r="AR367" s="4"/>
      <c r="AS367" s="4"/>
      <c r="AT367" s="4"/>
    </row>
    <row r="368" spans="1:46" x14ac:dyDescent="0.25">
      <c r="A368" s="52"/>
      <c r="B368" s="52"/>
      <c r="C368" s="52"/>
      <c r="D368" s="52"/>
      <c r="E368" s="52"/>
      <c r="F368" s="64" cm="1">
        <f t="array" ref="F368">IF(COUNT(FIND(PurlinsxGirthsxBracings,$C368))&gt;0,0,ROUNDUP(IF(D368=0,0,VLOOKUP(D368,'DATA SHEET'!$B:$D,2,FALSE)),2))</f>
        <v>0</v>
      </c>
      <c r="G368" s="64" cm="1">
        <f t="array" ref="G368">IF(COUNT(FIND(PurlinsxGirthsxBracings,$C368))&gt;0,0,ROUNDUP(IF(D368=0,0,VLOOKUP(D368,'DATA SHEET'!$B:$D,3,FALSE)),2))</f>
        <v>0</v>
      </c>
      <c r="H368" s="53"/>
      <c r="I368" s="66" cm="1">
        <f t="array" ref="I368">IF(AND(ISBLANK(B368),ISBLANK(C368),ISBLANK(E368)),0,IF(COUNT(FIND(PurlinsxGirthsxBracings,$C368))&gt;0,IF(B368=0,CONCATENATE(E368," ",C368),CONCATENATE(B368," - ",E368," ",C368)),IF(B368=0,IF(ISBLANK(C368),E368,CONCATENATE(D368,", ",F368,"kg/m, ",G368,"mm surface perimeter")),IF(AND(ISBLANK(C368),ISTEXT(E368)),CONCATENATE(B368," - ",E368),IF(AND(ISBLANK(C368),ISBLANK(E368)),B368,CONCATENATE(B368," - ",D368,", ",F368,"kg/m, ",G368,"mm surface perimeter"))))&amp;IF(ISBLANK(H368),"",H368)))</f>
        <v>0</v>
      </c>
      <c r="J368" s="53"/>
      <c r="L368" s="4" t="str" cm="1">
        <f t="array" ref="L368">IF(COUNT(FIND({0,1,2,3,4,5,6,7,8,9},B368))&gt;0,COUNT(FIND({0,1,2,3,4,5,6,7,8,9},B368))&gt;0,"")</f>
        <v/>
      </c>
      <c r="M368" s="4" t="str" cm="1">
        <f t="array" aca="1" ref="M368" ca="1">IFERROR(_xlfn.IFS(R368="Count",RANDBETWEEN(1,COUNTIF($R$11:$R$653,"Count")),R368="Length",RANDBETWEEN(1,COUNTIF($R$11:$R$653,"Length"))),"")</f>
        <v/>
      </c>
      <c r="N368" s="4" t="str">
        <f ca="1">IFERROR(_xlfn.RANK.EQ(M368,$M$11:$M$653)+COUNTIF($M$11:M368,M368)-1,"")</f>
        <v/>
      </c>
      <c r="O368" s="86" t="str">
        <f>IF(A368='DATA SHEET'!$L$36,C368,IFERROR(IF(AND(ISTEXT(I368),ISBLANK(C368)),"No details",VLOOKUP(C368,DimFolder,2,FALSE)),""))</f>
        <v/>
      </c>
      <c r="P368" s="4" t="str">
        <f t="shared" si="101"/>
        <v/>
      </c>
      <c r="Q368" s="58" t="str">
        <f t="shared" si="100"/>
        <v/>
      </c>
      <c r="R368" s="4" t="e" cm="1">
        <f t="array" ref="R368">IF(INDEX(Table2[],_xlfn.XMATCH($A368,Table2[Steel Member],0),_xlfn.XMATCH(R$2,Table2[#Headers],0))=0,"",INDEX(Table2[],_xlfn.XMATCH($A368,Table2[Steel Member],0),_xlfn.XMATCH(R$2,Table2[#Headers],0)))</f>
        <v>#N/A</v>
      </c>
      <c r="S368" s="4" t="e" cm="1">
        <f t="array" ref="S368">IF(INDEX(Table2[],_xlfn.XMATCH($A368,Table2[Steel Member],0),_xlfn.XMATCH(S$2,Table2[#Headers],0))=0,"",INDEX(Table2[],_xlfn.XMATCH($A368,Table2[Steel Member],0),_xlfn.XMATCH(S$2,Table2[#Headers],0)))</f>
        <v>#N/A</v>
      </c>
      <c r="T368" s="4" t="str">
        <f t="shared" si="91"/>
        <v/>
      </c>
      <c r="U368" s="4" t="e">
        <f ca="1">VLOOKUP(N368,'COLOR CODE'!$B:$D,2,FALSE)</f>
        <v>#N/A</v>
      </c>
      <c r="V368" s="4" t="str">
        <f t="shared" si="92"/>
        <v/>
      </c>
      <c r="W368" s="4" t="e" cm="1">
        <f t="array" ref="W368">IF(INDEX(Table2[],_xlfn.XMATCH($A368,Table2[Steel Member],0),_xlfn.XMATCH(W$2,Table2[#Headers],0))=0,"",INDEX(Table2[],_xlfn.XMATCH($A368,Table2[Steel Member],0),_xlfn.XMATCH(W$2,Table2[#Headers],0)))</f>
        <v>#N/A</v>
      </c>
      <c r="X368" s="4" t="e">
        <f t="shared" si="102"/>
        <v>#N/A</v>
      </c>
      <c r="Y368" s="4" t="e" cm="1">
        <f t="array" ref="Y368">IF(INDEX(Table2[],_xlfn.XMATCH($A368,Table2[Steel Member],0),_xlfn.XMATCH(Y$2,Table2[#Headers],0))=0,"",INDEX(Table2[],_xlfn.XMATCH($A368,Table2[Steel Member],0),_xlfn.XMATCH(Y$2,Table2[#Headers],0)))</f>
        <v>#N/A</v>
      </c>
      <c r="Z368" s="4" t="e" cm="1">
        <f t="array" ref="Z368">IF(INDEX(Table2[],_xlfn.XMATCH($A368,Table2[Steel Member],0),_xlfn.XMATCH(Z$2,Table2[#Headers],0))=0,"",INDEX(Table2[],_xlfn.XMATCH($A368,Table2[Steel Member],0),_xlfn.XMATCH(Z$2,Table2[#Headers],0)))</f>
        <v>#N/A</v>
      </c>
      <c r="AA368" s="4" t="e" cm="1">
        <f t="array" ref="AA368">IF(INDEX(Table2[],_xlfn.XMATCH($A368,Table2[Steel Member],0),_xlfn.XMATCH(AA$2,Table2[#Headers],0))=0,"",INDEX(Table2[],_xlfn.XMATCH($A368,Table2[Steel Member],0),_xlfn.XMATCH(AA$2,Table2[#Headers],0)))</f>
        <v>#N/A</v>
      </c>
      <c r="AB368" s="4" t="e" cm="1">
        <f t="array" ref="AB368">IF(INDEX(Table2[],_xlfn.XMATCH($A368,Table2[Steel Member],0),_xlfn.XMATCH(AB$2,Table2[#Headers],0))=0,"",INDEX(Table2[],_xlfn.XMATCH($A368,Table2[Steel Member],0),_xlfn.XMATCH(AB$2,Table2[#Headers],0)))</f>
        <v>#N/A</v>
      </c>
      <c r="AC368" s="4" t="str" cm="1">
        <f t="array" ref="AC368">IFERROR(INDEX(Table8[],_xlfn.XMATCH($O368,Table8[Dimension Name Category],0),_xlfn.XMATCH(AC$2&amp;IF($L368," w/ tag"," w/o tag"),Table8[#Headers],0)),"")</f>
        <v/>
      </c>
      <c r="AD368" s="59" t="str">
        <f t="shared" si="93"/>
        <v/>
      </c>
      <c r="AE368" s="4" t="str">
        <f t="shared" si="94"/>
        <v/>
      </c>
      <c r="AF368" s="4" t="str">
        <f t="shared" si="95"/>
        <v/>
      </c>
      <c r="AG368" s="4" t="str" cm="1">
        <f t="array" ref="AG368">IFERROR(INDEX(Table8[],_xlfn.XMATCH($O368,Table8[Dimension Name Category],0),_xlfn.XMATCH(AG$2&amp;IF($L368," w/ tag"," w/o tag"),Table8[#Headers],0)),"")</f>
        <v/>
      </c>
      <c r="AH368" s="59" t="str">
        <f t="shared" si="96"/>
        <v/>
      </c>
      <c r="AI368" s="4"/>
      <c r="AJ368" s="4" t="str">
        <f t="shared" si="97"/>
        <v/>
      </c>
      <c r="AK368" s="4" t="str">
        <f t="shared" si="98"/>
        <v/>
      </c>
      <c r="AL368" s="4" t="e" cm="1">
        <f t="array" ref="AL368">IF(INDEX(Table2[],_xlfn.XMATCH($A368,Table2[Steel Member],0),_xlfn.XMATCH(AL$2,Table2[#Headers],0))=0,"",INDEX(Table2[],_xlfn.XMATCH($A368,Table2[Steel Member],0),_xlfn.XMATCH(AL$2,Table2[#Headers],0)))</f>
        <v>#N/A</v>
      </c>
      <c r="AM368" s="4"/>
      <c r="AN368" s="4" t="str">
        <f t="shared" si="99"/>
        <v/>
      </c>
      <c r="AO368" s="4"/>
      <c r="AP368" s="4" t="e" cm="1">
        <f t="array" ref="AP368">IF(INDEX(Table2[],_xlfn.XMATCH($A368,Table2[Steel Member],0),_xlfn.XMATCH(AP$2,Table2[#Headers],0))=0,"",INDEX(Table2[],_xlfn.XMATCH($A368,Table2[Steel Member],0),_xlfn.XMATCH(AP$2,Table2[#Headers],0)))</f>
        <v>#N/A</v>
      </c>
      <c r="AQ368" s="4"/>
      <c r="AR368" s="4"/>
      <c r="AS368" s="4"/>
      <c r="AT368" s="4"/>
    </row>
    <row r="369" spans="1:46" x14ac:dyDescent="0.25">
      <c r="A369" s="52"/>
      <c r="B369" s="52"/>
      <c r="C369" s="52"/>
      <c r="D369" s="52"/>
      <c r="E369" s="52"/>
      <c r="F369" s="64" cm="1">
        <f t="array" ref="F369">IF(COUNT(FIND(PurlinsxGirthsxBracings,$C369))&gt;0,0,ROUNDUP(IF(D369=0,0,VLOOKUP(D369,'DATA SHEET'!$B:$D,2,FALSE)),2))</f>
        <v>0</v>
      </c>
      <c r="G369" s="64" cm="1">
        <f t="array" ref="G369">IF(COUNT(FIND(PurlinsxGirthsxBracings,$C369))&gt;0,0,ROUNDUP(IF(D369=0,0,VLOOKUP(D369,'DATA SHEET'!$B:$D,3,FALSE)),2))</f>
        <v>0</v>
      </c>
      <c r="H369" s="53"/>
      <c r="I369" s="66" cm="1">
        <f t="array" ref="I369">IF(AND(ISBLANK(B369),ISBLANK(C369),ISBLANK(E369)),0,IF(COUNT(FIND(PurlinsxGirthsxBracings,$C369))&gt;0,IF(B369=0,CONCATENATE(E369," ",C369),CONCATENATE(B369," - ",E369," ",C369)),IF(B369=0,IF(ISBLANK(C369),E369,CONCATENATE(D369,", ",F369,"kg/m, ",G369,"mm surface perimeter")),IF(AND(ISBLANK(C369),ISTEXT(E369)),CONCATENATE(B369," - ",E369),IF(AND(ISBLANK(C369),ISBLANK(E369)),B369,CONCATENATE(B369," - ",D369,", ",F369,"kg/m, ",G369,"mm surface perimeter"))))&amp;IF(ISBLANK(H369),"",H369)))</f>
        <v>0</v>
      </c>
      <c r="J369" s="53"/>
      <c r="L369" s="4" t="str" cm="1">
        <f t="array" ref="L369">IF(COUNT(FIND({0,1,2,3,4,5,6,7,8,9},B369))&gt;0,COUNT(FIND({0,1,2,3,4,5,6,7,8,9},B369))&gt;0,"")</f>
        <v/>
      </c>
      <c r="M369" s="4" t="str" cm="1">
        <f t="array" aca="1" ref="M369" ca="1">IFERROR(_xlfn.IFS(R369="Count",RANDBETWEEN(1,COUNTIF($R$11:$R$653,"Count")),R369="Length",RANDBETWEEN(1,COUNTIF($R$11:$R$653,"Length"))),"")</f>
        <v/>
      </c>
      <c r="N369" s="4" t="str">
        <f ca="1">IFERROR(_xlfn.RANK.EQ(M369,$M$11:$M$653)+COUNTIF($M$11:M369,M369)-1,"")</f>
        <v/>
      </c>
      <c r="O369" s="86" t="str">
        <f>IF(A369='DATA SHEET'!$L$36,C369,IFERROR(IF(AND(ISTEXT(I369),ISBLANK(C369)),"No details",VLOOKUP(C369,DimFolder,2,FALSE)),""))</f>
        <v/>
      </c>
      <c r="P369" s="4" t="str">
        <f t="shared" si="101"/>
        <v/>
      </c>
      <c r="Q369" s="58" t="str">
        <f t="shared" si="100"/>
        <v/>
      </c>
      <c r="R369" s="4" t="e" cm="1">
        <f t="array" ref="R369">IF(INDEX(Table2[],_xlfn.XMATCH($A369,Table2[Steel Member],0),_xlfn.XMATCH(R$2,Table2[#Headers],0))=0,"",INDEX(Table2[],_xlfn.XMATCH($A369,Table2[Steel Member],0),_xlfn.XMATCH(R$2,Table2[#Headers],0)))</f>
        <v>#N/A</v>
      </c>
      <c r="S369" s="4" t="e" cm="1">
        <f t="array" ref="S369">IF(INDEX(Table2[],_xlfn.XMATCH($A369,Table2[Steel Member],0),_xlfn.XMATCH(S$2,Table2[#Headers],0))=0,"",INDEX(Table2[],_xlfn.XMATCH($A369,Table2[Steel Member],0),_xlfn.XMATCH(S$2,Table2[#Headers],0)))</f>
        <v>#N/A</v>
      </c>
      <c r="T369" s="4" t="str">
        <f t="shared" si="91"/>
        <v/>
      </c>
      <c r="U369" s="4" t="e">
        <f ca="1">VLOOKUP(N369,'COLOR CODE'!$B:$D,2,FALSE)</f>
        <v>#N/A</v>
      </c>
      <c r="V369" s="4" t="str">
        <f t="shared" si="92"/>
        <v/>
      </c>
      <c r="W369" s="4" t="e" cm="1">
        <f t="array" ref="W369">IF(INDEX(Table2[],_xlfn.XMATCH($A369,Table2[Steel Member],0),_xlfn.XMATCH(W$2,Table2[#Headers],0))=0,"",INDEX(Table2[],_xlfn.XMATCH($A369,Table2[Steel Member],0),_xlfn.XMATCH(W$2,Table2[#Headers],0)))</f>
        <v>#N/A</v>
      </c>
      <c r="X369" s="4" t="e">
        <f t="shared" si="102"/>
        <v>#N/A</v>
      </c>
      <c r="Y369" s="4" t="e" cm="1">
        <f t="array" ref="Y369">IF(INDEX(Table2[],_xlfn.XMATCH($A369,Table2[Steel Member],0),_xlfn.XMATCH(Y$2,Table2[#Headers],0))=0,"",INDEX(Table2[],_xlfn.XMATCH($A369,Table2[Steel Member],0),_xlfn.XMATCH(Y$2,Table2[#Headers],0)))</f>
        <v>#N/A</v>
      </c>
      <c r="Z369" s="4" t="e" cm="1">
        <f t="array" ref="Z369">IF(INDEX(Table2[],_xlfn.XMATCH($A369,Table2[Steel Member],0),_xlfn.XMATCH(Z$2,Table2[#Headers],0))=0,"",INDEX(Table2[],_xlfn.XMATCH($A369,Table2[Steel Member],0),_xlfn.XMATCH(Z$2,Table2[#Headers],0)))</f>
        <v>#N/A</v>
      </c>
      <c r="AA369" s="4" t="e" cm="1">
        <f t="array" ref="AA369">IF(INDEX(Table2[],_xlfn.XMATCH($A369,Table2[Steel Member],0),_xlfn.XMATCH(AA$2,Table2[#Headers],0))=0,"",INDEX(Table2[],_xlfn.XMATCH($A369,Table2[Steel Member],0),_xlfn.XMATCH(AA$2,Table2[#Headers],0)))</f>
        <v>#N/A</v>
      </c>
      <c r="AB369" s="4" t="e" cm="1">
        <f t="array" ref="AB369">IF(INDEX(Table2[],_xlfn.XMATCH($A369,Table2[Steel Member],0),_xlfn.XMATCH(AB$2,Table2[#Headers],0))=0,"",INDEX(Table2[],_xlfn.XMATCH($A369,Table2[Steel Member],0),_xlfn.XMATCH(AB$2,Table2[#Headers],0)))</f>
        <v>#N/A</v>
      </c>
      <c r="AC369" s="4" t="str" cm="1">
        <f t="array" ref="AC369">IFERROR(INDEX(Table8[],_xlfn.XMATCH($O369,Table8[Dimension Name Category],0),_xlfn.XMATCH(AC$2&amp;IF($L369," w/ tag"," w/o tag"),Table8[#Headers],0)),"")</f>
        <v/>
      </c>
      <c r="AD369" s="59" t="str">
        <f t="shared" si="93"/>
        <v/>
      </c>
      <c r="AE369" s="4" t="str">
        <f t="shared" si="94"/>
        <v/>
      </c>
      <c r="AF369" s="4" t="str">
        <f t="shared" si="95"/>
        <v/>
      </c>
      <c r="AG369" s="4" t="str" cm="1">
        <f t="array" ref="AG369">IFERROR(INDEX(Table8[],_xlfn.XMATCH($O369,Table8[Dimension Name Category],0),_xlfn.XMATCH(AG$2&amp;IF($L369," w/ tag"," w/o tag"),Table8[#Headers],0)),"")</f>
        <v/>
      </c>
      <c r="AH369" s="59" t="str">
        <f t="shared" si="96"/>
        <v/>
      </c>
      <c r="AI369" s="4"/>
      <c r="AJ369" s="4" t="str">
        <f t="shared" si="97"/>
        <v/>
      </c>
      <c r="AK369" s="4" t="str">
        <f t="shared" si="98"/>
        <v/>
      </c>
      <c r="AL369" s="4" t="e" cm="1">
        <f t="array" ref="AL369">IF(INDEX(Table2[],_xlfn.XMATCH($A369,Table2[Steel Member],0),_xlfn.XMATCH(AL$2,Table2[#Headers],0))=0,"",INDEX(Table2[],_xlfn.XMATCH($A369,Table2[Steel Member],0),_xlfn.XMATCH(AL$2,Table2[#Headers],0)))</f>
        <v>#N/A</v>
      </c>
      <c r="AM369" s="4"/>
      <c r="AN369" s="4" t="str">
        <f t="shared" si="99"/>
        <v/>
      </c>
      <c r="AO369" s="4"/>
      <c r="AP369" s="4" t="e" cm="1">
        <f t="array" ref="AP369">IF(INDEX(Table2[],_xlfn.XMATCH($A369,Table2[Steel Member],0),_xlfn.XMATCH(AP$2,Table2[#Headers],0))=0,"",INDEX(Table2[],_xlfn.XMATCH($A369,Table2[Steel Member],0),_xlfn.XMATCH(AP$2,Table2[#Headers],0)))</f>
        <v>#N/A</v>
      </c>
      <c r="AQ369" s="4"/>
      <c r="AR369" s="4"/>
      <c r="AS369" s="4"/>
      <c r="AT369" s="4"/>
    </row>
    <row r="370" spans="1:46" x14ac:dyDescent="0.25">
      <c r="A370" s="52"/>
      <c r="B370" s="52"/>
      <c r="C370" s="52"/>
      <c r="D370" s="52"/>
      <c r="E370" s="52"/>
      <c r="F370" s="64" cm="1">
        <f t="array" ref="F370">IF(COUNT(FIND(PurlinsxGirthsxBracings,$C370))&gt;0,0,ROUNDUP(IF(D370=0,0,VLOOKUP(D370,'DATA SHEET'!$B:$D,2,FALSE)),2))</f>
        <v>0</v>
      </c>
      <c r="G370" s="64" cm="1">
        <f t="array" ref="G370">IF(COUNT(FIND(PurlinsxGirthsxBracings,$C370))&gt;0,0,ROUNDUP(IF(D370=0,0,VLOOKUP(D370,'DATA SHEET'!$B:$D,3,FALSE)),2))</f>
        <v>0</v>
      </c>
      <c r="H370" s="53"/>
      <c r="I370" s="66" cm="1">
        <f t="array" ref="I370">IF(AND(ISBLANK(B370),ISBLANK(C370),ISBLANK(E370)),0,IF(COUNT(FIND(PurlinsxGirthsxBracings,$C370))&gt;0,IF(B370=0,CONCATENATE(E370," ",C370),CONCATENATE(B370," - ",E370," ",C370)),IF(B370=0,IF(ISBLANK(C370),E370,CONCATENATE(D370,", ",F370,"kg/m, ",G370,"mm surface perimeter")),IF(AND(ISBLANK(C370),ISTEXT(E370)),CONCATENATE(B370," - ",E370),IF(AND(ISBLANK(C370),ISBLANK(E370)),B370,CONCATENATE(B370," - ",D370,", ",F370,"kg/m, ",G370,"mm surface perimeter"))))&amp;IF(ISBLANK(H370),"",H370)))</f>
        <v>0</v>
      </c>
      <c r="J370" s="53"/>
      <c r="L370" s="4" t="str" cm="1">
        <f t="array" ref="L370">IF(COUNT(FIND({0,1,2,3,4,5,6,7,8,9},B370))&gt;0,COUNT(FIND({0,1,2,3,4,5,6,7,8,9},B370))&gt;0,"")</f>
        <v/>
      </c>
      <c r="M370" s="4" t="str" cm="1">
        <f t="array" aca="1" ref="M370" ca="1">IFERROR(_xlfn.IFS(R370="Count",RANDBETWEEN(1,COUNTIF($R$11:$R$653,"Count")),R370="Length",RANDBETWEEN(1,COUNTIF($R$11:$R$653,"Length"))),"")</f>
        <v/>
      </c>
      <c r="N370" s="4" t="str">
        <f ca="1">IFERROR(_xlfn.RANK.EQ(M370,$M$11:$M$653)+COUNTIF($M$11:M370,M370)-1,"")</f>
        <v/>
      </c>
      <c r="O370" s="86" t="str">
        <f>IF(A370='DATA SHEET'!$L$36,C370,IFERROR(IF(AND(ISTEXT(I370),ISBLANK(C370)),"No details",VLOOKUP(C370,DimFolder,2,FALSE)),""))</f>
        <v/>
      </c>
      <c r="P370" s="4" t="str">
        <f t="shared" si="101"/>
        <v/>
      </c>
      <c r="Q370" s="58" t="str">
        <f t="shared" si="100"/>
        <v/>
      </c>
      <c r="R370" s="4" t="e" cm="1">
        <f t="array" ref="R370">IF(INDEX(Table2[],_xlfn.XMATCH($A370,Table2[Steel Member],0),_xlfn.XMATCH(R$2,Table2[#Headers],0))=0,"",INDEX(Table2[],_xlfn.XMATCH($A370,Table2[Steel Member],0),_xlfn.XMATCH(R$2,Table2[#Headers],0)))</f>
        <v>#N/A</v>
      </c>
      <c r="S370" s="4" t="e" cm="1">
        <f t="array" ref="S370">IF(INDEX(Table2[],_xlfn.XMATCH($A370,Table2[Steel Member],0),_xlfn.XMATCH(S$2,Table2[#Headers],0))=0,"",INDEX(Table2[],_xlfn.XMATCH($A370,Table2[Steel Member],0),_xlfn.XMATCH(S$2,Table2[#Headers],0)))</f>
        <v>#N/A</v>
      </c>
      <c r="T370" s="4" t="str">
        <f t="shared" si="91"/>
        <v/>
      </c>
      <c r="U370" s="4" t="e">
        <f ca="1">VLOOKUP(N370,'COLOR CODE'!$B:$D,2,FALSE)</f>
        <v>#N/A</v>
      </c>
      <c r="V370" s="4" t="str">
        <f t="shared" si="92"/>
        <v/>
      </c>
      <c r="W370" s="4" t="e" cm="1">
        <f t="array" ref="W370">IF(INDEX(Table2[],_xlfn.XMATCH($A370,Table2[Steel Member],0),_xlfn.XMATCH(W$2,Table2[#Headers],0))=0,"",INDEX(Table2[],_xlfn.XMATCH($A370,Table2[Steel Member],0),_xlfn.XMATCH(W$2,Table2[#Headers],0)))</f>
        <v>#N/A</v>
      </c>
      <c r="X370" s="4" t="e">
        <f t="shared" si="102"/>
        <v>#N/A</v>
      </c>
      <c r="Y370" s="4" t="e" cm="1">
        <f t="array" ref="Y370">IF(INDEX(Table2[],_xlfn.XMATCH($A370,Table2[Steel Member],0),_xlfn.XMATCH(Y$2,Table2[#Headers],0))=0,"",INDEX(Table2[],_xlfn.XMATCH($A370,Table2[Steel Member],0),_xlfn.XMATCH(Y$2,Table2[#Headers],0)))</f>
        <v>#N/A</v>
      </c>
      <c r="Z370" s="4" t="e" cm="1">
        <f t="array" ref="Z370">IF(INDEX(Table2[],_xlfn.XMATCH($A370,Table2[Steel Member],0),_xlfn.XMATCH(Z$2,Table2[#Headers],0))=0,"",INDEX(Table2[],_xlfn.XMATCH($A370,Table2[Steel Member],0),_xlfn.XMATCH(Z$2,Table2[#Headers],0)))</f>
        <v>#N/A</v>
      </c>
      <c r="AA370" s="4" t="e" cm="1">
        <f t="array" ref="AA370">IF(INDEX(Table2[],_xlfn.XMATCH($A370,Table2[Steel Member],0),_xlfn.XMATCH(AA$2,Table2[#Headers],0))=0,"",INDEX(Table2[],_xlfn.XMATCH($A370,Table2[Steel Member],0),_xlfn.XMATCH(AA$2,Table2[#Headers],0)))</f>
        <v>#N/A</v>
      </c>
      <c r="AB370" s="4" t="e" cm="1">
        <f t="array" ref="AB370">IF(INDEX(Table2[],_xlfn.XMATCH($A370,Table2[Steel Member],0),_xlfn.XMATCH(AB$2,Table2[#Headers],0))=0,"",INDEX(Table2[],_xlfn.XMATCH($A370,Table2[Steel Member],0),_xlfn.XMATCH(AB$2,Table2[#Headers],0)))</f>
        <v>#N/A</v>
      </c>
      <c r="AC370" s="4" t="str" cm="1">
        <f t="array" ref="AC370">IFERROR(INDEX(Table8[],_xlfn.XMATCH($O370,Table8[Dimension Name Category],0),_xlfn.XMATCH(AC$2&amp;IF($L370," w/ tag"," w/o tag"),Table8[#Headers],0)),"")</f>
        <v/>
      </c>
      <c r="AD370" s="59" t="str">
        <f t="shared" si="93"/>
        <v/>
      </c>
      <c r="AE370" s="4" t="str">
        <f t="shared" si="94"/>
        <v/>
      </c>
      <c r="AF370" s="4" t="str">
        <f t="shared" si="95"/>
        <v/>
      </c>
      <c r="AG370" s="4" t="str" cm="1">
        <f t="array" ref="AG370">IFERROR(INDEX(Table8[],_xlfn.XMATCH($O370,Table8[Dimension Name Category],0),_xlfn.XMATCH(AG$2&amp;IF($L370," w/ tag"," w/o tag"),Table8[#Headers],0)),"")</f>
        <v/>
      </c>
      <c r="AH370" s="59" t="str">
        <f t="shared" si="96"/>
        <v/>
      </c>
      <c r="AI370" s="4"/>
      <c r="AJ370" s="4" t="str">
        <f t="shared" si="97"/>
        <v/>
      </c>
      <c r="AK370" s="4" t="str">
        <f t="shared" si="98"/>
        <v/>
      </c>
      <c r="AL370" s="4" t="e" cm="1">
        <f t="array" ref="AL370">IF(INDEX(Table2[],_xlfn.XMATCH($A370,Table2[Steel Member],0),_xlfn.XMATCH(AL$2,Table2[#Headers],0))=0,"",INDEX(Table2[],_xlfn.XMATCH($A370,Table2[Steel Member],0),_xlfn.XMATCH(AL$2,Table2[#Headers],0)))</f>
        <v>#N/A</v>
      </c>
      <c r="AM370" s="4"/>
      <c r="AN370" s="4" t="str">
        <f t="shared" si="99"/>
        <v/>
      </c>
      <c r="AO370" s="4"/>
      <c r="AP370" s="4" t="e" cm="1">
        <f t="array" ref="AP370">IF(INDEX(Table2[],_xlfn.XMATCH($A370,Table2[Steel Member],0),_xlfn.XMATCH(AP$2,Table2[#Headers],0))=0,"",INDEX(Table2[],_xlfn.XMATCH($A370,Table2[Steel Member],0),_xlfn.XMATCH(AP$2,Table2[#Headers],0)))</f>
        <v>#N/A</v>
      </c>
      <c r="AQ370" s="4"/>
      <c r="AR370" s="4"/>
      <c r="AS370" s="4"/>
      <c r="AT370" s="4"/>
    </row>
    <row r="371" spans="1:46" x14ac:dyDescent="0.25">
      <c r="A371" s="52"/>
      <c r="B371" s="52"/>
      <c r="C371" s="52"/>
      <c r="D371" s="52"/>
      <c r="E371" s="52"/>
      <c r="F371" s="64" cm="1">
        <f t="array" ref="F371">IF(COUNT(FIND(PurlinsxGirthsxBracings,$C371))&gt;0,0,ROUNDUP(IF(D371=0,0,VLOOKUP(D371,'DATA SHEET'!$B:$D,2,FALSE)),2))</f>
        <v>0</v>
      </c>
      <c r="G371" s="64" cm="1">
        <f t="array" ref="G371">IF(COUNT(FIND(PurlinsxGirthsxBracings,$C371))&gt;0,0,ROUNDUP(IF(D371=0,0,VLOOKUP(D371,'DATA SHEET'!$B:$D,3,FALSE)),2))</f>
        <v>0</v>
      </c>
      <c r="H371" s="53"/>
      <c r="I371" s="66" cm="1">
        <f t="array" ref="I371">IF(AND(ISBLANK(B371),ISBLANK(C371),ISBLANK(E371)),0,IF(COUNT(FIND(PurlinsxGirthsxBracings,$C371))&gt;0,IF(B371=0,CONCATENATE(E371," ",C371),CONCATENATE(B371," - ",E371," ",C371)),IF(B371=0,IF(ISBLANK(C371),E371,CONCATENATE(D371,", ",F371,"kg/m, ",G371,"mm surface perimeter")),IF(AND(ISBLANK(C371),ISTEXT(E371)),CONCATENATE(B371," - ",E371),IF(AND(ISBLANK(C371),ISBLANK(E371)),B371,CONCATENATE(B371," - ",D371,", ",F371,"kg/m, ",G371,"mm surface perimeter"))))&amp;IF(ISBLANK(H371),"",H371)))</f>
        <v>0</v>
      </c>
      <c r="J371" s="53"/>
      <c r="L371" s="4" t="str" cm="1">
        <f t="array" ref="L371">IF(COUNT(FIND({0,1,2,3,4,5,6,7,8,9},B371))&gt;0,COUNT(FIND({0,1,2,3,4,5,6,7,8,9},B371))&gt;0,"")</f>
        <v/>
      </c>
      <c r="M371" s="4" t="str" cm="1">
        <f t="array" aca="1" ref="M371" ca="1">IFERROR(_xlfn.IFS(R371="Count",RANDBETWEEN(1,COUNTIF($R$11:$R$653,"Count")),R371="Length",RANDBETWEEN(1,COUNTIF($R$11:$R$653,"Length"))),"")</f>
        <v/>
      </c>
      <c r="N371" s="4" t="str">
        <f ca="1">IFERROR(_xlfn.RANK.EQ(M371,$M$11:$M$653)+COUNTIF($M$11:M371,M371)-1,"")</f>
        <v/>
      </c>
      <c r="O371" s="86" t="str">
        <f>IF(A371='DATA SHEET'!$L$36,C371,IFERROR(IF(AND(ISTEXT(I371),ISBLANK(C371)),"No details",VLOOKUP(C371,DimFolder,2,FALSE)),""))</f>
        <v/>
      </c>
      <c r="P371" s="4" t="str">
        <f t="shared" si="101"/>
        <v/>
      </c>
      <c r="Q371" s="58" t="str">
        <f t="shared" si="100"/>
        <v/>
      </c>
      <c r="R371" s="4" t="e" cm="1">
        <f t="array" ref="R371">IF(INDEX(Table2[],_xlfn.XMATCH($A371,Table2[Steel Member],0),_xlfn.XMATCH(R$2,Table2[#Headers],0))=0,"",INDEX(Table2[],_xlfn.XMATCH($A371,Table2[Steel Member],0),_xlfn.XMATCH(R$2,Table2[#Headers],0)))</f>
        <v>#N/A</v>
      </c>
      <c r="S371" s="4" t="e" cm="1">
        <f t="array" ref="S371">IF(INDEX(Table2[],_xlfn.XMATCH($A371,Table2[Steel Member],0),_xlfn.XMATCH(S$2,Table2[#Headers],0))=0,"",INDEX(Table2[],_xlfn.XMATCH($A371,Table2[Steel Member],0),_xlfn.XMATCH(S$2,Table2[#Headers],0)))</f>
        <v>#N/A</v>
      </c>
      <c r="T371" s="4" t="str">
        <f t="shared" si="91"/>
        <v/>
      </c>
      <c r="U371" s="4" t="e">
        <f ca="1">VLOOKUP(N371,'COLOR CODE'!$B:$D,2,FALSE)</f>
        <v>#N/A</v>
      </c>
      <c r="V371" s="4" t="str">
        <f t="shared" si="92"/>
        <v/>
      </c>
      <c r="W371" s="4" t="e" cm="1">
        <f t="array" ref="W371">IF(INDEX(Table2[],_xlfn.XMATCH($A371,Table2[Steel Member],0),_xlfn.XMATCH(W$2,Table2[#Headers],0))=0,"",INDEX(Table2[],_xlfn.XMATCH($A371,Table2[Steel Member],0),_xlfn.XMATCH(W$2,Table2[#Headers],0)))</f>
        <v>#N/A</v>
      </c>
      <c r="X371" s="4" t="e">
        <f t="shared" si="102"/>
        <v>#N/A</v>
      </c>
      <c r="Y371" s="4" t="e" cm="1">
        <f t="array" ref="Y371">IF(INDEX(Table2[],_xlfn.XMATCH($A371,Table2[Steel Member],0),_xlfn.XMATCH(Y$2,Table2[#Headers],0))=0,"",INDEX(Table2[],_xlfn.XMATCH($A371,Table2[Steel Member],0),_xlfn.XMATCH(Y$2,Table2[#Headers],0)))</f>
        <v>#N/A</v>
      </c>
      <c r="Z371" s="4" t="e" cm="1">
        <f t="array" ref="Z371">IF(INDEX(Table2[],_xlfn.XMATCH($A371,Table2[Steel Member],0),_xlfn.XMATCH(Z$2,Table2[#Headers],0))=0,"",INDEX(Table2[],_xlfn.XMATCH($A371,Table2[Steel Member],0),_xlfn.XMATCH(Z$2,Table2[#Headers],0)))</f>
        <v>#N/A</v>
      </c>
      <c r="AA371" s="4" t="e" cm="1">
        <f t="array" ref="AA371">IF(INDEX(Table2[],_xlfn.XMATCH($A371,Table2[Steel Member],0),_xlfn.XMATCH(AA$2,Table2[#Headers],0))=0,"",INDEX(Table2[],_xlfn.XMATCH($A371,Table2[Steel Member],0),_xlfn.XMATCH(AA$2,Table2[#Headers],0)))</f>
        <v>#N/A</v>
      </c>
      <c r="AB371" s="4" t="e" cm="1">
        <f t="array" ref="AB371">IF(INDEX(Table2[],_xlfn.XMATCH($A371,Table2[Steel Member],0),_xlfn.XMATCH(AB$2,Table2[#Headers],0))=0,"",INDEX(Table2[],_xlfn.XMATCH($A371,Table2[Steel Member],0),_xlfn.XMATCH(AB$2,Table2[#Headers],0)))</f>
        <v>#N/A</v>
      </c>
      <c r="AC371" s="4" t="str" cm="1">
        <f t="array" ref="AC371">IFERROR(INDEX(Table8[],_xlfn.XMATCH($O371,Table8[Dimension Name Category],0),_xlfn.XMATCH(AC$2&amp;IF($L371," w/ tag"," w/o tag"),Table8[#Headers],0)),"")</f>
        <v/>
      </c>
      <c r="AD371" s="59" t="str">
        <f t="shared" si="93"/>
        <v/>
      </c>
      <c r="AE371" s="4" t="str">
        <f t="shared" si="94"/>
        <v/>
      </c>
      <c r="AF371" s="4" t="str">
        <f t="shared" si="95"/>
        <v/>
      </c>
      <c r="AG371" s="4" t="str" cm="1">
        <f t="array" ref="AG371">IFERROR(INDEX(Table8[],_xlfn.XMATCH($O371,Table8[Dimension Name Category],0),_xlfn.XMATCH(AG$2&amp;IF($L371," w/ tag"," w/o tag"),Table8[#Headers],0)),"")</f>
        <v/>
      </c>
      <c r="AH371" s="59" t="str">
        <f t="shared" si="96"/>
        <v/>
      </c>
      <c r="AI371" s="4"/>
      <c r="AJ371" s="4" t="str">
        <f t="shared" si="97"/>
        <v/>
      </c>
      <c r="AK371" s="4" t="str">
        <f t="shared" si="98"/>
        <v/>
      </c>
      <c r="AL371" s="4" t="e" cm="1">
        <f t="array" ref="AL371">IF(INDEX(Table2[],_xlfn.XMATCH($A371,Table2[Steel Member],0),_xlfn.XMATCH(AL$2,Table2[#Headers],0))=0,"",INDEX(Table2[],_xlfn.XMATCH($A371,Table2[Steel Member],0),_xlfn.XMATCH(AL$2,Table2[#Headers],0)))</f>
        <v>#N/A</v>
      </c>
      <c r="AM371" s="4"/>
      <c r="AN371" s="4" t="str">
        <f t="shared" si="99"/>
        <v/>
      </c>
      <c r="AO371" s="4"/>
      <c r="AP371" s="4" t="e" cm="1">
        <f t="array" ref="AP371">IF(INDEX(Table2[],_xlfn.XMATCH($A371,Table2[Steel Member],0),_xlfn.XMATCH(AP$2,Table2[#Headers],0))=0,"",INDEX(Table2[],_xlfn.XMATCH($A371,Table2[Steel Member],0),_xlfn.XMATCH(AP$2,Table2[#Headers],0)))</f>
        <v>#N/A</v>
      </c>
      <c r="AQ371" s="4"/>
      <c r="AR371" s="4"/>
      <c r="AS371" s="4"/>
      <c r="AT371" s="4"/>
    </row>
    <row r="372" spans="1:46" x14ac:dyDescent="0.25">
      <c r="A372" s="52"/>
      <c r="B372" s="52"/>
      <c r="C372" s="52"/>
      <c r="D372" s="52"/>
      <c r="E372" s="52"/>
      <c r="F372" s="64" cm="1">
        <f t="array" ref="F372">IF(COUNT(FIND(PurlinsxGirthsxBracings,$C372))&gt;0,0,ROUNDUP(IF(D372=0,0,VLOOKUP(D372,'DATA SHEET'!$B:$D,2,FALSE)),2))</f>
        <v>0</v>
      </c>
      <c r="G372" s="64" cm="1">
        <f t="array" ref="G372">IF(COUNT(FIND(PurlinsxGirthsxBracings,$C372))&gt;0,0,ROUNDUP(IF(D372=0,0,VLOOKUP(D372,'DATA SHEET'!$B:$D,3,FALSE)),2))</f>
        <v>0</v>
      </c>
      <c r="H372" s="53"/>
      <c r="I372" s="66" cm="1">
        <f t="array" ref="I372">IF(AND(ISBLANK(B372),ISBLANK(C372),ISBLANK(E372)),0,IF(COUNT(FIND(PurlinsxGirthsxBracings,$C372))&gt;0,IF(B372=0,CONCATENATE(E372," ",C372),CONCATENATE(B372," - ",E372," ",C372)),IF(B372=0,IF(ISBLANK(C372),E372,CONCATENATE(D372,", ",F372,"kg/m, ",G372,"mm surface perimeter")),IF(AND(ISBLANK(C372),ISTEXT(E372)),CONCATENATE(B372," - ",E372),IF(AND(ISBLANK(C372),ISBLANK(E372)),B372,CONCATENATE(B372," - ",D372,", ",F372,"kg/m, ",G372,"mm surface perimeter"))))&amp;IF(ISBLANK(H372),"",H372)))</f>
        <v>0</v>
      </c>
      <c r="J372" s="53"/>
      <c r="L372" s="4" t="str" cm="1">
        <f t="array" ref="L372">IF(COUNT(FIND({0,1,2,3,4,5,6,7,8,9},B372))&gt;0,COUNT(FIND({0,1,2,3,4,5,6,7,8,9},B372))&gt;0,"")</f>
        <v/>
      </c>
      <c r="M372" s="4" t="str" cm="1">
        <f t="array" aca="1" ref="M372" ca="1">IFERROR(_xlfn.IFS(R372="Count",RANDBETWEEN(1,COUNTIF($R$11:$R$653,"Count")),R372="Length",RANDBETWEEN(1,COUNTIF($R$11:$R$653,"Length"))),"")</f>
        <v/>
      </c>
      <c r="N372" s="4" t="str">
        <f ca="1">IFERROR(_xlfn.RANK.EQ(M372,$M$11:$M$653)+COUNTIF($M$11:M372,M372)-1,"")</f>
        <v/>
      </c>
      <c r="O372" s="86" t="str">
        <f>IF(A372='DATA SHEET'!$L$36,C372,IFERROR(IF(AND(ISTEXT(I372),ISBLANK(C372)),"No details",VLOOKUP(C372,DimFolder,2,FALSE)),""))</f>
        <v/>
      </c>
      <c r="P372" s="4" t="str">
        <f t="shared" si="101"/>
        <v/>
      </c>
      <c r="Q372" s="58" t="str">
        <f t="shared" si="100"/>
        <v/>
      </c>
      <c r="R372" s="4" t="e" cm="1">
        <f t="array" ref="R372">IF(INDEX(Table2[],_xlfn.XMATCH($A372,Table2[Steel Member],0),_xlfn.XMATCH(R$2,Table2[#Headers],0))=0,"",INDEX(Table2[],_xlfn.XMATCH($A372,Table2[Steel Member],0),_xlfn.XMATCH(R$2,Table2[#Headers],0)))</f>
        <v>#N/A</v>
      </c>
      <c r="S372" s="4" t="e" cm="1">
        <f t="array" ref="S372">IF(INDEX(Table2[],_xlfn.XMATCH($A372,Table2[Steel Member],0),_xlfn.XMATCH(S$2,Table2[#Headers],0))=0,"",INDEX(Table2[],_xlfn.XMATCH($A372,Table2[Steel Member],0),_xlfn.XMATCH(S$2,Table2[#Headers],0)))</f>
        <v>#N/A</v>
      </c>
      <c r="T372" s="4" t="str">
        <f t="shared" si="91"/>
        <v/>
      </c>
      <c r="U372" s="4" t="e">
        <f ca="1">VLOOKUP(N372,'COLOR CODE'!$B:$D,2,FALSE)</f>
        <v>#N/A</v>
      </c>
      <c r="V372" s="4" t="str">
        <f t="shared" si="92"/>
        <v/>
      </c>
      <c r="W372" s="4" t="e" cm="1">
        <f t="array" ref="W372">IF(INDEX(Table2[],_xlfn.XMATCH($A372,Table2[Steel Member],0),_xlfn.XMATCH(W$2,Table2[#Headers],0))=0,"",INDEX(Table2[],_xlfn.XMATCH($A372,Table2[Steel Member],0),_xlfn.XMATCH(W$2,Table2[#Headers],0)))</f>
        <v>#N/A</v>
      </c>
      <c r="X372" s="4" t="e">
        <f t="shared" si="102"/>
        <v>#N/A</v>
      </c>
      <c r="Y372" s="4" t="e" cm="1">
        <f t="array" ref="Y372">IF(INDEX(Table2[],_xlfn.XMATCH($A372,Table2[Steel Member],0),_xlfn.XMATCH(Y$2,Table2[#Headers],0))=0,"",INDEX(Table2[],_xlfn.XMATCH($A372,Table2[Steel Member],0),_xlfn.XMATCH(Y$2,Table2[#Headers],0)))</f>
        <v>#N/A</v>
      </c>
      <c r="Z372" s="4" t="e" cm="1">
        <f t="array" ref="Z372">IF(INDEX(Table2[],_xlfn.XMATCH($A372,Table2[Steel Member],0),_xlfn.XMATCH(Z$2,Table2[#Headers],0))=0,"",INDEX(Table2[],_xlfn.XMATCH($A372,Table2[Steel Member],0),_xlfn.XMATCH(Z$2,Table2[#Headers],0)))</f>
        <v>#N/A</v>
      </c>
      <c r="AA372" s="4" t="e" cm="1">
        <f t="array" ref="AA372">IF(INDEX(Table2[],_xlfn.XMATCH($A372,Table2[Steel Member],0),_xlfn.XMATCH(AA$2,Table2[#Headers],0))=0,"",INDEX(Table2[],_xlfn.XMATCH($A372,Table2[Steel Member],0),_xlfn.XMATCH(AA$2,Table2[#Headers],0)))</f>
        <v>#N/A</v>
      </c>
      <c r="AB372" s="4" t="e" cm="1">
        <f t="array" ref="AB372">IF(INDEX(Table2[],_xlfn.XMATCH($A372,Table2[Steel Member],0),_xlfn.XMATCH(AB$2,Table2[#Headers],0))=0,"",INDEX(Table2[],_xlfn.XMATCH($A372,Table2[Steel Member],0),_xlfn.XMATCH(AB$2,Table2[#Headers],0)))</f>
        <v>#N/A</v>
      </c>
      <c r="AC372" s="4" t="str" cm="1">
        <f t="array" ref="AC372">IFERROR(INDEX(Table8[],_xlfn.XMATCH($O372,Table8[Dimension Name Category],0),_xlfn.XMATCH(AC$2&amp;IF($L372," w/ tag"," w/o tag"),Table8[#Headers],0)),"")</f>
        <v/>
      </c>
      <c r="AD372" s="59" t="str">
        <f t="shared" si="93"/>
        <v/>
      </c>
      <c r="AE372" s="4" t="str">
        <f t="shared" si="94"/>
        <v/>
      </c>
      <c r="AF372" s="4" t="str">
        <f t="shared" si="95"/>
        <v/>
      </c>
      <c r="AG372" s="4" t="str" cm="1">
        <f t="array" ref="AG372">IFERROR(INDEX(Table8[],_xlfn.XMATCH($O372,Table8[Dimension Name Category],0),_xlfn.XMATCH(AG$2&amp;IF($L372," w/ tag"," w/o tag"),Table8[#Headers],0)),"")</f>
        <v/>
      </c>
      <c r="AH372" s="59" t="str">
        <f t="shared" si="96"/>
        <v/>
      </c>
      <c r="AI372" s="4"/>
      <c r="AJ372" s="4" t="str">
        <f t="shared" si="97"/>
        <v/>
      </c>
      <c r="AK372" s="4" t="str">
        <f t="shared" si="98"/>
        <v/>
      </c>
      <c r="AL372" s="4" t="e" cm="1">
        <f t="array" ref="AL372">IF(INDEX(Table2[],_xlfn.XMATCH($A372,Table2[Steel Member],0),_xlfn.XMATCH(AL$2,Table2[#Headers],0))=0,"",INDEX(Table2[],_xlfn.XMATCH($A372,Table2[Steel Member],0),_xlfn.XMATCH(AL$2,Table2[#Headers],0)))</f>
        <v>#N/A</v>
      </c>
      <c r="AM372" s="4"/>
      <c r="AN372" s="4" t="str">
        <f t="shared" si="99"/>
        <v/>
      </c>
      <c r="AO372" s="4"/>
      <c r="AP372" s="4" t="e" cm="1">
        <f t="array" ref="AP372">IF(INDEX(Table2[],_xlfn.XMATCH($A372,Table2[Steel Member],0),_xlfn.XMATCH(AP$2,Table2[#Headers],0))=0,"",INDEX(Table2[],_xlfn.XMATCH($A372,Table2[Steel Member],0),_xlfn.XMATCH(AP$2,Table2[#Headers],0)))</f>
        <v>#N/A</v>
      </c>
      <c r="AQ372" s="4"/>
      <c r="AR372" s="4"/>
      <c r="AS372" s="4"/>
      <c r="AT372" s="4"/>
    </row>
    <row r="373" spans="1:46" x14ac:dyDescent="0.25">
      <c r="A373" s="52"/>
      <c r="B373" s="52"/>
      <c r="C373" s="52"/>
      <c r="D373" s="52"/>
      <c r="E373" s="52"/>
      <c r="F373" s="64" cm="1">
        <f t="array" ref="F373">IF(COUNT(FIND(PurlinsxGirthsxBracings,$C373))&gt;0,0,ROUNDUP(IF(D373=0,0,VLOOKUP(D373,'DATA SHEET'!$B:$D,2,FALSE)),2))</f>
        <v>0</v>
      </c>
      <c r="G373" s="64" cm="1">
        <f t="array" ref="G373">IF(COUNT(FIND(PurlinsxGirthsxBracings,$C373))&gt;0,0,ROUNDUP(IF(D373=0,0,VLOOKUP(D373,'DATA SHEET'!$B:$D,3,FALSE)),2))</f>
        <v>0</v>
      </c>
      <c r="H373" s="53"/>
      <c r="I373" s="66" cm="1">
        <f t="array" ref="I373">IF(AND(ISBLANK(B373),ISBLANK(C373),ISBLANK(E373)),0,IF(COUNT(FIND(PurlinsxGirthsxBracings,$C373))&gt;0,IF(B373=0,CONCATENATE(E373," ",C373),CONCATENATE(B373," - ",E373," ",C373)),IF(B373=0,IF(ISBLANK(C373),E373,CONCATENATE(D373,", ",F373,"kg/m, ",G373,"mm surface perimeter")),IF(AND(ISBLANK(C373),ISTEXT(E373)),CONCATENATE(B373," - ",E373),IF(AND(ISBLANK(C373),ISBLANK(E373)),B373,CONCATENATE(B373," - ",D373,", ",F373,"kg/m, ",G373,"mm surface perimeter"))))&amp;IF(ISBLANK(H373),"",H373)))</f>
        <v>0</v>
      </c>
      <c r="J373" s="53"/>
      <c r="L373" s="4" t="str" cm="1">
        <f t="array" ref="L373">IF(COUNT(FIND({0,1,2,3,4,5,6,7,8,9},B373))&gt;0,COUNT(FIND({0,1,2,3,4,5,6,7,8,9},B373))&gt;0,"")</f>
        <v/>
      </c>
      <c r="M373" s="4" t="str" cm="1">
        <f t="array" aca="1" ref="M373" ca="1">IFERROR(_xlfn.IFS(R373="Count",RANDBETWEEN(1,COUNTIF($R$11:$R$653,"Count")),R373="Length",RANDBETWEEN(1,COUNTIF($R$11:$R$653,"Length"))),"")</f>
        <v/>
      </c>
      <c r="N373" s="4" t="str">
        <f ca="1">IFERROR(_xlfn.RANK.EQ(M373,$M$11:$M$653)+COUNTIF($M$11:M373,M373)-1,"")</f>
        <v/>
      </c>
      <c r="O373" s="86" t="str">
        <f>IF(A373='DATA SHEET'!$L$36,C373,IFERROR(IF(AND(ISTEXT(I373),ISBLANK(C373)),"No details",VLOOKUP(C373,DimFolder,2,FALSE)),""))</f>
        <v/>
      </c>
      <c r="P373" s="4" t="str">
        <f t="shared" si="101"/>
        <v/>
      </c>
      <c r="Q373" s="58" t="str">
        <f t="shared" si="100"/>
        <v/>
      </c>
      <c r="R373" s="4" t="e" cm="1">
        <f t="array" ref="R373">IF(INDEX(Table2[],_xlfn.XMATCH($A373,Table2[Steel Member],0),_xlfn.XMATCH(R$2,Table2[#Headers],0))=0,"",INDEX(Table2[],_xlfn.XMATCH($A373,Table2[Steel Member],0),_xlfn.XMATCH(R$2,Table2[#Headers],0)))</f>
        <v>#N/A</v>
      </c>
      <c r="S373" s="4" t="e" cm="1">
        <f t="array" ref="S373">IF(INDEX(Table2[],_xlfn.XMATCH($A373,Table2[Steel Member],0),_xlfn.XMATCH(S$2,Table2[#Headers],0))=0,"",INDEX(Table2[],_xlfn.XMATCH($A373,Table2[Steel Member],0),_xlfn.XMATCH(S$2,Table2[#Headers],0)))</f>
        <v>#N/A</v>
      </c>
      <c r="T373" s="4" t="str">
        <f t="shared" ref="T373:T436" si="103">IF(AND(ISBLANK(B373),ISBLANK(C373)),"","t")</f>
        <v/>
      </c>
      <c r="U373" s="4" t="e">
        <f ca="1">VLOOKUP(N373,'COLOR CODE'!$B:$D,2,FALSE)</f>
        <v>#N/A</v>
      </c>
      <c r="V373" s="4" t="str">
        <f t="shared" ref="V373:V436" si="104">IF(AND(ISBLANK(B373),ISBLANK(C373)),"","Red")</f>
        <v/>
      </c>
      <c r="W373" s="4" t="e" cm="1">
        <f t="array" ref="W373">IF(INDEX(Table2[],_xlfn.XMATCH($A373,Table2[Steel Member],0),_xlfn.XMATCH(W$2,Table2[#Headers],0))=0,"",INDEX(Table2[],_xlfn.XMATCH($A373,Table2[Steel Member],0),_xlfn.XMATCH(W$2,Table2[#Headers],0)))</f>
        <v>#N/A</v>
      </c>
      <c r="X373" s="4" t="e">
        <f t="shared" si="102"/>
        <v>#N/A</v>
      </c>
      <c r="Y373" s="4" t="e" cm="1">
        <f t="array" ref="Y373">IF(INDEX(Table2[],_xlfn.XMATCH($A373,Table2[Steel Member],0),_xlfn.XMATCH(Y$2,Table2[#Headers],0))=0,"",INDEX(Table2[],_xlfn.XMATCH($A373,Table2[Steel Member],0),_xlfn.XMATCH(Y$2,Table2[#Headers],0)))</f>
        <v>#N/A</v>
      </c>
      <c r="Z373" s="4" t="e" cm="1">
        <f t="array" ref="Z373">IF(INDEX(Table2[],_xlfn.XMATCH($A373,Table2[Steel Member],0),_xlfn.XMATCH(Z$2,Table2[#Headers],0))=0,"",INDEX(Table2[],_xlfn.XMATCH($A373,Table2[Steel Member],0),_xlfn.XMATCH(Z$2,Table2[#Headers],0)))</f>
        <v>#N/A</v>
      </c>
      <c r="AA373" s="4" t="e" cm="1">
        <f t="array" ref="AA373">IF(INDEX(Table2[],_xlfn.XMATCH($A373,Table2[Steel Member],0),_xlfn.XMATCH(AA$2,Table2[#Headers],0))=0,"",INDEX(Table2[],_xlfn.XMATCH($A373,Table2[Steel Member],0),_xlfn.XMATCH(AA$2,Table2[#Headers],0)))</f>
        <v>#N/A</v>
      </c>
      <c r="AB373" s="4" t="e" cm="1">
        <f t="array" ref="AB373">IF(INDEX(Table2[],_xlfn.XMATCH($A373,Table2[Steel Member],0),_xlfn.XMATCH(AB$2,Table2[#Headers],0))=0,"",INDEX(Table2[],_xlfn.XMATCH($A373,Table2[Steel Member],0),_xlfn.XMATCH(AB$2,Table2[#Headers],0)))</f>
        <v>#N/A</v>
      </c>
      <c r="AC373" s="4" t="str" cm="1">
        <f t="array" ref="AC373">IFERROR(INDEX(Table8[],_xlfn.XMATCH($O373,Table8[Dimension Name Category],0),_xlfn.XMATCH(AC$2&amp;IF($L373," w/ tag"," w/o tag"),Table8[#Headers],0)),"")</f>
        <v/>
      </c>
      <c r="AD373" s="59" t="str">
        <f t="shared" ref="AD373:AD436" si="105">IF(OR($AC373="",$AC373=0),"",IF($A373=Column,"{Length}*XNUMBER({Dimension Group Name},"&amp;$AC373&amp;")/1000","{Length}*XNUMBER({Dimension Group Name},"&amp;$AC373&amp;")/1000*{Slope Factor}"))</f>
        <v/>
      </c>
      <c r="AE373" s="4" t="str">
        <f t="shared" ref="AE373:AE436" si="106">IF(AND(ISBLANK(B373),ISBLANK(C373)),"",IF($A373=Purlins_Girths_Bracings,"","Steel Surface Area"))</f>
        <v/>
      </c>
      <c r="AF373" s="4" t="str">
        <f t="shared" ref="AF373:AF436" si="107">IF(AND(ISBLANK(B373),ISBLANK(C373)),"",IF($A373=Purlins_Girths_Bracings,"","m2"))</f>
        <v/>
      </c>
      <c r="AG373" s="4" t="str" cm="1">
        <f t="array" ref="AG373">IFERROR(INDEX(Table8[],_xlfn.XMATCH($O373,Table8[Dimension Name Category],0),_xlfn.XMATCH(AG$2&amp;IF($L373," w/ tag"," w/o tag"),Table8[#Headers],0)),"")</f>
        <v/>
      </c>
      <c r="AH373" s="59" t="str">
        <f t="shared" ref="AH373:AH436" si="108">IF(OR($AG373="",$AG373=0),"",IF($A373=Column,"{Length}*XNUMBER({Dimension Group Name},"&amp;$AG373&amp;")/1000","{Length}*XNUMBER({Dimension Group Name},"&amp;$AG373&amp;")/1000*{Slope Factor}"))</f>
        <v/>
      </c>
      <c r="AI373" s="4"/>
      <c r="AJ373" s="4" t="str">
        <f t="shared" ref="AJ373:AJ436" si="109">IF(OR($A373=Column,$A373=""),"","Slope Length")</f>
        <v/>
      </c>
      <c r="AK373" s="4" t="str">
        <f t="shared" ref="AK373:AK436" si="110">IF(OR($A373=Column,$A373=""),"","m")</f>
        <v/>
      </c>
      <c r="AL373" s="4" t="e" cm="1">
        <f t="array" ref="AL373">IF(INDEX(Table2[],_xlfn.XMATCH($A373,Table2[Steel Member],0),_xlfn.XMATCH(AL$2,Table2[#Headers],0))=0,"",INDEX(Table2[],_xlfn.XMATCH($A373,Table2[Steel Member],0),_xlfn.XMATCH(AL$2,Table2[#Headers],0)))</f>
        <v>#N/A</v>
      </c>
      <c r="AM373" s="4"/>
      <c r="AN373" s="4" t="str">
        <f t="shared" ref="AN373:AN436" si="111">IF(OR($A373=Column,$A373=""),"","Slope Factor")</f>
        <v/>
      </c>
      <c r="AO373" s="4"/>
      <c r="AP373" s="4" t="e" cm="1">
        <f t="array" ref="AP373">IF(INDEX(Table2[],_xlfn.XMATCH($A373,Table2[Steel Member],0),_xlfn.XMATCH(AP$2,Table2[#Headers],0))=0,"",INDEX(Table2[],_xlfn.XMATCH($A373,Table2[Steel Member],0),_xlfn.XMATCH(AP$2,Table2[#Headers],0)))</f>
        <v>#N/A</v>
      </c>
      <c r="AQ373" s="4"/>
      <c r="AR373" s="4"/>
      <c r="AS373" s="4"/>
      <c r="AT373" s="4"/>
    </row>
    <row r="374" spans="1:46" x14ac:dyDescent="0.25">
      <c r="A374" s="52"/>
      <c r="B374" s="52"/>
      <c r="C374" s="52"/>
      <c r="D374" s="52"/>
      <c r="E374" s="52"/>
      <c r="F374" s="64" cm="1">
        <f t="array" ref="F374">IF(COUNT(FIND(PurlinsxGirthsxBracings,$C374))&gt;0,0,ROUNDUP(IF(D374=0,0,VLOOKUP(D374,'DATA SHEET'!$B:$D,2,FALSE)),2))</f>
        <v>0</v>
      </c>
      <c r="G374" s="64" cm="1">
        <f t="array" ref="G374">IF(COUNT(FIND(PurlinsxGirthsxBracings,$C374))&gt;0,0,ROUNDUP(IF(D374=0,0,VLOOKUP(D374,'DATA SHEET'!$B:$D,3,FALSE)),2))</f>
        <v>0</v>
      </c>
      <c r="H374" s="53"/>
      <c r="I374" s="66" cm="1">
        <f t="array" ref="I374">IF(AND(ISBLANK(B374),ISBLANK(C374),ISBLANK(E374)),0,IF(COUNT(FIND(PurlinsxGirthsxBracings,$C374))&gt;0,IF(B374=0,CONCATENATE(E374," ",C374),CONCATENATE(B374," - ",E374," ",C374)),IF(B374=0,IF(ISBLANK(C374),E374,CONCATENATE(D374,", ",F374,"kg/m, ",G374,"mm surface perimeter")),IF(AND(ISBLANK(C374),ISTEXT(E374)),CONCATENATE(B374," - ",E374),IF(AND(ISBLANK(C374),ISBLANK(E374)),B374,CONCATENATE(B374," - ",D374,", ",F374,"kg/m, ",G374,"mm surface perimeter"))))&amp;IF(ISBLANK(H374),"",H374)))</f>
        <v>0</v>
      </c>
      <c r="J374" s="53"/>
      <c r="L374" s="4" t="str" cm="1">
        <f t="array" ref="L374">IF(COUNT(FIND({0,1,2,3,4,5,6,7,8,9},B374))&gt;0,COUNT(FIND({0,1,2,3,4,5,6,7,8,9},B374))&gt;0,"")</f>
        <v/>
      </c>
      <c r="M374" s="4" t="str" cm="1">
        <f t="array" aca="1" ref="M374" ca="1">IFERROR(_xlfn.IFS(R374="Count",RANDBETWEEN(1,COUNTIF($R$11:$R$653,"Count")),R374="Length",RANDBETWEEN(1,COUNTIF($R$11:$R$653,"Length"))),"")</f>
        <v/>
      </c>
      <c r="N374" s="4" t="str">
        <f ca="1">IFERROR(_xlfn.RANK.EQ(M374,$M$11:$M$653)+COUNTIF($M$11:M374,M374)-1,"")</f>
        <v/>
      </c>
      <c r="O374" s="86" t="str">
        <f>IF(A374='DATA SHEET'!$L$36,C374,IFERROR(IF(AND(ISTEXT(I374),ISBLANK(C374)),"No details",VLOOKUP(C374,DimFolder,2,FALSE)),""))</f>
        <v/>
      </c>
      <c r="P374" s="4" t="str">
        <f t="shared" si="101"/>
        <v/>
      </c>
      <c r="Q374" s="58" t="str">
        <f t="shared" ref="Q374:Q437" si="112">IF(AND(ISBLANK(B374),ISBLANK(C374)),"",I374)</f>
        <v/>
      </c>
      <c r="R374" s="4" t="e" cm="1">
        <f t="array" ref="R374">IF(INDEX(Table2[],_xlfn.XMATCH($A374,Table2[Steel Member],0),_xlfn.XMATCH(R$2,Table2[#Headers],0))=0,"",INDEX(Table2[],_xlfn.XMATCH($A374,Table2[Steel Member],0),_xlfn.XMATCH(R$2,Table2[#Headers],0)))</f>
        <v>#N/A</v>
      </c>
      <c r="S374" s="4" t="e" cm="1">
        <f t="array" ref="S374">IF(INDEX(Table2[],_xlfn.XMATCH($A374,Table2[Steel Member],0),_xlfn.XMATCH(S$2,Table2[#Headers],0))=0,"",INDEX(Table2[],_xlfn.XMATCH($A374,Table2[Steel Member],0),_xlfn.XMATCH(S$2,Table2[#Headers],0)))</f>
        <v>#N/A</v>
      </c>
      <c r="T374" s="4" t="str">
        <f t="shared" si="103"/>
        <v/>
      </c>
      <c r="U374" s="4" t="e">
        <f ca="1">VLOOKUP(N374,'COLOR CODE'!$B:$D,2,FALSE)</f>
        <v>#N/A</v>
      </c>
      <c r="V374" s="4" t="str">
        <f t="shared" si="104"/>
        <v/>
      </c>
      <c r="W374" s="4" t="e" cm="1">
        <f t="array" ref="W374">IF(INDEX(Table2[],_xlfn.XMATCH($A374,Table2[Steel Member],0),_xlfn.XMATCH(W$2,Table2[#Headers],0))=0,"",INDEX(Table2[],_xlfn.XMATCH($A374,Table2[Steel Member],0),_xlfn.XMATCH(W$2,Table2[#Headers],0)))</f>
        <v>#N/A</v>
      </c>
      <c r="X374" s="4" t="e">
        <f t="shared" si="102"/>
        <v>#N/A</v>
      </c>
      <c r="Y374" s="4" t="e" cm="1">
        <f t="array" ref="Y374">IF(INDEX(Table2[],_xlfn.XMATCH($A374,Table2[Steel Member],0),_xlfn.XMATCH(Y$2,Table2[#Headers],0))=0,"",INDEX(Table2[],_xlfn.XMATCH($A374,Table2[Steel Member],0),_xlfn.XMATCH(Y$2,Table2[#Headers],0)))</f>
        <v>#N/A</v>
      </c>
      <c r="Z374" s="4" t="e" cm="1">
        <f t="array" ref="Z374">IF(INDEX(Table2[],_xlfn.XMATCH($A374,Table2[Steel Member],0),_xlfn.XMATCH(Z$2,Table2[#Headers],0))=0,"",INDEX(Table2[],_xlfn.XMATCH($A374,Table2[Steel Member],0),_xlfn.XMATCH(Z$2,Table2[#Headers],0)))</f>
        <v>#N/A</v>
      </c>
      <c r="AA374" s="4" t="e" cm="1">
        <f t="array" ref="AA374">IF(INDEX(Table2[],_xlfn.XMATCH($A374,Table2[Steel Member],0),_xlfn.XMATCH(AA$2,Table2[#Headers],0))=0,"",INDEX(Table2[],_xlfn.XMATCH($A374,Table2[Steel Member],0),_xlfn.XMATCH(AA$2,Table2[#Headers],0)))</f>
        <v>#N/A</v>
      </c>
      <c r="AB374" s="4" t="e" cm="1">
        <f t="array" ref="AB374">IF(INDEX(Table2[],_xlfn.XMATCH($A374,Table2[Steel Member],0),_xlfn.XMATCH(AB$2,Table2[#Headers],0))=0,"",INDEX(Table2[],_xlfn.XMATCH($A374,Table2[Steel Member],0),_xlfn.XMATCH(AB$2,Table2[#Headers],0)))</f>
        <v>#N/A</v>
      </c>
      <c r="AC374" s="4" t="str" cm="1">
        <f t="array" ref="AC374">IFERROR(INDEX(Table8[],_xlfn.XMATCH($O374,Table8[Dimension Name Category],0),_xlfn.XMATCH(AC$2&amp;IF($L374," w/ tag"," w/o tag"),Table8[#Headers],0)),"")</f>
        <v/>
      </c>
      <c r="AD374" s="59" t="str">
        <f t="shared" si="105"/>
        <v/>
      </c>
      <c r="AE374" s="4" t="str">
        <f t="shared" si="106"/>
        <v/>
      </c>
      <c r="AF374" s="4" t="str">
        <f t="shared" si="107"/>
        <v/>
      </c>
      <c r="AG374" s="4" t="str" cm="1">
        <f t="array" ref="AG374">IFERROR(INDEX(Table8[],_xlfn.XMATCH($O374,Table8[Dimension Name Category],0),_xlfn.XMATCH(AG$2&amp;IF($L374," w/ tag"," w/o tag"),Table8[#Headers],0)),"")</f>
        <v/>
      </c>
      <c r="AH374" s="59" t="str">
        <f t="shared" si="108"/>
        <v/>
      </c>
      <c r="AI374" s="4"/>
      <c r="AJ374" s="4" t="str">
        <f t="shared" si="109"/>
        <v/>
      </c>
      <c r="AK374" s="4" t="str">
        <f t="shared" si="110"/>
        <v/>
      </c>
      <c r="AL374" s="4" t="e" cm="1">
        <f t="array" ref="AL374">IF(INDEX(Table2[],_xlfn.XMATCH($A374,Table2[Steel Member],0),_xlfn.XMATCH(AL$2,Table2[#Headers],0))=0,"",INDEX(Table2[],_xlfn.XMATCH($A374,Table2[Steel Member],0),_xlfn.XMATCH(AL$2,Table2[#Headers],0)))</f>
        <v>#N/A</v>
      </c>
      <c r="AM374" s="4"/>
      <c r="AN374" s="4" t="str">
        <f t="shared" si="111"/>
        <v/>
      </c>
      <c r="AO374" s="4"/>
      <c r="AP374" s="4" t="e" cm="1">
        <f t="array" ref="AP374">IF(INDEX(Table2[],_xlfn.XMATCH($A374,Table2[Steel Member],0),_xlfn.XMATCH(AP$2,Table2[#Headers],0))=0,"",INDEX(Table2[],_xlfn.XMATCH($A374,Table2[Steel Member],0),_xlfn.XMATCH(AP$2,Table2[#Headers],0)))</f>
        <v>#N/A</v>
      </c>
      <c r="AQ374" s="4"/>
      <c r="AR374" s="4"/>
      <c r="AS374" s="4"/>
      <c r="AT374" s="4"/>
    </row>
    <row r="375" spans="1:46" x14ac:dyDescent="0.25">
      <c r="A375" s="52"/>
      <c r="B375" s="52"/>
      <c r="C375" s="52"/>
      <c r="D375" s="52"/>
      <c r="E375" s="52"/>
      <c r="F375" s="64" cm="1">
        <f t="array" ref="F375">IF(COUNT(FIND(PurlinsxGirthsxBracings,$C375))&gt;0,0,ROUNDUP(IF(D375=0,0,VLOOKUP(D375,'DATA SHEET'!$B:$D,2,FALSE)),2))</f>
        <v>0</v>
      </c>
      <c r="G375" s="64" cm="1">
        <f t="array" ref="G375">IF(COUNT(FIND(PurlinsxGirthsxBracings,$C375))&gt;0,0,ROUNDUP(IF(D375=0,0,VLOOKUP(D375,'DATA SHEET'!$B:$D,3,FALSE)),2))</f>
        <v>0</v>
      </c>
      <c r="H375" s="53"/>
      <c r="I375" s="66" cm="1">
        <f t="array" ref="I375">IF(AND(ISBLANK(B375),ISBLANK(C375),ISBLANK(E375)),0,IF(COUNT(FIND(PurlinsxGirthsxBracings,$C375))&gt;0,IF(B375=0,CONCATENATE(E375," ",C375),CONCATENATE(B375," - ",E375," ",C375)),IF(B375=0,IF(ISBLANK(C375),E375,CONCATENATE(D375,", ",F375,"kg/m, ",G375,"mm surface perimeter")),IF(AND(ISBLANK(C375),ISTEXT(E375)),CONCATENATE(B375," - ",E375),IF(AND(ISBLANK(C375),ISBLANK(E375)),B375,CONCATENATE(B375," - ",D375,", ",F375,"kg/m, ",G375,"mm surface perimeter"))))&amp;IF(ISBLANK(H375),"",H375)))</f>
        <v>0</v>
      </c>
      <c r="J375" s="53"/>
      <c r="L375" s="4" t="str" cm="1">
        <f t="array" ref="L375">IF(COUNT(FIND({0,1,2,3,4,5,6,7,8,9},B375))&gt;0,COUNT(FIND({0,1,2,3,4,5,6,7,8,9},B375))&gt;0,"")</f>
        <v/>
      </c>
      <c r="M375" s="4" t="str" cm="1">
        <f t="array" aca="1" ref="M375" ca="1">IFERROR(_xlfn.IFS(R375="Count",RANDBETWEEN(1,COUNTIF($R$11:$R$653,"Count")),R375="Length",RANDBETWEEN(1,COUNTIF($R$11:$R$653,"Length"))),"")</f>
        <v/>
      </c>
      <c r="N375" s="4" t="str">
        <f ca="1">IFERROR(_xlfn.RANK.EQ(M375,$M$11:$M$653)+COUNTIF($M$11:M375,M375)-1,"")</f>
        <v/>
      </c>
      <c r="O375" s="86" t="str">
        <f>IF(A375='DATA SHEET'!$L$36,C375,IFERROR(IF(AND(ISTEXT(I375),ISBLANK(C375)),"No details",VLOOKUP(C375,DimFolder,2,FALSE)),""))</f>
        <v/>
      </c>
      <c r="P375" s="4" t="str">
        <f t="shared" si="101"/>
        <v/>
      </c>
      <c r="Q375" s="58" t="str">
        <f t="shared" si="112"/>
        <v/>
      </c>
      <c r="R375" s="4" t="e" cm="1">
        <f t="array" ref="R375">IF(INDEX(Table2[],_xlfn.XMATCH($A375,Table2[Steel Member],0),_xlfn.XMATCH(R$2,Table2[#Headers],0))=0,"",INDEX(Table2[],_xlfn.XMATCH($A375,Table2[Steel Member],0),_xlfn.XMATCH(R$2,Table2[#Headers],0)))</f>
        <v>#N/A</v>
      </c>
      <c r="S375" s="4" t="e" cm="1">
        <f t="array" ref="S375">IF(INDEX(Table2[],_xlfn.XMATCH($A375,Table2[Steel Member],0),_xlfn.XMATCH(S$2,Table2[#Headers],0))=0,"",INDEX(Table2[],_xlfn.XMATCH($A375,Table2[Steel Member],0),_xlfn.XMATCH(S$2,Table2[#Headers],0)))</f>
        <v>#N/A</v>
      </c>
      <c r="T375" s="4" t="str">
        <f t="shared" si="103"/>
        <v/>
      </c>
      <c r="U375" s="4" t="e">
        <f ca="1">VLOOKUP(N375,'COLOR CODE'!$B:$D,2,FALSE)</f>
        <v>#N/A</v>
      </c>
      <c r="V375" s="4" t="str">
        <f t="shared" si="104"/>
        <v/>
      </c>
      <c r="W375" s="4" t="e" cm="1">
        <f t="array" ref="W375">IF(INDEX(Table2[],_xlfn.XMATCH($A375,Table2[Steel Member],0),_xlfn.XMATCH(W$2,Table2[#Headers],0))=0,"",INDEX(Table2[],_xlfn.XMATCH($A375,Table2[Steel Member],0),_xlfn.XMATCH(W$2,Table2[#Headers],0)))</f>
        <v>#N/A</v>
      </c>
      <c r="X375" s="4" t="e">
        <f t="shared" si="102"/>
        <v>#N/A</v>
      </c>
      <c r="Y375" s="4" t="e" cm="1">
        <f t="array" ref="Y375">IF(INDEX(Table2[],_xlfn.XMATCH($A375,Table2[Steel Member],0),_xlfn.XMATCH(Y$2,Table2[#Headers],0))=0,"",INDEX(Table2[],_xlfn.XMATCH($A375,Table2[Steel Member],0),_xlfn.XMATCH(Y$2,Table2[#Headers],0)))</f>
        <v>#N/A</v>
      </c>
      <c r="Z375" s="4" t="e" cm="1">
        <f t="array" ref="Z375">IF(INDEX(Table2[],_xlfn.XMATCH($A375,Table2[Steel Member],0),_xlfn.XMATCH(Z$2,Table2[#Headers],0))=0,"",INDEX(Table2[],_xlfn.XMATCH($A375,Table2[Steel Member],0),_xlfn.XMATCH(Z$2,Table2[#Headers],0)))</f>
        <v>#N/A</v>
      </c>
      <c r="AA375" s="4" t="e" cm="1">
        <f t="array" ref="AA375">IF(INDEX(Table2[],_xlfn.XMATCH($A375,Table2[Steel Member],0),_xlfn.XMATCH(AA$2,Table2[#Headers],0))=0,"",INDEX(Table2[],_xlfn.XMATCH($A375,Table2[Steel Member],0),_xlfn.XMATCH(AA$2,Table2[#Headers],0)))</f>
        <v>#N/A</v>
      </c>
      <c r="AB375" s="4" t="e" cm="1">
        <f t="array" ref="AB375">IF(INDEX(Table2[],_xlfn.XMATCH($A375,Table2[Steel Member],0),_xlfn.XMATCH(AB$2,Table2[#Headers],0))=0,"",INDEX(Table2[],_xlfn.XMATCH($A375,Table2[Steel Member],0),_xlfn.XMATCH(AB$2,Table2[#Headers],0)))</f>
        <v>#N/A</v>
      </c>
      <c r="AC375" s="4" t="str" cm="1">
        <f t="array" ref="AC375">IFERROR(INDEX(Table8[],_xlfn.XMATCH($O375,Table8[Dimension Name Category],0),_xlfn.XMATCH(AC$2&amp;IF($L375," w/ tag"," w/o tag"),Table8[#Headers],0)),"")</f>
        <v/>
      </c>
      <c r="AD375" s="59" t="str">
        <f t="shared" si="105"/>
        <v/>
      </c>
      <c r="AE375" s="4" t="str">
        <f t="shared" si="106"/>
        <v/>
      </c>
      <c r="AF375" s="4" t="str">
        <f t="shared" si="107"/>
        <v/>
      </c>
      <c r="AG375" s="4" t="str" cm="1">
        <f t="array" ref="AG375">IFERROR(INDEX(Table8[],_xlfn.XMATCH($O375,Table8[Dimension Name Category],0),_xlfn.XMATCH(AG$2&amp;IF($L375," w/ tag"," w/o tag"),Table8[#Headers],0)),"")</f>
        <v/>
      </c>
      <c r="AH375" s="59" t="str">
        <f t="shared" si="108"/>
        <v/>
      </c>
      <c r="AI375" s="4"/>
      <c r="AJ375" s="4" t="str">
        <f t="shared" si="109"/>
        <v/>
      </c>
      <c r="AK375" s="4" t="str">
        <f t="shared" si="110"/>
        <v/>
      </c>
      <c r="AL375" s="4" t="e" cm="1">
        <f t="array" ref="AL375">IF(INDEX(Table2[],_xlfn.XMATCH($A375,Table2[Steel Member],0),_xlfn.XMATCH(AL$2,Table2[#Headers],0))=0,"",INDEX(Table2[],_xlfn.XMATCH($A375,Table2[Steel Member],0),_xlfn.XMATCH(AL$2,Table2[#Headers],0)))</f>
        <v>#N/A</v>
      </c>
      <c r="AM375" s="4"/>
      <c r="AN375" s="4" t="str">
        <f t="shared" si="111"/>
        <v/>
      </c>
      <c r="AO375" s="4"/>
      <c r="AP375" s="4" t="e" cm="1">
        <f t="array" ref="AP375">IF(INDEX(Table2[],_xlfn.XMATCH($A375,Table2[Steel Member],0),_xlfn.XMATCH(AP$2,Table2[#Headers],0))=0,"",INDEX(Table2[],_xlfn.XMATCH($A375,Table2[Steel Member],0),_xlfn.XMATCH(AP$2,Table2[#Headers],0)))</f>
        <v>#N/A</v>
      </c>
      <c r="AQ375" s="4"/>
      <c r="AR375" s="4"/>
      <c r="AS375" s="4"/>
      <c r="AT375" s="4"/>
    </row>
    <row r="376" spans="1:46" x14ac:dyDescent="0.25">
      <c r="A376" s="52"/>
      <c r="B376" s="52"/>
      <c r="C376" s="52"/>
      <c r="D376" s="52"/>
      <c r="E376" s="52"/>
      <c r="F376" s="64" cm="1">
        <f t="array" ref="F376">IF(COUNT(FIND(PurlinsxGirthsxBracings,$C376))&gt;0,0,ROUNDUP(IF(D376=0,0,VLOOKUP(D376,'DATA SHEET'!$B:$D,2,FALSE)),2))</f>
        <v>0</v>
      </c>
      <c r="G376" s="64" cm="1">
        <f t="array" ref="G376">IF(COUNT(FIND(PurlinsxGirthsxBracings,$C376))&gt;0,0,ROUNDUP(IF(D376=0,0,VLOOKUP(D376,'DATA SHEET'!$B:$D,3,FALSE)),2))</f>
        <v>0</v>
      </c>
      <c r="H376" s="53"/>
      <c r="I376" s="66" cm="1">
        <f t="array" ref="I376">IF(AND(ISBLANK(B376),ISBLANK(C376),ISBLANK(E376)),0,IF(COUNT(FIND(PurlinsxGirthsxBracings,$C376))&gt;0,IF(B376=0,CONCATENATE(E376," ",C376),CONCATENATE(B376," - ",E376," ",C376)),IF(B376=0,IF(ISBLANK(C376),E376,CONCATENATE(D376,", ",F376,"kg/m, ",G376,"mm surface perimeter")),IF(AND(ISBLANK(C376),ISTEXT(E376)),CONCATENATE(B376," - ",E376),IF(AND(ISBLANK(C376),ISBLANK(E376)),B376,CONCATENATE(B376," - ",D376,", ",F376,"kg/m, ",G376,"mm surface perimeter"))))&amp;IF(ISBLANK(H376),"",H376)))</f>
        <v>0</v>
      </c>
      <c r="J376" s="53"/>
      <c r="L376" s="4" t="str" cm="1">
        <f t="array" ref="L376">IF(COUNT(FIND({0,1,2,3,4,5,6,7,8,9},B376))&gt;0,COUNT(FIND({0,1,2,3,4,5,6,7,8,9},B376))&gt;0,"")</f>
        <v/>
      </c>
      <c r="M376" s="4" t="str" cm="1">
        <f t="array" aca="1" ref="M376" ca="1">IFERROR(_xlfn.IFS(R376="Count",RANDBETWEEN(1,COUNTIF($R$11:$R$653,"Count")),R376="Length",RANDBETWEEN(1,COUNTIF($R$11:$R$653,"Length"))),"")</f>
        <v/>
      </c>
      <c r="N376" s="4" t="str">
        <f ca="1">IFERROR(_xlfn.RANK.EQ(M376,$M$11:$M$653)+COUNTIF($M$11:M376,M376)-1,"")</f>
        <v/>
      </c>
      <c r="O376" s="86" t="str">
        <f>IF(A376='DATA SHEET'!$L$36,C376,IFERROR(IF(AND(ISTEXT(I376),ISBLANK(C376)),"No details",VLOOKUP(C376,DimFolder,2,FALSE)),""))</f>
        <v/>
      </c>
      <c r="P376" s="4" t="str">
        <f t="shared" si="101"/>
        <v/>
      </c>
      <c r="Q376" s="58" t="str">
        <f t="shared" si="112"/>
        <v/>
      </c>
      <c r="R376" s="4" t="e" cm="1">
        <f t="array" ref="R376">IF(INDEX(Table2[],_xlfn.XMATCH($A376,Table2[Steel Member],0),_xlfn.XMATCH(R$2,Table2[#Headers],0))=0,"",INDEX(Table2[],_xlfn.XMATCH($A376,Table2[Steel Member],0),_xlfn.XMATCH(R$2,Table2[#Headers],0)))</f>
        <v>#N/A</v>
      </c>
      <c r="S376" s="4" t="e" cm="1">
        <f t="array" ref="S376">IF(INDEX(Table2[],_xlfn.XMATCH($A376,Table2[Steel Member],0),_xlfn.XMATCH(S$2,Table2[#Headers],0))=0,"",INDEX(Table2[],_xlfn.XMATCH($A376,Table2[Steel Member],0),_xlfn.XMATCH(S$2,Table2[#Headers],0)))</f>
        <v>#N/A</v>
      </c>
      <c r="T376" s="4" t="str">
        <f t="shared" si="103"/>
        <v/>
      </c>
      <c r="U376" s="4" t="e">
        <f ca="1">VLOOKUP(N376,'COLOR CODE'!$B:$D,2,FALSE)</f>
        <v>#N/A</v>
      </c>
      <c r="V376" s="4" t="str">
        <f t="shared" si="104"/>
        <v/>
      </c>
      <c r="W376" s="4" t="e" cm="1">
        <f t="array" ref="W376">IF(INDEX(Table2[],_xlfn.XMATCH($A376,Table2[Steel Member],0),_xlfn.XMATCH(W$2,Table2[#Headers],0))=0,"",INDEX(Table2[],_xlfn.XMATCH($A376,Table2[Steel Member],0),_xlfn.XMATCH(W$2,Table2[#Headers],0)))</f>
        <v>#N/A</v>
      </c>
      <c r="X376" s="4" t="e">
        <f t="shared" si="102"/>
        <v>#N/A</v>
      </c>
      <c r="Y376" s="4" t="e" cm="1">
        <f t="array" ref="Y376">IF(INDEX(Table2[],_xlfn.XMATCH($A376,Table2[Steel Member],0),_xlfn.XMATCH(Y$2,Table2[#Headers],0))=0,"",INDEX(Table2[],_xlfn.XMATCH($A376,Table2[Steel Member],0),_xlfn.XMATCH(Y$2,Table2[#Headers],0)))</f>
        <v>#N/A</v>
      </c>
      <c r="Z376" s="4" t="e" cm="1">
        <f t="array" ref="Z376">IF(INDEX(Table2[],_xlfn.XMATCH($A376,Table2[Steel Member],0),_xlfn.XMATCH(Z$2,Table2[#Headers],0))=0,"",INDEX(Table2[],_xlfn.XMATCH($A376,Table2[Steel Member],0),_xlfn.XMATCH(Z$2,Table2[#Headers],0)))</f>
        <v>#N/A</v>
      </c>
      <c r="AA376" s="4" t="e" cm="1">
        <f t="array" ref="AA376">IF(INDEX(Table2[],_xlfn.XMATCH($A376,Table2[Steel Member],0),_xlfn.XMATCH(AA$2,Table2[#Headers],0))=0,"",INDEX(Table2[],_xlfn.XMATCH($A376,Table2[Steel Member],0),_xlfn.XMATCH(AA$2,Table2[#Headers],0)))</f>
        <v>#N/A</v>
      </c>
      <c r="AB376" s="4" t="e" cm="1">
        <f t="array" ref="AB376">IF(INDEX(Table2[],_xlfn.XMATCH($A376,Table2[Steel Member],0),_xlfn.XMATCH(AB$2,Table2[#Headers],0))=0,"",INDEX(Table2[],_xlfn.XMATCH($A376,Table2[Steel Member],0),_xlfn.XMATCH(AB$2,Table2[#Headers],0)))</f>
        <v>#N/A</v>
      </c>
      <c r="AC376" s="4" t="str" cm="1">
        <f t="array" ref="AC376">IFERROR(INDEX(Table8[],_xlfn.XMATCH($O376,Table8[Dimension Name Category],0),_xlfn.XMATCH(AC$2&amp;IF($L376," w/ tag"," w/o tag"),Table8[#Headers],0)),"")</f>
        <v/>
      </c>
      <c r="AD376" s="59" t="str">
        <f t="shared" si="105"/>
        <v/>
      </c>
      <c r="AE376" s="4" t="str">
        <f t="shared" si="106"/>
        <v/>
      </c>
      <c r="AF376" s="4" t="str">
        <f t="shared" si="107"/>
        <v/>
      </c>
      <c r="AG376" s="4" t="str" cm="1">
        <f t="array" ref="AG376">IFERROR(INDEX(Table8[],_xlfn.XMATCH($O376,Table8[Dimension Name Category],0),_xlfn.XMATCH(AG$2&amp;IF($L376," w/ tag"," w/o tag"),Table8[#Headers],0)),"")</f>
        <v/>
      </c>
      <c r="AH376" s="59" t="str">
        <f t="shared" si="108"/>
        <v/>
      </c>
      <c r="AI376" s="4"/>
      <c r="AJ376" s="4" t="str">
        <f t="shared" si="109"/>
        <v/>
      </c>
      <c r="AK376" s="4" t="str">
        <f t="shared" si="110"/>
        <v/>
      </c>
      <c r="AL376" s="4" t="e" cm="1">
        <f t="array" ref="AL376">IF(INDEX(Table2[],_xlfn.XMATCH($A376,Table2[Steel Member],0),_xlfn.XMATCH(AL$2,Table2[#Headers],0))=0,"",INDEX(Table2[],_xlfn.XMATCH($A376,Table2[Steel Member],0),_xlfn.XMATCH(AL$2,Table2[#Headers],0)))</f>
        <v>#N/A</v>
      </c>
      <c r="AM376" s="4"/>
      <c r="AN376" s="4" t="str">
        <f t="shared" si="111"/>
        <v/>
      </c>
      <c r="AO376" s="4"/>
      <c r="AP376" s="4" t="e" cm="1">
        <f t="array" ref="AP376">IF(INDEX(Table2[],_xlfn.XMATCH($A376,Table2[Steel Member],0),_xlfn.XMATCH(AP$2,Table2[#Headers],0))=0,"",INDEX(Table2[],_xlfn.XMATCH($A376,Table2[Steel Member],0),_xlfn.XMATCH(AP$2,Table2[#Headers],0)))</f>
        <v>#N/A</v>
      </c>
      <c r="AQ376" s="4"/>
      <c r="AR376" s="4"/>
      <c r="AS376" s="4"/>
      <c r="AT376" s="4"/>
    </row>
    <row r="377" spans="1:46" x14ac:dyDescent="0.25">
      <c r="A377" s="52"/>
      <c r="B377" s="52"/>
      <c r="C377" s="52"/>
      <c r="D377" s="52"/>
      <c r="E377" s="52"/>
      <c r="F377" s="64" cm="1">
        <f t="array" ref="F377">IF(COUNT(FIND(PurlinsxGirthsxBracings,$C377))&gt;0,0,ROUNDUP(IF(D377=0,0,VLOOKUP(D377,'DATA SHEET'!$B:$D,2,FALSE)),2))</f>
        <v>0</v>
      </c>
      <c r="G377" s="64" cm="1">
        <f t="array" ref="G377">IF(COUNT(FIND(PurlinsxGirthsxBracings,$C377))&gt;0,0,ROUNDUP(IF(D377=0,0,VLOOKUP(D377,'DATA SHEET'!$B:$D,3,FALSE)),2))</f>
        <v>0</v>
      </c>
      <c r="H377" s="53"/>
      <c r="I377" s="66" cm="1">
        <f t="array" ref="I377">IF(AND(ISBLANK(B377),ISBLANK(C377),ISBLANK(E377)),0,IF(COUNT(FIND(PurlinsxGirthsxBracings,$C377))&gt;0,IF(B377=0,CONCATENATE(E377," ",C377),CONCATENATE(B377," - ",E377," ",C377)),IF(B377=0,IF(ISBLANK(C377),E377,CONCATENATE(D377,", ",F377,"kg/m, ",G377,"mm surface perimeter")),IF(AND(ISBLANK(C377),ISTEXT(E377)),CONCATENATE(B377," - ",E377),IF(AND(ISBLANK(C377),ISBLANK(E377)),B377,CONCATENATE(B377," - ",D377,", ",F377,"kg/m, ",G377,"mm surface perimeter"))))&amp;IF(ISBLANK(H377),"",H377)))</f>
        <v>0</v>
      </c>
      <c r="J377" s="53"/>
      <c r="L377" s="4" t="str" cm="1">
        <f t="array" ref="L377">IF(COUNT(FIND({0,1,2,3,4,5,6,7,8,9},B377))&gt;0,COUNT(FIND({0,1,2,3,4,5,6,7,8,9},B377))&gt;0,"")</f>
        <v/>
      </c>
      <c r="M377" s="4" t="str" cm="1">
        <f t="array" aca="1" ref="M377" ca="1">IFERROR(_xlfn.IFS(R377="Count",RANDBETWEEN(1,COUNTIF($R$11:$R$653,"Count")),R377="Length",RANDBETWEEN(1,COUNTIF($R$11:$R$653,"Length"))),"")</f>
        <v/>
      </c>
      <c r="N377" s="4" t="str">
        <f ca="1">IFERROR(_xlfn.RANK.EQ(M377,$M$11:$M$653)+COUNTIF($M$11:M377,M377)-1,"")</f>
        <v/>
      </c>
      <c r="O377" s="86" t="str">
        <f>IF(A377='DATA SHEET'!$L$36,C377,IFERROR(IF(AND(ISTEXT(I377),ISBLANK(C377)),"No details",VLOOKUP(C377,DimFolder,2,FALSE)),""))</f>
        <v/>
      </c>
      <c r="P377" s="4" t="str">
        <f t="shared" si="101"/>
        <v/>
      </c>
      <c r="Q377" s="58" t="str">
        <f t="shared" si="112"/>
        <v/>
      </c>
      <c r="R377" s="4" t="e" cm="1">
        <f t="array" ref="R377">IF(INDEX(Table2[],_xlfn.XMATCH($A377,Table2[Steel Member],0),_xlfn.XMATCH(R$2,Table2[#Headers],0))=0,"",INDEX(Table2[],_xlfn.XMATCH($A377,Table2[Steel Member],0),_xlfn.XMATCH(R$2,Table2[#Headers],0)))</f>
        <v>#N/A</v>
      </c>
      <c r="S377" s="4" t="e" cm="1">
        <f t="array" ref="S377">IF(INDEX(Table2[],_xlfn.XMATCH($A377,Table2[Steel Member],0),_xlfn.XMATCH(S$2,Table2[#Headers],0))=0,"",INDEX(Table2[],_xlfn.XMATCH($A377,Table2[Steel Member],0),_xlfn.XMATCH(S$2,Table2[#Headers],0)))</f>
        <v>#N/A</v>
      </c>
      <c r="T377" s="4" t="str">
        <f t="shared" si="103"/>
        <v/>
      </c>
      <c r="U377" s="4" t="e">
        <f ca="1">VLOOKUP(N377,'COLOR CODE'!$B:$D,2,FALSE)</f>
        <v>#N/A</v>
      </c>
      <c r="V377" s="4" t="str">
        <f t="shared" si="104"/>
        <v/>
      </c>
      <c r="W377" s="4" t="e" cm="1">
        <f t="array" ref="W377">IF(INDEX(Table2[],_xlfn.XMATCH($A377,Table2[Steel Member],0),_xlfn.XMATCH(W$2,Table2[#Headers],0))=0,"",INDEX(Table2[],_xlfn.XMATCH($A377,Table2[Steel Member],0),_xlfn.XMATCH(W$2,Table2[#Headers],0)))</f>
        <v>#N/A</v>
      </c>
      <c r="X377" s="4" t="e">
        <f t="shared" si="102"/>
        <v>#N/A</v>
      </c>
      <c r="Y377" s="4" t="e" cm="1">
        <f t="array" ref="Y377">IF(INDEX(Table2[],_xlfn.XMATCH($A377,Table2[Steel Member],0),_xlfn.XMATCH(Y$2,Table2[#Headers],0))=0,"",INDEX(Table2[],_xlfn.XMATCH($A377,Table2[Steel Member],0),_xlfn.XMATCH(Y$2,Table2[#Headers],0)))</f>
        <v>#N/A</v>
      </c>
      <c r="Z377" s="4" t="e" cm="1">
        <f t="array" ref="Z377">IF(INDEX(Table2[],_xlfn.XMATCH($A377,Table2[Steel Member],0),_xlfn.XMATCH(Z$2,Table2[#Headers],0))=0,"",INDEX(Table2[],_xlfn.XMATCH($A377,Table2[Steel Member],0),_xlfn.XMATCH(Z$2,Table2[#Headers],0)))</f>
        <v>#N/A</v>
      </c>
      <c r="AA377" s="4" t="e" cm="1">
        <f t="array" ref="AA377">IF(INDEX(Table2[],_xlfn.XMATCH($A377,Table2[Steel Member],0),_xlfn.XMATCH(AA$2,Table2[#Headers],0))=0,"",INDEX(Table2[],_xlfn.XMATCH($A377,Table2[Steel Member],0),_xlfn.XMATCH(AA$2,Table2[#Headers],0)))</f>
        <v>#N/A</v>
      </c>
      <c r="AB377" s="4" t="e" cm="1">
        <f t="array" ref="AB377">IF(INDEX(Table2[],_xlfn.XMATCH($A377,Table2[Steel Member],0),_xlfn.XMATCH(AB$2,Table2[#Headers],0))=0,"",INDEX(Table2[],_xlfn.XMATCH($A377,Table2[Steel Member],0),_xlfn.XMATCH(AB$2,Table2[#Headers],0)))</f>
        <v>#N/A</v>
      </c>
      <c r="AC377" s="4" t="str" cm="1">
        <f t="array" ref="AC377">IFERROR(INDEX(Table8[],_xlfn.XMATCH($O377,Table8[Dimension Name Category],0),_xlfn.XMATCH(AC$2&amp;IF($L377," w/ tag"," w/o tag"),Table8[#Headers],0)),"")</f>
        <v/>
      </c>
      <c r="AD377" s="59" t="str">
        <f t="shared" si="105"/>
        <v/>
      </c>
      <c r="AE377" s="4" t="str">
        <f t="shared" si="106"/>
        <v/>
      </c>
      <c r="AF377" s="4" t="str">
        <f t="shared" si="107"/>
        <v/>
      </c>
      <c r="AG377" s="4" t="str" cm="1">
        <f t="array" ref="AG377">IFERROR(INDEX(Table8[],_xlfn.XMATCH($O377,Table8[Dimension Name Category],0),_xlfn.XMATCH(AG$2&amp;IF($L377," w/ tag"," w/o tag"),Table8[#Headers],0)),"")</f>
        <v/>
      </c>
      <c r="AH377" s="59" t="str">
        <f t="shared" si="108"/>
        <v/>
      </c>
      <c r="AI377" s="4"/>
      <c r="AJ377" s="4" t="str">
        <f t="shared" si="109"/>
        <v/>
      </c>
      <c r="AK377" s="4" t="str">
        <f t="shared" si="110"/>
        <v/>
      </c>
      <c r="AL377" s="4" t="e" cm="1">
        <f t="array" ref="AL377">IF(INDEX(Table2[],_xlfn.XMATCH($A377,Table2[Steel Member],0),_xlfn.XMATCH(AL$2,Table2[#Headers],0))=0,"",INDEX(Table2[],_xlfn.XMATCH($A377,Table2[Steel Member],0),_xlfn.XMATCH(AL$2,Table2[#Headers],0)))</f>
        <v>#N/A</v>
      </c>
      <c r="AM377" s="4"/>
      <c r="AN377" s="4" t="str">
        <f t="shared" si="111"/>
        <v/>
      </c>
      <c r="AO377" s="4"/>
      <c r="AP377" s="4" t="e" cm="1">
        <f t="array" ref="AP377">IF(INDEX(Table2[],_xlfn.XMATCH($A377,Table2[Steel Member],0),_xlfn.XMATCH(AP$2,Table2[#Headers],0))=0,"",INDEX(Table2[],_xlfn.XMATCH($A377,Table2[Steel Member],0),_xlfn.XMATCH(AP$2,Table2[#Headers],0)))</f>
        <v>#N/A</v>
      </c>
      <c r="AQ377" s="4"/>
      <c r="AR377" s="4"/>
      <c r="AS377" s="4"/>
      <c r="AT377" s="4"/>
    </row>
    <row r="378" spans="1:46" x14ac:dyDescent="0.25">
      <c r="A378" s="52"/>
      <c r="B378" s="52"/>
      <c r="C378" s="52"/>
      <c r="D378" s="52"/>
      <c r="E378" s="52"/>
      <c r="F378" s="64" cm="1">
        <f t="array" ref="F378">IF(COUNT(FIND(PurlinsxGirthsxBracings,$C378))&gt;0,0,ROUNDUP(IF(D378=0,0,VLOOKUP(D378,'DATA SHEET'!$B:$D,2,FALSE)),2))</f>
        <v>0</v>
      </c>
      <c r="G378" s="64" cm="1">
        <f t="array" ref="G378">IF(COUNT(FIND(PurlinsxGirthsxBracings,$C378))&gt;0,0,ROUNDUP(IF(D378=0,0,VLOOKUP(D378,'DATA SHEET'!$B:$D,3,FALSE)),2))</f>
        <v>0</v>
      </c>
      <c r="H378" s="53"/>
      <c r="I378" s="66" cm="1">
        <f t="array" ref="I378">IF(AND(ISBLANK(B378),ISBLANK(C378),ISBLANK(E378)),0,IF(COUNT(FIND(PurlinsxGirthsxBracings,$C378))&gt;0,IF(B378=0,CONCATENATE(E378," ",C378),CONCATENATE(B378," - ",E378," ",C378)),IF(B378=0,IF(ISBLANK(C378),E378,CONCATENATE(D378,", ",F378,"kg/m, ",G378,"mm surface perimeter")),IF(AND(ISBLANK(C378),ISTEXT(E378)),CONCATENATE(B378," - ",E378),IF(AND(ISBLANK(C378),ISBLANK(E378)),B378,CONCATENATE(B378," - ",D378,", ",F378,"kg/m, ",G378,"mm surface perimeter"))))&amp;IF(ISBLANK(H378),"",H378)))</f>
        <v>0</v>
      </c>
      <c r="J378" s="53"/>
      <c r="L378" s="4" t="str" cm="1">
        <f t="array" ref="L378">IF(COUNT(FIND({0,1,2,3,4,5,6,7,8,9},B378))&gt;0,COUNT(FIND({0,1,2,3,4,5,6,7,8,9},B378))&gt;0,"")</f>
        <v/>
      </c>
      <c r="M378" s="4" t="str" cm="1">
        <f t="array" aca="1" ref="M378" ca="1">IFERROR(_xlfn.IFS(R378="Count",RANDBETWEEN(1,COUNTIF($R$11:$R$653,"Count")),R378="Length",RANDBETWEEN(1,COUNTIF($R$11:$R$653,"Length"))),"")</f>
        <v/>
      </c>
      <c r="N378" s="4" t="str">
        <f ca="1">IFERROR(_xlfn.RANK.EQ(M378,$M$11:$M$653)+COUNTIF($M$11:M378,M378)-1,"")</f>
        <v/>
      </c>
      <c r="O378" s="86" t="str">
        <f>IF(A378='DATA SHEET'!$L$36,C378,IFERROR(IF(AND(ISTEXT(I378),ISBLANK(C378)),"No details",VLOOKUP(C378,DimFolder,2,FALSE)),""))</f>
        <v/>
      </c>
      <c r="P378" s="4" t="str">
        <f t="shared" si="101"/>
        <v/>
      </c>
      <c r="Q378" s="58" t="str">
        <f t="shared" si="112"/>
        <v/>
      </c>
      <c r="R378" s="4" t="e" cm="1">
        <f t="array" ref="R378">IF(INDEX(Table2[],_xlfn.XMATCH($A378,Table2[Steel Member],0),_xlfn.XMATCH(R$2,Table2[#Headers],0))=0,"",INDEX(Table2[],_xlfn.XMATCH($A378,Table2[Steel Member],0),_xlfn.XMATCH(R$2,Table2[#Headers],0)))</f>
        <v>#N/A</v>
      </c>
      <c r="S378" s="4" t="e" cm="1">
        <f t="array" ref="S378">IF(INDEX(Table2[],_xlfn.XMATCH($A378,Table2[Steel Member],0),_xlfn.XMATCH(S$2,Table2[#Headers],0))=0,"",INDEX(Table2[],_xlfn.XMATCH($A378,Table2[Steel Member],0),_xlfn.XMATCH(S$2,Table2[#Headers],0)))</f>
        <v>#N/A</v>
      </c>
      <c r="T378" s="4" t="str">
        <f t="shared" si="103"/>
        <v/>
      </c>
      <c r="U378" s="4" t="e">
        <f ca="1">VLOOKUP(N378,'COLOR CODE'!$B:$D,2,FALSE)</f>
        <v>#N/A</v>
      </c>
      <c r="V378" s="4" t="str">
        <f t="shared" si="104"/>
        <v/>
      </c>
      <c r="W378" s="4" t="e" cm="1">
        <f t="array" ref="W378">IF(INDEX(Table2[],_xlfn.XMATCH($A378,Table2[Steel Member],0),_xlfn.XMATCH(W$2,Table2[#Headers],0))=0,"",INDEX(Table2[],_xlfn.XMATCH($A378,Table2[Steel Member],0),_xlfn.XMATCH(W$2,Table2[#Headers],0)))</f>
        <v>#N/A</v>
      </c>
      <c r="X378" s="4" t="e">
        <f t="shared" si="102"/>
        <v>#N/A</v>
      </c>
      <c r="Y378" s="4" t="e" cm="1">
        <f t="array" ref="Y378">IF(INDEX(Table2[],_xlfn.XMATCH($A378,Table2[Steel Member],0),_xlfn.XMATCH(Y$2,Table2[#Headers],0))=0,"",INDEX(Table2[],_xlfn.XMATCH($A378,Table2[Steel Member],0),_xlfn.XMATCH(Y$2,Table2[#Headers],0)))</f>
        <v>#N/A</v>
      </c>
      <c r="Z378" s="4" t="e" cm="1">
        <f t="array" ref="Z378">IF(INDEX(Table2[],_xlfn.XMATCH($A378,Table2[Steel Member],0),_xlfn.XMATCH(Z$2,Table2[#Headers],0))=0,"",INDEX(Table2[],_xlfn.XMATCH($A378,Table2[Steel Member],0),_xlfn.XMATCH(Z$2,Table2[#Headers],0)))</f>
        <v>#N/A</v>
      </c>
      <c r="AA378" s="4" t="e" cm="1">
        <f t="array" ref="AA378">IF(INDEX(Table2[],_xlfn.XMATCH($A378,Table2[Steel Member],0),_xlfn.XMATCH(AA$2,Table2[#Headers],0))=0,"",INDEX(Table2[],_xlfn.XMATCH($A378,Table2[Steel Member],0),_xlfn.XMATCH(AA$2,Table2[#Headers],0)))</f>
        <v>#N/A</v>
      </c>
      <c r="AB378" s="4" t="e" cm="1">
        <f t="array" ref="AB378">IF(INDEX(Table2[],_xlfn.XMATCH($A378,Table2[Steel Member],0),_xlfn.XMATCH(AB$2,Table2[#Headers],0))=0,"",INDEX(Table2[],_xlfn.XMATCH($A378,Table2[Steel Member],0),_xlfn.XMATCH(AB$2,Table2[#Headers],0)))</f>
        <v>#N/A</v>
      </c>
      <c r="AC378" s="4" t="str" cm="1">
        <f t="array" ref="AC378">IFERROR(INDEX(Table8[],_xlfn.XMATCH($O378,Table8[Dimension Name Category],0),_xlfn.XMATCH(AC$2&amp;IF($L378," w/ tag"," w/o tag"),Table8[#Headers],0)),"")</f>
        <v/>
      </c>
      <c r="AD378" s="59" t="str">
        <f t="shared" si="105"/>
        <v/>
      </c>
      <c r="AE378" s="4" t="str">
        <f t="shared" si="106"/>
        <v/>
      </c>
      <c r="AF378" s="4" t="str">
        <f t="shared" si="107"/>
        <v/>
      </c>
      <c r="AG378" s="4" t="str" cm="1">
        <f t="array" ref="AG378">IFERROR(INDEX(Table8[],_xlfn.XMATCH($O378,Table8[Dimension Name Category],0),_xlfn.XMATCH(AG$2&amp;IF($L378," w/ tag"," w/o tag"),Table8[#Headers],0)),"")</f>
        <v/>
      </c>
      <c r="AH378" s="59" t="str">
        <f t="shared" si="108"/>
        <v/>
      </c>
      <c r="AI378" s="4"/>
      <c r="AJ378" s="4" t="str">
        <f t="shared" si="109"/>
        <v/>
      </c>
      <c r="AK378" s="4" t="str">
        <f t="shared" si="110"/>
        <v/>
      </c>
      <c r="AL378" s="4" t="e" cm="1">
        <f t="array" ref="AL378">IF(INDEX(Table2[],_xlfn.XMATCH($A378,Table2[Steel Member],0),_xlfn.XMATCH(AL$2,Table2[#Headers],0))=0,"",INDEX(Table2[],_xlfn.XMATCH($A378,Table2[Steel Member],0),_xlfn.XMATCH(AL$2,Table2[#Headers],0)))</f>
        <v>#N/A</v>
      </c>
      <c r="AM378" s="4"/>
      <c r="AN378" s="4" t="str">
        <f t="shared" si="111"/>
        <v/>
      </c>
      <c r="AO378" s="4"/>
      <c r="AP378" s="4" t="e" cm="1">
        <f t="array" ref="AP378">IF(INDEX(Table2[],_xlfn.XMATCH($A378,Table2[Steel Member],0),_xlfn.XMATCH(AP$2,Table2[#Headers],0))=0,"",INDEX(Table2[],_xlfn.XMATCH($A378,Table2[Steel Member],0),_xlfn.XMATCH(AP$2,Table2[#Headers],0)))</f>
        <v>#N/A</v>
      </c>
      <c r="AQ378" s="4"/>
      <c r="AR378" s="4"/>
      <c r="AS378" s="4"/>
      <c r="AT378" s="4"/>
    </row>
    <row r="379" spans="1:46" x14ac:dyDescent="0.25">
      <c r="A379" s="52"/>
      <c r="B379" s="52"/>
      <c r="C379" s="52"/>
      <c r="D379" s="52"/>
      <c r="E379" s="52"/>
      <c r="F379" s="64" cm="1">
        <f t="array" ref="F379">IF(COUNT(FIND(PurlinsxGirthsxBracings,$C379))&gt;0,0,ROUNDUP(IF(D379=0,0,VLOOKUP(D379,'DATA SHEET'!$B:$D,2,FALSE)),2))</f>
        <v>0</v>
      </c>
      <c r="G379" s="64" cm="1">
        <f t="array" ref="G379">IF(COUNT(FIND(PurlinsxGirthsxBracings,$C379))&gt;0,0,ROUNDUP(IF(D379=0,0,VLOOKUP(D379,'DATA SHEET'!$B:$D,3,FALSE)),2))</f>
        <v>0</v>
      </c>
      <c r="H379" s="53"/>
      <c r="I379" s="66" cm="1">
        <f t="array" ref="I379">IF(AND(ISBLANK(B379),ISBLANK(C379),ISBLANK(E379)),0,IF(COUNT(FIND(PurlinsxGirthsxBracings,$C379))&gt;0,IF(B379=0,CONCATENATE(E379," ",C379),CONCATENATE(B379," - ",E379," ",C379)),IF(B379=0,IF(ISBLANK(C379),E379,CONCATENATE(D379,", ",F379,"kg/m, ",G379,"mm surface perimeter")),IF(AND(ISBLANK(C379),ISTEXT(E379)),CONCATENATE(B379," - ",E379),IF(AND(ISBLANK(C379),ISBLANK(E379)),B379,CONCATENATE(B379," - ",D379,", ",F379,"kg/m, ",G379,"mm surface perimeter"))))&amp;IF(ISBLANK(H379),"",H379)))</f>
        <v>0</v>
      </c>
      <c r="J379" s="53"/>
      <c r="L379" s="4" t="str" cm="1">
        <f t="array" ref="L379">IF(COUNT(FIND({0,1,2,3,4,5,6,7,8,9},B379))&gt;0,COUNT(FIND({0,1,2,3,4,5,6,7,8,9},B379))&gt;0,"")</f>
        <v/>
      </c>
      <c r="M379" s="4" t="str" cm="1">
        <f t="array" aca="1" ref="M379" ca="1">IFERROR(_xlfn.IFS(R379="Count",RANDBETWEEN(1,COUNTIF($R$11:$R$653,"Count")),R379="Length",RANDBETWEEN(1,COUNTIF($R$11:$R$653,"Length"))),"")</f>
        <v/>
      </c>
      <c r="N379" s="4" t="str">
        <f ca="1">IFERROR(_xlfn.RANK.EQ(M379,$M$11:$M$653)+COUNTIF($M$11:M379,M379)-1,"")</f>
        <v/>
      </c>
      <c r="O379" s="86" t="str">
        <f>IF(A379='DATA SHEET'!$L$36,C379,IFERROR(IF(AND(ISTEXT(I379),ISBLANK(C379)),"No details",VLOOKUP(C379,DimFolder,2,FALSE)),""))</f>
        <v/>
      </c>
      <c r="P379" s="4" t="str">
        <f t="shared" si="101"/>
        <v/>
      </c>
      <c r="Q379" s="58" t="str">
        <f t="shared" si="112"/>
        <v/>
      </c>
      <c r="R379" s="4" t="e" cm="1">
        <f t="array" ref="R379">IF(INDEX(Table2[],_xlfn.XMATCH($A379,Table2[Steel Member],0),_xlfn.XMATCH(R$2,Table2[#Headers],0))=0,"",INDEX(Table2[],_xlfn.XMATCH($A379,Table2[Steel Member],0),_xlfn.XMATCH(R$2,Table2[#Headers],0)))</f>
        <v>#N/A</v>
      </c>
      <c r="S379" s="4" t="e" cm="1">
        <f t="array" ref="S379">IF(INDEX(Table2[],_xlfn.XMATCH($A379,Table2[Steel Member],0),_xlfn.XMATCH(S$2,Table2[#Headers],0))=0,"",INDEX(Table2[],_xlfn.XMATCH($A379,Table2[Steel Member],0),_xlfn.XMATCH(S$2,Table2[#Headers],0)))</f>
        <v>#N/A</v>
      </c>
      <c r="T379" s="4" t="str">
        <f t="shared" si="103"/>
        <v/>
      </c>
      <c r="U379" s="4" t="e">
        <f ca="1">VLOOKUP(N379,'COLOR CODE'!$B:$D,2,FALSE)</f>
        <v>#N/A</v>
      </c>
      <c r="V379" s="4" t="str">
        <f t="shared" si="104"/>
        <v/>
      </c>
      <c r="W379" s="4" t="e" cm="1">
        <f t="array" ref="W379">IF(INDEX(Table2[],_xlfn.XMATCH($A379,Table2[Steel Member],0),_xlfn.XMATCH(W$2,Table2[#Headers],0))=0,"",INDEX(Table2[],_xlfn.XMATCH($A379,Table2[Steel Member],0),_xlfn.XMATCH(W$2,Table2[#Headers],0)))</f>
        <v>#N/A</v>
      </c>
      <c r="X379" s="4" t="e">
        <f t="shared" si="102"/>
        <v>#N/A</v>
      </c>
      <c r="Y379" s="4" t="e" cm="1">
        <f t="array" ref="Y379">IF(INDEX(Table2[],_xlfn.XMATCH($A379,Table2[Steel Member],0),_xlfn.XMATCH(Y$2,Table2[#Headers],0))=0,"",INDEX(Table2[],_xlfn.XMATCH($A379,Table2[Steel Member],0),_xlfn.XMATCH(Y$2,Table2[#Headers],0)))</f>
        <v>#N/A</v>
      </c>
      <c r="Z379" s="4" t="e" cm="1">
        <f t="array" ref="Z379">IF(INDEX(Table2[],_xlfn.XMATCH($A379,Table2[Steel Member],0),_xlfn.XMATCH(Z$2,Table2[#Headers],0))=0,"",INDEX(Table2[],_xlfn.XMATCH($A379,Table2[Steel Member],0),_xlfn.XMATCH(Z$2,Table2[#Headers],0)))</f>
        <v>#N/A</v>
      </c>
      <c r="AA379" s="4" t="e" cm="1">
        <f t="array" ref="AA379">IF(INDEX(Table2[],_xlfn.XMATCH($A379,Table2[Steel Member],0),_xlfn.XMATCH(AA$2,Table2[#Headers],0))=0,"",INDEX(Table2[],_xlfn.XMATCH($A379,Table2[Steel Member],0),_xlfn.XMATCH(AA$2,Table2[#Headers],0)))</f>
        <v>#N/A</v>
      </c>
      <c r="AB379" s="4" t="e" cm="1">
        <f t="array" ref="AB379">IF(INDEX(Table2[],_xlfn.XMATCH($A379,Table2[Steel Member],0),_xlfn.XMATCH(AB$2,Table2[#Headers],0))=0,"",INDEX(Table2[],_xlfn.XMATCH($A379,Table2[Steel Member],0),_xlfn.XMATCH(AB$2,Table2[#Headers],0)))</f>
        <v>#N/A</v>
      </c>
      <c r="AC379" s="4" t="str" cm="1">
        <f t="array" ref="AC379">IFERROR(INDEX(Table8[],_xlfn.XMATCH($O379,Table8[Dimension Name Category],0),_xlfn.XMATCH(AC$2&amp;IF($L379," w/ tag"," w/o tag"),Table8[#Headers],0)),"")</f>
        <v/>
      </c>
      <c r="AD379" s="59" t="str">
        <f t="shared" si="105"/>
        <v/>
      </c>
      <c r="AE379" s="4" t="str">
        <f t="shared" si="106"/>
        <v/>
      </c>
      <c r="AF379" s="4" t="str">
        <f t="shared" si="107"/>
        <v/>
      </c>
      <c r="AG379" s="4" t="str" cm="1">
        <f t="array" ref="AG379">IFERROR(INDEX(Table8[],_xlfn.XMATCH($O379,Table8[Dimension Name Category],0),_xlfn.XMATCH(AG$2&amp;IF($L379," w/ tag"," w/o tag"),Table8[#Headers],0)),"")</f>
        <v/>
      </c>
      <c r="AH379" s="59" t="str">
        <f t="shared" si="108"/>
        <v/>
      </c>
      <c r="AI379" s="4"/>
      <c r="AJ379" s="4" t="str">
        <f t="shared" si="109"/>
        <v/>
      </c>
      <c r="AK379" s="4" t="str">
        <f t="shared" si="110"/>
        <v/>
      </c>
      <c r="AL379" s="4" t="e" cm="1">
        <f t="array" ref="AL379">IF(INDEX(Table2[],_xlfn.XMATCH($A379,Table2[Steel Member],0),_xlfn.XMATCH(AL$2,Table2[#Headers],0))=0,"",INDEX(Table2[],_xlfn.XMATCH($A379,Table2[Steel Member],0),_xlfn.XMATCH(AL$2,Table2[#Headers],0)))</f>
        <v>#N/A</v>
      </c>
      <c r="AM379" s="4"/>
      <c r="AN379" s="4" t="str">
        <f t="shared" si="111"/>
        <v/>
      </c>
      <c r="AO379" s="4"/>
      <c r="AP379" s="4" t="e" cm="1">
        <f t="array" ref="AP379">IF(INDEX(Table2[],_xlfn.XMATCH($A379,Table2[Steel Member],0),_xlfn.XMATCH(AP$2,Table2[#Headers],0))=0,"",INDEX(Table2[],_xlfn.XMATCH($A379,Table2[Steel Member],0),_xlfn.XMATCH(AP$2,Table2[#Headers],0)))</f>
        <v>#N/A</v>
      </c>
      <c r="AQ379" s="4"/>
      <c r="AR379" s="4"/>
      <c r="AS379" s="4"/>
      <c r="AT379" s="4"/>
    </row>
    <row r="380" spans="1:46" x14ac:dyDescent="0.25">
      <c r="A380" s="52"/>
      <c r="B380" s="52"/>
      <c r="C380" s="52"/>
      <c r="D380" s="52"/>
      <c r="E380" s="52"/>
      <c r="F380" s="64" cm="1">
        <f t="array" ref="F380">IF(COUNT(FIND(PurlinsxGirthsxBracings,$C380))&gt;0,0,ROUNDUP(IF(D380=0,0,VLOOKUP(D380,'DATA SHEET'!$B:$D,2,FALSE)),2))</f>
        <v>0</v>
      </c>
      <c r="G380" s="64" cm="1">
        <f t="array" ref="G380">IF(COUNT(FIND(PurlinsxGirthsxBracings,$C380))&gt;0,0,ROUNDUP(IF(D380=0,0,VLOOKUP(D380,'DATA SHEET'!$B:$D,3,FALSE)),2))</f>
        <v>0</v>
      </c>
      <c r="H380" s="53"/>
      <c r="I380" s="66" cm="1">
        <f t="array" ref="I380">IF(AND(ISBLANK(B380),ISBLANK(C380),ISBLANK(E380)),0,IF(COUNT(FIND(PurlinsxGirthsxBracings,$C380))&gt;0,IF(B380=0,CONCATENATE(E380," ",C380),CONCATENATE(B380," - ",E380," ",C380)),IF(B380=0,IF(ISBLANK(C380),E380,CONCATENATE(D380,", ",F380,"kg/m, ",G380,"mm surface perimeter")),IF(AND(ISBLANK(C380),ISTEXT(E380)),CONCATENATE(B380," - ",E380),IF(AND(ISBLANK(C380),ISBLANK(E380)),B380,CONCATENATE(B380," - ",D380,", ",F380,"kg/m, ",G380,"mm surface perimeter"))))&amp;IF(ISBLANK(H380),"",H380)))</f>
        <v>0</v>
      </c>
      <c r="J380" s="53"/>
      <c r="L380" s="4" t="str" cm="1">
        <f t="array" ref="L380">IF(COUNT(FIND({0,1,2,3,4,5,6,7,8,9},B380))&gt;0,COUNT(FIND({0,1,2,3,4,5,6,7,8,9},B380))&gt;0,"")</f>
        <v/>
      </c>
      <c r="M380" s="4" t="str" cm="1">
        <f t="array" aca="1" ref="M380" ca="1">IFERROR(_xlfn.IFS(R380="Count",RANDBETWEEN(1,COUNTIF($R$11:$R$653,"Count")),R380="Length",RANDBETWEEN(1,COUNTIF($R$11:$R$653,"Length"))),"")</f>
        <v/>
      </c>
      <c r="N380" s="4" t="str">
        <f ca="1">IFERROR(_xlfn.RANK.EQ(M380,$M$11:$M$653)+COUNTIF($M$11:M380,M380)-1,"")</f>
        <v/>
      </c>
      <c r="O380" s="86" t="str">
        <f>IF(A380='DATA SHEET'!$L$36,C380,IFERROR(IF(AND(ISTEXT(I380),ISBLANK(C380)),"No details",VLOOKUP(C380,DimFolder,2,FALSE)),""))</f>
        <v/>
      </c>
      <c r="P380" s="4" t="str">
        <f t="shared" si="101"/>
        <v/>
      </c>
      <c r="Q380" s="58" t="str">
        <f t="shared" si="112"/>
        <v/>
      </c>
      <c r="R380" s="4" t="e" cm="1">
        <f t="array" ref="R380">IF(INDEX(Table2[],_xlfn.XMATCH($A380,Table2[Steel Member],0),_xlfn.XMATCH(R$2,Table2[#Headers],0))=0,"",INDEX(Table2[],_xlfn.XMATCH($A380,Table2[Steel Member],0),_xlfn.XMATCH(R$2,Table2[#Headers],0)))</f>
        <v>#N/A</v>
      </c>
      <c r="S380" s="4" t="e" cm="1">
        <f t="array" ref="S380">IF(INDEX(Table2[],_xlfn.XMATCH($A380,Table2[Steel Member],0),_xlfn.XMATCH(S$2,Table2[#Headers],0))=0,"",INDEX(Table2[],_xlfn.XMATCH($A380,Table2[Steel Member],0),_xlfn.XMATCH(S$2,Table2[#Headers],0)))</f>
        <v>#N/A</v>
      </c>
      <c r="T380" s="4" t="str">
        <f t="shared" si="103"/>
        <v/>
      </c>
      <c r="U380" s="4" t="e">
        <f ca="1">VLOOKUP(N380,'COLOR CODE'!$B:$D,2,FALSE)</f>
        <v>#N/A</v>
      </c>
      <c r="V380" s="4" t="str">
        <f t="shared" si="104"/>
        <v/>
      </c>
      <c r="W380" s="4" t="e" cm="1">
        <f t="array" ref="W380">IF(INDEX(Table2[],_xlfn.XMATCH($A380,Table2[Steel Member],0),_xlfn.XMATCH(W$2,Table2[#Headers],0))=0,"",INDEX(Table2[],_xlfn.XMATCH($A380,Table2[Steel Member],0),_xlfn.XMATCH(W$2,Table2[#Headers],0)))</f>
        <v>#N/A</v>
      </c>
      <c r="X380" s="4" t="e">
        <f t="shared" si="102"/>
        <v>#N/A</v>
      </c>
      <c r="Y380" s="4" t="e" cm="1">
        <f t="array" ref="Y380">IF(INDEX(Table2[],_xlfn.XMATCH($A380,Table2[Steel Member],0),_xlfn.XMATCH(Y$2,Table2[#Headers],0))=0,"",INDEX(Table2[],_xlfn.XMATCH($A380,Table2[Steel Member],0),_xlfn.XMATCH(Y$2,Table2[#Headers],0)))</f>
        <v>#N/A</v>
      </c>
      <c r="Z380" s="4" t="e" cm="1">
        <f t="array" ref="Z380">IF(INDEX(Table2[],_xlfn.XMATCH($A380,Table2[Steel Member],0),_xlfn.XMATCH(Z$2,Table2[#Headers],0))=0,"",INDEX(Table2[],_xlfn.XMATCH($A380,Table2[Steel Member],0),_xlfn.XMATCH(Z$2,Table2[#Headers],0)))</f>
        <v>#N/A</v>
      </c>
      <c r="AA380" s="4" t="e" cm="1">
        <f t="array" ref="AA380">IF(INDEX(Table2[],_xlfn.XMATCH($A380,Table2[Steel Member],0),_xlfn.XMATCH(AA$2,Table2[#Headers],0))=0,"",INDEX(Table2[],_xlfn.XMATCH($A380,Table2[Steel Member],0),_xlfn.XMATCH(AA$2,Table2[#Headers],0)))</f>
        <v>#N/A</v>
      </c>
      <c r="AB380" s="4" t="e" cm="1">
        <f t="array" ref="AB380">IF(INDEX(Table2[],_xlfn.XMATCH($A380,Table2[Steel Member],0),_xlfn.XMATCH(AB$2,Table2[#Headers],0))=0,"",INDEX(Table2[],_xlfn.XMATCH($A380,Table2[Steel Member],0),_xlfn.XMATCH(AB$2,Table2[#Headers],0)))</f>
        <v>#N/A</v>
      </c>
      <c r="AC380" s="4" t="str" cm="1">
        <f t="array" ref="AC380">IFERROR(INDEX(Table8[],_xlfn.XMATCH($O380,Table8[Dimension Name Category],0),_xlfn.XMATCH(AC$2&amp;IF($L380," w/ tag"," w/o tag"),Table8[#Headers],0)),"")</f>
        <v/>
      </c>
      <c r="AD380" s="59" t="str">
        <f t="shared" si="105"/>
        <v/>
      </c>
      <c r="AE380" s="4" t="str">
        <f t="shared" si="106"/>
        <v/>
      </c>
      <c r="AF380" s="4" t="str">
        <f t="shared" si="107"/>
        <v/>
      </c>
      <c r="AG380" s="4" t="str" cm="1">
        <f t="array" ref="AG380">IFERROR(INDEX(Table8[],_xlfn.XMATCH($O380,Table8[Dimension Name Category],0),_xlfn.XMATCH(AG$2&amp;IF($L380," w/ tag"," w/o tag"),Table8[#Headers],0)),"")</f>
        <v/>
      </c>
      <c r="AH380" s="59" t="str">
        <f t="shared" si="108"/>
        <v/>
      </c>
      <c r="AI380" s="4"/>
      <c r="AJ380" s="4" t="str">
        <f t="shared" si="109"/>
        <v/>
      </c>
      <c r="AK380" s="4" t="str">
        <f t="shared" si="110"/>
        <v/>
      </c>
      <c r="AL380" s="4" t="e" cm="1">
        <f t="array" ref="AL380">IF(INDEX(Table2[],_xlfn.XMATCH($A380,Table2[Steel Member],0),_xlfn.XMATCH(AL$2,Table2[#Headers],0))=0,"",INDEX(Table2[],_xlfn.XMATCH($A380,Table2[Steel Member],0),_xlfn.XMATCH(AL$2,Table2[#Headers],0)))</f>
        <v>#N/A</v>
      </c>
      <c r="AM380" s="4"/>
      <c r="AN380" s="4" t="str">
        <f t="shared" si="111"/>
        <v/>
      </c>
      <c r="AO380" s="4"/>
      <c r="AP380" s="4" t="e" cm="1">
        <f t="array" ref="AP380">IF(INDEX(Table2[],_xlfn.XMATCH($A380,Table2[Steel Member],0),_xlfn.XMATCH(AP$2,Table2[#Headers],0))=0,"",INDEX(Table2[],_xlfn.XMATCH($A380,Table2[Steel Member],0),_xlfn.XMATCH(AP$2,Table2[#Headers],0)))</f>
        <v>#N/A</v>
      </c>
      <c r="AQ380" s="4"/>
      <c r="AR380" s="4"/>
      <c r="AS380" s="4"/>
      <c r="AT380" s="4"/>
    </row>
    <row r="381" spans="1:46" x14ac:dyDescent="0.25">
      <c r="A381" s="52"/>
      <c r="B381" s="52"/>
      <c r="C381" s="52"/>
      <c r="D381" s="52"/>
      <c r="E381" s="52"/>
      <c r="F381" s="64" cm="1">
        <f t="array" ref="F381">IF(COUNT(FIND(PurlinsxGirthsxBracings,$C381))&gt;0,0,ROUNDUP(IF(D381=0,0,VLOOKUP(D381,'DATA SHEET'!$B:$D,2,FALSE)),2))</f>
        <v>0</v>
      </c>
      <c r="G381" s="64" cm="1">
        <f t="array" ref="G381">IF(COUNT(FIND(PurlinsxGirthsxBracings,$C381))&gt;0,0,ROUNDUP(IF(D381=0,0,VLOOKUP(D381,'DATA SHEET'!$B:$D,3,FALSE)),2))</f>
        <v>0</v>
      </c>
      <c r="H381" s="53"/>
      <c r="I381" s="66" cm="1">
        <f t="array" ref="I381">IF(AND(ISBLANK(B381),ISBLANK(C381),ISBLANK(E381)),0,IF(COUNT(FIND(PurlinsxGirthsxBracings,$C381))&gt;0,IF(B381=0,CONCATENATE(E381," ",C381),CONCATENATE(B381," - ",E381," ",C381)),IF(B381=0,IF(ISBLANK(C381),E381,CONCATENATE(D381,", ",F381,"kg/m, ",G381,"mm surface perimeter")),IF(AND(ISBLANK(C381),ISTEXT(E381)),CONCATENATE(B381," - ",E381),IF(AND(ISBLANK(C381),ISBLANK(E381)),B381,CONCATENATE(B381," - ",D381,", ",F381,"kg/m, ",G381,"mm surface perimeter"))))&amp;IF(ISBLANK(H381),"",H381)))</f>
        <v>0</v>
      </c>
      <c r="J381" s="53"/>
      <c r="L381" s="4" t="str" cm="1">
        <f t="array" ref="L381">IF(COUNT(FIND({0,1,2,3,4,5,6,7,8,9},B381))&gt;0,COUNT(FIND({0,1,2,3,4,5,6,7,8,9},B381))&gt;0,"")</f>
        <v/>
      </c>
      <c r="M381" s="4" t="str" cm="1">
        <f t="array" aca="1" ref="M381" ca="1">IFERROR(_xlfn.IFS(R381="Count",RANDBETWEEN(1,COUNTIF($R$11:$R$653,"Count")),R381="Length",RANDBETWEEN(1,COUNTIF($R$11:$R$653,"Length"))),"")</f>
        <v/>
      </c>
      <c r="N381" s="4" t="str">
        <f ca="1">IFERROR(_xlfn.RANK.EQ(M381,$M$11:$M$653)+COUNTIF($M$11:M381,M381)-1,"")</f>
        <v/>
      </c>
      <c r="O381" s="86" t="str">
        <f>IF(A381='DATA SHEET'!$L$36,C381,IFERROR(IF(AND(ISTEXT(I381),ISBLANK(C381)),"No details",VLOOKUP(C381,DimFolder,2,FALSE)),""))</f>
        <v/>
      </c>
      <c r="P381" s="4" t="str">
        <f t="shared" si="101"/>
        <v/>
      </c>
      <c r="Q381" s="58" t="str">
        <f t="shared" si="112"/>
        <v/>
      </c>
      <c r="R381" s="4" t="e" cm="1">
        <f t="array" ref="R381">IF(INDEX(Table2[],_xlfn.XMATCH($A381,Table2[Steel Member],0),_xlfn.XMATCH(R$2,Table2[#Headers],0))=0,"",INDEX(Table2[],_xlfn.XMATCH($A381,Table2[Steel Member],0),_xlfn.XMATCH(R$2,Table2[#Headers],0)))</f>
        <v>#N/A</v>
      </c>
      <c r="S381" s="4" t="e" cm="1">
        <f t="array" ref="S381">IF(INDEX(Table2[],_xlfn.XMATCH($A381,Table2[Steel Member],0),_xlfn.XMATCH(S$2,Table2[#Headers],0))=0,"",INDEX(Table2[],_xlfn.XMATCH($A381,Table2[Steel Member],0),_xlfn.XMATCH(S$2,Table2[#Headers],0)))</f>
        <v>#N/A</v>
      </c>
      <c r="T381" s="4" t="str">
        <f t="shared" si="103"/>
        <v/>
      </c>
      <c r="U381" s="4" t="e">
        <f ca="1">VLOOKUP(N381,'COLOR CODE'!$B:$D,2,FALSE)</f>
        <v>#N/A</v>
      </c>
      <c r="V381" s="4" t="str">
        <f t="shared" si="104"/>
        <v/>
      </c>
      <c r="W381" s="4" t="e" cm="1">
        <f t="array" ref="W381">IF(INDEX(Table2[],_xlfn.XMATCH($A381,Table2[Steel Member],0),_xlfn.XMATCH(W$2,Table2[#Headers],0))=0,"",INDEX(Table2[],_xlfn.XMATCH($A381,Table2[Steel Member],0),_xlfn.XMATCH(W$2,Table2[#Headers],0)))</f>
        <v>#N/A</v>
      </c>
      <c r="X381" s="4" t="e">
        <f t="shared" si="102"/>
        <v>#N/A</v>
      </c>
      <c r="Y381" s="4" t="e" cm="1">
        <f t="array" ref="Y381">IF(INDEX(Table2[],_xlfn.XMATCH($A381,Table2[Steel Member],0),_xlfn.XMATCH(Y$2,Table2[#Headers],0))=0,"",INDEX(Table2[],_xlfn.XMATCH($A381,Table2[Steel Member],0),_xlfn.XMATCH(Y$2,Table2[#Headers],0)))</f>
        <v>#N/A</v>
      </c>
      <c r="Z381" s="4" t="e" cm="1">
        <f t="array" ref="Z381">IF(INDEX(Table2[],_xlfn.XMATCH($A381,Table2[Steel Member],0),_xlfn.XMATCH(Z$2,Table2[#Headers],0))=0,"",INDEX(Table2[],_xlfn.XMATCH($A381,Table2[Steel Member],0),_xlfn.XMATCH(Z$2,Table2[#Headers],0)))</f>
        <v>#N/A</v>
      </c>
      <c r="AA381" s="4" t="e" cm="1">
        <f t="array" ref="AA381">IF(INDEX(Table2[],_xlfn.XMATCH($A381,Table2[Steel Member],0),_xlfn.XMATCH(AA$2,Table2[#Headers],0))=0,"",INDEX(Table2[],_xlfn.XMATCH($A381,Table2[Steel Member],0),_xlfn.XMATCH(AA$2,Table2[#Headers],0)))</f>
        <v>#N/A</v>
      </c>
      <c r="AB381" s="4" t="e" cm="1">
        <f t="array" ref="AB381">IF(INDEX(Table2[],_xlfn.XMATCH($A381,Table2[Steel Member],0),_xlfn.XMATCH(AB$2,Table2[#Headers],0))=0,"",INDEX(Table2[],_xlfn.XMATCH($A381,Table2[Steel Member],0),_xlfn.XMATCH(AB$2,Table2[#Headers],0)))</f>
        <v>#N/A</v>
      </c>
      <c r="AC381" s="4" t="str" cm="1">
        <f t="array" ref="AC381">IFERROR(INDEX(Table8[],_xlfn.XMATCH($O381,Table8[Dimension Name Category],0),_xlfn.XMATCH(AC$2&amp;IF($L381," w/ tag"," w/o tag"),Table8[#Headers],0)),"")</f>
        <v/>
      </c>
      <c r="AD381" s="59" t="str">
        <f t="shared" si="105"/>
        <v/>
      </c>
      <c r="AE381" s="4" t="str">
        <f t="shared" si="106"/>
        <v/>
      </c>
      <c r="AF381" s="4" t="str">
        <f t="shared" si="107"/>
        <v/>
      </c>
      <c r="AG381" s="4" t="str" cm="1">
        <f t="array" ref="AG381">IFERROR(INDEX(Table8[],_xlfn.XMATCH($O381,Table8[Dimension Name Category],0),_xlfn.XMATCH(AG$2&amp;IF($L381," w/ tag"," w/o tag"),Table8[#Headers],0)),"")</f>
        <v/>
      </c>
      <c r="AH381" s="59" t="str">
        <f t="shared" si="108"/>
        <v/>
      </c>
      <c r="AI381" s="4"/>
      <c r="AJ381" s="4" t="str">
        <f t="shared" si="109"/>
        <v/>
      </c>
      <c r="AK381" s="4" t="str">
        <f t="shared" si="110"/>
        <v/>
      </c>
      <c r="AL381" s="4" t="e" cm="1">
        <f t="array" ref="AL381">IF(INDEX(Table2[],_xlfn.XMATCH($A381,Table2[Steel Member],0),_xlfn.XMATCH(AL$2,Table2[#Headers],0))=0,"",INDEX(Table2[],_xlfn.XMATCH($A381,Table2[Steel Member],0),_xlfn.XMATCH(AL$2,Table2[#Headers],0)))</f>
        <v>#N/A</v>
      </c>
      <c r="AM381" s="4"/>
      <c r="AN381" s="4" t="str">
        <f t="shared" si="111"/>
        <v/>
      </c>
      <c r="AO381" s="4"/>
      <c r="AP381" s="4" t="e" cm="1">
        <f t="array" ref="AP381">IF(INDEX(Table2[],_xlfn.XMATCH($A381,Table2[Steel Member],0),_xlfn.XMATCH(AP$2,Table2[#Headers],0))=0,"",INDEX(Table2[],_xlfn.XMATCH($A381,Table2[Steel Member],0),_xlfn.XMATCH(AP$2,Table2[#Headers],0)))</f>
        <v>#N/A</v>
      </c>
      <c r="AQ381" s="4"/>
      <c r="AR381" s="4"/>
      <c r="AS381" s="4"/>
      <c r="AT381" s="4"/>
    </row>
    <row r="382" spans="1:46" x14ac:dyDescent="0.25">
      <c r="A382" s="52"/>
      <c r="B382" s="52"/>
      <c r="C382" s="52"/>
      <c r="D382" s="52"/>
      <c r="E382" s="52"/>
      <c r="F382" s="64" cm="1">
        <f t="array" ref="F382">IF(COUNT(FIND(PurlinsxGirthsxBracings,$C382))&gt;0,0,ROUNDUP(IF(D382=0,0,VLOOKUP(D382,'DATA SHEET'!$B:$D,2,FALSE)),2))</f>
        <v>0</v>
      </c>
      <c r="G382" s="64" cm="1">
        <f t="array" ref="G382">IF(COUNT(FIND(PurlinsxGirthsxBracings,$C382))&gt;0,0,ROUNDUP(IF(D382=0,0,VLOOKUP(D382,'DATA SHEET'!$B:$D,3,FALSE)),2))</f>
        <v>0</v>
      </c>
      <c r="H382" s="53"/>
      <c r="I382" s="66" cm="1">
        <f t="array" ref="I382">IF(AND(ISBLANK(B382),ISBLANK(C382),ISBLANK(E382)),0,IF(COUNT(FIND(PurlinsxGirthsxBracings,$C382))&gt;0,IF(B382=0,CONCATENATE(E382," ",C382),CONCATENATE(B382," - ",E382," ",C382)),IF(B382=0,IF(ISBLANK(C382),E382,CONCATENATE(D382,", ",F382,"kg/m, ",G382,"mm surface perimeter")),IF(AND(ISBLANK(C382),ISTEXT(E382)),CONCATENATE(B382," - ",E382),IF(AND(ISBLANK(C382),ISBLANK(E382)),B382,CONCATENATE(B382," - ",D382,", ",F382,"kg/m, ",G382,"mm surface perimeter"))))&amp;IF(ISBLANK(H382),"",H382)))</f>
        <v>0</v>
      </c>
      <c r="J382" s="53"/>
      <c r="L382" s="4" t="str" cm="1">
        <f t="array" ref="L382">IF(COUNT(FIND({0,1,2,3,4,5,6,7,8,9},B382))&gt;0,COUNT(FIND({0,1,2,3,4,5,6,7,8,9},B382))&gt;0,"")</f>
        <v/>
      </c>
      <c r="M382" s="4" t="str" cm="1">
        <f t="array" aca="1" ref="M382" ca="1">IFERROR(_xlfn.IFS(R382="Count",RANDBETWEEN(1,COUNTIF($R$11:$R$653,"Count")),R382="Length",RANDBETWEEN(1,COUNTIF($R$11:$R$653,"Length"))),"")</f>
        <v/>
      </c>
      <c r="N382" s="4" t="str">
        <f ca="1">IFERROR(_xlfn.RANK.EQ(M382,$M$11:$M$653)+COUNTIF($M$11:M382,M382)-1,"")</f>
        <v/>
      </c>
      <c r="O382" s="86" t="str">
        <f>IF(A382='DATA SHEET'!$L$36,C382,IFERROR(IF(AND(ISTEXT(I382),ISBLANK(C382)),"No details",VLOOKUP(C382,DimFolder,2,FALSE)),""))</f>
        <v/>
      </c>
      <c r="P382" s="4" t="str">
        <f t="shared" si="101"/>
        <v/>
      </c>
      <c r="Q382" s="58" t="str">
        <f t="shared" si="112"/>
        <v/>
      </c>
      <c r="R382" s="4" t="e" cm="1">
        <f t="array" ref="R382">IF(INDEX(Table2[],_xlfn.XMATCH($A382,Table2[Steel Member],0),_xlfn.XMATCH(R$2,Table2[#Headers],0))=0,"",INDEX(Table2[],_xlfn.XMATCH($A382,Table2[Steel Member],0),_xlfn.XMATCH(R$2,Table2[#Headers],0)))</f>
        <v>#N/A</v>
      </c>
      <c r="S382" s="4" t="e" cm="1">
        <f t="array" ref="S382">IF(INDEX(Table2[],_xlfn.XMATCH($A382,Table2[Steel Member],0),_xlfn.XMATCH(S$2,Table2[#Headers],0))=0,"",INDEX(Table2[],_xlfn.XMATCH($A382,Table2[Steel Member],0),_xlfn.XMATCH(S$2,Table2[#Headers],0)))</f>
        <v>#N/A</v>
      </c>
      <c r="T382" s="4" t="str">
        <f t="shared" si="103"/>
        <v/>
      </c>
      <c r="U382" s="4" t="e">
        <f ca="1">VLOOKUP(N382,'COLOR CODE'!$B:$D,2,FALSE)</f>
        <v>#N/A</v>
      </c>
      <c r="V382" s="4" t="str">
        <f t="shared" si="104"/>
        <v/>
      </c>
      <c r="W382" s="4" t="e" cm="1">
        <f t="array" ref="W382">IF(INDEX(Table2[],_xlfn.XMATCH($A382,Table2[Steel Member],0),_xlfn.XMATCH(W$2,Table2[#Headers],0))=0,"",INDEX(Table2[],_xlfn.XMATCH($A382,Table2[Steel Member],0),_xlfn.XMATCH(W$2,Table2[#Headers],0)))</f>
        <v>#N/A</v>
      </c>
      <c r="X382" s="4" t="e">
        <f t="shared" si="102"/>
        <v>#N/A</v>
      </c>
      <c r="Y382" s="4" t="e" cm="1">
        <f t="array" ref="Y382">IF(INDEX(Table2[],_xlfn.XMATCH($A382,Table2[Steel Member],0),_xlfn.XMATCH(Y$2,Table2[#Headers],0))=0,"",INDEX(Table2[],_xlfn.XMATCH($A382,Table2[Steel Member],0),_xlfn.XMATCH(Y$2,Table2[#Headers],0)))</f>
        <v>#N/A</v>
      </c>
      <c r="Z382" s="4" t="e" cm="1">
        <f t="array" ref="Z382">IF(INDEX(Table2[],_xlfn.XMATCH($A382,Table2[Steel Member],0),_xlfn.XMATCH(Z$2,Table2[#Headers],0))=0,"",INDEX(Table2[],_xlfn.XMATCH($A382,Table2[Steel Member],0),_xlfn.XMATCH(Z$2,Table2[#Headers],0)))</f>
        <v>#N/A</v>
      </c>
      <c r="AA382" s="4" t="e" cm="1">
        <f t="array" ref="AA382">IF(INDEX(Table2[],_xlfn.XMATCH($A382,Table2[Steel Member],0),_xlfn.XMATCH(AA$2,Table2[#Headers],0))=0,"",INDEX(Table2[],_xlfn.XMATCH($A382,Table2[Steel Member],0),_xlfn.XMATCH(AA$2,Table2[#Headers],0)))</f>
        <v>#N/A</v>
      </c>
      <c r="AB382" s="4" t="e" cm="1">
        <f t="array" ref="AB382">IF(INDEX(Table2[],_xlfn.XMATCH($A382,Table2[Steel Member],0),_xlfn.XMATCH(AB$2,Table2[#Headers],0))=0,"",INDEX(Table2[],_xlfn.XMATCH($A382,Table2[Steel Member],0),_xlfn.XMATCH(AB$2,Table2[#Headers],0)))</f>
        <v>#N/A</v>
      </c>
      <c r="AC382" s="4" t="str" cm="1">
        <f t="array" ref="AC382">IFERROR(INDEX(Table8[],_xlfn.XMATCH($O382,Table8[Dimension Name Category],0),_xlfn.XMATCH(AC$2&amp;IF($L382," w/ tag"," w/o tag"),Table8[#Headers],0)),"")</f>
        <v/>
      </c>
      <c r="AD382" s="59" t="str">
        <f t="shared" si="105"/>
        <v/>
      </c>
      <c r="AE382" s="4" t="str">
        <f t="shared" si="106"/>
        <v/>
      </c>
      <c r="AF382" s="4" t="str">
        <f t="shared" si="107"/>
        <v/>
      </c>
      <c r="AG382" s="4" t="str" cm="1">
        <f t="array" ref="AG382">IFERROR(INDEX(Table8[],_xlfn.XMATCH($O382,Table8[Dimension Name Category],0),_xlfn.XMATCH(AG$2&amp;IF($L382," w/ tag"," w/o tag"),Table8[#Headers],0)),"")</f>
        <v/>
      </c>
      <c r="AH382" s="59" t="str">
        <f t="shared" si="108"/>
        <v/>
      </c>
      <c r="AI382" s="4"/>
      <c r="AJ382" s="4" t="str">
        <f t="shared" si="109"/>
        <v/>
      </c>
      <c r="AK382" s="4" t="str">
        <f t="shared" si="110"/>
        <v/>
      </c>
      <c r="AL382" s="4" t="e" cm="1">
        <f t="array" ref="AL382">IF(INDEX(Table2[],_xlfn.XMATCH($A382,Table2[Steel Member],0),_xlfn.XMATCH(AL$2,Table2[#Headers],0))=0,"",INDEX(Table2[],_xlfn.XMATCH($A382,Table2[Steel Member],0),_xlfn.XMATCH(AL$2,Table2[#Headers],0)))</f>
        <v>#N/A</v>
      </c>
      <c r="AM382" s="4"/>
      <c r="AN382" s="4" t="str">
        <f t="shared" si="111"/>
        <v/>
      </c>
      <c r="AO382" s="4"/>
      <c r="AP382" s="4" t="e" cm="1">
        <f t="array" ref="AP382">IF(INDEX(Table2[],_xlfn.XMATCH($A382,Table2[Steel Member],0),_xlfn.XMATCH(AP$2,Table2[#Headers],0))=0,"",INDEX(Table2[],_xlfn.XMATCH($A382,Table2[Steel Member],0),_xlfn.XMATCH(AP$2,Table2[#Headers],0)))</f>
        <v>#N/A</v>
      </c>
      <c r="AQ382" s="4"/>
      <c r="AR382" s="4"/>
      <c r="AS382" s="4"/>
      <c r="AT382" s="4"/>
    </row>
    <row r="383" spans="1:46" x14ac:dyDescent="0.25">
      <c r="A383" s="52"/>
      <c r="B383" s="52"/>
      <c r="C383" s="52"/>
      <c r="D383" s="52"/>
      <c r="E383" s="52"/>
      <c r="F383" s="64" cm="1">
        <f t="array" ref="F383">IF(COUNT(FIND(PurlinsxGirthsxBracings,$C383))&gt;0,0,ROUNDUP(IF(D383=0,0,VLOOKUP(D383,'DATA SHEET'!$B:$D,2,FALSE)),2))</f>
        <v>0</v>
      </c>
      <c r="G383" s="64" cm="1">
        <f t="array" ref="G383">IF(COUNT(FIND(PurlinsxGirthsxBracings,$C383))&gt;0,0,ROUNDUP(IF(D383=0,0,VLOOKUP(D383,'DATA SHEET'!$B:$D,3,FALSE)),2))</f>
        <v>0</v>
      </c>
      <c r="H383" s="53"/>
      <c r="I383" s="66" cm="1">
        <f t="array" ref="I383">IF(AND(ISBLANK(B383),ISBLANK(C383),ISBLANK(E383)),0,IF(COUNT(FIND(PurlinsxGirthsxBracings,$C383))&gt;0,IF(B383=0,CONCATENATE(E383," ",C383),CONCATENATE(B383," - ",E383," ",C383)),IF(B383=0,IF(ISBLANK(C383),E383,CONCATENATE(D383,", ",F383,"kg/m, ",G383,"mm surface perimeter")),IF(AND(ISBLANK(C383),ISTEXT(E383)),CONCATENATE(B383," - ",E383),IF(AND(ISBLANK(C383),ISBLANK(E383)),B383,CONCATENATE(B383," - ",D383,", ",F383,"kg/m, ",G383,"mm surface perimeter"))))&amp;IF(ISBLANK(H383),"",H383)))</f>
        <v>0</v>
      </c>
      <c r="J383" s="53"/>
      <c r="L383" s="4" t="str" cm="1">
        <f t="array" ref="L383">IF(COUNT(FIND({0,1,2,3,4,5,6,7,8,9},B383))&gt;0,COUNT(FIND({0,1,2,3,4,5,6,7,8,9},B383))&gt;0,"")</f>
        <v/>
      </c>
      <c r="M383" s="4" t="str" cm="1">
        <f t="array" aca="1" ref="M383" ca="1">IFERROR(_xlfn.IFS(R383="Count",RANDBETWEEN(1,COUNTIF($R$11:$R$653,"Count")),R383="Length",RANDBETWEEN(1,COUNTIF($R$11:$R$653,"Length"))),"")</f>
        <v/>
      </c>
      <c r="N383" s="4" t="str">
        <f ca="1">IFERROR(_xlfn.RANK.EQ(M383,$M$11:$M$653)+COUNTIF($M$11:M383,M383)-1,"")</f>
        <v/>
      </c>
      <c r="O383" s="86" t="str">
        <f>IF(A383='DATA SHEET'!$L$36,C383,IFERROR(IF(AND(ISTEXT(I383),ISBLANK(C383)),"No details",VLOOKUP(C383,DimFolder,2,FALSE)),""))</f>
        <v/>
      </c>
      <c r="P383" s="4" t="str">
        <f t="shared" si="101"/>
        <v/>
      </c>
      <c r="Q383" s="58" t="str">
        <f t="shared" si="112"/>
        <v/>
      </c>
      <c r="R383" s="4" t="e" cm="1">
        <f t="array" ref="R383">IF(INDEX(Table2[],_xlfn.XMATCH($A383,Table2[Steel Member],0),_xlfn.XMATCH(R$2,Table2[#Headers],0))=0,"",INDEX(Table2[],_xlfn.XMATCH($A383,Table2[Steel Member],0),_xlfn.XMATCH(R$2,Table2[#Headers],0)))</f>
        <v>#N/A</v>
      </c>
      <c r="S383" s="4" t="e" cm="1">
        <f t="array" ref="S383">IF(INDEX(Table2[],_xlfn.XMATCH($A383,Table2[Steel Member],0),_xlfn.XMATCH(S$2,Table2[#Headers],0))=0,"",INDEX(Table2[],_xlfn.XMATCH($A383,Table2[Steel Member],0),_xlfn.XMATCH(S$2,Table2[#Headers],0)))</f>
        <v>#N/A</v>
      </c>
      <c r="T383" s="4" t="str">
        <f t="shared" si="103"/>
        <v/>
      </c>
      <c r="U383" s="4" t="e">
        <f ca="1">VLOOKUP(N383,'COLOR CODE'!$B:$D,2,FALSE)</f>
        <v>#N/A</v>
      </c>
      <c r="V383" s="4" t="str">
        <f t="shared" si="104"/>
        <v/>
      </c>
      <c r="W383" s="4" t="e" cm="1">
        <f t="array" ref="W383">IF(INDEX(Table2[],_xlfn.XMATCH($A383,Table2[Steel Member],0),_xlfn.XMATCH(W$2,Table2[#Headers],0))=0,"",INDEX(Table2[],_xlfn.XMATCH($A383,Table2[Steel Member],0),_xlfn.XMATCH(W$2,Table2[#Headers],0)))</f>
        <v>#N/A</v>
      </c>
      <c r="X383" s="4" t="e">
        <f t="shared" si="102"/>
        <v>#N/A</v>
      </c>
      <c r="Y383" s="4" t="e" cm="1">
        <f t="array" ref="Y383">IF(INDEX(Table2[],_xlfn.XMATCH($A383,Table2[Steel Member],0),_xlfn.XMATCH(Y$2,Table2[#Headers],0))=0,"",INDEX(Table2[],_xlfn.XMATCH($A383,Table2[Steel Member],0),_xlfn.XMATCH(Y$2,Table2[#Headers],0)))</f>
        <v>#N/A</v>
      </c>
      <c r="Z383" s="4" t="e" cm="1">
        <f t="array" ref="Z383">IF(INDEX(Table2[],_xlfn.XMATCH($A383,Table2[Steel Member],0),_xlfn.XMATCH(Z$2,Table2[#Headers],0))=0,"",INDEX(Table2[],_xlfn.XMATCH($A383,Table2[Steel Member],0),_xlfn.XMATCH(Z$2,Table2[#Headers],0)))</f>
        <v>#N/A</v>
      </c>
      <c r="AA383" s="4" t="e" cm="1">
        <f t="array" ref="AA383">IF(INDEX(Table2[],_xlfn.XMATCH($A383,Table2[Steel Member],0),_xlfn.XMATCH(AA$2,Table2[#Headers],0))=0,"",INDEX(Table2[],_xlfn.XMATCH($A383,Table2[Steel Member],0),_xlfn.XMATCH(AA$2,Table2[#Headers],0)))</f>
        <v>#N/A</v>
      </c>
      <c r="AB383" s="4" t="e" cm="1">
        <f t="array" ref="AB383">IF(INDEX(Table2[],_xlfn.XMATCH($A383,Table2[Steel Member],0),_xlfn.XMATCH(AB$2,Table2[#Headers],0))=0,"",INDEX(Table2[],_xlfn.XMATCH($A383,Table2[Steel Member],0),_xlfn.XMATCH(AB$2,Table2[#Headers],0)))</f>
        <v>#N/A</v>
      </c>
      <c r="AC383" s="4" t="str" cm="1">
        <f t="array" ref="AC383">IFERROR(INDEX(Table8[],_xlfn.XMATCH($O383,Table8[Dimension Name Category],0),_xlfn.XMATCH(AC$2&amp;IF($L383," w/ tag"," w/o tag"),Table8[#Headers],0)),"")</f>
        <v/>
      </c>
      <c r="AD383" s="59" t="str">
        <f t="shared" si="105"/>
        <v/>
      </c>
      <c r="AE383" s="4" t="str">
        <f t="shared" si="106"/>
        <v/>
      </c>
      <c r="AF383" s="4" t="str">
        <f t="shared" si="107"/>
        <v/>
      </c>
      <c r="AG383" s="4" t="str" cm="1">
        <f t="array" ref="AG383">IFERROR(INDEX(Table8[],_xlfn.XMATCH($O383,Table8[Dimension Name Category],0),_xlfn.XMATCH(AG$2&amp;IF($L383," w/ tag"," w/o tag"),Table8[#Headers],0)),"")</f>
        <v/>
      </c>
      <c r="AH383" s="59" t="str">
        <f t="shared" si="108"/>
        <v/>
      </c>
      <c r="AI383" s="4"/>
      <c r="AJ383" s="4" t="str">
        <f t="shared" si="109"/>
        <v/>
      </c>
      <c r="AK383" s="4" t="str">
        <f t="shared" si="110"/>
        <v/>
      </c>
      <c r="AL383" s="4" t="e" cm="1">
        <f t="array" ref="AL383">IF(INDEX(Table2[],_xlfn.XMATCH($A383,Table2[Steel Member],0),_xlfn.XMATCH(AL$2,Table2[#Headers],0))=0,"",INDEX(Table2[],_xlfn.XMATCH($A383,Table2[Steel Member],0),_xlfn.XMATCH(AL$2,Table2[#Headers],0)))</f>
        <v>#N/A</v>
      </c>
      <c r="AM383" s="4"/>
      <c r="AN383" s="4" t="str">
        <f t="shared" si="111"/>
        <v/>
      </c>
      <c r="AO383" s="4"/>
      <c r="AP383" s="4" t="e" cm="1">
        <f t="array" ref="AP383">IF(INDEX(Table2[],_xlfn.XMATCH($A383,Table2[Steel Member],0),_xlfn.XMATCH(AP$2,Table2[#Headers],0))=0,"",INDEX(Table2[],_xlfn.XMATCH($A383,Table2[Steel Member],0),_xlfn.XMATCH(AP$2,Table2[#Headers],0)))</f>
        <v>#N/A</v>
      </c>
      <c r="AQ383" s="4"/>
      <c r="AR383" s="4"/>
      <c r="AS383" s="4"/>
      <c r="AT383" s="4"/>
    </row>
    <row r="384" spans="1:46" x14ac:dyDescent="0.25">
      <c r="A384" s="52"/>
      <c r="B384" s="52"/>
      <c r="C384" s="52"/>
      <c r="D384" s="52"/>
      <c r="E384" s="52"/>
      <c r="F384" s="64" cm="1">
        <f t="array" ref="F384">IF(COUNT(FIND(PurlinsxGirthsxBracings,$C384))&gt;0,0,ROUNDUP(IF(D384=0,0,VLOOKUP(D384,'DATA SHEET'!$B:$D,2,FALSE)),2))</f>
        <v>0</v>
      </c>
      <c r="G384" s="64" cm="1">
        <f t="array" ref="G384">IF(COUNT(FIND(PurlinsxGirthsxBracings,$C384))&gt;0,0,ROUNDUP(IF(D384=0,0,VLOOKUP(D384,'DATA SHEET'!$B:$D,3,FALSE)),2))</f>
        <v>0</v>
      </c>
      <c r="H384" s="53"/>
      <c r="I384" s="66" cm="1">
        <f t="array" ref="I384">IF(AND(ISBLANK(B384),ISBLANK(C384),ISBLANK(E384)),0,IF(COUNT(FIND(PurlinsxGirthsxBracings,$C384))&gt;0,IF(B384=0,CONCATENATE(E384," ",C384),CONCATENATE(B384," - ",E384," ",C384)),IF(B384=0,IF(ISBLANK(C384),E384,CONCATENATE(D384,", ",F384,"kg/m, ",G384,"mm surface perimeter")),IF(AND(ISBLANK(C384),ISTEXT(E384)),CONCATENATE(B384," - ",E384),IF(AND(ISBLANK(C384),ISBLANK(E384)),B384,CONCATENATE(B384," - ",D384,", ",F384,"kg/m, ",G384,"mm surface perimeter"))))&amp;IF(ISBLANK(H384),"",H384)))</f>
        <v>0</v>
      </c>
      <c r="J384" s="53"/>
      <c r="L384" s="4" t="str" cm="1">
        <f t="array" ref="L384">IF(COUNT(FIND({0,1,2,3,4,5,6,7,8,9},B384))&gt;0,COUNT(FIND({0,1,2,3,4,5,6,7,8,9},B384))&gt;0,"")</f>
        <v/>
      </c>
      <c r="M384" s="4" t="str" cm="1">
        <f t="array" aca="1" ref="M384" ca="1">IFERROR(_xlfn.IFS(R384="Count",RANDBETWEEN(1,COUNTIF($R$11:$R$653,"Count")),R384="Length",RANDBETWEEN(1,COUNTIF($R$11:$R$653,"Length"))),"")</f>
        <v/>
      </c>
      <c r="N384" s="4" t="str">
        <f ca="1">IFERROR(_xlfn.RANK.EQ(M384,$M$11:$M$653)+COUNTIF($M$11:M384,M384)-1,"")</f>
        <v/>
      </c>
      <c r="O384" s="86" t="str">
        <f>IF(A384='DATA SHEET'!$L$36,C384,IFERROR(IF(AND(ISTEXT(I384),ISBLANK(C384)),"No details",VLOOKUP(C384,DimFolder,2,FALSE)),""))</f>
        <v/>
      </c>
      <c r="P384" s="4" t="str">
        <f t="shared" si="101"/>
        <v/>
      </c>
      <c r="Q384" s="58" t="str">
        <f t="shared" si="112"/>
        <v/>
      </c>
      <c r="R384" s="4" t="e" cm="1">
        <f t="array" ref="R384">IF(INDEX(Table2[],_xlfn.XMATCH($A384,Table2[Steel Member],0),_xlfn.XMATCH(R$2,Table2[#Headers],0))=0,"",INDEX(Table2[],_xlfn.XMATCH($A384,Table2[Steel Member],0),_xlfn.XMATCH(R$2,Table2[#Headers],0)))</f>
        <v>#N/A</v>
      </c>
      <c r="S384" s="4" t="e" cm="1">
        <f t="array" ref="S384">IF(INDEX(Table2[],_xlfn.XMATCH($A384,Table2[Steel Member],0),_xlfn.XMATCH(S$2,Table2[#Headers],0))=0,"",INDEX(Table2[],_xlfn.XMATCH($A384,Table2[Steel Member],0),_xlfn.XMATCH(S$2,Table2[#Headers],0)))</f>
        <v>#N/A</v>
      </c>
      <c r="T384" s="4" t="str">
        <f t="shared" si="103"/>
        <v/>
      </c>
      <c r="U384" s="4" t="e">
        <f ca="1">VLOOKUP(N384,'COLOR CODE'!$B:$D,2,FALSE)</f>
        <v>#N/A</v>
      </c>
      <c r="V384" s="4" t="str">
        <f t="shared" si="104"/>
        <v/>
      </c>
      <c r="W384" s="4" t="e" cm="1">
        <f t="array" ref="W384">IF(INDEX(Table2[],_xlfn.XMATCH($A384,Table2[Steel Member],0),_xlfn.XMATCH(W$2,Table2[#Headers],0))=0,"",INDEX(Table2[],_xlfn.XMATCH($A384,Table2[Steel Member],0),_xlfn.XMATCH(W$2,Table2[#Headers],0)))</f>
        <v>#N/A</v>
      </c>
      <c r="X384" s="4" t="e">
        <f t="shared" si="102"/>
        <v>#N/A</v>
      </c>
      <c r="Y384" s="4" t="e" cm="1">
        <f t="array" ref="Y384">IF(INDEX(Table2[],_xlfn.XMATCH($A384,Table2[Steel Member],0),_xlfn.XMATCH(Y$2,Table2[#Headers],0))=0,"",INDEX(Table2[],_xlfn.XMATCH($A384,Table2[Steel Member],0),_xlfn.XMATCH(Y$2,Table2[#Headers],0)))</f>
        <v>#N/A</v>
      </c>
      <c r="Z384" s="4" t="e" cm="1">
        <f t="array" ref="Z384">IF(INDEX(Table2[],_xlfn.XMATCH($A384,Table2[Steel Member],0),_xlfn.XMATCH(Z$2,Table2[#Headers],0))=0,"",INDEX(Table2[],_xlfn.XMATCH($A384,Table2[Steel Member],0),_xlfn.XMATCH(Z$2,Table2[#Headers],0)))</f>
        <v>#N/A</v>
      </c>
      <c r="AA384" s="4" t="e" cm="1">
        <f t="array" ref="AA384">IF(INDEX(Table2[],_xlfn.XMATCH($A384,Table2[Steel Member],0),_xlfn.XMATCH(AA$2,Table2[#Headers],0))=0,"",INDEX(Table2[],_xlfn.XMATCH($A384,Table2[Steel Member],0),_xlfn.XMATCH(AA$2,Table2[#Headers],0)))</f>
        <v>#N/A</v>
      </c>
      <c r="AB384" s="4" t="e" cm="1">
        <f t="array" ref="AB384">IF(INDEX(Table2[],_xlfn.XMATCH($A384,Table2[Steel Member],0),_xlfn.XMATCH(AB$2,Table2[#Headers],0))=0,"",INDEX(Table2[],_xlfn.XMATCH($A384,Table2[Steel Member],0),_xlfn.XMATCH(AB$2,Table2[#Headers],0)))</f>
        <v>#N/A</v>
      </c>
      <c r="AC384" s="4" t="str" cm="1">
        <f t="array" ref="AC384">IFERROR(INDEX(Table8[],_xlfn.XMATCH($O384,Table8[Dimension Name Category],0),_xlfn.XMATCH(AC$2&amp;IF($L384," w/ tag"," w/o tag"),Table8[#Headers],0)),"")</f>
        <v/>
      </c>
      <c r="AD384" s="59" t="str">
        <f t="shared" si="105"/>
        <v/>
      </c>
      <c r="AE384" s="4" t="str">
        <f t="shared" si="106"/>
        <v/>
      </c>
      <c r="AF384" s="4" t="str">
        <f t="shared" si="107"/>
        <v/>
      </c>
      <c r="AG384" s="4" t="str" cm="1">
        <f t="array" ref="AG384">IFERROR(INDEX(Table8[],_xlfn.XMATCH($O384,Table8[Dimension Name Category],0),_xlfn.XMATCH(AG$2&amp;IF($L384," w/ tag"," w/o tag"),Table8[#Headers],0)),"")</f>
        <v/>
      </c>
      <c r="AH384" s="59" t="str">
        <f t="shared" si="108"/>
        <v/>
      </c>
      <c r="AI384" s="4"/>
      <c r="AJ384" s="4" t="str">
        <f t="shared" si="109"/>
        <v/>
      </c>
      <c r="AK384" s="4" t="str">
        <f t="shared" si="110"/>
        <v/>
      </c>
      <c r="AL384" s="4" t="e" cm="1">
        <f t="array" ref="AL384">IF(INDEX(Table2[],_xlfn.XMATCH($A384,Table2[Steel Member],0),_xlfn.XMATCH(AL$2,Table2[#Headers],0))=0,"",INDEX(Table2[],_xlfn.XMATCH($A384,Table2[Steel Member],0),_xlfn.XMATCH(AL$2,Table2[#Headers],0)))</f>
        <v>#N/A</v>
      </c>
      <c r="AM384" s="4"/>
      <c r="AN384" s="4" t="str">
        <f t="shared" si="111"/>
        <v/>
      </c>
      <c r="AO384" s="4"/>
      <c r="AP384" s="4" t="e" cm="1">
        <f t="array" ref="AP384">IF(INDEX(Table2[],_xlfn.XMATCH($A384,Table2[Steel Member],0),_xlfn.XMATCH(AP$2,Table2[#Headers],0))=0,"",INDEX(Table2[],_xlfn.XMATCH($A384,Table2[Steel Member],0),_xlfn.XMATCH(AP$2,Table2[#Headers],0)))</f>
        <v>#N/A</v>
      </c>
      <c r="AQ384" s="4"/>
      <c r="AR384" s="4"/>
      <c r="AS384" s="4"/>
      <c r="AT384" s="4"/>
    </row>
    <row r="385" spans="1:46" x14ac:dyDescent="0.25">
      <c r="A385" s="52"/>
      <c r="B385" s="52"/>
      <c r="C385" s="52"/>
      <c r="D385" s="52"/>
      <c r="E385" s="52"/>
      <c r="F385" s="64" cm="1">
        <f t="array" ref="F385">IF(COUNT(FIND(PurlinsxGirthsxBracings,$C385))&gt;0,0,ROUNDUP(IF(D385=0,0,VLOOKUP(D385,'DATA SHEET'!$B:$D,2,FALSE)),2))</f>
        <v>0</v>
      </c>
      <c r="G385" s="64" cm="1">
        <f t="array" ref="G385">IF(COUNT(FIND(PurlinsxGirthsxBracings,$C385))&gt;0,0,ROUNDUP(IF(D385=0,0,VLOOKUP(D385,'DATA SHEET'!$B:$D,3,FALSE)),2))</f>
        <v>0</v>
      </c>
      <c r="H385" s="53"/>
      <c r="I385" s="66" cm="1">
        <f t="array" ref="I385">IF(AND(ISBLANK(B385),ISBLANK(C385),ISBLANK(E385)),0,IF(COUNT(FIND(PurlinsxGirthsxBracings,$C385))&gt;0,IF(B385=0,CONCATENATE(E385," ",C385),CONCATENATE(B385," - ",E385," ",C385)),IF(B385=0,IF(ISBLANK(C385),E385,CONCATENATE(D385,", ",F385,"kg/m, ",G385,"mm surface perimeter")),IF(AND(ISBLANK(C385),ISTEXT(E385)),CONCATENATE(B385," - ",E385),IF(AND(ISBLANK(C385),ISBLANK(E385)),B385,CONCATENATE(B385," - ",D385,", ",F385,"kg/m, ",G385,"mm surface perimeter"))))&amp;IF(ISBLANK(H385),"",H385)))</f>
        <v>0</v>
      </c>
      <c r="J385" s="53"/>
      <c r="L385" s="4" t="str" cm="1">
        <f t="array" ref="L385">IF(COUNT(FIND({0,1,2,3,4,5,6,7,8,9},B385))&gt;0,COUNT(FIND({0,1,2,3,4,5,6,7,8,9},B385))&gt;0,"")</f>
        <v/>
      </c>
      <c r="M385" s="4" t="str" cm="1">
        <f t="array" aca="1" ref="M385" ca="1">IFERROR(_xlfn.IFS(R385="Count",RANDBETWEEN(1,COUNTIF($R$11:$R$653,"Count")),R385="Length",RANDBETWEEN(1,COUNTIF($R$11:$R$653,"Length"))),"")</f>
        <v/>
      </c>
      <c r="N385" s="4" t="str">
        <f ca="1">IFERROR(_xlfn.RANK.EQ(M385,$M$11:$M$653)+COUNTIF($M$11:M385,M385)-1,"")</f>
        <v/>
      </c>
      <c r="O385" s="86" t="str">
        <f>IF(A385='DATA SHEET'!$L$36,C385,IFERROR(IF(AND(ISTEXT(I385),ISBLANK(C385)),"No details",VLOOKUP(C385,DimFolder,2,FALSE)),""))</f>
        <v/>
      </c>
      <c r="P385" s="4" t="str">
        <f t="shared" si="101"/>
        <v/>
      </c>
      <c r="Q385" s="58" t="str">
        <f t="shared" si="112"/>
        <v/>
      </c>
      <c r="R385" s="4" t="e" cm="1">
        <f t="array" ref="R385">IF(INDEX(Table2[],_xlfn.XMATCH($A385,Table2[Steel Member],0),_xlfn.XMATCH(R$2,Table2[#Headers],0))=0,"",INDEX(Table2[],_xlfn.XMATCH($A385,Table2[Steel Member],0),_xlfn.XMATCH(R$2,Table2[#Headers],0)))</f>
        <v>#N/A</v>
      </c>
      <c r="S385" s="4" t="e" cm="1">
        <f t="array" ref="S385">IF(INDEX(Table2[],_xlfn.XMATCH($A385,Table2[Steel Member],0),_xlfn.XMATCH(S$2,Table2[#Headers],0))=0,"",INDEX(Table2[],_xlfn.XMATCH($A385,Table2[Steel Member],0),_xlfn.XMATCH(S$2,Table2[#Headers],0)))</f>
        <v>#N/A</v>
      </c>
      <c r="T385" s="4" t="str">
        <f t="shared" si="103"/>
        <v/>
      </c>
      <c r="U385" s="4" t="e">
        <f ca="1">VLOOKUP(N385,'COLOR CODE'!$B:$D,2,FALSE)</f>
        <v>#N/A</v>
      </c>
      <c r="V385" s="4" t="str">
        <f t="shared" si="104"/>
        <v/>
      </c>
      <c r="W385" s="4" t="e" cm="1">
        <f t="array" ref="W385">IF(INDEX(Table2[],_xlfn.XMATCH($A385,Table2[Steel Member],0),_xlfn.XMATCH(W$2,Table2[#Headers],0))=0,"",INDEX(Table2[],_xlfn.XMATCH($A385,Table2[Steel Member],0),_xlfn.XMATCH(W$2,Table2[#Headers],0)))</f>
        <v>#N/A</v>
      </c>
      <c r="X385" s="4" t="e">
        <f t="shared" si="102"/>
        <v>#N/A</v>
      </c>
      <c r="Y385" s="4" t="e" cm="1">
        <f t="array" ref="Y385">IF(INDEX(Table2[],_xlfn.XMATCH($A385,Table2[Steel Member],0),_xlfn.XMATCH(Y$2,Table2[#Headers],0))=0,"",INDEX(Table2[],_xlfn.XMATCH($A385,Table2[Steel Member],0),_xlfn.XMATCH(Y$2,Table2[#Headers],0)))</f>
        <v>#N/A</v>
      </c>
      <c r="Z385" s="4" t="e" cm="1">
        <f t="array" ref="Z385">IF(INDEX(Table2[],_xlfn.XMATCH($A385,Table2[Steel Member],0),_xlfn.XMATCH(Z$2,Table2[#Headers],0))=0,"",INDEX(Table2[],_xlfn.XMATCH($A385,Table2[Steel Member],0),_xlfn.XMATCH(Z$2,Table2[#Headers],0)))</f>
        <v>#N/A</v>
      </c>
      <c r="AA385" s="4" t="e" cm="1">
        <f t="array" ref="AA385">IF(INDEX(Table2[],_xlfn.XMATCH($A385,Table2[Steel Member],0),_xlfn.XMATCH(AA$2,Table2[#Headers],0))=0,"",INDEX(Table2[],_xlfn.XMATCH($A385,Table2[Steel Member],0),_xlfn.XMATCH(AA$2,Table2[#Headers],0)))</f>
        <v>#N/A</v>
      </c>
      <c r="AB385" s="4" t="e" cm="1">
        <f t="array" ref="AB385">IF(INDEX(Table2[],_xlfn.XMATCH($A385,Table2[Steel Member],0),_xlfn.XMATCH(AB$2,Table2[#Headers],0))=0,"",INDEX(Table2[],_xlfn.XMATCH($A385,Table2[Steel Member],0),_xlfn.XMATCH(AB$2,Table2[#Headers],0)))</f>
        <v>#N/A</v>
      </c>
      <c r="AC385" s="4" t="str" cm="1">
        <f t="array" ref="AC385">IFERROR(INDEX(Table8[],_xlfn.XMATCH($O385,Table8[Dimension Name Category],0),_xlfn.XMATCH(AC$2&amp;IF($L385," w/ tag"," w/o tag"),Table8[#Headers],0)),"")</f>
        <v/>
      </c>
      <c r="AD385" s="59" t="str">
        <f t="shared" si="105"/>
        <v/>
      </c>
      <c r="AE385" s="4" t="str">
        <f t="shared" si="106"/>
        <v/>
      </c>
      <c r="AF385" s="4" t="str">
        <f t="shared" si="107"/>
        <v/>
      </c>
      <c r="AG385" s="4" t="str" cm="1">
        <f t="array" ref="AG385">IFERROR(INDEX(Table8[],_xlfn.XMATCH($O385,Table8[Dimension Name Category],0),_xlfn.XMATCH(AG$2&amp;IF($L385," w/ tag"," w/o tag"),Table8[#Headers],0)),"")</f>
        <v/>
      </c>
      <c r="AH385" s="59" t="str">
        <f t="shared" si="108"/>
        <v/>
      </c>
      <c r="AI385" s="4"/>
      <c r="AJ385" s="4" t="str">
        <f t="shared" si="109"/>
        <v/>
      </c>
      <c r="AK385" s="4" t="str">
        <f t="shared" si="110"/>
        <v/>
      </c>
      <c r="AL385" s="4" t="e" cm="1">
        <f t="array" ref="AL385">IF(INDEX(Table2[],_xlfn.XMATCH($A385,Table2[Steel Member],0),_xlfn.XMATCH(AL$2,Table2[#Headers],0))=0,"",INDEX(Table2[],_xlfn.XMATCH($A385,Table2[Steel Member],0),_xlfn.XMATCH(AL$2,Table2[#Headers],0)))</f>
        <v>#N/A</v>
      </c>
      <c r="AM385" s="4"/>
      <c r="AN385" s="4" t="str">
        <f t="shared" si="111"/>
        <v/>
      </c>
      <c r="AO385" s="4"/>
      <c r="AP385" s="4" t="e" cm="1">
        <f t="array" ref="AP385">IF(INDEX(Table2[],_xlfn.XMATCH($A385,Table2[Steel Member],0),_xlfn.XMATCH(AP$2,Table2[#Headers],0))=0,"",INDEX(Table2[],_xlfn.XMATCH($A385,Table2[Steel Member],0),_xlfn.XMATCH(AP$2,Table2[#Headers],0)))</f>
        <v>#N/A</v>
      </c>
      <c r="AQ385" s="4"/>
      <c r="AR385" s="4"/>
      <c r="AS385" s="4"/>
      <c r="AT385" s="4"/>
    </row>
    <row r="386" spans="1:46" x14ac:dyDescent="0.25">
      <c r="A386" s="52"/>
      <c r="B386" s="52"/>
      <c r="C386" s="52"/>
      <c r="D386" s="52"/>
      <c r="E386" s="52"/>
      <c r="F386" s="64" cm="1">
        <f t="array" ref="F386">IF(COUNT(FIND(PurlinsxGirthsxBracings,$C386))&gt;0,0,ROUNDUP(IF(D386=0,0,VLOOKUP(D386,'DATA SHEET'!$B:$D,2,FALSE)),2))</f>
        <v>0</v>
      </c>
      <c r="G386" s="64" cm="1">
        <f t="array" ref="G386">IF(COUNT(FIND(PurlinsxGirthsxBracings,$C386))&gt;0,0,ROUNDUP(IF(D386=0,0,VLOOKUP(D386,'DATA SHEET'!$B:$D,3,FALSE)),2))</f>
        <v>0</v>
      </c>
      <c r="H386" s="53"/>
      <c r="I386" s="66" cm="1">
        <f t="array" ref="I386">IF(AND(ISBLANK(B386),ISBLANK(C386),ISBLANK(E386)),0,IF(COUNT(FIND(PurlinsxGirthsxBracings,$C386))&gt;0,IF(B386=0,CONCATENATE(E386," ",C386),CONCATENATE(B386," - ",E386," ",C386)),IF(B386=0,IF(ISBLANK(C386),E386,CONCATENATE(D386,", ",F386,"kg/m, ",G386,"mm surface perimeter")),IF(AND(ISBLANK(C386),ISTEXT(E386)),CONCATENATE(B386," - ",E386),IF(AND(ISBLANK(C386),ISBLANK(E386)),B386,CONCATENATE(B386," - ",D386,", ",F386,"kg/m, ",G386,"mm surface perimeter"))))&amp;IF(ISBLANK(H386),"",H386)))</f>
        <v>0</v>
      </c>
      <c r="J386" s="53"/>
      <c r="L386" s="4" t="str" cm="1">
        <f t="array" ref="L386">IF(COUNT(FIND({0,1,2,3,4,5,6,7,8,9},B386))&gt;0,COUNT(FIND({0,1,2,3,4,5,6,7,8,9},B386))&gt;0,"")</f>
        <v/>
      </c>
      <c r="M386" s="4" t="str" cm="1">
        <f t="array" aca="1" ref="M386" ca="1">IFERROR(_xlfn.IFS(R386="Count",RANDBETWEEN(1,COUNTIF($R$11:$R$653,"Count")),R386="Length",RANDBETWEEN(1,COUNTIF($R$11:$R$653,"Length"))),"")</f>
        <v/>
      </c>
      <c r="N386" s="4" t="str">
        <f ca="1">IFERROR(_xlfn.RANK.EQ(M386,$M$11:$M$653)+COUNTIF($M$11:M386,M386)-1,"")</f>
        <v/>
      </c>
      <c r="O386" s="86" t="str">
        <f>IF(A386='DATA SHEET'!$L$36,C386,IFERROR(IF(AND(ISTEXT(I386),ISBLANK(C386)),"No details",VLOOKUP(C386,DimFolder,2,FALSE)),""))</f>
        <v/>
      </c>
      <c r="P386" s="4" t="str">
        <f t="shared" si="101"/>
        <v/>
      </c>
      <c r="Q386" s="58" t="str">
        <f t="shared" si="112"/>
        <v/>
      </c>
      <c r="R386" s="4" t="e" cm="1">
        <f t="array" ref="R386">IF(INDEX(Table2[],_xlfn.XMATCH($A386,Table2[Steel Member],0),_xlfn.XMATCH(R$2,Table2[#Headers],0))=0,"",INDEX(Table2[],_xlfn.XMATCH($A386,Table2[Steel Member],0),_xlfn.XMATCH(R$2,Table2[#Headers],0)))</f>
        <v>#N/A</v>
      </c>
      <c r="S386" s="4" t="e" cm="1">
        <f t="array" ref="S386">IF(INDEX(Table2[],_xlfn.XMATCH($A386,Table2[Steel Member],0),_xlfn.XMATCH(S$2,Table2[#Headers],0))=0,"",INDEX(Table2[],_xlfn.XMATCH($A386,Table2[Steel Member],0),_xlfn.XMATCH(S$2,Table2[#Headers],0)))</f>
        <v>#N/A</v>
      </c>
      <c r="T386" s="4" t="str">
        <f t="shared" si="103"/>
        <v/>
      </c>
      <c r="U386" s="4" t="e">
        <f ca="1">VLOOKUP(N386,'COLOR CODE'!$B:$D,2,FALSE)</f>
        <v>#N/A</v>
      </c>
      <c r="V386" s="4" t="str">
        <f t="shared" si="104"/>
        <v/>
      </c>
      <c r="W386" s="4" t="e" cm="1">
        <f t="array" ref="W386">IF(INDEX(Table2[],_xlfn.XMATCH($A386,Table2[Steel Member],0),_xlfn.XMATCH(W$2,Table2[#Headers],0))=0,"",INDEX(Table2[],_xlfn.XMATCH($A386,Table2[Steel Member],0),_xlfn.XMATCH(W$2,Table2[#Headers],0)))</f>
        <v>#N/A</v>
      </c>
      <c r="X386" s="4" t="e">
        <f t="shared" si="102"/>
        <v>#N/A</v>
      </c>
      <c r="Y386" s="4" t="e" cm="1">
        <f t="array" ref="Y386">IF(INDEX(Table2[],_xlfn.XMATCH($A386,Table2[Steel Member],0),_xlfn.XMATCH(Y$2,Table2[#Headers],0))=0,"",INDEX(Table2[],_xlfn.XMATCH($A386,Table2[Steel Member],0),_xlfn.XMATCH(Y$2,Table2[#Headers],0)))</f>
        <v>#N/A</v>
      </c>
      <c r="Z386" s="4" t="e" cm="1">
        <f t="array" ref="Z386">IF(INDEX(Table2[],_xlfn.XMATCH($A386,Table2[Steel Member],0),_xlfn.XMATCH(Z$2,Table2[#Headers],0))=0,"",INDEX(Table2[],_xlfn.XMATCH($A386,Table2[Steel Member],0),_xlfn.XMATCH(Z$2,Table2[#Headers],0)))</f>
        <v>#N/A</v>
      </c>
      <c r="AA386" s="4" t="e" cm="1">
        <f t="array" ref="AA386">IF(INDEX(Table2[],_xlfn.XMATCH($A386,Table2[Steel Member],0),_xlfn.XMATCH(AA$2,Table2[#Headers],0))=0,"",INDEX(Table2[],_xlfn.XMATCH($A386,Table2[Steel Member],0),_xlfn.XMATCH(AA$2,Table2[#Headers],0)))</f>
        <v>#N/A</v>
      </c>
      <c r="AB386" s="4" t="e" cm="1">
        <f t="array" ref="AB386">IF(INDEX(Table2[],_xlfn.XMATCH($A386,Table2[Steel Member],0),_xlfn.XMATCH(AB$2,Table2[#Headers],0))=0,"",INDEX(Table2[],_xlfn.XMATCH($A386,Table2[Steel Member],0),_xlfn.XMATCH(AB$2,Table2[#Headers],0)))</f>
        <v>#N/A</v>
      </c>
      <c r="AC386" s="4" t="str" cm="1">
        <f t="array" ref="AC386">IFERROR(INDEX(Table8[],_xlfn.XMATCH($O386,Table8[Dimension Name Category],0),_xlfn.XMATCH(AC$2&amp;IF($L386," w/ tag"," w/o tag"),Table8[#Headers],0)),"")</f>
        <v/>
      </c>
      <c r="AD386" s="59" t="str">
        <f t="shared" si="105"/>
        <v/>
      </c>
      <c r="AE386" s="4" t="str">
        <f t="shared" si="106"/>
        <v/>
      </c>
      <c r="AF386" s="4" t="str">
        <f t="shared" si="107"/>
        <v/>
      </c>
      <c r="AG386" s="4" t="str" cm="1">
        <f t="array" ref="AG386">IFERROR(INDEX(Table8[],_xlfn.XMATCH($O386,Table8[Dimension Name Category],0),_xlfn.XMATCH(AG$2&amp;IF($L386," w/ tag"," w/o tag"),Table8[#Headers],0)),"")</f>
        <v/>
      </c>
      <c r="AH386" s="59" t="str">
        <f t="shared" si="108"/>
        <v/>
      </c>
      <c r="AI386" s="4"/>
      <c r="AJ386" s="4" t="str">
        <f t="shared" si="109"/>
        <v/>
      </c>
      <c r="AK386" s="4" t="str">
        <f t="shared" si="110"/>
        <v/>
      </c>
      <c r="AL386" s="4" t="e" cm="1">
        <f t="array" ref="AL386">IF(INDEX(Table2[],_xlfn.XMATCH($A386,Table2[Steel Member],0),_xlfn.XMATCH(AL$2,Table2[#Headers],0))=0,"",INDEX(Table2[],_xlfn.XMATCH($A386,Table2[Steel Member],0),_xlfn.XMATCH(AL$2,Table2[#Headers],0)))</f>
        <v>#N/A</v>
      </c>
      <c r="AM386" s="4"/>
      <c r="AN386" s="4" t="str">
        <f t="shared" si="111"/>
        <v/>
      </c>
      <c r="AO386" s="4"/>
      <c r="AP386" s="4" t="e" cm="1">
        <f t="array" ref="AP386">IF(INDEX(Table2[],_xlfn.XMATCH($A386,Table2[Steel Member],0),_xlfn.XMATCH(AP$2,Table2[#Headers],0))=0,"",INDEX(Table2[],_xlfn.XMATCH($A386,Table2[Steel Member],0),_xlfn.XMATCH(AP$2,Table2[#Headers],0)))</f>
        <v>#N/A</v>
      </c>
      <c r="AQ386" s="4"/>
      <c r="AR386" s="4"/>
      <c r="AS386" s="4"/>
      <c r="AT386" s="4"/>
    </row>
    <row r="387" spans="1:46" x14ac:dyDescent="0.25">
      <c r="A387" s="52"/>
      <c r="B387" s="52"/>
      <c r="C387" s="52"/>
      <c r="D387" s="52"/>
      <c r="E387" s="52"/>
      <c r="F387" s="64" cm="1">
        <f t="array" ref="F387">IF(COUNT(FIND(PurlinsxGirthsxBracings,$C387))&gt;0,0,ROUNDUP(IF(D387=0,0,VLOOKUP(D387,'DATA SHEET'!$B:$D,2,FALSE)),2))</f>
        <v>0</v>
      </c>
      <c r="G387" s="64" cm="1">
        <f t="array" ref="G387">IF(COUNT(FIND(PurlinsxGirthsxBracings,$C387))&gt;0,0,ROUNDUP(IF(D387=0,0,VLOOKUP(D387,'DATA SHEET'!$B:$D,3,FALSE)),2))</f>
        <v>0</v>
      </c>
      <c r="H387" s="53"/>
      <c r="I387" s="66" cm="1">
        <f t="array" ref="I387">IF(AND(ISBLANK(B387),ISBLANK(C387),ISBLANK(E387)),0,IF(COUNT(FIND(PurlinsxGirthsxBracings,$C387))&gt;0,IF(B387=0,CONCATENATE(E387," ",C387),CONCATENATE(B387," - ",E387," ",C387)),IF(B387=0,IF(ISBLANK(C387),E387,CONCATENATE(D387,", ",F387,"kg/m, ",G387,"mm surface perimeter")),IF(AND(ISBLANK(C387),ISTEXT(E387)),CONCATENATE(B387," - ",E387),IF(AND(ISBLANK(C387),ISBLANK(E387)),B387,CONCATENATE(B387," - ",D387,", ",F387,"kg/m, ",G387,"mm surface perimeter"))))&amp;IF(ISBLANK(H387),"",H387)))</f>
        <v>0</v>
      </c>
      <c r="J387" s="53"/>
      <c r="L387" s="4" t="str" cm="1">
        <f t="array" ref="L387">IF(COUNT(FIND({0,1,2,3,4,5,6,7,8,9},B387))&gt;0,COUNT(FIND({0,1,2,3,4,5,6,7,8,9},B387))&gt;0,"")</f>
        <v/>
      </c>
      <c r="M387" s="4" t="str" cm="1">
        <f t="array" aca="1" ref="M387" ca="1">IFERROR(_xlfn.IFS(R387="Count",RANDBETWEEN(1,COUNTIF($R$11:$R$653,"Count")),R387="Length",RANDBETWEEN(1,COUNTIF($R$11:$R$653,"Length"))),"")</f>
        <v/>
      </c>
      <c r="N387" s="4" t="str">
        <f ca="1">IFERROR(_xlfn.RANK.EQ(M387,$M$11:$M$653)+COUNTIF($M$11:M387,M387)-1,"")</f>
        <v/>
      </c>
      <c r="O387" s="86" t="str">
        <f>IF(A387='DATA SHEET'!$L$36,C387,IFERROR(IF(AND(ISTEXT(I387),ISBLANK(C387)),"No details",VLOOKUP(C387,DimFolder,2,FALSE)),""))</f>
        <v/>
      </c>
      <c r="P387" s="4" t="str">
        <f t="shared" si="101"/>
        <v/>
      </c>
      <c r="Q387" s="58" t="str">
        <f t="shared" si="112"/>
        <v/>
      </c>
      <c r="R387" s="4" t="e" cm="1">
        <f t="array" ref="R387">IF(INDEX(Table2[],_xlfn.XMATCH($A387,Table2[Steel Member],0),_xlfn.XMATCH(R$2,Table2[#Headers],0))=0,"",INDEX(Table2[],_xlfn.XMATCH($A387,Table2[Steel Member],0),_xlfn.XMATCH(R$2,Table2[#Headers],0)))</f>
        <v>#N/A</v>
      </c>
      <c r="S387" s="4" t="e" cm="1">
        <f t="array" ref="S387">IF(INDEX(Table2[],_xlfn.XMATCH($A387,Table2[Steel Member],0),_xlfn.XMATCH(S$2,Table2[#Headers],0))=0,"",INDEX(Table2[],_xlfn.XMATCH($A387,Table2[Steel Member],0),_xlfn.XMATCH(S$2,Table2[#Headers],0)))</f>
        <v>#N/A</v>
      </c>
      <c r="T387" s="4" t="str">
        <f t="shared" si="103"/>
        <v/>
      </c>
      <c r="U387" s="4" t="e">
        <f ca="1">VLOOKUP(N387,'COLOR CODE'!$B:$D,2,FALSE)</f>
        <v>#N/A</v>
      </c>
      <c r="V387" s="4" t="str">
        <f t="shared" si="104"/>
        <v/>
      </c>
      <c r="W387" s="4" t="e" cm="1">
        <f t="array" ref="W387">IF(INDEX(Table2[],_xlfn.XMATCH($A387,Table2[Steel Member],0),_xlfn.XMATCH(W$2,Table2[#Headers],0))=0,"",INDEX(Table2[],_xlfn.XMATCH($A387,Table2[Steel Member],0),_xlfn.XMATCH(W$2,Table2[#Headers],0)))</f>
        <v>#N/A</v>
      </c>
      <c r="X387" s="4" t="e">
        <f t="shared" si="102"/>
        <v>#N/A</v>
      </c>
      <c r="Y387" s="4" t="e" cm="1">
        <f t="array" ref="Y387">IF(INDEX(Table2[],_xlfn.XMATCH($A387,Table2[Steel Member],0),_xlfn.XMATCH(Y$2,Table2[#Headers],0))=0,"",INDEX(Table2[],_xlfn.XMATCH($A387,Table2[Steel Member],0),_xlfn.XMATCH(Y$2,Table2[#Headers],0)))</f>
        <v>#N/A</v>
      </c>
      <c r="Z387" s="4" t="e" cm="1">
        <f t="array" ref="Z387">IF(INDEX(Table2[],_xlfn.XMATCH($A387,Table2[Steel Member],0),_xlfn.XMATCH(Z$2,Table2[#Headers],0))=0,"",INDEX(Table2[],_xlfn.XMATCH($A387,Table2[Steel Member],0),_xlfn.XMATCH(Z$2,Table2[#Headers],0)))</f>
        <v>#N/A</v>
      </c>
      <c r="AA387" s="4" t="e" cm="1">
        <f t="array" ref="AA387">IF(INDEX(Table2[],_xlfn.XMATCH($A387,Table2[Steel Member],0),_xlfn.XMATCH(AA$2,Table2[#Headers],0))=0,"",INDEX(Table2[],_xlfn.XMATCH($A387,Table2[Steel Member],0),_xlfn.XMATCH(AA$2,Table2[#Headers],0)))</f>
        <v>#N/A</v>
      </c>
      <c r="AB387" s="4" t="e" cm="1">
        <f t="array" ref="AB387">IF(INDEX(Table2[],_xlfn.XMATCH($A387,Table2[Steel Member],0),_xlfn.XMATCH(AB$2,Table2[#Headers],0))=0,"",INDEX(Table2[],_xlfn.XMATCH($A387,Table2[Steel Member],0),_xlfn.XMATCH(AB$2,Table2[#Headers],0)))</f>
        <v>#N/A</v>
      </c>
      <c r="AC387" s="4" t="str" cm="1">
        <f t="array" ref="AC387">IFERROR(INDEX(Table8[],_xlfn.XMATCH($O387,Table8[Dimension Name Category],0),_xlfn.XMATCH(AC$2&amp;IF($L387," w/ tag"," w/o tag"),Table8[#Headers],0)),"")</f>
        <v/>
      </c>
      <c r="AD387" s="59" t="str">
        <f t="shared" si="105"/>
        <v/>
      </c>
      <c r="AE387" s="4" t="str">
        <f t="shared" si="106"/>
        <v/>
      </c>
      <c r="AF387" s="4" t="str">
        <f t="shared" si="107"/>
        <v/>
      </c>
      <c r="AG387" s="4" t="str" cm="1">
        <f t="array" ref="AG387">IFERROR(INDEX(Table8[],_xlfn.XMATCH($O387,Table8[Dimension Name Category],0),_xlfn.XMATCH(AG$2&amp;IF($L387," w/ tag"," w/o tag"),Table8[#Headers],0)),"")</f>
        <v/>
      </c>
      <c r="AH387" s="59" t="str">
        <f t="shared" si="108"/>
        <v/>
      </c>
      <c r="AI387" s="4"/>
      <c r="AJ387" s="4" t="str">
        <f t="shared" si="109"/>
        <v/>
      </c>
      <c r="AK387" s="4" t="str">
        <f t="shared" si="110"/>
        <v/>
      </c>
      <c r="AL387" s="4" t="e" cm="1">
        <f t="array" ref="AL387">IF(INDEX(Table2[],_xlfn.XMATCH($A387,Table2[Steel Member],0),_xlfn.XMATCH(AL$2,Table2[#Headers],0))=0,"",INDEX(Table2[],_xlfn.XMATCH($A387,Table2[Steel Member],0),_xlfn.XMATCH(AL$2,Table2[#Headers],0)))</f>
        <v>#N/A</v>
      </c>
      <c r="AM387" s="4"/>
      <c r="AN387" s="4" t="str">
        <f t="shared" si="111"/>
        <v/>
      </c>
      <c r="AO387" s="4"/>
      <c r="AP387" s="4" t="e" cm="1">
        <f t="array" ref="AP387">IF(INDEX(Table2[],_xlfn.XMATCH($A387,Table2[Steel Member],0),_xlfn.XMATCH(AP$2,Table2[#Headers],0))=0,"",INDEX(Table2[],_xlfn.XMATCH($A387,Table2[Steel Member],0),_xlfn.XMATCH(AP$2,Table2[#Headers],0)))</f>
        <v>#N/A</v>
      </c>
      <c r="AQ387" s="4"/>
      <c r="AR387" s="4"/>
      <c r="AS387" s="4"/>
      <c r="AT387" s="4"/>
    </row>
    <row r="388" spans="1:46" x14ac:dyDescent="0.25">
      <c r="A388" s="52"/>
      <c r="B388" s="52"/>
      <c r="C388" s="52"/>
      <c r="D388" s="52"/>
      <c r="E388" s="52"/>
      <c r="F388" s="64" cm="1">
        <f t="array" ref="F388">IF(COUNT(FIND(PurlinsxGirthsxBracings,$C388))&gt;0,0,ROUNDUP(IF(D388=0,0,VLOOKUP(D388,'DATA SHEET'!$B:$D,2,FALSE)),2))</f>
        <v>0</v>
      </c>
      <c r="G388" s="64" cm="1">
        <f t="array" ref="G388">IF(COUNT(FIND(PurlinsxGirthsxBracings,$C388))&gt;0,0,ROUNDUP(IF(D388=0,0,VLOOKUP(D388,'DATA SHEET'!$B:$D,3,FALSE)),2))</f>
        <v>0</v>
      </c>
      <c r="H388" s="53"/>
      <c r="I388" s="66" cm="1">
        <f t="array" ref="I388">IF(AND(ISBLANK(B388),ISBLANK(C388),ISBLANK(E388)),0,IF(COUNT(FIND(PurlinsxGirthsxBracings,$C388))&gt;0,IF(B388=0,CONCATENATE(E388," ",C388),CONCATENATE(B388," - ",E388," ",C388)),IF(B388=0,IF(ISBLANK(C388),E388,CONCATENATE(D388,", ",F388,"kg/m, ",G388,"mm surface perimeter")),IF(AND(ISBLANK(C388),ISTEXT(E388)),CONCATENATE(B388," - ",E388),IF(AND(ISBLANK(C388),ISBLANK(E388)),B388,CONCATENATE(B388," - ",D388,", ",F388,"kg/m, ",G388,"mm surface perimeter"))))&amp;IF(ISBLANK(H388),"",H388)))</f>
        <v>0</v>
      </c>
      <c r="J388" s="53"/>
      <c r="L388" s="4" t="str" cm="1">
        <f t="array" ref="L388">IF(COUNT(FIND({0,1,2,3,4,5,6,7,8,9},B388))&gt;0,COUNT(FIND({0,1,2,3,4,5,6,7,8,9},B388))&gt;0,"")</f>
        <v/>
      </c>
      <c r="M388" s="4" t="str" cm="1">
        <f t="array" aca="1" ref="M388" ca="1">IFERROR(_xlfn.IFS(R388="Count",RANDBETWEEN(1,COUNTIF($R$11:$R$653,"Count")),R388="Length",RANDBETWEEN(1,COUNTIF($R$11:$R$653,"Length"))),"")</f>
        <v/>
      </c>
      <c r="N388" s="4" t="str">
        <f ca="1">IFERROR(_xlfn.RANK.EQ(M388,$M$11:$M$653)+COUNTIF($M$11:M388,M388)-1,"")</f>
        <v/>
      </c>
      <c r="O388" s="86" t="str">
        <f>IF(A388='DATA SHEET'!$L$36,C388,IFERROR(IF(AND(ISTEXT(I388),ISBLANK(C388)),"No details",VLOOKUP(C388,DimFolder,2,FALSE)),""))</f>
        <v/>
      </c>
      <c r="P388" s="4" t="str">
        <f t="shared" si="101"/>
        <v/>
      </c>
      <c r="Q388" s="58" t="str">
        <f t="shared" si="112"/>
        <v/>
      </c>
      <c r="R388" s="4" t="e" cm="1">
        <f t="array" ref="R388">IF(INDEX(Table2[],_xlfn.XMATCH($A388,Table2[Steel Member],0),_xlfn.XMATCH(R$2,Table2[#Headers],0))=0,"",INDEX(Table2[],_xlfn.XMATCH($A388,Table2[Steel Member],0),_xlfn.XMATCH(R$2,Table2[#Headers],0)))</f>
        <v>#N/A</v>
      </c>
      <c r="S388" s="4" t="e" cm="1">
        <f t="array" ref="S388">IF(INDEX(Table2[],_xlfn.XMATCH($A388,Table2[Steel Member],0),_xlfn.XMATCH(S$2,Table2[#Headers],0))=0,"",INDEX(Table2[],_xlfn.XMATCH($A388,Table2[Steel Member],0),_xlfn.XMATCH(S$2,Table2[#Headers],0)))</f>
        <v>#N/A</v>
      </c>
      <c r="T388" s="4" t="str">
        <f t="shared" si="103"/>
        <v/>
      </c>
      <c r="U388" s="4" t="e">
        <f ca="1">VLOOKUP(N388,'COLOR CODE'!$B:$D,2,FALSE)</f>
        <v>#N/A</v>
      </c>
      <c r="V388" s="4" t="str">
        <f t="shared" si="104"/>
        <v/>
      </c>
      <c r="W388" s="4" t="e" cm="1">
        <f t="array" ref="W388">IF(INDEX(Table2[],_xlfn.XMATCH($A388,Table2[Steel Member],0),_xlfn.XMATCH(W$2,Table2[#Headers],0))=0,"",INDEX(Table2[],_xlfn.XMATCH($A388,Table2[Steel Member],0),_xlfn.XMATCH(W$2,Table2[#Headers],0)))</f>
        <v>#N/A</v>
      </c>
      <c r="X388" s="4" t="e">
        <f t="shared" si="102"/>
        <v>#N/A</v>
      </c>
      <c r="Y388" s="4" t="e" cm="1">
        <f t="array" ref="Y388">IF(INDEX(Table2[],_xlfn.XMATCH($A388,Table2[Steel Member],0),_xlfn.XMATCH(Y$2,Table2[#Headers],0))=0,"",INDEX(Table2[],_xlfn.XMATCH($A388,Table2[Steel Member],0),_xlfn.XMATCH(Y$2,Table2[#Headers],0)))</f>
        <v>#N/A</v>
      </c>
      <c r="Z388" s="4" t="e" cm="1">
        <f t="array" ref="Z388">IF(INDEX(Table2[],_xlfn.XMATCH($A388,Table2[Steel Member],0),_xlfn.XMATCH(Z$2,Table2[#Headers],0))=0,"",INDEX(Table2[],_xlfn.XMATCH($A388,Table2[Steel Member],0),_xlfn.XMATCH(Z$2,Table2[#Headers],0)))</f>
        <v>#N/A</v>
      </c>
      <c r="AA388" s="4" t="e" cm="1">
        <f t="array" ref="AA388">IF(INDEX(Table2[],_xlfn.XMATCH($A388,Table2[Steel Member],0),_xlfn.XMATCH(AA$2,Table2[#Headers],0))=0,"",INDEX(Table2[],_xlfn.XMATCH($A388,Table2[Steel Member],0),_xlfn.XMATCH(AA$2,Table2[#Headers],0)))</f>
        <v>#N/A</v>
      </c>
      <c r="AB388" s="4" t="e" cm="1">
        <f t="array" ref="AB388">IF(INDEX(Table2[],_xlfn.XMATCH($A388,Table2[Steel Member],0),_xlfn.XMATCH(AB$2,Table2[#Headers],0))=0,"",INDEX(Table2[],_xlfn.XMATCH($A388,Table2[Steel Member],0),_xlfn.XMATCH(AB$2,Table2[#Headers],0)))</f>
        <v>#N/A</v>
      </c>
      <c r="AC388" s="4" t="str" cm="1">
        <f t="array" ref="AC388">IFERROR(INDEX(Table8[],_xlfn.XMATCH($O388,Table8[Dimension Name Category],0),_xlfn.XMATCH(AC$2&amp;IF($L388," w/ tag"," w/o tag"),Table8[#Headers],0)),"")</f>
        <v/>
      </c>
      <c r="AD388" s="59" t="str">
        <f t="shared" si="105"/>
        <v/>
      </c>
      <c r="AE388" s="4" t="str">
        <f t="shared" si="106"/>
        <v/>
      </c>
      <c r="AF388" s="4" t="str">
        <f t="shared" si="107"/>
        <v/>
      </c>
      <c r="AG388" s="4" t="str" cm="1">
        <f t="array" ref="AG388">IFERROR(INDEX(Table8[],_xlfn.XMATCH($O388,Table8[Dimension Name Category],0),_xlfn.XMATCH(AG$2&amp;IF($L388," w/ tag"," w/o tag"),Table8[#Headers],0)),"")</f>
        <v/>
      </c>
      <c r="AH388" s="59" t="str">
        <f t="shared" si="108"/>
        <v/>
      </c>
      <c r="AI388" s="4"/>
      <c r="AJ388" s="4" t="str">
        <f t="shared" si="109"/>
        <v/>
      </c>
      <c r="AK388" s="4" t="str">
        <f t="shared" si="110"/>
        <v/>
      </c>
      <c r="AL388" s="4" t="e" cm="1">
        <f t="array" ref="AL388">IF(INDEX(Table2[],_xlfn.XMATCH($A388,Table2[Steel Member],0),_xlfn.XMATCH(AL$2,Table2[#Headers],0))=0,"",INDEX(Table2[],_xlfn.XMATCH($A388,Table2[Steel Member],0),_xlfn.XMATCH(AL$2,Table2[#Headers],0)))</f>
        <v>#N/A</v>
      </c>
      <c r="AM388" s="4"/>
      <c r="AN388" s="4" t="str">
        <f t="shared" si="111"/>
        <v/>
      </c>
      <c r="AO388" s="4"/>
      <c r="AP388" s="4" t="e" cm="1">
        <f t="array" ref="AP388">IF(INDEX(Table2[],_xlfn.XMATCH($A388,Table2[Steel Member],0),_xlfn.XMATCH(AP$2,Table2[#Headers],0))=0,"",INDEX(Table2[],_xlfn.XMATCH($A388,Table2[Steel Member],0),_xlfn.XMATCH(AP$2,Table2[#Headers],0)))</f>
        <v>#N/A</v>
      </c>
      <c r="AQ388" s="4"/>
      <c r="AR388" s="4"/>
      <c r="AS388" s="4"/>
      <c r="AT388" s="4"/>
    </row>
    <row r="389" spans="1:46" x14ac:dyDescent="0.25">
      <c r="A389" s="52"/>
      <c r="B389" s="52"/>
      <c r="C389" s="52"/>
      <c r="D389" s="52"/>
      <c r="E389" s="52"/>
      <c r="F389" s="64" cm="1">
        <f t="array" ref="F389">IF(COUNT(FIND(PurlinsxGirthsxBracings,$C389))&gt;0,0,ROUNDUP(IF(D389=0,0,VLOOKUP(D389,'DATA SHEET'!$B:$D,2,FALSE)),2))</f>
        <v>0</v>
      </c>
      <c r="G389" s="64" cm="1">
        <f t="array" ref="G389">IF(COUNT(FIND(PurlinsxGirthsxBracings,$C389))&gt;0,0,ROUNDUP(IF(D389=0,0,VLOOKUP(D389,'DATA SHEET'!$B:$D,3,FALSE)),2))</f>
        <v>0</v>
      </c>
      <c r="H389" s="53"/>
      <c r="I389" s="66" cm="1">
        <f t="array" ref="I389">IF(AND(ISBLANK(B389),ISBLANK(C389),ISBLANK(E389)),0,IF(COUNT(FIND(PurlinsxGirthsxBracings,$C389))&gt;0,IF(B389=0,CONCATENATE(E389," ",C389),CONCATENATE(B389," - ",E389," ",C389)),IF(B389=0,IF(ISBLANK(C389),E389,CONCATENATE(D389,", ",F389,"kg/m, ",G389,"mm surface perimeter")),IF(AND(ISBLANK(C389),ISTEXT(E389)),CONCATENATE(B389," - ",E389),IF(AND(ISBLANK(C389),ISBLANK(E389)),B389,CONCATENATE(B389," - ",D389,", ",F389,"kg/m, ",G389,"mm surface perimeter"))))&amp;IF(ISBLANK(H389),"",H389)))</f>
        <v>0</v>
      </c>
      <c r="J389" s="53"/>
      <c r="L389" s="4" t="str" cm="1">
        <f t="array" ref="L389">IF(COUNT(FIND({0,1,2,3,4,5,6,7,8,9},B389))&gt;0,COUNT(FIND({0,1,2,3,4,5,6,7,8,9},B389))&gt;0,"")</f>
        <v/>
      </c>
      <c r="M389" s="4" t="str" cm="1">
        <f t="array" aca="1" ref="M389" ca="1">IFERROR(_xlfn.IFS(R389="Count",RANDBETWEEN(1,COUNTIF($R$11:$R$653,"Count")),R389="Length",RANDBETWEEN(1,COUNTIF($R$11:$R$653,"Length"))),"")</f>
        <v/>
      </c>
      <c r="N389" s="4" t="str">
        <f ca="1">IFERROR(_xlfn.RANK.EQ(M389,$M$11:$M$653)+COUNTIF($M$11:M389,M389)-1,"")</f>
        <v/>
      </c>
      <c r="O389" s="86" t="str">
        <f>IF(A389='DATA SHEET'!$L$36,C389,IFERROR(IF(AND(ISTEXT(I389),ISBLANK(C389)),"No details",VLOOKUP(C389,DimFolder,2,FALSE)),""))</f>
        <v/>
      </c>
      <c r="P389" s="4" t="str">
        <f t="shared" si="101"/>
        <v/>
      </c>
      <c r="Q389" s="58" t="str">
        <f t="shared" si="112"/>
        <v/>
      </c>
      <c r="R389" s="4" t="e" cm="1">
        <f t="array" ref="R389">IF(INDEX(Table2[],_xlfn.XMATCH($A389,Table2[Steel Member],0),_xlfn.XMATCH(R$2,Table2[#Headers],0))=0,"",INDEX(Table2[],_xlfn.XMATCH($A389,Table2[Steel Member],0),_xlfn.XMATCH(R$2,Table2[#Headers],0)))</f>
        <v>#N/A</v>
      </c>
      <c r="S389" s="4" t="e" cm="1">
        <f t="array" ref="S389">IF(INDEX(Table2[],_xlfn.XMATCH($A389,Table2[Steel Member],0),_xlfn.XMATCH(S$2,Table2[#Headers],0))=0,"",INDEX(Table2[],_xlfn.XMATCH($A389,Table2[Steel Member],0),_xlfn.XMATCH(S$2,Table2[#Headers],0)))</f>
        <v>#N/A</v>
      </c>
      <c r="T389" s="4" t="str">
        <f t="shared" si="103"/>
        <v/>
      </c>
      <c r="U389" s="4" t="e">
        <f ca="1">VLOOKUP(N389,'COLOR CODE'!$B:$D,2,FALSE)</f>
        <v>#N/A</v>
      </c>
      <c r="V389" s="4" t="str">
        <f t="shared" si="104"/>
        <v/>
      </c>
      <c r="W389" s="4" t="e" cm="1">
        <f t="array" ref="W389">IF(INDEX(Table2[],_xlfn.XMATCH($A389,Table2[Steel Member],0),_xlfn.XMATCH(W$2,Table2[#Headers],0))=0,"",INDEX(Table2[],_xlfn.XMATCH($A389,Table2[Steel Member],0),_xlfn.XMATCH(W$2,Table2[#Headers],0)))</f>
        <v>#N/A</v>
      </c>
      <c r="X389" s="4" t="e">
        <f t="shared" si="102"/>
        <v>#N/A</v>
      </c>
      <c r="Y389" s="4" t="e" cm="1">
        <f t="array" ref="Y389">IF(INDEX(Table2[],_xlfn.XMATCH($A389,Table2[Steel Member],0),_xlfn.XMATCH(Y$2,Table2[#Headers],0))=0,"",INDEX(Table2[],_xlfn.XMATCH($A389,Table2[Steel Member],0),_xlfn.XMATCH(Y$2,Table2[#Headers],0)))</f>
        <v>#N/A</v>
      </c>
      <c r="Z389" s="4" t="e" cm="1">
        <f t="array" ref="Z389">IF(INDEX(Table2[],_xlfn.XMATCH($A389,Table2[Steel Member],0),_xlfn.XMATCH(Z$2,Table2[#Headers],0))=0,"",INDEX(Table2[],_xlfn.XMATCH($A389,Table2[Steel Member],0),_xlfn.XMATCH(Z$2,Table2[#Headers],0)))</f>
        <v>#N/A</v>
      </c>
      <c r="AA389" s="4" t="e" cm="1">
        <f t="array" ref="AA389">IF(INDEX(Table2[],_xlfn.XMATCH($A389,Table2[Steel Member],0),_xlfn.XMATCH(AA$2,Table2[#Headers],0))=0,"",INDEX(Table2[],_xlfn.XMATCH($A389,Table2[Steel Member],0),_xlfn.XMATCH(AA$2,Table2[#Headers],0)))</f>
        <v>#N/A</v>
      </c>
      <c r="AB389" s="4" t="e" cm="1">
        <f t="array" ref="AB389">IF(INDEX(Table2[],_xlfn.XMATCH($A389,Table2[Steel Member],0),_xlfn.XMATCH(AB$2,Table2[#Headers],0))=0,"",INDEX(Table2[],_xlfn.XMATCH($A389,Table2[Steel Member],0),_xlfn.XMATCH(AB$2,Table2[#Headers],0)))</f>
        <v>#N/A</v>
      </c>
      <c r="AC389" s="4" t="str" cm="1">
        <f t="array" ref="AC389">IFERROR(INDEX(Table8[],_xlfn.XMATCH($O389,Table8[Dimension Name Category],0),_xlfn.XMATCH(AC$2&amp;IF($L389," w/ tag"," w/o tag"),Table8[#Headers],0)),"")</f>
        <v/>
      </c>
      <c r="AD389" s="59" t="str">
        <f t="shared" si="105"/>
        <v/>
      </c>
      <c r="AE389" s="4" t="str">
        <f t="shared" si="106"/>
        <v/>
      </c>
      <c r="AF389" s="4" t="str">
        <f t="shared" si="107"/>
        <v/>
      </c>
      <c r="AG389" s="4" t="str" cm="1">
        <f t="array" ref="AG389">IFERROR(INDEX(Table8[],_xlfn.XMATCH($O389,Table8[Dimension Name Category],0),_xlfn.XMATCH(AG$2&amp;IF($L389," w/ tag"," w/o tag"),Table8[#Headers],0)),"")</f>
        <v/>
      </c>
      <c r="AH389" s="59" t="str">
        <f t="shared" si="108"/>
        <v/>
      </c>
      <c r="AI389" s="4"/>
      <c r="AJ389" s="4" t="str">
        <f t="shared" si="109"/>
        <v/>
      </c>
      <c r="AK389" s="4" t="str">
        <f t="shared" si="110"/>
        <v/>
      </c>
      <c r="AL389" s="4" t="e" cm="1">
        <f t="array" ref="AL389">IF(INDEX(Table2[],_xlfn.XMATCH($A389,Table2[Steel Member],0),_xlfn.XMATCH(AL$2,Table2[#Headers],0))=0,"",INDEX(Table2[],_xlfn.XMATCH($A389,Table2[Steel Member],0),_xlfn.XMATCH(AL$2,Table2[#Headers],0)))</f>
        <v>#N/A</v>
      </c>
      <c r="AM389" s="4"/>
      <c r="AN389" s="4" t="str">
        <f t="shared" si="111"/>
        <v/>
      </c>
      <c r="AO389" s="4"/>
      <c r="AP389" s="4" t="e" cm="1">
        <f t="array" ref="AP389">IF(INDEX(Table2[],_xlfn.XMATCH($A389,Table2[Steel Member],0),_xlfn.XMATCH(AP$2,Table2[#Headers],0))=0,"",INDEX(Table2[],_xlfn.XMATCH($A389,Table2[Steel Member],0),_xlfn.XMATCH(AP$2,Table2[#Headers],0)))</f>
        <v>#N/A</v>
      </c>
      <c r="AQ389" s="4"/>
      <c r="AR389" s="4"/>
      <c r="AS389" s="4"/>
      <c r="AT389" s="4"/>
    </row>
    <row r="390" spans="1:46" x14ac:dyDescent="0.25">
      <c r="A390" s="52"/>
      <c r="B390" s="52"/>
      <c r="C390" s="52"/>
      <c r="D390" s="52"/>
      <c r="E390" s="52"/>
      <c r="F390" s="64" cm="1">
        <f t="array" ref="F390">IF(COUNT(FIND(PurlinsxGirthsxBracings,$C390))&gt;0,0,ROUNDUP(IF(D390=0,0,VLOOKUP(D390,'DATA SHEET'!$B:$D,2,FALSE)),2))</f>
        <v>0</v>
      </c>
      <c r="G390" s="64" cm="1">
        <f t="array" ref="G390">IF(COUNT(FIND(PurlinsxGirthsxBracings,$C390))&gt;0,0,ROUNDUP(IF(D390=0,0,VLOOKUP(D390,'DATA SHEET'!$B:$D,3,FALSE)),2))</f>
        <v>0</v>
      </c>
      <c r="H390" s="53"/>
      <c r="I390" s="66" cm="1">
        <f t="array" ref="I390">IF(AND(ISBLANK(B390),ISBLANK(C390),ISBLANK(E390)),0,IF(COUNT(FIND(PurlinsxGirthsxBracings,$C390))&gt;0,IF(B390=0,CONCATENATE(E390," ",C390),CONCATENATE(B390," - ",E390," ",C390)),IF(B390=0,IF(ISBLANK(C390),E390,CONCATENATE(D390,", ",F390,"kg/m, ",G390,"mm surface perimeter")),IF(AND(ISBLANK(C390),ISTEXT(E390)),CONCATENATE(B390," - ",E390),IF(AND(ISBLANK(C390),ISBLANK(E390)),B390,CONCATENATE(B390," - ",D390,", ",F390,"kg/m, ",G390,"mm surface perimeter"))))&amp;IF(ISBLANK(H390),"",H390)))</f>
        <v>0</v>
      </c>
      <c r="J390" s="53"/>
      <c r="L390" s="4" t="str" cm="1">
        <f t="array" ref="L390">IF(COUNT(FIND({0,1,2,3,4,5,6,7,8,9},B390))&gt;0,COUNT(FIND({0,1,2,3,4,5,6,7,8,9},B390))&gt;0,"")</f>
        <v/>
      </c>
      <c r="M390" s="4" t="str" cm="1">
        <f t="array" aca="1" ref="M390" ca="1">IFERROR(_xlfn.IFS(R390="Count",RANDBETWEEN(1,COUNTIF($R$11:$R$653,"Count")),R390="Length",RANDBETWEEN(1,COUNTIF($R$11:$R$653,"Length"))),"")</f>
        <v/>
      </c>
      <c r="N390" s="4" t="str">
        <f ca="1">IFERROR(_xlfn.RANK.EQ(M390,$M$11:$M$653)+COUNTIF($M$11:M390,M390)-1,"")</f>
        <v/>
      </c>
      <c r="O390" s="86" t="str">
        <f>IF(A390='DATA SHEET'!$L$36,C390,IFERROR(IF(AND(ISTEXT(I390),ISBLANK(C390)),"No details",VLOOKUP(C390,DimFolder,2,FALSE)),""))</f>
        <v/>
      </c>
      <c r="P390" s="4" t="str">
        <f t="shared" si="101"/>
        <v/>
      </c>
      <c r="Q390" s="58" t="str">
        <f t="shared" si="112"/>
        <v/>
      </c>
      <c r="R390" s="4" t="e" cm="1">
        <f t="array" ref="R390">IF(INDEX(Table2[],_xlfn.XMATCH($A390,Table2[Steel Member],0),_xlfn.XMATCH(R$2,Table2[#Headers],0))=0,"",INDEX(Table2[],_xlfn.XMATCH($A390,Table2[Steel Member],0),_xlfn.XMATCH(R$2,Table2[#Headers],0)))</f>
        <v>#N/A</v>
      </c>
      <c r="S390" s="4" t="e" cm="1">
        <f t="array" ref="S390">IF(INDEX(Table2[],_xlfn.XMATCH($A390,Table2[Steel Member],0),_xlfn.XMATCH(S$2,Table2[#Headers],0))=0,"",INDEX(Table2[],_xlfn.XMATCH($A390,Table2[Steel Member],0),_xlfn.XMATCH(S$2,Table2[#Headers],0)))</f>
        <v>#N/A</v>
      </c>
      <c r="T390" s="4" t="str">
        <f t="shared" si="103"/>
        <v/>
      </c>
      <c r="U390" s="4" t="e">
        <f ca="1">VLOOKUP(N390,'COLOR CODE'!$B:$D,2,FALSE)</f>
        <v>#N/A</v>
      </c>
      <c r="V390" s="4" t="str">
        <f t="shared" si="104"/>
        <v/>
      </c>
      <c r="W390" s="4" t="e" cm="1">
        <f t="array" ref="W390">IF(INDEX(Table2[],_xlfn.XMATCH($A390,Table2[Steel Member],0),_xlfn.XMATCH(W$2,Table2[#Headers],0))=0,"",INDEX(Table2[],_xlfn.XMATCH($A390,Table2[Steel Member],0),_xlfn.XMATCH(W$2,Table2[#Headers],0)))</f>
        <v>#N/A</v>
      </c>
      <c r="X390" s="4" t="e">
        <f t="shared" si="102"/>
        <v>#N/A</v>
      </c>
      <c r="Y390" s="4" t="e" cm="1">
        <f t="array" ref="Y390">IF(INDEX(Table2[],_xlfn.XMATCH($A390,Table2[Steel Member],0),_xlfn.XMATCH(Y$2,Table2[#Headers],0))=0,"",INDEX(Table2[],_xlfn.XMATCH($A390,Table2[Steel Member],0),_xlfn.XMATCH(Y$2,Table2[#Headers],0)))</f>
        <v>#N/A</v>
      </c>
      <c r="Z390" s="4" t="e" cm="1">
        <f t="array" ref="Z390">IF(INDEX(Table2[],_xlfn.XMATCH($A390,Table2[Steel Member],0),_xlfn.XMATCH(Z$2,Table2[#Headers],0))=0,"",INDEX(Table2[],_xlfn.XMATCH($A390,Table2[Steel Member],0),_xlfn.XMATCH(Z$2,Table2[#Headers],0)))</f>
        <v>#N/A</v>
      </c>
      <c r="AA390" s="4" t="e" cm="1">
        <f t="array" ref="AA390">IF(INDEX(Table2[],_xlfn.XMATCH($A390,Table2[Steel Member],0),_xlfn.XMATCH(AA$2,Table2[#Headers],0))=0,"",INDEX(Table2[],_xlfn.XMATCH($A390,Table2[Steel Member],0),_xlfn.XMATCH(AA$2,Table2[#Headers],0)))</f>
        <v>#N/A</v>
      </c>
      <c r="AB390" s="4" t="e" cm="1">
        <f t="array" ref="AB390">IF(INDEX(Table2[],_xlfn.XMATCH($A390,Table2[Steel Member],0),_xlfn.XMATCH(AB$2,Table2[#Headers],0))=0,"",INDEX(Table2[],_xlfn.XMATCH($A390,Table2[Steel Member],0),_xlfn.XMATCH(AB$2,Table2[#Headers],0)))</f>
        <v>#N/A</v>
      </c>
      <c r="AC390" s="4" t="str" cm="1">
        <f t="array" ref="AC390">IFERROR(INDEX(Table8[],_xlfn.XMATCH($O390,Table8[Dimension Name Category],0),_xlfn.XMATCH(AC$2&amp;IF($L390," w/ tag"," w/o tag"),Table8[#Headers],0)),"")</f>
        <v/>
      </c>
      <c r="AD390" s="59" t="str">
        <f t="shared" si="105"/>
        <v/>
      </c>
      <c r="AE390" s="4" t="str">
        <f t="shared" si="106"/>
        <v/>
      </c>
      <c r="AF390" s="4" t="str">
        <f t="shared" si="107"/>
        <v/>
      </c>
      <c r="AG390" s="4" t="str" cm="1">
        <f t="array" ref="AG390">IFERROR(INDEX(Table8[],_xlfn.XMATCH($O390,Table8[Dimension Name Category],0),_xlfn.XMATCH(AG$2&amp;IF($L390," w/ tag"," w/o tag"),Table8[#Headers],0)),"")</f>
        <v/>
      </c>
      <c r="AH390" s="59" t="str">
        <f t="shared" si="108"/>
        <v/>
      </c>
      <c r="AI390" s="4"/>
      <c r="AJ390" s="4" t="str">
        <f t="shared" si="109"/>
        <v/>
      </c>
      <c r="AK390" s="4" t="str">
        <f t="shared" si="110"/>
        <v/>
      </c>
      <c r="AL390" s="4" t="e" cm="1">
        <f t="array" ref="AL390">IF(INDEX(Table2[],_xlfn.XMATCH($A390,Table2[Steel Member],0),_xlfn.XMATCH(AL$2,Table2[#Headers],0))=0,"",INDEX(Table2[],_xlfn.XMATCH($A390,Table2[Steel Member],0),_xlfn.XMATCH(AL$2,Table2[#Headers],0)))</f>
        <v>#N/A</v>
      </c>
      <c r="AM390" s="4"/>
      <c r="AN390" s="4" t="str">
        <f t="shared" si="111"/>
        <v/>
      </c>
      <c r="AO390" s="4"/>
      <c r="AP390" s="4" t="e" cm="1">
        <f t="array" ref="AP390">IF(INDEX(Table2[],_xlfn.XMATCH($A390,Table2[Steel Member],0),_xlfn.XMATCH(AP$2,Table2[#Headers],0))=0,"",INDEX(Table2[],_xlfn.XMATCH($A390,Table2[Steel Member],0),_xlfn.XMATCH(AP$2,Table2[#Headers],0)))</f>
        <v>#N/A</v>
      </c>
      <c r="AQ390" s="4"/>
      <c r="AR390" s="4"/>
      <c r="AS390" s="4"/>
      <c r="AT390" s="4"/>
    </row>
    <row r="391" spans="1:46" x14ac:dyDescent="0.25">
      <c r="A391" s="52"/>
      <c r="B391" s="52"/>
      <c r="C391" s="52"/>
      <c r="D391" s="52"/>
      <c r="E391" s="52"/>
      <c r="F391" s="64" cm="1">
        <f t="array" ref="F391">IF(COUNT(FIND(PurlinsxGirthsxBracings,$C391))&gt;0,0,ROUNDUP(IF(D391=0,0,VLOOKUP(D391,'DATA SHEET'!$B:$D,2,FALSE)),2))</f>
        <v>0</v>
      </c>
      <c r="G391" s="64" cm="1">
        <f t="array" ref="G391">IF(COUNT(FIND(PurlinsxGirthsxBracings,$C391))&gt;0,0,ROUNDUP(IF(D391=0,0,VLOOKUP(D391,'DATA SHEET'!$B:$D,3,FALSE)),2))</f>
        <v>0</v>
      </c>
      <c r="H391" s="53"/>
      <c r="I391" s="66" cm="1">
        <f t="array" ref="I391">IF(AND(ISBLANK(B391),ISBLANK(C391),ISBLANK(E391)),0,IF(COUNT(FIND(PurlinsxGirthsxBracings,$C391))&gt;0,IF(B391=0,CONCATENATE(E391," ",C391),CONCATENATE(B391," - ",E391," ",C391)),IF(B391=0,IF(ISBLANK(C391),E391,CONCATENATE(D391,", ",F391,"kg/m, ",G391,"mm surface perimeter")),IF(AND(ISBLANK(C391),ISTEXT(E391)),CONCATENATE(B391," - ",E391),IF(AND(ISBLANK(C391),ISBLANK(E391)),B391,CONCATENATE(B391," - ",D391,", ",F391,"kg/m, ",G391,"mm surface perimeter"))))&amp;IF(ISBLANK(H391),"",H391)))</f>
        <v>0</v>
      </c>
      <c r="J391" s="53"/>
      <c r="L391" s="4" t="str" cm="1">
        <f t="array" ref="L391">IF(COUNT(FIND({0,1,2,3,4,5,6,7,8,9},B391))&gt;0,COUNT(FIND({0,1,2,3,4,5,6,7,8,9},B391))&gt;0,"")</f>
        <v/>
      </c>
      <c r="M391" s="4" t="str" cm="1">
        <f t="array" aca="1" ref="M391" ca="1">IFERROR(_xlfn.IFS(R391="Count",RANDBETWEEN(1,COUNTIF($R$11:$R$653,"Count")),R391="Length",RANDBETWEEN(1,COUNTIF($R$11:$R$653,"Length"))),"")</f>
        <v/>
      </c>
      <c r="N391" s="4" t="str">
        <f ca="1">IFERROR(_xlfn.RANK.EQ(M391,$M$11:$M$653)+COUNTIF($M$11:M391,M391)-1,"")</f>
        <v/>
      </c>
      <c r="O391" s="86" t="str">
        <f>IF(A391='DATA SHEET'!$L$36,C391,IFERROR(IF(AND(ISTEXT(I391),ISBLANK(C391)),"No details",VLOOKUP(C391,DimFolder,2,FALSE)),""))</f>
        <v/>
      </c>
      <c r="P391" s="4" t="str">
        <f t="shared" si="101"/>
        <v/>
      </c>
      <c r="Q391" s="58" t="str">
        <f t="shared" si="112"/>
        <v/>
      </c>
      <c r="R391" s="4" t="e" cm="1">
        <f t="array" ref="R391">IF(INDEX(Table2[],_xlfn.XMATCH($A391,Table2[Steel Member],0),_xlfn.XMATCH(R$2,Table2[#Headers],0))=0,"",INDEX(Table2[],_xlfn.XMATCH($A391,Table2[Steel Member],0),_xlfn.XMATCH(R$2,Table2[#Headers],0)))</f>
        <v>#N/A</v>
      </c>
      <c r="S391" s="4" t="e" cm="1">
        <f t="array" ref="S391">IF(INDEX(Table2[],_xlfn.XMATCH($A391,Table2[Steel Member],0),_xlfn.XMATCH(S$2,Table2[#Headers],0))=0,"",INDEX(Table2[],_xlfn.XMATCH($A391,Table2[Steel Member],0),_xlfn.XMATCH(S$2,Table2[#Headers],0)))</f>
        <v>#N/A</v>
      </c>
      <c r="T391" s="4" t="str">
        <f t="shared" si="103"/>
        <v/>
      </c>
      <c r="U391" s="4" t="e">
        <f ca="1">VLOOKUP(N391,'COLOR CODE'!$B:$D,2,FALSE)</f>
        <v>#N/A</v>
      </c>
      <c r="V391" s="4" t="str">
        <f t="shared" si="104"/>
        <v/>
      </c>
      <c r="W391" s="4" t="e" cm="1">
        <f t="array" ref="W391">IF(INDEX(Table2[],_xlfn.XMATCH($A391,Table2[Steel Member],0),_xlfn.XMATCH(W$2,Table2[#Headers],0))=0,"",INDEX(Table2[],_xlfn.XMATCH($A391,Table2[Steel Member],0),_xlfn.XMATCH(W$2,Table2[#Headers],0)))</f>
        <v>#N/A</v>
      </c>
      <c r="X391" s="4" t="e">
        <f t="shared" si="102"/>
        <v>#N/A</v>
      </c>
      <c r="Y391" s="4" t="e" cm="1">
        <f t="array" ref="Y391">IF(INDEX(Table2[],_xlfn.XMATCH($A391,Table2[Steel Member],0),_xlfn.XMATCH(Y$2,Table2[#Headers],0))=0,"",INDEX(Table2[],_xlfn.XMATCH($A391,Table2[Steel Member],0),_xlfn.XMATCH(Y$2,Table2[#Headers],0)))</f>
        <v>#N/A</v>
      </c>
      <c r="Z391" s="4" t="e" cm="1">
        <f t="array" ref="Z391">IF(INDEX(Table2[],_xlfn.XMATCH($A391,Table2[Steel Member],0),_xlfn.XMATCH(Z$2,Table2[#Headers],0))=0,"",INDEX(Table2[],_xlfn.XMATCH($A391,Table2[Steel Member],0),_xlfn.XMATCH(Z$2,Table2[#Headers],0)))</f>
        <v>#N/A</v>
      </c>
      <c r="AA391" s="4" t="e" cm="1">
        <f t="array" ref="AA391">IF(INDEX(Table2[],_xlfn.XMATCH($A391,Table2[Steel Member],0),_xlfn.XMATCH(AA$2,Table2[#Headers],0))=0,"",INDEX(Table2[],_xlfn.XMATCH($A391,Table2[Steel Member],0),_xlfn.XMATCH(AA$2,Table2[#Headers],0)))</f>
        <v>#N/A</v>
      </c>
      <c r="AB391" s="4" t="e" cm="1">
        <f t="array" ref="AB391">IF(INDEX(Table2[],_xlfn.XMATCH($A391,Table2[Steel Member],0),_xlfn.XMATCH(AB$2,Table2[#Headers],0))=0,"",INDEX(Table2[],_xlfn.XMATCH($A391,Table2[Steel Member],0),_xlfn.XMATCH(AB$2,Table2[#Headers],0)))</f>
        <v>#N/A</v>
      </c>
      <c r="AC391" s="4" t="str" cm="1">
        <f t="array" ref="AC391">IFERROR(INDEX(Table8[],_xlfn.XMATCH($O391,Table8[Dimension Name Category],0),_xlfn.XMATCH(AC$2&amp;IF($L391," w/ tag"," w/o tag"),Table8[#Headers],0)),"")</f>
        <v/>
      </c>
      <c r="AD391" s="59" t="str">
        <f t="shared" si="105"/>
        <v/>
      </c>
      <c r="AE391" s="4" t="str">
        <f t="shared" si="106"/>
        <v/>
      </c>
      <c r="AF391" s="4" t="str">
        <f t="shared" si="107"/>
        <v/>
      </c>
      <c r="AG391" s="4" t="str" cm="1">
        <f t="array" ref="AG391">IFERROR(INDEX(Table8[],_xlfn.XMATCH($O391,Table8[Dimension Name Category],0),_xlfn.XMATCH(AG$2&amp;IF($L391," w/ tag"," w/o tag"),Table8[#Headers],0)),"")</f>
        <v/>
      </c>
      <c r="AH391" s="59" t="str">
        <f t="shared" si="108"/>
        <v/>
      </c>
      <c r="AI391" s="4"/>
      <c r="AJ391" s="4" t="str">
        <f t="shared" si="109"/>
        <v/>
      </c>
      <c r="AK391" s="4" t="str">
        <f t="shared" si="110"/>
        <v/>
      </c>
      <c r="AL391" s="4" t="e" cm="1">
        <f t="array" ref="AL391">IF(INDEX(Table2[],_xlfn.XMATCH($A391,Table2[Steel Member],0),_xlfn.XMATCH(AL$2,Table2[#Headers],0))=0,"",INDEX(Table2[],_xlfn.XMATCH($A391,Table2[Steel Member],0),_xlfn.XMATCH(AL$2,Table2[#Headers],0)))</f>
        <v>#N/A</v>
      </c>
      <c r="AM391" s="4"/>
      <c r="AN391" s="4" t="str">
        <f t="shared" si="111"/>
        <v/>
      </c>
      <c r="AO391" s="4"/>
      <c r="AP391" s="4" t="e" cm="1">
        <f t="array" ref="AP391">IF(INDEX(Table2[],_xlfn.XMATCH($A391,Table2[Steel Member],0),_xlfn.XMATCH(AP$2,Table2[#Headers],0))=0,"",INDEX(Table2[],_xlfn.XMATCH($A391,Table2[Steel Member],0),_xlfn.XMATCH(AP$2,Table2[#Headers],0)))</f>
        <v>#N/A</v>
      </c>
      <c r="AQ391" s="4"/>
      <c r="AR391" s="4"/>
      <c r="AS391" s="4"/>
      <c r="AT391" s="4"/>
    </row>
    <row r="392" spans="1:46" x14ac:dyDescent="0.25">
      <c r="A392" s="52"/>
      <c r="B392" s="52"/>
      <c r="C392" s="52"/>
      <c r="D392" s="52"/>
      <c r="E392" s="52"/>
      <c r="F392" s="64" cm="1">
        <f t="array" ref="F392">IF(COUNT(FIND(PurlinsxGirthsxBracings,$C392))&gt;0,0,ROUNDUP(IF(D392=0,0,VLOOKUP(D392,'DATA SHEET'!$B:$D,2,FALSE)),2))</f>
        <v>0</v>
      </c>
      <c r="G392" s="64" cm="1">
        <f t="array" ref="G392">IF(COUNT(FIND(PurlinsxGirthsxBracings,$C392))&gt;0,0,ROUNDUP(IF(D392=0,0,VLOOKUP(D392,'DATA SHEET'!$B:$D,3,FALSE)),2))</f>
        <v>0</v>
      </c>
      <c r="H392" s="53"/>
      <c r="I392" s="66" cm="1">
        <f t="array" ref="I392">IF(AND(ISBLANK(B392),ISBLANK(C392),ISBLANK(E392)),0,IF(COUNT(FIND(PurlinsxGirthsxBracings,$C392))&gt;0,IF(B392=0,CONCATENATE(E392," ",C392),CONCATENATE(B392," - ",E392," ",C392)),IF(B392=0,IF(ISBLANK(C392),E392,CONCATENATE(D392,", ",F392,"kg/m, ",G392,"mm surface perimeter")),IF(AND(ISBLANK(C392),ISTEXT(E392)),CONCATENATE(B392," - ",E392),IF(AND(ISBLANK(C392),ISBLANK(E392)),B392,CONCATENATE(B392," - ",D392,", ",F392,"kg/m, ",G392,"mm surface perimeter"))))&amp;IF(ISBLANK(H392),"",H392)))</f>
        <v>0</v>
      </c>
      <c r="J392" s="53"/>
      <c r="L392" s="4" t="str" cm="1">
        <f t="array" ref="L392">IF(COUNT(FIND({0,1,2,3,4,5,6,7,8,9},B392))&gt;0,COUNT(FIND({0,1,2,3,4,5,6,7,8,9},B392))&gt;0,"")</f>
        <v/>
      </c>
      <c r="M392" s="4" t="str" cm="1">
        <f t="array" aca="1" ref="M392" ca="1">IFERROR(_xlfn.IFS(R392="Count",RANDBETWEEN(1,COUNTIF($R$11:$R$653,"Count")),R392="Length",RANDBETWEEN(1,COUNTIF($R$11:$R$653,"Length"))),"")</f>
        <v/>
      </c>
      <c r="N392" s="4" t="str">
        <f ca="1">IFERROR(_xlfn.RANK.EQ(M392,$M$11:$M$653)+COUNTIF($M$11:M392,M392)-1,"")</f>
        <v/>
      </c>
      <c r="O392" s="86" t="str">
        <f>IF(A392='DATA SHEET'!$L$36,C392,IFERROR(IF(AND(ISTEXT(I392),ISBLANK(C392)),"No details",VLOOKUP(C392,DimFolder,2,FALSE)),""))</f>
        <v/>
      </c>
      <c r="P392" s="4" t="str">
        <f t="shared" si="101"/>
        <v/>
      </c>
      <c r="Q392" s="58" t="str">
        <f t="shared" si="112"/>
        <v/>
      </c>
      <c r="R392" s="4" t="e" cm="1">
        <f t="array" ref="R392">IF(INDEX(Table2[],_xlfn.XMATCH($A392,Table2[Steel Member],0),_xlfn.XMATCH(R$2,Table2[#Headers],0))=0,"",INDEX(Table2[],_xlfn.XMATCH($A392,Table2[Steel Member],0),_xlfn.XMATCH(R$2,Table2[#Headers],0)))</f>
        <v>#N/A</v>
      </c>
      <c r="S392" s="4" t="e" cm="1">
        <f t="array" ref="S392">IF(INDEX(Table2[],_xlfn.XMATCH($A392,Table2[Steel Member],0),_xlfn.XMATCH(S$2,Table2[#Headers],0))=0,"",INDEX(Table2[],_xlfn.XMATCH($A392,Table2[Steel Member],0),_xlfn.XMATCH(S$2,Table2[#Headers],0)))</f>
        <v>#N/A</v>
      </c>
      <c r="T392" s="4" t="str">
        <f t="shared" si="103"/>
        <v/>
      </c>
      <c r="U392" s="4" t="e">
        <f ca="1">VLOOKUP(N392,'COLOR CODE'!$B:$D,2,FALSE)</f>
        <v>#N/A</v>
      </c>
      <c r="V392" s="4" t="str">
        <f t="shared" si="104"/>
        <v/>
      </c>
      <c r="W392" s="4" t="e" cm="1">
        <f t="array" ref="W392">IF(INDEX(Table2[],_xlfn.XMATCH($A392,Table2[Steel Member],0),_xlfn.XMATCH(W$2,Table2[#Headers],0))=0,"",INDEX(Table2[],_xlfn.XMATCH($A392,Table2[Steel Member],0),_xlfn.XMATCH(W$2,Table2[#Headers],0)))</f>
        <v>#N/A</v>
      </c>
      <c r="X392" s="4" t="e">
        <f t="shared" si="102"/>
        <v>#N/A</v>
      </c>
      <c r="Y392" s="4" t="e" cm="1">
        <f t="array" ref="Y392">IF(INDEX(Table2[],_xlfn.XMATCH($A392,Table2[Steel Member],0),_xlfn.XMATCH(Y$2,Table2[#Headers],0))=0,"",INDEX(Table2[],_xlfn.XMATCH($A392,Table2[Steel Member],0),_xlfn.XMATCH(Y$2,Table2[#Headers],0)))</f>
        <v>#N/A</v>
      </c>
      <c r="Z392" s="4" t="e" cm="1">
        <f t="array" ref="Z392">IF(INDEX(Table2[],_xlfn.XMATCH($A392,Table2[Steel Member],0),_xlfn.XMATCH(Z$2,Table2[#Headers],0))=0,"",INDEX(Table2[],_xlfn.XMATCH($A392,Table2[Steel Member],0),_xlfn.XMATCH(Z$2,Table2[#Headers],0)))</f>
        <v>#N/A</v>
      </c>
      <c r="AA392" s="4" t="e" cm="1">
        <f t="array" ref="AA392">IF(INDEX(Table2[],_xlfn.XMATCH($A392,Table2[Steel Member],0),_xlfn.XMATCH(AA$2,Table2[#Headers],0))=0,"",INDEX(Table2[],_xlfn.XMATCH($A392,Table2[Steel Member],0),_xlfn.XMATCH(AA$2,Table2[#Headers],0)))</f>
        <v>#N/A</v>
      </c>
      <c r="AB392" s="4" t="e" cm="1">
        <f t="array" ref="AB392">IF(INDEX(Table2[],_xlfn.XMATCH($A392,Table2[Steel Member],0),_xlfn.XMATCH(AB$2,Table2[#Headers],0))=0,"",INDEX(Table2[],_xlfn.XMATCH($A392,Table2[Steel Member],0),_xlfn.XMATCH(AB$2,Table2[#Headers],0)))</f>
        <v>#N/A</v>
      </c>
      <c r="AC392" s="4" t="str" cm="1">
        <f t="array" ref="AC392">IFERROR(INDEX(Table8[],_xlfn.XMATCH($O392,Table8[Dimension Name Category],0),_xlfn.XMATCH(AC$2&amp;IF($L392," w/ tag"," w/o tag"),Table8[#Headers],0)),"")</f>
        <v/>
      </c>
      <c r="AD392" s="59" t="str">
        <f t="shared" si="105"/>
        <v/>
      </c>
      <c r="AE392" s="4" t="str">
        <f t="shared" si="106"/>
        <v/>
      </c>
      <c r="AF392" s="4" t="str">
        <f t="shared" si="107"/>
        <v/>
      </c>
      <c r="AG392" s="4" t="str" cm="1">
        <f t="array" ref="AG392">IFERROR(INDEX(Table8[],_xlfn.XMATCH($O392,Table8[Dimension Name Category],0),_xlfn.XMATCH(AG$2&amp;IF($L392," w/ tag"," w/o tag"),Table8[#Headers],0)),"")</f>
        <v/>
      </c>
      <c r="AH392" s="59" t="str">
        <f t="shared" si="108"/>
        <v/>
      </c>
      <c r="AI392" s="4"/>
      <c r="AJ392" s="4" t="str">
        <f t="shared" si="109"/>
        <v/>
      </c>
      <c r="AK392" s="4" t="str">
        <f t="shared" si="110"/>
        <v/>
      </c>
      <c r="AL392" s="4" t="e" cm="1">
        <f t="array" ref="AL392">IF(INDEX(Table2[],_xlfn.XMATCH($A392,Table2[Steel Member],0),_xlfn.XMATCH(AL$2,Table2[#Headers],0))=0,"",INDEX(Table2[],_xlfn.XMATCH($A392,Table2[Steel Member],0),_xlfn.XMATCH(AL$2,Table2[#Headers],0)))</f>
        <v>#N/A</v>
      </c>
      <c r="AM392" s="4"/>
      <c r="AN392" s="4" t="str">
        <f t="shared" si="111"/>
        <v/>
      </c>
      <c r="AO392" s="4"/>
      <c r="AP392" s="4" t="e" cm="1">
        <f t="array" ref="AP392">IF(INDEX(Table2[],_xlfn.XMATCH($A392,Table2[Steel Member],0),_xlfn.XMATCH(AP$2,Table2[#Headers],0))=0,"",INDEX(Table2[],_xlfn.XMATCH($A392,Table2[Steel Member],0),_xlfn.XMATCH(AP$2,Table2[#Headers],0)))</f>
        <v>#N/A</v>
      </c>
      <c r="AQ392" s="4"/>
      <c r="AR392" s="4"/>
      <c r="AS392" s="4"/>
      <c r="AT392" s="4"/>
    </row>
    <row r="393" spans="1:46" x14ac:dyDescent="0.25">
      <c r="A393" s="52"/>
      <c r="B393" s="52"/>
      <c r="C393" s="52"/>
      <c r="D393" s="52"/>
      <c r="E393" s="52"/>
      <c r="F393" s="64" cm="1">
        <f t="array" ref="F393">IF(COUNT(FIND(PurlinsxGirthsxBracings,$C393))&gt;0,0,ROUNDUP(IF(D393=0,0,VLOOKUP(D393,'DATA SHEET'!$B:$D,2,FALSE)),2))</f>
        <v>0</v>
      </c>
      <c r="G393" s="64" cm="1">
        <f t="array" ref="G393">IF(COUNT(FIND(PurlinsxGirthsxBracings,$C393))&gt;0,0,ROUNDUP(IF(D393=0,0,VLOOKUP(D393,'DATA SHEET'!$B:$D,3,FALSE)),2))</f>
        <v>0</v>
      </c>
      <c r="H393" s="53"/>
      <c r="I393" s="66" cm="1">
        <f t="array" ref="I393">IF(AND(ISBLANK(B393),ISBLANK(C393),ISBLANK(E393)),0,IF(COUNT(FIND(PurlinsxGirthsxBracings,$C393))&gt;0,IF(B393=0,CONCATENATE(E393," ",C393),CONCATENATE(B393," - ",E393," ",C393)),IF(B393=0,IF(ISBLANK(C393),E393,CONCATENATE(D393,", ",F393,"kg/m, ",G393,"mm surface perimeter")),IF(AND(ISBLANK(C393),ISTEXT(E393)),CONCATENATE(B393," - ",E393),IF(AND(ISBLANK(C393),ISBLANK(E393)),B393,CONCATENATE(B393," - ",D393,", ",F393,"kg/m, ",G393,"mm surface perimeter"))))&amp;IF(ISBLANK(H393),"",H393)))</f>
        <v>0</v>
      </c>
      <c r="J393" s="53"/>
      <c r="L393" s="4" t="str" cm="1">
        <f t="array" ref="L393">IF(COUNT(FIND({0,1,2,3,4,5,6,7,8,9},B393))&gt;0,COUNT(FIND({0,1,2,3,4,5,6,7,8,9},B393))&gt;0,"")</f>
        <v/>
      </c>
      <c r="M393" s="4" t="str" cm="1">
        <f t="array" aca="1" ref="M393" ca="1">IFERROR(_xlfn.IFS(R393="Count",RANDBETWEEN(1,COUNTIF($R$11:$R$653,"Count")),R393="Length",RANDBETWEEN(1,COUNTIF($R$11:$R$653,"Length"))),"")</f>
        <v/>
      </c>
      <c r="N393" s="4" t="str">
        <f ca="1">IFERROR(_xlfn.RANK.EQ(M393,$M$11:$M$653)+COUNTIF($M$11:M393,M393)-1,"")</f>
        <v/>
      </c>
      <c r="O393" s="86" t="str">
        <f>IF(A393='DATA SHEET'!$L$36,C393,IFERROR(IF(AND(ISTEXT(I393),ISBLANK(C393)),"No details",VLOOKUP(C393,DimFolder,2,FALSE)),""))</f>
        <v/>
      </c>
      <c r="P393" s="4" t="str">
        <f t="shared" si="101"/>
        <v/>
      </c>
      <c r="Q393" s="58" t="str">
        <f t="shared" si="112"/>
        <v/>
      </c>
      <c r="R393" s="4" t="e" cm="1">
        <f t="array" ref="R393">IF(INDEX(Table2[],_xlfn.XMATCH($A393,Table2[Steel Member],0),_xlfn.XMATCH(R$2,Table2[#Headers],0))=0,"",INDEX(Table2[],_xlfn.XMATCH($A393,Table2[Steel Member],0),_xlfn.XMATCH(R$2,Table2[#Headers],0)))</f>
        <v>#N/A</v>
      </c>
      <c r="S393" s="4" t="e" cm="1">
        <f t="array" ref="S393">IF(INDEX(Table2[],_xlfn.XMATCH($A393,Table2[Steel Member],0),_xlfn.XMATCH(S$2,Table2[#Headers],0))=0,"",INDEX(Table2[],_xlfn.XMATCH($A393,Table2[Steel Member],0),_xlfn.XMATCH(S$2,Table2[#Headers],0)))</f>
        <v>#N/A</v>
      </c>
      <c r="T393" s="4" t="str">
        <f t="shared" si="103"/>
        <v/>
      </c>
      <c r="U393" s="4" t="e">
        <f ca="1">VLOOKUP(N393,'COLOR CODE'!$B:$D,2,FALSE)</f>
        <v>#N/A</v>
      </c>
      <c r="V393" s="4" t="str">
        <f t="shared" si="104"/>
        <v/>
      </c>
      <c r="W393" s="4" t="e" cm="1">
        <f t="array" ref="W393">IF(INDEX(Table2[],_xlfn.XMATCH($A393,Table2[Steel Member],0),_xlfn.XMATCH(W$2,Table2[#Headers],0))=0,"",INDEX(Table2[],_xlfn.XMATCH($A393,Table2[Steel Member],0),_xlfn.XMATCH(W$2,Table2[#Headers],0)))</f>
        <v>#N/A</v>
      </c>
      <c r="X393" s="4" t="e">
        <f t="shared" si="102"/>
        <v>#N/A</v>
      </c>
      <c r="Y393" s="4" t="e" cm="1">
        <f t="array" ref="Y393">IF(INDEX(Table2[],_xlfn.XMATCH($A393,Table2[Steel Member],0),_xlfn.XMATCH(Y$2,Table2[#Headers],0))=0,"",INDEX(Table2[],_xlfn.XMATCH($A393,Table2[Steel Member],0),_xlfn.XMATCH(Y$2,Table2[#Headers],0)))</f>
        <v>#N/A</v>
      </c>
      <c r="Z393" s="4" t="e" cm="1">
        <f t="array" ref="Z393">IF(INDEX(Table2[],_xlfn.XMATCH($A393,Table2[Steel Member],0),_xlfn.XMATCH(Z$2,Table2[#Headers],0))=0,"",INDEX(Table2[],_xlfn.XMATCH($A393,Table2[Steel Member],0),_xlfn.XMATCH(Z$2,Table2[#Headers],0)))</f>
        <v>#N/A</v>
      </c>
      <c r="AA393" s="4" t="e" cm="1">
        <f t="array" ref="AA393">IF(INDEX(Table2[],_xlfn.XMATCH($A393,Table2[Steel Member],0),_xlfn.XMATCH(AA$2,Table2[#Headers],0))=0,"",INDEX(Table2[],_xlfn.XMATCH($A393,Table2[Steel Member],0),_xlfn.XMATCH(AA$2,Table2[#Headers],0)))</f>
        <v>#N/A</v>
      </c>
      <c r="AB393" s="4" t="e" cm="1">
        <f t="array" ref="AB393">IF(INDEX(Table2[],_xlfn.XMATCH($A393,Table2[Steel Member],0),_xlfn.XMATCH(AB$2,Table2[#Headers],0))=0,"",INDEX(Table2[],_xlfn.XMATCH($A393,Table2[Steel Member],0),_xlfn.XMATCH(AB$2,Table2[#Headers],0)))</f>
        <v>#N/A</v>
      </c>
      <c r="AC393" s="4" t="str" cm="1">
        <f t="array" ref="AC393">IFERROR(INDEX(Table8[],_xlfn.XMATCH($O393,Table8[Dimension Name Category],0),_xlfn.XMATCH(AC$2&amp;IF($L393," w/ tag"," w/o tag"),Table8[#Headers],0)),"")</f>
        <v/>
      </c>
      <c r="AD393" s="59" t="str">
        <f t="shared" si="105"/>
        <v/>
      </c>
      <c r="AE393" s="4" t="str">
        <f t="shared" si="106"/>
        <v/>
      </c>
      <c r="AF393" s="4" t="str">
        <f t="shared" si="107"/>
        <v/>
      </c>
      <c r="AG393" s="4" t="str" cm="1">
        <f t="array" ref="AG393">IFERROR(INDEX(Table8[],_xlfn.XMATCH($O393,Table8[Dimension Name Category],0),_xlfn.XMATCH(AG$2&amp;IF($L393," w/ tag"," w/o tag"),Table8[#Headers],0)),"")</f>
        <v/>
      </c>
      <c r="AH393" s="59" t="str">
        <f t="shared" si="108"/>
        <v/>
      </c>
      <c r="AI393" s="4"/>
      <c r="AJ393" s="4" t="str">
        <f t="shared" si="109"/>
        <v/>
      </c>
      <c r="AK393" s="4" t="str">
        <f t="shared" si="110"/>
        <v/>
      </c>
      <c r="AL393" s="4" t="e" cm="1">
        <f t="array" ref="AL393">IF(INDEX(Table2[],_xlfn.XMATCH($A393,Table2[Steel Member],0),_xlfn.XMATCH(AL$2,Table2[#Headers],0))=0,"",INDEX(Table2[],_xlfn.XMATCH($A393,Table2[Steel Member],0),_xlfn.XMATCH(AL$2,Table2[#Headers],0)))</f>
        <v>#N/A</v>
      </c>
      <c r="AM393" s="4"/>
      <c r="AN393" s="4" t="str">
        <f t="shared" si="111"/>
        <v/>
      </c>
      <c r="AO393" s="4"/>
      <c r="AP393" s="4" t="e" cm="1">
        <f t="array" ref="AP393">IF(INDEX(Table2[],_xlfn.XMATCH($A393,Table2[Steel Member],0),_xlfn.XMATCH(AP$2,Table2[#Headers],0))=0,"",INDEX(Table2[],_xlfn.XMATCH($A393,Table2[Steel Member],0),_xlfn.XMATCH(AP$2,Table2[#Headers],0)))</f>
        <v>#N/A</v>
      </c>
      <c r="AQ393" s="4"/>
      <c r="AR393" s="4"/>
      <c r="AS393" s="4"/>
      <c r="AT393" s="4"/>
    </row>
    <row r="394" spans="1:46" x14ac:dyDescent="0.25">
      <c r="A394" s="52"/>
      <c r="B394" s="52"/>
      <c r="C394" s="52"/>
      <c r="D394" s="52"/>
      <c r="E394" s="52"/>
      <c r="F394" s="64" cm="1">
        <f t="array" ref="F394">IF(COUNT(FIND(PurlinsxGirthsxBracings,$C394))&gt;0,0,ROUNDUP(IF(D394=0,0,VLOOKUP(D394,'DATA SHEET'!$B:$D,2,FALSE)),2))</f>
        <v>0</v>
      </c>
      <c r="G394" s="64" cm="1">
        <f t="array" ref="G394">IF(COUNT(FIND(PurlinsxGirthsxBracings,$C394))&gt;0,0,ROUNDUP(IF(D394=0,0,VLOOKUP(D394,'DATA SHEET'!$B:$D,3,FALSE)),2))</f>
        <v>0</v>
      </c>
      <c r="H394" s="53"/>
      <c r="I394" s="66" cm="1">
        <f t="array" ref="I394">IF(AND(ISBLANK(B394),ISBLANK(C394),ISBLANK(E394)),0,IF(COUNT(FIND(PurlinsxGirthsxBracings,$C394))&gt;0,IF(B394=0,CONCATENATE(E394," ",C394),CONCATENATE(B394," - ",E394," ",C394)),IF(B394=0,IF(ISBLANK(C394),E394,CONCATENATE(D394,", ",F394,"kg/m, ",G394,"mm surface perimeter")),IF(AND(ISBLANK(C394),ISTEXT(E394)),CONCATENATE(B394," - ",E394),IF(AND(ISBLANK(C394),ISBLANK(E394)),B394,CONCATENATE(B394," - ",D394,", ",F394,"kg/m, ",G394,"mm surface perimeter"))))&amp;IF(ISBLANK(H394),"",H394)))</f>
        <v>0</v>
      </c>
      <c r="J394" s="53"/>
      <c r="L394" s="4" t="str" cm="1">
        <f t="array" ref="L394">IF(COUNT(FIND({0,1,2,3,4,5,6,7,8,9},B394))&gt;0,COUNT(FIND({0,1,2,3,4,5,6,7,8,9},B394))&gt;0,"")</f>
        <v/>
      </c>
      <c r="M394" s="4" t="str" cm="1">
        <f t="array" aca="1" ref="M394" ca="1">IFERROR(_xlfn.IFS(R394="Count",RANDBETWEEN(1,COUNTIF($R$11:$R$653,"Count")),R394="Length",RANDBETWEEN(1,COUNTIF($R$11:$R$653,"Length"))),"")</f>
        <v/>
      </c>
      <c r="N394" s="4" t="str">
        <f ca="1">IFERROR(_xlfn.RANK.EQ(M394,$M$11:$M$653)+COUNTIF($M$11:M394,M394)-1,"")</f>
        <v/>
      </c>
      <c r="O394" s="86" t="str">
        <f>IF(A394='DATA SHEET'!$L$36,C394,IFERROR(IF(AND(ISTEXT(I394),ISBLANK(C394)),"No details",VLOOKUP(C394,DimFolder,2,FALSE)),""))</f>
        <v/>
      </c>
      <c r="P394" s="4" t="str">
        <f t="shared" si="101"/>
        <v/>
      </c>
      <c r="Q394" s="58" t="str">
        <f t="shared" si="112"/>
        <v/>
      </c>
      <c r="R394" s="4" t="e" cm="1">
        <f t="array" ref="R394">IF(INDEX(Table2[],_xlfn.XMATCH($A394,Table2[Steel Member],0),_xlfn.XMATCH(R$2,Table2[#Headers],0))=0,"",INDEX(Table2[],_xlfn.XMATCH($A394,Table2[Steel Member],0),_xlfn.XMATCH(R$2,Table2[#Headers],0)))</f>
        <v>#N/A</v>
      </c>
      <c r="S394" s="4" t="e" cm="1">
        <f t="array" ref="S394">IF(INDEX(Table2[],_xlfn.XMATCH($A394,Table2[Steel Member],0),_xlfn.XMATCH(S$2,Table2[#Headers],0))=0,"",INDEX(Table2[],_xlfn.XMATCH($A394,Table2[Steel Member],0),_xlfn.XMATCH(S$2,Table2[#Headers],0)))</f>
        <v>#N/A</v>
      </c>
      <c r="T394" s="4" t="str">
        <f t="shared" si="103"/>
        <v/>
      </c>
      <c r="U394" s="4" t="e">
        <f ca="1">VLOOKUP(N394,'COLOR CODE'!$B:$D,2,FALSE)</f>
        <v>#N/A</v>
      </c>
      <c r="V394" s="4" t="str">
        <f t="shared" si="104"/>
        <v/>
      </c>
      <c r="W394" s="4" t="e" cm="1">
        <f t="array" ref="W394">IF(INDEX(Table2[],_xlfn.XMATCH($A394,Table2[Steel Member],0),_xlfn.XMATCH(W$2,Table2[#Headers],0))=0,"",INDEX(Table2[],_xlfn.XMATCH($A394,Table2[Steel Member],0),_xlfn.XMATCH(W$2,Table2[#Headers],0)))</f>
        <v>#N/A</v>
      </c>
      <c r="X394" s="4" t="e">
        <f t="shared" si="102"/>
        <v>#N/A</v>
      </c>
      <c r="Y394" s="4" t="e" cm="1">
        <f t="array" ref="Y394">IF(INDEX(Table2[],_xlfn.XMATCH($A394,Table2[Steel Member],0),_xlfn.XMATCH(Y$2,Table2[#Headers],0))=0,"",INDEX(Table2[],_xlfn.XMATCH($A394,Table2[Steel Member],0),_xlfn.XMATCH(Y$2,Table2[#Headers],0)))</f>
        <v>#N/A</v>
      </c>
      <c r="Z394" s="4" t="e" cm="1">
        <f t="array" ref="Z394">IF(INDEX(Table2[],_xlfn.XMATCH($A394,Table2[Steel Member],0),_xlfn.XMATCH(Z$2,Table2[#Headers],0))=0,"",INDEX(Table2[],_xlfn.XMATCH($A394,Table2[Steel Member],0),_xlfn.XMATCH(Z$2,Table2[#Headers],0)))</f>
        <v>#N/A</v>
      </c>
      <c r="AA394" s="4" t="e" cm="1">
        <f t="array" ref="AA394">IF(INDEX(Table2[],_xlfn.XMATCH($A394,Table2[Steel Member],0),_xlfn.XMATCH(AA$2,Table2[#Headers],0))=0,"",INDEX(Table2[],_xlfn.XMATCH($A394,Table2[Steel Member],0),_xlfn.XMATCH(AA$2,Table2[#Headers],0)))</f>
        <v>#N/A</v>
      </c>
      <c r="AB394" s="4" t="e" cm="1">
        <f t="array" ref="AB394">IF(INDEX(Table2[],_xlfn.XMATCH($A394,Table2[Steel Member],0),_xlfn.XMATCH(AB$2,Table2[#Headers],0))=0,"",INDEX(Table2[],_xlfn.XMATCH($A394,Table2[Steel Member],0),_xlfn.XMATCH(AB$2,Table2[#Headers],0)))</f>
        <v>#N/A</v>
      </c>
      <c r="AC394" s="4" t="str" cm="1">
        <f t="array" ref="AC394">IFERROR(INDEX(Table8[],_xlfn.XMATCH($O394,Table8[Dimension Name Category],0),_xlfn.XMATCH(AC$2&amp;IF($L394," w/ tag"," w/o tag"),Table8[#Headers],0)),"")</f>
        <v/>
      </c>
      <c r="AD394" s="59" t="str">
        <f t="shared" si="105"/>
        <v/>
      </c>
      <c r="AE394" s="4" t="str">
        <f t="shared" si="106"/>
        <v/>
      </c>
      <c r="AF394" s="4" t="str">
        <f t="shared" si="107"/>
        <v/>
      </c>
      <c r="AG394" s="4" t="str" cm="1">
        <f t="array" ref="AG394">IFERROR(INDEX(Table8[],_xlfn.XMATCH($O394,Table8[Dimension Name Category],0),_xlfn.XMATCH(AG$2&amp;IF($L394," w/ tag"," w/o tag"),Table8[#Headers],0)),"")</f>
        <v/>
      </c>
      <c r="AH394" s="59" t="str">
        <f t="shared" si="108"/>
        <v/>
      </c>
      <c r="AI394" s="4"/>
      <c r="AJ394" s="4" t="str">
        <f t="shared" si="109"/>
        <v/>
      </c>
      <c r="AK394" s="4" t="str">
        <f t="shared" si="110"/>
        <v/>
      </c>
      <c r="AL394" s="4" t="e" cm="1">
        <f t="array" ref="AL394">IF(INDEX(Table2[],_xlfn.XMATCH($A394,Table2[Steel Member],0),_xlfn.XMATCH(AL$2,Table2[#Headers],0))=0,"",INDEX(Table2[],_xlfn.XMATCH($A394,Table2[Steel Member],0),_xlfn.XMATCH(AL$2,Table2[#Headers],0)))</f>
        <v>#N/A</v>
      </c>
      <c r="AM394" s="4"/>
      <c r="AN394" s="4" t="str">
        <f t="shared" si="111"/>
        <v/>
      </c>
      <c r="AO394" s="4"/>
      <c r="AP394" s="4" t="e" cm="1">
        <f t="array" ref="AP394">IF(INDEX(Table2[],_xlfn.XMATCH($A394,Table2[Steel Member],0),_xlfn.XMATCH(AP$2,Table2[#Headers],0))=0,"",INDEX(Table2[],_xlfn.XMATCH($A394,Table2[Steel Member],0),_xlfn.XMATCH(AP$2,Table2[#Headers],0)))</f>
        <v>#N/A</v>
      </c>
      <c r="AQ394" s="4"/>
      <c r="AR394" s="4"/>
      <c r="AS394" s="4"/>
      <c r="AT394" s="4"/>
    </row>
    <row r="395" spans="1:46" x14ac:dyDescent="0.25">
      <c r="A395" s="52"/>
      <c r="B395" s="52"/>
      <c r="C395" s="52"/>
      <c r="D395" s="52"/>
      <c r="E395" s="52"/>
      <c r="F395" s="64" cm="1">
        <f t="array" ref="F395">IF(COUNT(FIND(PurlinsxGirthsxBracings,$C395))&gt;0,0,ROUNDUP(IF(D395=0,0,VLOOKUP(D395,'DATA SHEET'!$B:$D,2,FALSE)),2))</f>
        <v>0</v>
      </c>
      <c r="G395" s="64" cm="1">
        <f t="array" ref="G395">IF(COUNT(FIND(PurlinsxGirthsxBracings,$C395))&gt;0,0,ROUNDUP(IF(D395=0,0,VLOOKUP(D395,'DATA SHEET'!$B:$D,3,FALSE)),2))</f>
        <v>0</v>
      </c>
      <c r="H395" s="53"/>
      <c r="I395" s="66" cm="1">
        <f t="array" ref="I395">IF(AND(ISBLANK(B395),ISBLANK(C395),ISBLANK(E395)),0,IF(COUNT(FIND(PurlinsxGirthsxBracings,$C395))&gt;0,IF(B395=0,CONCATENATE(E395," ",C395),CONCATENATE(B395," - ",E395," ",C395)),IF(B395=0,IF(ISBLANK(C395),E395,CONCATENATE(D395,", ",F395,"kg/m, ",G395,"mm surface perimeter")),IF(AND(ISBLANK(C395),ISTEXT(E395)),CONCATENATE(B395," - ",E395),IF(AND(ISBLANK(C395),ISBLANK(E395)),B395,CONCATENATE(B395," - ",D395,", ",F395,"kg/m, ",G395,"mm surface perimeter"))))&amp;IF(ISBLANK(H395),"",H395)))</f>
        <v>0</v>
      </c>
      <c r="J395" s="53"/>
      <c r="L395" s="4" t="str" cm="1">
        <f t="array" ref="L395">IF(COUNT(FIND({0,1,2,3,4,5,6,7,8,9},B395))&gt;0,COUNT(FIND({0,1,2,3,4,5,6,7,8,9},B395))&gt;0,"")</f>
        <v/>
      </c>
      <c r="M395" s="4" t="str" cm="1">
        <f t="array" aca="1" ref="M395" ca="1">IFERROR(_xlfn.IFS(R395="Count",RANDBETWEEN(1,COUNTIF($R$11:$R$653,"Count")),R395="Length",RANDBETWEEN(1,COUNTIF($R$11:$R$653,"Length"))),"")</f>
        <v/>
      </c>
      <c r="N395" s="4" t="str">
        <f ca="1">IFERROR(_xlfn.RANK.EQ(M395,$M$11:$M$653)+COUNTIF($M$11:M395,M395)-1,"")</f>
        <v/>
      </c>
      <c r="O395" s="86" t="str">
        <f>IF(A395='DATA SHEET'!$L$36,C395,IFERROR(IF(AND(ISTEXT(I395),ISBLANK(C395)),"No details",VLOOKUP(C395,DimFolder,2,FALSE)),""))</f>
        <v/>
      </c>
      <c r="P395" s="4" t="str">
        <f t="shared" ref="P395:P458" si="113">IF(AND(ISBLANK(B395),ISBLANK(C395)),"",CONCATENATE("Structural\Structural Steel\",A395,"\",O395))</f>
        <v/>
      </c>
      <c r="Q395" s="58" t="str">
        <f t="shared" si="112"/>
        <v/>
      </c>
      <c r="R395" s="4" t="e" cm="1">
        <f t="array" ref="R395">IF(INDEX(Table2[],_xlfn.XMATCH($A395,Table2[Steel Member],0),_xlfn.XMATCH(R$2,Table2[#Headers],0))=0,"",INDEX(Table2[],_xlfn.XMATCH($A395,Table2[Steel Member],0),_xlfn.XMATCH(R$2,Table2[#Headers],0)))</f>
        <v>#N/A</v>
      </c>
      <c r="S395" s="4" t="e" cm="1">
        <f t="array" ref="S395">IF(INDEX(Table2[],_xlfn.XMATCH($A395,Table2[Steel Member],0),_xlfn.XMATCH(S$2,Table2[#Headers],0))=0,"",INDEX(Table2[],_xlfn.XMATCH($A395,Table2[Steel Member],0),_xlfn.XMATCH(S$2,Table2[#Headers],0)))</f>
        <v>#N/A</v>
      </c>
      <c r="T395" s="4" t="str">
        <f t="shared" si="103"/>
        <v/>
      </c>
      <c r="U395" s="4" t="e">
        <f ca="1">VLOOKUP(N395,'COLOR CODE'!$B:$D,2,FALSE)</f>
        <v>#N/A</v>
      </c>
      <c r="V395" s="4" t="str">
        <f t="shared" si="104"/>
        <v/>
      </c>
      <c r="W395" s="4" t="e" cm="1">
        <f t="array" ref="W395">IF(INDEX(Table2[],_xlfn.XMATCH($A395,Table2[Steel Member],0),_xlfn.XMATCH(W$2,Table2[#Headers],0))=0,"",INDEX(Table2[],_xlfn.XMATCH($A395,Table2[Steel Member],0),_xlfn.XMATCH(W$2,Table2[#Headers],0)))</f>
        <v>#N/A</v>
      </c>
      <c r="X395" s="4" t="e">
        <f t="shared" si="102"/>
        <v>#N/A</v>
      </c>
      <c r="Y395" s="4" t="e" cm="1">
        <f t="array" ref="Y395">IF(INDEX(Table2[],_xlfn.XMATCH($A395,Table2[Steel Member],0),_xlfn.XMATCH(Y$2,Table2[#Headers],0))=0,"",INDEX(Table2[],_xlfn.XMATCH($A395,Table2[Steel Member],0),_xlfn.XMATCH(Y$2,Table2[#Headers],0)))</f>
        <v>#N/A</v>
      </c>
      <c r="Z395" s="4" t="e" cm="1">
        <f t="array" ref="Z395">IF(INDEX(Table2[],_xlfn.XMATCH($A395,Table2[Steel Member],0),_xlfn.XMATCH(Z$2,Table2[#Headers],0))=0,"",INDEX(Table2[],_xlfn.XMATCH($A395,Table2[Steel Member],0),_xlfn.XMATCH(Z$2,Table2[#Headers],0)))</f>
        <v>#N/A</v>
      </c>
      <c r="AA395" s="4" t="e" cm="1">
        <f t="array" ref="AA395">IF(INDEX(Table2[],_xlfn.XMATCH($A395,Table2[Steel Member],0),_xlfn.XMATCH(AA$2,Table2[#Headers],0))=0,"",INDEX(Table2[],_xlfn.XMATCH($A395,Table2[Steel Member],0),_xlfn.XMATCH(AA$2,Table2[#Headers],0)))</f>
        <v>#N/A</v>
      </c>
      <c r="AB395" s="4" t="e" cm="1">
        <f t="array" ref="AB395">IF(INDEX(Table2[],_xlfn.XMATCH($A395,Table2[Steel Member],0),_xlfn.XMATCH(AB$2,Table2[#Headers],0))=0,"",INDEX(Table2[],_xlfn.XMATCH($A395,Table2[Steel Member],0),_xlfn.XMATCH(AB$2,Table2[#Headers],0)))</f>
        <v>#N/A</v>
      </c>
      <c r="AC395" s="4" t="str" cm="1">
        <f t="array" ref="AC395">IFERROR(INDEX(Table8[],_xlfn.XMATCH($O395,Table8[Dimension Name Category],0),_xlfn.XMATCH(AC$2&amp;IF($L395," w/ tag"," w/o tag"),Table8[#Headers],0)),"")</f>
        <v/>
      </c>
      <c r="AD395" s="59" t="str">
        <f t="shared" si="105"/>
        <v/>
      </c>
      <c r="AE395" s="4" t="str">
        <f t="shared" si="106"/>
        <v/>
      </c>
      <c r="AF395" s="4" t="str">
        <f t="shared" si="107"/>
        <v/>
      </c>
      <c r="AG395" s="4" t="str" cm="1">
        <f t="array" ref="AG395">IFERROR(INDEX(Table8[],_xlfn.XMATCH($O395,Table8[Dimension Name Category],0),_xlfn.XMATCH(AG$2&amp;IF($L395," w/ tag"," w/o tag"),Table8[#Headers],0)),"")</f>
        <v/>
      </c>
      <c r="AH395" s="59" t="str">
        <f t="shared" si="108"/>
        <v/>
      </c>
      <c r="AI395" s="4"/>
      <c r="AJ395" s="4" t="str">
        <f t="shared" si="109"/>
        <v/>
      </c>
      <c r="AK395" s="4" t="str">
        <f t="shared" si="110"/>
        <v/>
      </c>
      <c r="AL395" s="4" t="e" cm="1">
        <f t="array" ref="AL395">IF(INDEX(Table2[],_xlfn.XMATCH($A395,Table2[Steel Member],0),_xlfn.XMATCH(AL$2,Table2[#Headers],0))=0,"",INDEX(Table2[],_xlfn.XMATCH($A395,Table2[Steel Member],0),_xlfn.XMATCH(AL$2,Table2[#Headers],0)))</f>
        <v>#N/A</v>
      </c>
      <c r="AM395" s="4"/>
      <c r="AN395" s="4" t="str">
        <f t="shared" si="111"/>
        <v/>
      </c>
      <c r="AO395" s="4"/>
      <c r="AP395" s="4" t="e" cm="1">
        <f t="array" ref="AP395">IF(INDEX(Table2[],_xlfn.XMATCH($A395,Table2[Steel Member],0),_xlfn.XMATCH(AP$2,Table2[#Headers],0))=0,"",INDEX(Table2[],_xlfn.XMATCH($A395,Table2[Steel Member],0),_xlfn.XMATCH(AP$2,Table2[#Headers],0)))</f>
        <v>#N/A</v>
      </c>
      <c r="AQ395" s="4"/>
      <c r="AR395" s="4"/>
      <c r="AS395" s="4"/>
      <c r="AT395" s="4"/>
    </row>
    <row r="396" spans="1:46" x14ac:dyDescent="0.25">
      <c r="A396" s="52"/>
      <c r="B396" s="52"/>
      <c r="C396" s="52"/>
      <c r="D396" s="52"/>
      <c r="E396" s="52"/>
      <c r="F396" s="64" cm="1">
        <f t="array" ref="F396">IF(COUNT(FIND(PurlinsxGirthsxBracings,$C396))&gt;0,0,ROUNDUP(IF(D396=0,0,VLOOKUP(D396,'DATA SHEET'!$B:$D,2,FALSE)),2))</f>
        <v>0</v>
      </c>
      <c r="G396" s="64" cm="1">
        <f t="array" ref="G396">IF(COUNT(FIND(PurlinsxGirthsxBracings,$C396))&gt;0,0,ROUNDUP(IF(D396=0,0,VLOOKUP(D396,'DATA SHEET'!$B:$D,3,FALSE)),2))</f>
        <v>0</v>
      </c>
      <c r="H396" s="53"/>
      <c r="I396" s="66" cm="1">
        <f t="array" ref="I396">IF(AND(ISBLANK(B396),ISBLANK(C396),ISBLANK(E396)),0,IF(COUNT(FIND(PurlinsxGirthsxBracings,$C396))&gt;0,IF(B396=0,CONCATENATE(E396," ",C396),CONCATENATE(B396," - ",E396," ",C396)),IF(B396=0,IF(ISBLANK(C396),E396,CONCATENATE(D396,", ",F396,"kg/m, ",G396,"mm surface perimeter")),IF(AND(ISBLANK(C396),ISTEXT(E396)),CONCATENATE(B396," - ",E396),IF(AND(ISBLANK(C396),ISBLANK(E396)),B396,CONCATENATE(B396," - ",D396,", ",F396,"kg/m, ",G396,"mm surface perimeter"))))&amp;IF(ISBLANK(H396),"",H396)))</f>
        <v>0</v>
      </c>
      <c r="J396" s="53"/>
      <c r="L396" s="4" t="str" cm="1">
        <f t="array" ref="L396">IF(COUNT(FIND({0,1,2,3,4,5,6,7,8,9},B396))&gt;0,COUNT(FIND({0,1,2,3,4,5,6,7,8,9},B396))&gt;0,"")</f>
        <v/>
      </c>
      <c r="M396" s="4" t="str" cm="1">
        <f t="array" aca="1" ref="M396" ca="1">IFERROR(_xlfn.IFS(R396="Count",RANDBETWEEN(1,COUNTIF($R$11:$R$653,"Count")),R396="Length",RANDBETWEEN(1,COUNTIF($R$11:$R$653,"Length"))),"")</f>
        <v/>
      </c>
      <c r="N396" s="4" t="str">
        <f ca="1">IFERROR(_xlfn.RANK.EQ(M396,$M$11:$M$653)+COUNTIF($M$11:M396,M396)-1,"")</f>
        <v/>
      </c>
      <c r="O396" s="86" t="str">
        <f>IF(A396='DATA SHEET'!$L$36,C396,IFERROR(IF(AND(ISTEXT(I396),ISBLANK(C396)),"No details",VLOOKUP(C396,DimFolder,2,FALSE)),""))</f>
        <v/>
      </c>
      <c r="P396" s="4" t="str">
        <f t="shared" si="113"/>
        <v/>
      </c>
      <c r="Q396" s="58" t="str">
        <f t="shared" si="112"/>
        <v/>
      </c>
      <c r="R396" s="4" t="e" cm="1">
        <f t="array" ref="R396">IF(INDEX(Table2[],_xlfn.XMATCH($A396,Table2[Steel Member],0),_xlfn.XMATCH(R$2,Table2[#Headers],0))=0,"",INDEX(Table2[],_xlfn.XMATCH($A396,Table2[Steel Member],0),_xlfn.XMATCH(R$2,Table2[#Headers],0)))</f>
        <v>#N/A</v>
      </c>
      <c r="S396" s="4" t="e" cm="1">
        <f t="array" ref="S396">IF(INDEX(Table2[],_xlfn.XMATCH($A396,Table2[Steel Member],0),_xlfn.XMATCH(S$2,Table2[#Headers],0))=0,"",INDEX(Table2[],_xlfn.XMATCH($A396,Table2[Steel Member],0),_xlfn.XMATCH(S$2,Table2[#Headers],0)))</f>
        <v>#N/A</v>
      </c>
      <c r="T396" s="4" t="str">
        <f t="shared" si="103"/>
        <v/>
      </c>
      <c r="U396" s="4" t="e">
        <f ca="1">VLOOKUP(N396,'COLOR CODE'!$B:$D,2,FALSE)</f>
        <v>#N/A</v>
      </c>
      <c r="V396" s="4" t="str">
        <f t="shared" si="104"/>
        <v/>
      </c>
      <c r="W396" s="4" t="e" cm="1">
        <f t="array" ref="W396">IF(INDEX(Table2[],_xlfn.XMATCH($A396,Table2[Steel Member],0),_xlfn.XMATCH(W$2,Table2[#Headers],0))=0,"",INDEX(Table2[],_xlfn.XMATCH($A396,Table2[Steel Member],0),_xlfn.XMATCH(W$2,Table2[#Headers],0)))</f>
        <v>#N/A</v>
      </c>
      <c r="X396" s="4" t="e">
        <f t="shared" si="102"/>
        <v>#N/A</v>
      </c>
      <c r="Y396" s="4" t="e" cm="1">
        <f t="array" ref="Y396">IF(INDEX(Table2[],_xlfn.XMATCH($A396,Table2[Steel Member],0),_xlfn.XMATCH(Y$2,Table2[#Headers],0))=0,"",INDEX(Table2[],_xlfn.XMATCH($A396,Table2[Steel Member],0),_xlfn.XMATCH(Y$2,Table2[#Headers],0)))</f>
        <v>#N/A</v>
      </c>
      <c r="Z396" s="4" t="e" cm="1">
        <f t="array" ref="Z396">IF(INDEX(Table2[],_xlfn.XMATCH($A396,Table2[Steel Member],0),_xlfn.XMATCH(Z$2,Table2[#Headers],0))=0,"",INDEX(Table2[],_xlfn.XMATCH($A396,Table2[Steel Member],0),_xlfn.XMATCH(Z$2,Table2[#Headers],0)))</f>
        <v>#N/A</v>
      </c>
      <c r="AA396" s="4" t="e" cm="1">
        <f t="array" ref="AA396">IF(INDEX(Table2[],_xlfn.XMATCH($A396,Table2[Steel Member],0),_xlfn.XMATCH(AA$2,Table2[#Headers],0))=0,"",INDEX(Table2[],_xlfn.XMATCH($A396,Table2[Steel Member],0),_xlfn.XMATCH(AA$2,Table2[#Headers],0)))</f>
        <v>#N/A</v>
      </c>
      <c r="AB396" s="4" t="e" cm="1">
        <f t="array" ref="AB396">IF(INDEX(Table2[],_xlfn.XMATCH($A396,Table2[Steel Member],0),_xlfn.XMATCH(AB$2,Table2[#Headers],0))=0,"",INDEX(Table2[],_xlfn.XMATCH($A396,Table2[Steel Member],0),_xlfn.XMATCH(AB$2,Table2[#Headers],0)))</f>
        <v>#N/A</v>
      </c>
      <c r="AC396" s="4" t="str" cm="1">
        <f t="array" ref="AC396">IFERROR(INDEX(Table8[],_xlfn.XMATCH($O396,Table8[Dimension Name Category],0),_xlfn.XMATCH(AC$2&amp;IF($L396," w/ tag"," w/o tag"),Table8[#Headers],0)),"")</f>
        <v/>
      </c>
      <c r="AD396" s="59" t="str">
        <f t="shared" si="105"/>
        <v/>
      </c>
      <c r="AE396" s="4" t="str">
        <f t="shared" si="106"/>
        <v/>
      </c>
      <c r="AF396" s="4" t="str">
        <f t="shared" si="107"/>
        <v/>
      </c>
      <c r="AG396" s="4" t="str" cm="1">
        <f t="array" ref="AG396">IFERROR(INDEX(Table8[],_xlfn.XMATCH($O396,Table8[Dimension Name Category],0),_xlfn.XMATCH(AG$2&amp;IF($L396," w/ tag"," w/o tag"),Table8[#Headers],0)),"")</f>
        <v/>
      </c>
      <c r="AH396" s="59" t="str">
        <f t="shared" si="108"/>
        <v/>
      </c>
      <c r="AI396" s="4"/>
      <c r="AJ396" s="4" t="str">
        <f t="shared" si="109"/>
        <v/>
      </c>
      <c r="AK396" s="4" t="str">
        <f t="shared" si="110"/>
        <v/>
      </c>
      <c r="AL396" s="4" t="e" cm="1">
        <f t="array" ref="AL396">IF(INDEX(Table2[],_xlfn.XMATCH($A396,Table2[Steel Member],0),_xlfn.XMATCH(AL$2,Table2[#Headers],0))=0,"",INDEX(Table2[],_xlfn.XMATCH($A396,Table2[Steel Member],0),_xlfn.XMATCH(AL$2,Table2[#Headers],0)))</f>
        <v>#N/A</v>
      </c>
      <c r="AM396" s="4"/>
      <c r="AN396" s="4" t="str">
        <f t="shared" si="111"/>
        <v/>
      </c>
      <c r="AO396" s="4"/>
      <c r="AP396" s="4" t="e" cm="1">
        <f t="array" ref="AP396">IF(INDEX(Table2[],_xlfn.XMATCH($A396,Table2[Steel Member],0),_xlfn.XMATCH(AP$2,Table2[#Headers],0))=0,"",INDEX(Table2[],_xlfn.XMATCH($A396,Table2[Steel Member],0),_xlfn.XMATCH(AP$2,Table2[#Headers],0)))</f>
        <v>#N/A</v>
      </c>
      <c r="AQ396" s="4"/>
      <c r="AR396" s="4"/>
      <c r="AS396" s="4"/>
      <c r="AT396" s="4"/>
    </row>
    <row r="397" spans="1:46" x14ac:dyDescent="0.25">
      <c r="A397" s="52"/>
      <c r="B397" s="52"/>
      <c r="C397" s="52"/>
      <c r="D397" s="52"/>
      <c r="E397" s="52"/>
      <c r="F397" s="64" cm="1">
        <f t="array" ref="F397">IF(COUNT(FIND(PurlinsxGirthsxBracings,$C397))&gt;0,0,ROUNDUP(IF(D397=0,0,VLOOKUP(D397,'DATA SHEET'!$B:$D,2,FALSE)),2))</f>
        <v>0</v>
      </c>
      <c r="G397" s="64" cm="1">
        <f t="array" ref="G397">IF(COUNT(FIND(PurlinsxGirthsxBracings,$C397))&gt;0,0,ROUNDUP(IF(D397=0,0,VLOOKUP(D397,'DATA SHEET'!$B:$D,3,FALSE)),2))</f>
        <v>0</v>
      </c>
      <c r="H397" s="53"/>
      <c r="I397" s="66" cm="1">
        <f t="array" ref="I397">IF(AND(ISBLANK(B397),ISBLANK(C397),ISBLANK(E397)),0,IF(COUNT(FIND(PurlinsxGirthsxBracings,$C397))&gt;0,IF(B397=0,CONCATENATE(E397," ",C397),CONCATENATE(B397," - ",E397," ",C397)),IF(B397=0,IF(ISBLANK(C397),E397,CONCATENATE(D397,", ",F397,"kg/m, ",G397,"mm surface perimeter")),IF(AND(ISBLANK(C397),ISTEXT(E397)),CONCATENATE(B397," - ",E397),IF(AND(ISBLANK(C397),ISBLANK(E397)),B397,CONCATENATE(B397," - ",D397,", ",F397,"kg/m, ",G397,"mm surface perimeter"))))&amp;IF(ISBLANK(H397),"",H397)))</f>
        <v>0</v>
      </c>
      <c r="J397" s="53"/>
      <c r="L397" s="4" t="str" cm="1">
        <f t="array" ref="L397">IF(COUNT(FIND({0,1,2,3,4,5,6,7,8,9},B397))&gt;0,COUNT(FIND({0,1,2,3,4,5,6,7,8,9},B397))&gt;0,"")</f>
        <v/>
      </c>
      <c r="M397" s="4" t="str" cm="1">
        <f t="array" aca="1" ref="M397" ca="1">IFERROR(_xlfn.IFS(R397="Count",RANDBETWEEN(1,COUNTIF($R$11:$R$653,"Count")),R397="Length",RANDBETWEEN(1,COUNTIF($R$11:$R$653,"Length"))),"")</f>
        <v/>
      </c>
      <c r="N397" s="4" t="str">
        <f ca="1">IFERROR(_xlfn.RANK.EQ(M397,$M$11:$M$653)+COUNTIF($M$11:M397,M397)-1,"")</f>
        <v/>
      </c>
      <c r="O397" s="86" t="str">
        <f>IF(A397='DATA SHEET'!$L$36,C397,IFERROR(IF(AND(ISTEXT(I397),ISBLANK(C397)),"No details",VLOOKUP(C397,DimFolder,2,FALSE)),""))</f>
        <v/>
      </c>
      <c r="P397" s="4" t="str">
        <f t="shared" si="113"/>
        <v/>
      </c>
      <c r="Q397" s="58" t="str">
        <f t="shared" si="112"/>
        <v/>
      </c>
      <c r="R397" s="4" t="e" cm="1">
        <f t="array" ref="R397">IF(INDEX(Table2[],_xlfn.XMATCH($A397,Table2[Steel Member],0),_xlfn.XMATCH(R$2,Table2[#Headers],0))=0,"",INDEX(Table2[],_xlfn.XMATCH($A397,Table2[Steel Member],0),_xlfn.XMATCH(R$2,Table2[#Headers],0)))</f>
        <v>#N/A</v>
      </c>
      <c r="S397" s="4" t="e" cm="1">
        <f t="array" ref="S397">IF(INDEX(Table2[],_xlfn.XMATCH($A397,Table2[Steel Member],0),_xlfn.XMATCH(S$2,Table2[#Headers],0))=0,"",INDEX(Table2[],_xlfn.XMATCH($A397,Table2[Steel Member],0),_xlfn.XMATCH(S$2,Table2[#Headers],0)))</f>
        <v>#N/A</v>
      </c>
      <c r="T397" s="4" t="str">
        <f t="shared" si="103"/>
        <v/>
      </c>
      <c r="U397" s="4" t="e">
        <f ca="1">VLOOKUP(N397,'COLOR CODE'!$B:$D,2,FALSE)</f>
        <v>#N/A</v>
      </c>
      <c r="V397" s="4" t="str">
        <f t="shared" si="104"/>
        <v/>
      </c>
      <c r="W397" s="4" t="e" cm="1">
        <f t="array" ref="W397">IF(INDEX(Table2[],_xlfn.XMATCH($A397,Table2[Steel Member],0),_xlfn.XMATCH(W$2,Table2[#Headers],0))=0,"",INDEX(Table2[],_xlfn.XMATCH($A397,Table2[Steel Member],0),_xlfn.XMATCH(W$2,Table2[#Headers],0)))</f>
        <v>#N/A</v>
      </c>
      <c r="X397" s="4" t="e">
        <f t="shared" si="102"/>
        <v>#N/A</v>
      </c>
      <c r="Y397" s="4" t="e" cm="1">
        <f t="array" ref="Y397">IF(INDEX(Table2[],_xlfn.XMATCH($A397,Table2[Steel Member],0),_xlfn.XMATCH(Y$2,Table2[#Headers],0))=0,"",INDEX(Table2[],_xlfn.XMATCH($A397,Table2[Steel Member],0),_xlfn.XMATCH(Y$2,Table2[#Headers],0)))</f>
        <v>#N/A</v>
      </c>
      <c r="Z397" s="4" t="e" cm="1">
        <f t="array" ref="Z397">IF(INDEX(Table2[],_xlfn.XMATCH($A397,Table2[Steel Member],0),_xlfn.XMATCH(Z$2,Table2[#Headers],0))=0,"",INDEX(Table2[],_xlfn.XMATCH($A397,Table2[Steel Member],0),_xlfn.XMATCH(Z$2,Table2[#Headers],0)))</f>
        <v>#N/A</v>
      </c>
      <c r="AA397" s="4" t="e" cm="1">
        <f t="array" ref="AA397">IF(INDEX(Table2[],_xlfn.XMATCH($A397,Table2[Steel Member],0),_xlfn.XMATCH(AA$2,Table2[#Headers],0))=0,"",INDEX(Table2[],_xlfn.XMATCH($A397,Table2[Steel Member],0),_xlfn.XMATCH(AA$2,Table2[#Headers],0)))</f>
        <v>#N/A</v>
      </c>
      <c r="AB397" s="4" t="e" cm="1">
        <f t="array" ref="AB397">IF(INDEX(Table2[],_xlfn.XMATCH($A397,Table2[Steel Member],0),_xlfn.XMATCH(AB$2,Table2[#Headers],0))=0,"",INDEX(Table2[],_xlfn.XMATCH($A397,Table2[Steel Member],0),_xlfn.XMATCH(AB$2,Table2[#Headers],0)))</f>
        <v>#N/A</v>
      </c>
      <c r="AC397" s="4" t="str" cm="1">
        <f t="array" ref="AC397">IFERROR(INDEX(Table8[],_xlfn.XMATCH($O397,Table8[Dimension Name Category],0),_xlfn.XMATCH(AC$2&amp;IF($L397," w/ tag"," w/o tag"),Table8[#Headers],0)),"")</f>
        <v/>
      </c>
      <c r="AD397" s="59" t="str">
        <f t="shared" si="105"/>
        <v/>
      </c>
      <c r="AE397" s="4" t="str">
        <f t="shared" si="106"/>
        <v/>
      </c>
      <c r="AF397" s="4" t="str">
        <f t="shared" si="107"/>
        <v/>
      </c>
      <c r="AG397" s="4" t="str" cm="1">
        <f t="array" ref="AG397">IFERROR(INDEX(Table8[],_xlfn.XMATCH($O397,Table8[Dimension Name Category],0),_xlfn.XMATCH(AG$2&amp;IF($L397," w/ tag"," w/o tag"),Table8[#Headers],0)),"")</f>
        <v/>
      </c>
      <c r="AH397" s="59" t="str">
        <f t="shared" si="108"/>
        <v/>
      </c>
      <c r="AI397" s="4"/>
      <c r="AJ397" s="4" t="str">
        <f t="shared" si="109"/>
        <v/>
      </c>
      <c r="AK397" s="4" t="str">
        <f t="shared" si="110"/>
        <v/>
      </c>
      <c r="AL397" s="4" t="e" cm="1">
        <f t="array" ref="AL397">IF(INDEX(Table2[],_xlfn.XMATCH($A397,Table2[Steel Member],0),_xlfn.XMATCH(AL$2,Table2[#Headers],0))=0,"",INDEX(Table2[],_xlfn.XMATCH($A397,Table2[Steel Member],0),_xlfn.XMATCH(AL$2,Table2[#Headers],0)))</f>
        <v>#N/A</v>
      </c>
      <c r="AM397" s="4"/>
      <c r="AN397" s="4" t="str">
        <f t="shared" si="111"/>
        <v/>
      </c>
      <c r="AO397" s="4"/>
      <c r="AP397" s="4" t="e" cm="1">
        <f t="array" ref="AP397">IF(INDEX(Table2[],_xlfn.XMATCH($A397,Table2[Steel Member],0),_xlfn.XMATCH(AP$2,Table2[#Headers],0))=0,"",INDEX(Table2[],_xlfn.XMATCH($A397,Table2[Steel Member],0),_xlfn.XMATCH(AP$2,Table2[#Headers],0)))</f>
        <v>#N/A</v>
      </c>
      <c r="AQ397" s="4"/>
      <c r="AR397" s="4"/>
      <c r="AS397" s="4"/>
      <c r="AT397" s="4"/>
    </row>
    <row r="398" spans="1:46" x14ac:dyDescent="0.25">
      <c r="A398" s="52"/>
      <c r="B398" s="52"/>
      <c r="C398" s="52"/>
      <c r="D398" s="52"/>
      <c r="E398" s="52"/>
      <c r="F398" s="64" cm="1">
        <f t="array" ref="F398">IF(COUNT(FIND(PurlinsxGirthsxBracings,$C398))&gt;0,0,ROUNDUP(IF(D398=0,0,VLOOKUP(D398,'DATA SHEET'!$B:$D,2,FALSE)),2))</f>
        <v>0</v>
      </c>
      <c r="G398" s="64" cm="1">
        <f t="array" ref="G398">IF(COUNT(FIND(PurlinsxGirthsxBracings,$C398))&gt;0,0,ROUNDUP(IF(D398=0,0,VLOOKUP(D398,'DATA SHEET'!$B:$D,3,FALSE)),2))</f>
        <v>0</v>
      </c>
      <c r="H398" s="53"/>
      <c r="I398" s="66" cm="1">
        <f t="array" ref="I398">IF(AND(ISBLANK(B398),ISBLANK(C398),ISBLANK(E398)),0,IF(COUNT(FIND(PurlinsxGirthsxBracings,$C398))&gt;0,IF(B398=0,CONCATENATE(E398," ",C398),CONCATENATE(B398," - ",E398," ",C398)),IF(B398=0,IF(ISBLANK(C398),E398,CONCATENATE(D398,", ",F398,"kg/m, ",G398,"mm surface perimeter")),IF(AND(ISBLANK(C398),ISTEXT(E398)),CONCATENATE(B398," - ",E398),IF(AND(ISBLANK(C398),ISBLANK(E398)),B398,CONCATENATE(B398," - ",D398,", ",F398,"kg/m, ",G398,"mm surface perimeter"))))&amp;IF(ISBLANK(H398),"",H398)))</f>
        <v>0</v>
      </c>
      <c r="J398" s="53"/>
      <c r="L398" s="4" t="str" cm="1">
        <f t="array" ref="L398">IF(COUNT(FIND({0,1,2,3,4,5,6,7,8,9},B398))&gt;0,COUNT(FIND({0,1,2,3,4,5,6,7,8,9},B398))&gt;0,"")</f>
        <v/>
      </c>
      <c r="M398" s="4" t="str" cm="1">
        <f t="array" aca="1" ref="M398" ca="1">IFERROR(_xlfn.IFS(R398="Count",RANDBETWEEN(1,COUNTIF($R$11:$R$653,"Count")),R398="Length",RANDBETWEEN(1,COUNTIF($R$11:$R$653,"Length"))),"")</f>
        <v/>
      </c>
      <c r="N398" s="4" t="str">
        <f ca="1">IFERROR(_xlfn.RANK.EQ(M398,$M$11:$M$653)+COUNTIF($M$11:M398,M398)-1,"")</f>
        <v/>
      </c>
      <c r="O398" s="86" t="str">
        <f>IF(A398='DATA SHEET'!$L$36,C398,IFERROR(IF(AND(ISTEXT(I398),ISBLANK(C398)),"No details",VLOOKUP(C398,DimFolder,2,FALSE)),""))</f>
        <v/>
      </c>
      <c r="P398" s="4" t="str">
        <f t="shared" si="113"/>
        <v/>
      </c>
      <c r="Q398" s="58" t="str">
        <f t="shared" si="112"/>
        <v/>
      </c>
      <c r="R398" s="4" t="e" cm="1">
        <f t="array" ref="R398">IF(INDEX(Table2[],_xlfn.XMATCH($A398,Table2[Steel Member],0),_xlfn.XMATCH(R$2,Table2[#Headers],0))=0,"",INDEX(Table2[],_xlfn.XMATCH($A398,Table2[Steel Member],0),_xlfn.XMATCH(R$2,Table2[#Headers],0)))</f>
        <v>#N/A</v>
      </c>
      <c r="S398" s="4" t="e" cm="1">
        <f t="array" ref="S398">IF(INDEX(Table2[],_xlfn.XMATCH($A398,Table2[Steel Member],0),_xlfn.XMATCH(S$2,Table2[#Headers],0))=0,"",INDEX(Table2[],_xlfn.XMATCH($A398,Table2[Steel Member],0),_xlfn.XMATCH(S$2,Table2[#Headers],0)))</f>
        <v>#N/A</v>
      </c>
      <c r="T398" s="4" t="str">
        <f t="shared" si="103"/>
        <v/>
      </c>
      <c r="U398" s="4" t="e">
        <f ca="1">VLOOKUP(N398,'COLOR CODE'!$B:$D,2,FALSE)</f>
        <v>#N/A</v>
      </c>
      <c r="V398" s="4" t="str">
        <f t="shared" si="104"/>
        <v/>
      </c>
      <c r="W398" s="4" t="e" cm="1">
        <f t="array" ref="W398">IF(INDEX(Table2[],_xlfn.XMATCH($A398,Table2[Steel Member],0),_xlfn.XMATCH(W$2,Table2[#Headers],0))=0,"",INDEX(Table2[],_xlfn.XMATCH($A398,Table2[Steel Member],0),_xlfn.XMATCH(W$2,Table2[#Headers],0)))</f>
        <v>#N/A</v>
      </c>
      <c r="X398" s="4" t="e">
        <f t="shared" si="102"/>
        <v>#N/A</v>
      </c>
      <c r="Y398" s="4" t="e" cm="1">
        <f t="array" ref="Y398">IF(INDEX(Table2[],_xlfn.XMATCH($A398,Table2[Steel Member],0),_xlfn.XMATCH(Y$2,Table2[#Headers],0))=0,"",INDEX(Table2[],_xlfn.XMATCH($A398,Table2[Steel Member],0),_xlfn.XMATCH(Y$2,Table2[#Headers],0)))</f>
        <v>#N/A</v>
      </c>
      <c r="Z398" s="4" t="e" cm="1">
        <f t="array" ref="Z398">IF(INDEX(Table2[],_xlfn.XMATCH($A398,Table2[Steel Member],0),_xlfn.XMATCH(Z$2,Table2[#Headers],0))=0,"",INDEX(Table2[],_xlfn.XMATCH($A398,Table2[Steel Member],0),_xlfn.XMATCH(Z$2,Table2[#Headers],0)))</f>
        <v>#N/A</v>
      </c>
      <c r="AA398" s="4" t="e" cm="1">
        <f t="array" ref="AA398">IF(INDEX(Table2[],_xlfn.XMATCH($A398,Table2[Steel Member],0),_xlfn.XMATCH(AA$2,Table2[#Headers],0))=0,"",INDEX(Table2[],_xlfn.XMATCH($A398,Table2[Steel Member],0),_xlfn.XMATCH(AA$2,Table2[#Headers],0)))</f>
        <v>#N/A</v>
      </c>
      <c r="AB398" s="4" t="e" cm="1">
        <f t="array" ref="AB398">IF(INDEX(Table2[],_xlfn.XMATCH($A398,Table2[Steel Member],0),_xlfn.XMATCH(AB$2,Table2[#Headers],0))=0,"",INDEX(Table2[],_xlfn.XMATCH($A398,Table2[Steel Member],0),_xlfn.XMATCH(AB$2,Table2[#Headers],0)))</f>
        <v>#N/A</v>
      </c>
      <c r="AC398" s="4" t="str" cm="1">
        <f t="array" ref="AC398">IFERROR(INDEX(Table8[],_xlfn.XMATCH($O398,Table8[Dimension Name Category],0),_xlfn.XMATCH(AC$2&amp;IF($L398," w/ tag"," w/o tag"),Table8[#Headers],0)),"")</f>
        <v/>
      </c>
      <c r="AD398" s="59" t="str">
        <f t="shared" si="105"/>
        <v/>
      </c>
      <c r="AE398" s="4" t="str">
        <f t="shared" si="106"/>
        <v/>
      </c>
      <c r="AF398" s="4" t="str">
        <f t="shared" si="107"/>
        <v/>
      </c>
      <c r="AG398" s="4" t="str" cm="1">
        <f t="array" ref="AG398">IFERROR(INDEX(Table8[],_xlfn.XMATCH($O398,Table8[Dimension Name Category],0),_xlfn.XMATCH(AG$2&amp;IF($L398," w/ tag"," w/o tag"),Table8[#Headers],0)),"")</f>
        <v/>
      </c>
      <c r="AH398" s="59" t="str">
        <f t="shared" si="108"/>
        <v/>
      </c>
      <c r="AI398" s="4"/>
      <c r="AJ398" s="4" t="str">
        <f t="shared" si="109"/>
        <v/>
      </c>
      <c r="AK398" s="4" t="str">
        <f t="shared" si="110"/>
        <v/>
      </c>
      <c r="AL398" s="4" t="e" cm="1">
        <f t="array" ref="AL398">IF(INDEX(Table2[],_xlfn.XMATCH($A398,Table2[Steel Member],0),_xlfn.XMATCH(AL$2,Table2[#Headers],0))=0,"",INDEX(Table2[],_xlfn.XMATCH($A398,Table2[Steel Member],0),_xlfn.XMATCH(AL$2,Table2[#Headers],0)))</f>
        <v>#N/A</v>
      </c>
      <c r="AM398" s="4"/>
      <c r="AN398" s="4" t="str">
        <f t="shared" si="111"/>
        <v/>
      </c>
      <c r="AO398" s="4"/>
      <c r="AP398" s="4" t="e" cm="1">
        <f t="array" ref="AP398">IF(INDEX(Table2[],_xlfn.XMATCH($A398,Table2[Steel Member],0),_xlfn.XMATCH(AP$2,Table2[#Headers],0))=0,"",INDEX(Table2[],_xlfn.XMATCH($A398,Table2[Steel Member],0),_xlfn.XMATCH(AP$2,Table2[#Headers],0)))</f>
        <v>#N/A</v>
      </c>
      <c r="AQ398" s="4"/>
      <c r="AR398" s="4"/>
      <c r="AS398" s="4"/>
      <c r="AT398" s="4"/>
    </row>
    <row r="399" spans="1:46" x14ac:dyDescent="0.25">
      <c r="A399" s="52"/>
      <c r="B399" s="52"/>
      <c r="C399" s="52"/>
      <c r="D399" s="52"/>
      <c r="E399" s="52"/>
      <c r="F399" s="64" cm="1">
        <f t="array" ref="F399">IF(COUNT(FIND(PurlinsxGirthsxBracings,$C399))&gt;0,0,ROUNDUP(IF(D399=0,0,VLOOKUP(D399,'DATA SHEET'!$B:$D,2,FALSE)),2))</f>
        <v>0</v>
      </c>
      <c r="G399" s="64" cm="1">
        <f t="array" ref="G399">IF(COUNT(FIND(PurlinsxGirthsxBracings,$C399))&gt;0,0,ROUNDUP(IF(D399=0,0,VLOOKUP(D399,'DATA SHEET'!$B:$D,3,FALSE)),2))</f>
        <v>0</v>
      </c>
      <c r="H399" s="53"/>
      <c r="I399" s="66" cm="1">
        <f t="array" ref="I399">IF(AND(ISBLANK(B399),ISBLANK(C399),ISBLANK(E399)),0,IF(COUNT(FIND(PurlinsxGirthsxBracings,$C399))&gt;0,IF(B399=0,CONCATENATE(E399," ",C399),CONCATENATE(B399," - ",E399," ",C399)),IF(B399=0,IF(ISBLANK(C399),E399,CONCATENATE(D399,", ",F399,"kg/m, ",G399,"mm surface perimeter")),IF(AND(ISBLANK(C399),ISTEXT(E399)),CONCATENATE(B399," - ",E399),IF(AND(ISBLANK(C399),ISBLANK(E399)),B399,CONCATENATE(B399," - ",D399,", ",F399,"kg/m, ",G399,"mm surface perimeter"))))&amp;IF(ISBLANK(H399),"",H399)))</f>
        <v>0</v>
      </c>
      <c r="J399" s="53"/>
      <c r="L399" s="4" t="str" cm="1">
        <f t="array" ref="L399">IF(COUNT(FIND({0,1,2,3,4,5,6,7,8,9},B399))&gt;0,COUNT(FIND({0,1,2,3,4,5,6,7,8,9},B399))&gt;0,"")</f>
        <v/>
      </c>
      <c r="M399" s="4" t="str" cm="1">
        <f t="array" aca="1" ref="M399" ca="1">IFERROR(_xlfn.IFS(R399="Count",RANDBETWEEN(1,COUNTIF($R$11:$R$653,"Count")),R399="Length",RANDBETWEEN(1,COUNTIF($R$11:$R$653,"Length"))),"")</f>
        <v/>
      </c>
      <c r="N399" s="4" t="str">
        <f ca="1">IFERROR(_xlfn.RANK.EQ(M399,$M$11:$M$653)+COUNTIF($M$11:M399,M399)-1,"")</f>
        <v/>
      </c>
      <c r="O399" s="86" t="str">
        <f>IF(A399='DATA SHEET'!$L$36,C399,IFERROR(IF(AND(ISTEXT(I399),ISBLANK(C399)),"No details",VLOOKUP(C399,DimFolder,2,FALSE)),""))</f>
        <v/>
      </c>
      <c r="P399" s="4" t="str">
        <f t="shared" si="113"/>
        <v/>
      </c>
      <c r="Q399" s="58" t="str">
        <f t="shared" si="112"/>
        <v/>
      </c>
      <c r="R399" s="4" t="e" cm="1">
        <f t="array" ref="R399">IF(INDEX(Table2[],_xlfn.XMATCH($A399,Table2[Steel Member],0),_xlfn.XMATCH(R$2,Table2[#Headers],0))=0,"",INDEX(Table2[],_xlfn.XMATCH($A399,Table2[Steel Member],0),_xlfn.XMATCH(R$2,Table2[#Headers],0)))</f>
        <v>#N/A</v>
      </c>
      <c r="S399" s="4" t="e" cm="1">
        <f t="array" ref="S399">IF(INDEX(Table2[],_xlfn.XMATCH($A399,Table2[Steel Member],0),_xlfn.XMATCH(S$2,Table2[#Headers],0))=0,"",INDEX(Table2[],_xlfn.XMATCH($A399,Table2[Steel Member],0),_xlfn.XMATCH(S$2,Table2[#Headers],0)))</f>
        <v>#N/A</v>
      </c>
      <c r="T399" s="4" t="str">
        <f t="shared" si="103"/>
        <v/>
      </c>
      <c r="U399" s="4" t="e">
        <f ca="1">VLOOKUP(N399,'COLOR CODE'!$B:$D,2,FALSE)</f>
        <v>#N/A</v>
      </c>
      <c r="V399" s="4" t="str">
        <f t="shared" si="104"/>
        <v/>
      </c>
      <c r="W399" s="4" t="e" cm="1">
        <f t="array" ref="W399">IF(INDEX(Table2[],_xlfn.XMATCH($A399,Table2[Steel Member],0),_xlfn.XMATCH(W$2,Table2[#Headers],0))=0,"",INDEX(Table2[],_xlfn.XMATCH($A399,Table2[Steel Member],0),_xlfn.XMATCH(W$2,Table2[#Headers],0)))</f>
        <v>#N/A</v>
      </c>
      <c r="X399" s="4" t="e">
        <f t="shared" ref="X399:X462" si="114">W399</f>
        <v>#N/A</v>
      </c>
      <c r="Y399" s="4" t="e" cm="1">
        <f t="array" ref="Y399">IF(INDEX(Table2[],_xlfn.XMATCH($A399,Table2[Steel Member],0),_xlfn.XMATCH(Y$2,Table2[#Headers],0))=0,"",INDEX(Table2[],_xlfn.XMATCH($A399,Table2[Steel Member],0),_xlfn.XMATCH(Y$2,Table2[#Headers],0)))</f>
        <v>#N/A</v>
      </c>
      <c r="Z399" s="4" t="e" cm="1">
        <f t="array" ref="Z399">IF(INDEX(Table2[],_xlfn.XMATCH($A399,Table2[Steel Member],0),_xlfn.XMATCH(Z$2,Table2[#Headers],0))=0,"",INDEX(Table2[],_xlfn.XMATCH($A399,Table2[Steel Member],0),_xlfn.XMATCH(Z$2,Table2[#Headers],0)))</f>
        <v>#N/A</v>
      </c>
      <c r="AA399" s="4" t="e" cm="1">
        <f t="array" ref="AA399">IF(INDEX(Table2[],_xlfn.XMATCH($A399,Table2[Steel Member],0),_xlfn.XMATCH(AA$2,Table2[#Headers],0))=0,"",INDEX(Table2[],_xlfn.XMATCH($A399,Table2[Steel Member],0),_xlfn.XMATCH(AA$2,Table2[#Headers],0)))</f>
        <v>#N/A</v>
      </c>
      <c r="AB399" s="4" t="e" cm="1">
        <f t="array" ref="AB399">IF(INDEX(Table2[],_xlfn.XMATCH($A399,Table2[Steel Member],0),_xlfn.XMATCH(AB$2,Table2[#Headers],0))=0,"",INDEX(Table2[],_xlfn.XMATCH($A399,Table2[Steel Member],0),_xlfn.XMATCH(AB$2,Table2[#Headers],0)))</f>
        <v>#N/A</v>
      </c>
      <c r="AC399" s="4" t="str" cm="1">
        <f t="array" ref="AC399">IFERROR(INDEX(Table8[],_xlfn.XMATCH($O399,Table8[Dimension Name Category],0),_xlfn.XMATCH(AC$2&amp;IF($L399," w/ tag"," w/o tag"),Table8[#Headers],0)),"")</f>
        <v/>
      </c>
      <c r="AD399" s="59" t="str">
        <f t="shared" si="105"/>
        <v/>
      </c>
      <c r="AE399" s="4" t="str">
        <f t="shared" si="106"/>
        <v/>
      </c>
      <c r="AF399" s="4" t="str">
        <f t="shared" si="107"/>
        <v/>
      </c>
      <c r="AG399" s="4" t="str" cm="1">
        <f t="array" ref="AG399">IFERROR(INDEX(Table8[],_xlfn.XMATCH($O399,Table8[Dimension Name Category],0),_xlfn.XMATCH(AG$2&amp;IF($L399," w/ tag"," w/o tag"),Table8[#Headers],0)),"")</f>
        <v/>
      </c>
      <c r="AH399" s="59" t="str">
        <f t="shared" si="108"/>
        <v/>
      </c>
      <c r="AI399" s="4"/>
      <c r="AJ399" s="4" t="str">
        <f t="shared" si="109"/>
        <v/>
      </c>
      <c r="AK399" s="4" t="str">
        <f t="shared" si="110"/>
        <v/>
      </c>
      <c r="AL399" s="4" t="e" cm="1">
        <f t="array" ref="AL399">IF(INDEX(Table2[],_xlfn.XMATCH($A399,Table2[Steel Member],0),_xlfn.XMATCH(AL$2,Table2[#Headers],0))=0,"",INDEX(Table2[],_xlfn.XMATCH($A399,Table2[Steel Member],0),_xlfn.XMATCH(AL$2,Table2[#Headers],0)))</f>
        <v>#N/A</v>
      </c>
      <c r="AM399" s="4"/>
      <c r="AN399" s="4" t="str">
        <f t="shared" si="111"/>
        <v/>
      </c>
      <c r="AO399" s="4"/>
      <c r="AP399" s="4" t="e" cm="1">
        <f t="array" ref="AP399">IF(INDEX(Table2[],_xlfn.XMATCH($A399,Table2[Steel Member],0),_xlfn.XMATCH(AP$2,Table2[#Headers],0))=0,"",INDEX(Table2[],_xlfn.XMATCH($A399,Table2[Steel Member],0),_xlfn.XMATCH(AP$2,Table2[#Headers],0)))</f>
        <v>#N/A</v>
      </c>
      <c r="AQ399" s="4"/>
      <c r="AR399" s="4"/>
      <c r="AS399" s="4"/>
      <c r="AT399" s="4"/>
    </row>
    <row r="400" spans="1:46" x14ac:dyDescent="0.25">
      <c r="A400" s="52"/>
      <c r="B400" s="52"/>
      <c r="C400" s="52"/>
      <c r="D400" s="52"/>
      <c r="E400" s="52"/>
      <c r="F400" s="64" cm="1">
        <f t="array" ref="F400">IF(COUNT(FIND(PurlinsxGirthsxBracings,$C400))&gt;0,0,ROUNDUP(IF(D400=0,0,VLOOKUP(D400,'DATA SHEET'!$B:$D,2,FALSE)),2))</f>
        <v>0</v>
      </c>
      <c r="G400" s="64" cm="1">
        <f t="array" ref="G400">IF(COUNT(FIND(PurlinsxGirthsxBracings,$C400))&gt;0,0,ROUNDUP(IF(D400=0,0,VLOOKUP(D400,'DATA SHEET'!$B:$D,3,FALSE)),2))</f>
        <v>0</v>
      </c>
      <c r="H400" s="53"/>
      <c r="I400" s="66" cm="1">
        <f t="array" ref="I400">IF(AND(ISBLANK(B400),ISBLANK(C400),ISBLANK(E400)),0,IF(COUNT(FIND(PurlinsxGirthsxBracings,$C400))&gt;0,IF(B400=0,CONCATENATE(E400," ",C400),CONCATENATE(B400," - ",E400," ",C400)),IF(B400=0,IF(ISBLANK(C400),E400,CONCATENATE(D400,", ",F400,"kg/m, ",G400,"mm surface perimeter")),IF(AND(ISBLANK(C400),ISTEXT(E400)),CONCATENATE(B400," - ",E400),IF(AND(ISBLANK(C400),ISBLANK(E400)),B400,CONCATENATE(B400," - ",D400,", ",F400,"kg/m, ",G400,"mm surface perimeter"))))&amp;IF(ISBLANK(H400),"",H400)))</f>
        <v>0</v>
      </c>
      <c r="J400" s="53"/>
      <c r="L400" s="4" t="str" cm="1">
        <f t="array" ref="L400">IF(COUNT(FIND({0,1,2,3,4,5,6,7,8,9},B400))&gt;0,COUNT(FIND({0,1,2,3,4,5,6,7,8,9},B400))&gt;0,"")</f>
        <v/>
      </c>
      <c r="M400" s="4" t="str" cm="1">
        <f t="array" aca="1" ref="M400" ca="1">IFERROR(_xlfn.IFS(R400="Count",RANDBETWEEN(1,COUNTIF($R$11:$R$653,"Count")),R400="Length",RANDBETWEEN(1,COUNTIF($R$11:$R$653,"Length"))),"")</f>
        <v/>
      </c>
      <c r="N400" s="4" t="str">
        <f ca="1">IFERROR(_xlfn.RANK.EQ(M400,$M$11:$M$653)+COUNTIF($M$11:M400,M400)-1,"")</f>
        <v/>
      </c>
      <c r="O400" s="86" t="str">
        <f>IF(A400='DATA SHEET'!$L$36,C400,IFERROR(IF(AND(ISTEXT(I400),ISBLANK(C400)),"No details",VLOOKUP(C400,DimFolder,2,FALSE)),""))</f>
        <v/>
      </c>
      <c r="P400" s="4" t="str">
        <f t="shared" si="113"/>
        <v/>
      </c>
      <c r="Q400" s="58" t="str">
        <f t="shared" si="112"/>
        <v/>
      </c>
      <c r="R400" s="4" t="e" cm="1">
        <f t="array" ref="R400">IF(INDEX(Table2[],_xlfn.XMATCH($A400,Table2[Steel Member],0),_xlfn.XMATCH(R$2,Table2[#Headers],0))=0,"",INDEX(Table2[],_xlfn.XMATCH($A400,Table2[Steel Member],0),_xlfn.XMATCH(R$2,Table2[#Headers],0)))</f>
        <v>#N/A</v>
      </c>
      <c r="S400" s="4" t="e" cm="1">
        <f t="array" ref="S400">IF(INDEX(Table2[],_xlfn.XMATCH($A400,Table2[Steel Member],0),_xlfn.XMATCH(S$2,Table2[#Headers],0))=0,"",INDEX(Table2[],_xlfn.XMATCH($A400,Table2[Steel Member],0),_xlfn.XMATCH(S$2,Table2[#Headers],0)))</f>
        <v>#N/A</v>
      </c>
      <c r="T400" s="4" t="str">
        <f t="shared" si="103"/>
        <v/>
      </c>
      <c r="U400" s="4" t="e">
        <f ca="1">VLOOKUP(N400,'COLOR CODE'!$B:$D,2,FALSE)</f>
        <v>#N/A</v>
      </c>
      <c r="V400" s="4" t="str">
        <f t="shared" si="104"/>
        <v/>
      </c>
      <c r="W400" s="4" t="e" cm="1">
        <f t="array" ref="W400">IF(INDEX(Table2[],_xlfn.XMATCH($A400,Table2[Steel Member],0),_xlfn.XMATCH(W$2,Table2[#Headers],0))=0,"",INDEX(Table2[],_xlfn.XMATCH($A400,Table2[Steel Member],0),_xlfn.XMATCH(W$2,Table2[#Headers],0)))</f>
        <v>#N/A</v>
      </c>
      <c r="X400" s="4" t="e">
        <f t="shared" si="114"/>
        <v>#N/A</v>
      </c>
      <c r="Y400" s="4" t="e" cm="1">
        <f t="array" ref="Y400">IF(INDEX(Table2[],_xlfn.XMATCH($A400,Table2[Steel Member],0),_xlfn.XMATCH(Y$2,Table2[#Headers],0))=0,"",INDEX(Table2[],_xlfn.XMATCH($A400,Table2[Steel Member],0),_xlfn.XMATCH(Y$2,Table2[#Headers],0)))</f>
        <v>#N/A</v>
      </c>
      <c r="Z400" s="4" t="e" cm="1">
        <f t="array" ref="Z400">IF(INDEX(Table2[],_xlfn.XMATCH($A400,Table2[Steel Member],0),_xlfn.XMATCH(Z$2,Table2[#Headers],0))=0,"",INDEX(Table2[],_xlfn.XMATCH($A400,Table2[Steel Member],0),_xlfn.XMATCH(Z$2,Table2[#Headers],0)))</f>
        <v>#N/A</v>
      </c>
      <c r="AA400" s="4" t="e" cm="1">
        <f t="array" ref="AA400">IF(INDEX(Table2[],_xlfn.XMATCH($A400,Table2[Steel Member],0),_xlfn.XMATCH(AA$2,Table2[#Headers],0))=0,"",INDEX(Table2[],_xlfn.XMATCH($A400,Table2[Steel Member],0),_xlfn.XMATCH(AA$2,Table2[#Headers],0)))</f>
        <v>#N/A</v>
      </c>
      <c r="AB400" s="4" t="e" cm="1">
        <f t="array" ref="AB400">IF(INDEX(Table2[],_xlfn.XMATCH($A400,Table2[Steel Member],0),_xlfn.XMATCH(AB$2,Table2[#Headers],0))=0,"",INDEX(Table2[],_xlfn.XMATCH($A400,Table2[Steel Member],0),_xlfn.XMATCH(AB$2,Table2[#Headers],0)))</f>
        <v>#N/A</v>
      </c>
      <c r="AC400" s="4" t="str" cm="1">
        <f t="array" ref="AC400">IFERROR(INDEX(Table8[],_xlfn.XMATCH($O400,Table8[Dimension Name Category],0),_xlfn.XMATCH(AC$2&amp;IF($L400," w/ tag"," w/o tag"),Table8[#Headers],0)),"")</f>
        <v/>
      </c>
      <c r="AD400" s="59" t="str">
        <f t="shared" si="105"/>
        <v/>
      </c>
      <c r="AE400" s="4" t="str">
        <f t="shared" si="106"/>
        <v/>
      </c>
      <c r="AF400" s="4" t="str">
        <f t="shared" si="107"/>
        <v/>
      </c>
      <c r="AG400" s="4" t="str" cm="1">
        <f t="array" ref="AG400">IFERROR(INDEX(Table8[],_xlfn.XMATCH($O400,Table8[Dimension Name Category],0),_xlfn.XMATCH(AG$2&amp;IF($L400," w/ tag"," w/o tag"),Table8[#Headers],0)),"")</f>
        <v/>
      </c>
      <c r="AH400" s="59" t="str">
        <f t="shared" si="108"/>
        <v/>
      </c>
      <c r="AI400" s="4"/>
      <c r="AJ400" s="4" t="str">
        <f t="shared" si="109"/>
        <v/>
      </c>
      <c r="AK400" s="4" t="str">
        <f t="shared" si="110"/>
        <v/>
      </c>
      <c r="AL400" s="4" t="e" cm="1">
        <f t="array" ref="AL400">IF(INDEX(Table2[],_xlfn.XMATCH($A400,Table2[Steel Member],0),_xlfn.XMATCH(AL$2,Table2[#Headers],0))=0,"",INDEX(Table2[],_xlfn.XMATCH($A400,Table2[Steel Member],0),_xlfn.XMATCH(AL$2,Table2[#Headers],0)))</f>
        <v>#N/A</v>
      </c>
      <c r="AM400" s="4"/>
      <c r="AN400" s="4" t="str">
        <f t="shared" si="111"/>
        <v/>
      </c>
      <c r="AO400" s="4"/>
      <c r="AP400" s="4" t="e" cm="1">
        <f t="array" ref="AP400">IF(INDEX(Table2[],_xlfn.XMATCH($A400,Table2[Steel Member],0),_xlfn.XMATCH(AP$2,Table2[#Headers],0))=0,"",INDEX(Table2[],_xlfn.XMATCH($A400,Table2[Steel Member],0),_xlfn.XMATCH(AP$2,Table2[#Headers],0)))</f>
        <v>#N/A</v>
      </c>
      <c r="AQ400" s="4"/>
      <c r="AR400" s="4"/>
      <c r="AS400" s="4"/>
      <c r="AT400" s="4"/>
    </row>
    <row r="401" spans="1:46" x14ac:dyDescent="0.25">
      <c r="A401" s="52"/>
      <c r="B401" s="52"/>
      <c r="C401" s="52"/>
      <c r="D401" s="52"/>
      <c r="E401" s="52"/>
      <c r="F401" s="64" cm="1">
        <f t="array" ref="F401">IF(COUNT(FIND(PurlinsxGirthsxBracings,$C401))&gt;0,0,ROUNDUP(IF(D401=0,0,VLOOKUP(D401,'DATA SHEET'!$B:$D,2,FALSE)),2))</f>
        <v>0</v>
      </c>
      <c r="G401" s="64" cm="1">
        <f t="array" ref="G401">IF(COUNT(FIND(PurlinsxGirthsxBracings,$C401))&gt;0,0,ROUNDUP(IF(D401=0,0,VLOOKUP(D401,'DATA SHEET'!$B:$D,3,FALSE)),2))</f>
        <v>0</v>
      </c>
      <c r="H401" s="53"/>
      <c r="I401" s="66" cm="1">
        <f t="array" ref="I401">IF(AND(ISBLANK(B401),ISBLANK(C401),ISBLANK(E401)),0,IF(COUNT(FIND(PurlinsxGirthsxBracings,$C401))&gt;0,IF(B401=0,CONCATENATE(E401," ",C401),CONCATENATE(B401," - ",E401," ",C401)),IF(B401=0,IF(ISBLANK(C401),E401,CONCATENATE(D401,", ",F401,"kg/m, ",G401,"mm surface perimeter")),IF(AND(ISBLANK(C401),ISTEXT(E401)),CONCATENATE(B401," - ",E401),IF(AND(ISBLANK(C401),ISBLANK(E401)),B401,CONCATENATE(B401," - ",D401,", ",F401,"kg/m, ",G401,"mm surface perimeter"))))&amp;IF(ISBLANK(H401),"",H401)))</f>
        <v>0</v>
      </c>
      <c r="J401" s="53"/>
      <c r="L401" s="4" t="str" cm="1">
        <f t="array" ref="L401">IF(COUNT(FIND({0,1,2,3,4,5,6,7,8,9},B401))&gt;0,COUNT(FIND({0,1,2,3,4,5,6,7,8,9},B401))&gt;0,"")</f>
        <v/>
      </c>
      <c r="M401" s="4" t="str" cm="1">
        <f t="array" aca="1" ref="M401" ca="1">IFERROR(_xlfn.IFS(R401="Count",RANDBETWEEN(1,COUNTIF($R$11:$R$653,"Count")),R401="Length",RANDBETWEEN(1,COUNTIF($R$11:$R$653,"Length"))),"")</f>
        <v/>
      </c>
      <c r="N401" s="4" t="str">
        <f ca="1">IFERROR(_xlfn.RANK.EQ(M401,$M$11:$M$653)+COUNTIF($M$11:M401,M401)-1,"")</f>
        <v/>
      </c>
      <c r="O401" s="86" t="str">
        <f>IF(A401='DATA SHEET'!$L$36,C401,IFERROR(IF(AND(ISTEXT(I401),ISBLANK(C401)),"No details",VLOOKUP(C401,DimFolder,2,FALSE)),""))</f>
        <v/>
      </c>
      <c r="P401" s="4" t="str">
        <f t="shared" si="113"/>
        <v/>
      </c>
      <c r="Q401" s="58" t="str">
        <f t="shared" si="112"/>
        <v/>
      </c>
      <c r="R401" s="4" t="e" cm="1">
        <f t="array" ref="R401">IF(INDEX(Table2[],_xlfn.XMATCH($A401,Table2[Steel Member],0),_xlfn.XMATCH(R$2,Table2[#Headers],0))=0,"",INDEX(Table2[],_xlfn.XMATCH($A401,Table2[Steel Member],0),_xlfn.XMATCH(R$2,Table2[#Headers],0)))</f>
        <v>#N/A</v>
      </c>
      <c r="S401" s="4" t="e" cm="1">
        <f t="array" ref="S401">IF(INDEX(Table2[],_xlfn.XMATCH($A401,Table2[Steel Member],0),_xlfn.XMATCH(S$2,Table2[#Headers],0))=0,"",INDEX(Table2[],_xlfn.XMATCH($A401,Table2[Steel Member],0),_xlfn.XMATCH(S$2,Table2[#Headers],0)))</f>
        <v>#N/A</v>
      </c>
      <c r="T401" s="4" t="str">
        <f t="shared" si="103"/>
        <v/>
      </c>
      <c r="U401" s="4" t="e">
        <f ca="1">VLOOKUP(N401,'COLOR CODE'!$B:$D,2,FALSE)</f>
        <v>#N/A</v>
      </c>
      <c r="V401" s="4" t="str">
        <f t="shared" si="104"/>
        <v/>
      </c>
      <c r="W401" s="4" t="e" cm="1">
        <f t="array" ref="W401">IF(INDEX(Table2[],_xlfn.XMATCH($A401,Table2[Steel Member],0),_xlfn.XMATCH(W$2,Table2[#Headers],0))=0,"",INDEX(Table2[],_xlfn.XMATCH($A401,Table2[Steel Member],0),_xlfn.XMATCH(W$2,Table2[#Headers],0)))</f>
        <v>#N/A</v>
      </c>
      <c r="X401" s="4" t="e">
        <f t="shared" si="114"/>
        <v>#N/A</v>
      </c>
      <c r="Y401" s="4" t="e" cm="1">
        <f t="array" ref="Y401">IF(INDEX(Table2[],_xlfn.XMATCH($A401,Table2[Steel Member],0),_xlfn.XMATCH(Y$2,Table2[#Headers],0))=0,"",INDEX(Table2[],_xlfn.XMATCH($A401,Table2[Steel Member],0),_xlfn.XMATCH(Y$2,Table2[#Headers],0)))</f>
        <v>#N/A</v>
      </c>
      <c r="Z401" s="4" t="e" cm="1">
        <f t="array" ref="Z401">IF(INDEX(Table2[],_xlfn.XMATCH($A401,Table2[Steel Member],0),_xlfn.XMATCH(Z$2,Table2[#Headers],0))=0,"",INDEX(Table2[],_xlfn.XMATCH($A401,Table2[Steel Member],0),_xlfn.XMATCH(Z$2,Table2[#Headers],0)))</f>
        <v>#N/A</v>
      </c>
      <c r="AA401" s="4" t="e" cm="1">
        <f t="array" ref="AA401">IF(INDEX(Table2[],_xlfn.XMATCH($A401,Table2[Steel Member],0),_xlfn.XMATCH(AA$2,Table2[#Headers],0))=0,"",INDEX(Table2[],_xlfn.XMATCH($A401,Table2[Steel Member],0),_xlfn.XMATCH(AA$2,Table2[#Headers],0)))</f>
        <v>#N/A</v>
      </c>
      <c r="AB401" s="4" t="e" cm="1">
        <f t="array" ref="AB401">IF(INDEX(Table2[],_xlfn.XMATCH($A401,Table2[Steel Member],0),_xlfn.XMATCH(AB$2,Table2[#Headers],0))=0,"",INDEX(Table2[],_xlfn.XMATCH($A401,Table2[Steel Member],0),_xlfn.XMATCH(AB$2,Table2[#Headers],0)))</f>
        <v>#N/A</v>
      </c>
      <c r="AC401" s="4" t="str" cm="1">
        <f t="array" ref="AC401">IFERROR(INDEX(Table8[],_xlfn.XMATCH($O401,Table8[Dimension Name Category],0),_xlfn.XMATCH(AC$2&amp;IF($L401," w/ tag"," w/o tag"),Table8[#Headers],0)),"")</f>
        <v/>
      </c>
      <c r="AD401" s="59" t="str">
        <f t="shared" si="105"/>
        <v/>
      </c>
      <c r="AE401" s="4" t="str">
        <f t="shared" si="106"/>
        <v/>
      </c>
      <c r="AF401" s="4" t="str">
        <f t="shared" si="107"/>
        <v/>
      </c>
      <c r="AG401" s="4" t="str" cm="1">
        <f t="array" ref="AG401">IFERROR(INDEX(Table8[],_xlfn.XMATCH($O401,Table8[Dimension Name Category],0),_xlfn.XMATCH(AG$2&amp;IF($L401," w/ tag"," w/o tag"),Table8[#Headers],0)),"")</f>
        <v/>
      </c>
      <c r="AH401" s="59" t="str">
        <f t="shared" si="108"/>
        <v/>
      </c>
      <c r="AI401" s="4"/>
      <c r="AJ401" s="4" t="str">
        <f t="shared" si="109"/>
        <v/>
      </c>
      <c r="AK401" s="4" t="str">
        <f t="shared" si="110"/>
        <v/>
      </c>
      <c r="AL401" s="4" t="e" cm="1">
        <f t="array" ref="AL401">IF(INDEX(Table2[],_xlfn.XMATCH($A401,Table2[Steel Member],0),_xlfn.XMATCH(AL$2,Table2[#Headers],0))=0,"",INDEX(Table2[],_xlfn.XMATCH($A401,Table2[Steel Member],0),_xlfn.XMATCH(AL$2,Table2[#Headers],0)))</f>
        <v>#N/A</v>
      </c>
      <c r="AM401" s="4"/>
      <c r="AN401" s="4" t="str">
        <f t="shared" si="111"/>
        <v/>
      </c>
      <c r="AO401" s="4"/>
      <c r="AP401" s="4" t="e" cm="1">
        <f t="array" ref="AP401">IF(INDEX(Table2[],_xlfn.XMATCH($A401,Table2[Steel Member],0),_xlfn.XMATCH(AP$2,Table2[#Headers],0))=0,"",INDEX(Table2[],_xlfn.XMATCH($A401,Table2[Steel Member],0),_xlfn.XMATCH(AP$2,Table2[#Headers],0)))</f>
        <v>#N/A</v>
      </c>
      <c r="AQ401" s="4"/>
      <c r="AR401" s="4"/>
      <c r="AS401" s="4"/>
      <c r="AT401" s="4"/>
    </row>
    <row r="402" spans="1:46" x14ac:dyDescent="0.25">
      <c r="A402" s="52"/>
      <c r="B402" s="52"/>
      <c r="C402" s="52"/>
      <c r="D402" s="52"/>
      <c r="E402" s="52"/>
      <c r="F402" s="64" cm="1">
        <f t="array" ref="F402">IF(COUNT(FIND(PurlinsxGirthsxBracings,$C402))&gt;0,0,ROUNDUP(IF(D402=0,0,VLOOKUP(D402,'DATA SHEET'!$B:$D,2,FALSE)),2))</f>
        <v>0</v>
      </c>
      <c r="G402" s="64" cm="1">
        <f t="array" ref="G402">IF(COUNT(FIND(PurlinsxGirthsxBracings,$C402))&gt;0,0,ROUNDUP(IF(D402=0,0,VLOOKUP(D402,'DATA SHEET'!$B:$D,3,FALSE)),2))</f>
        <v>0</v>
      </c>
      <c r="H402" s="53"/>
      <c r="I402" s="66" cm="1">
        <f t="array" ref="I402">IF(AND(ISBLANK(B402),ISBLANK(C402),ISBLANK(E402)),0,IF(COUNT(FIND(PurlinsxGirthsxBracings,$C402))&gt;0,IF(B402=0,CONCATENATE(E402," ",C402),CONCATENATE(B402," - ",E402," ",C402)),IF(B402=0,IF(ISBLANK(C402),E402,CONCATENATE(D402,", ",F402,"kg/m, ",G402,"mm surface perimeter")),IF(AND(ISBLANK(C402),ISTEXT(E402)),CONCATENATE(B402," - ",E402),IF(AND(ISBLANK(C402),ISBLANK(E402)),B402,CONCATENATE(B402," - ",D402,", ",F402,"kg/m, ",G402,"mm surface perimeter"))))&amp;IF(ISBLANK(H402),"",H402)))</f>
        <v>0</v>
      </c>
      <c r="J402" s="53"/>
      <c r="L402" s="4" t="str" cm="1">
        <f t="array" ref="L402">IF(COUNT(FIND({0,1,2,3,4,5,6,7,8,9},B402))&gt;0,COUNT(FIND({0,1,2,3,4,5,6,7,8,9},B402))&gt;0,"")</f>
        <v/>
      </c>
      <c r="M402" s="4" t="str" cm="1">
        <f t="array" aca="1" ref="M402" ca="1">IFERROR(_xlfn.IFS(R402="Count",RANDBETWEEN(1,COUNTIF($R$11:$R$653,"Count")),R402="Length",RANDBETWEEN(1,COUNTIF($R$11:$R$653,"Length"))),"")</f>
        <v/>
      </c>
      <c r="N402" s="4" t="str">
        <f ca="1">IFERROR(_xlfn.RANK.EQ(M402,$M$11:$M$653)+COUNTIF($M$11:M402,M402)-1,"")</f>
        <v/>
      </c>
      <c r="O402" s="86" t="str">
        <f>IF(A402='DATA SHEET'!$L$36,C402,IFERROR(IF(AND(ISTEXT(I402),ISBLANK(C402)),"No details",VLOOKUP(C402,DimFolder,2,FALSE)),""))</f>
        <v/>
      </c>
      <c r="P402" s="4" t="str">
        <f t="shared" si="113"/>
        <v/>
      </c>
      <c r="Q402" s="58" t="str">
        <f t="shared" si="112"/>
        <v/>
      </c>
      <c r="R402" s="4" t="e" cm="1">
        <f t="array" ref="R402">IF(INDEX(Table2[],_xlfn.XMATCH($A402,Table2[Steel Member],0),_xlfn.XMATCH(R$2,Table2[#Headers],0))=0,"",INDEX(Table2[],_xlfn.XMATCH($A402,Table2[Steel Member],0),_xlfn.XMATCH(R$2,Table2[#Headers],0)))</f>
        <v>#N/A</v>
      </c>
      <c r="S402" s="4" t="e" cm="1">
        <f t="array" ref="S402">IF(INDEX(Table2[],_xlfn.XMATCH($A402,Table2[Steel Member],0),_xlfn.XMATCH(S$2,Table2[#Headers],0))=0,"",INDEX(Table2[],_xlfn.XMATCH($A402,Table2[Steel Member],0),_xlfn.XMATCH(S$2,Table2[#Headers],0)))</f>
        <v>#N/A</v>
      </c>
      <c r="T402" s="4" t="str">
        <f t="shared" si="103"/>
        <v/>
      </c>
      <c r="U402" s="4" t="e">
        <f ca="1">VLOOKUP(N402,'COLOR CODE'!$B:$D,2,FALSE)</f>
        <v>#N/A</v>
      </c>
      <c r="V402" s="4" t="str">
        <f t="shared" si="104"/>
        <v/>
      </c>
      <c r="W402" s="4" t="e" cm="1">
        <f t="array" ref="W402">IF(INDEX(Table2[],_xlfn.XMATCH($A402,Table2[Steel Member],0),_xlfn.XMATCH(W$2,Table2[#Headers],0))=0,"",INDEX(Table2[],_xlfn.XMATCH($A402,Table2[Steel Member],0),_xlfn.XMATCH(W$2,Table2[#Headers],0)))</f>
        <v>#N/A</v>
      </c>
      <c r="X402" s="4" t="e">
        <f t="shared" si="114"/>
        <v>#N/A</v>
      </c>
      <c r="Y402" s="4" t="e" cm="1">
        <f t="array" ref="Y402">IF(INDEX(Table2[],_xlfn.XMATCH($A402,Table2[Steel Member],0),_xlfn.XMATCH(Y$2,Table2[#Headers],0))=0,"",INDEX(Table2[],_xlfn.XMATCH($A402,Table2[Steel Member],0),_xlfn.XMATCH(Y$2,Table2[#Headers],0)))</f>
        <v>#N/A</v>
      </c>
      <c r="Z402" s="4" t="e" cm="1">
        <f t="array" ref="Z402">IF(INDEX(Table2[],_xlfn.XMATCH($A402,Table2[Steel Member],0),_xlfn.XMATCH(Z$2,Table2[#Headers],0))=0,"",INDEX(Table2[],_xlfn.XMATCH($A402,Table2[Steel Member],0),_xlfn.XMATCH(Z$2,Table2[#Headers],0)))</f>
        <v>#N/A</v>
      </c>
      <c r="AA402" s="4" t="e" cm="1">
        <f t="array" ref="AA402">IF(INDEX(Table2[],_xlfn.XMATCH($A402,Table2[Steel Member],0),_xlfn.XMATCH(AA$2,Table2[#Headers],0))=0,"",INDEX(Table2[],_xlfn.XMATCH($A402,Table2[Steel Member],0),_xlfn.XMATCH(AA$2,Table2[#Headers],0)))</f>
        <v>#N/A</v>
      </c>
      <c r="AB402" s="4" t="e" cm="1">
        <f t="array" ref="AB402">IF(INDEX(Table2[],_xlfn.XMATCH($A402,Table2[Steel Member],0),_xlfn.XMATCH(AB$2,Table2[#Headers],0))=0,"",INDEX(Table2[],_xlfn.XMATCH($A402,Table2[Steel Member],0),_xlfn.XMATCH(AB$2,Table2[#Headers],0)))</f>
        <v>#N/A</v>
      </c>
      <c r="AC402" s="4" t="str" cm="1">
        <f t="array" ref="AC402">IFERROR(INDEX(Table8[],_xlfn.XMATCH($O402,Table8[Dimension Name Category],0),_xlfn.XMATCH(AC$2&amp;IF($L402," w/ tag"," w/o tag"),Table8[#Headers],0)),"")</f>
        <v/>
      </c>
      <c r="AD402" s="59" t="str">
        <f t="shared" si="105"/>
        <v/>
      </c>
      <c r="AE402" s="4" t="str">
        <f t="shared" si="106"/>
        <v/>
      </c>
      <c r="AF402" s="4" t="str">
        <f t="shared" si="107"/>
        <v/>
      </c>
      <c r="AG402" s="4" t="str" cm="1">
        <f t="array" ref="AG402">IFERROR(INDEX(Table8[],_xlfn.XMATCH($O402,Table8[Dimension Name Category],0),_xlfn.XMATCH(AG$2&amp;IF($L402," w/ tag"," w/o tag"),Table8[#Headers],0)),"")</f>
        <v/>
      </c>
      <c r="AH402" s="59" t="str">
        <f t="shared" si="108"/>
        <v/>
      </c>
      <c r="AI402" s="4"/>
      <c r="AJ402" s="4" t="str">
        <f t="shared" si="109"/>
        <v/>
      </c>
      <c r="AK402" s="4" t="str">
        <f t="shared" si="110"/>
        <v/>
      </c>
      <c r="AL402" s="4" t="e" cm="1">
        <f t="array" ref="AL402">IF(INDEX(Table2[],_xlfn.XMATCH($A402,Table2[Steel Member],0),_xlfn.XMATCH(AL$2,Table2[#Headers],0))=0,"",INDEX(Table2[],_xlfn.XMATCH($A402,Table2[Steel Member],0),_xlfn.XMATCH(AL$2,Table2[#Headers],0)))</f>
        <v>#N/A</v>
      </c>
      <c r="AM402" s="4"/>
      <c r="AN402" s="4" t="str">
        <f t="shared" si="111"/>
        <v/>
      </c>
      <c r="AO402" s="4"/>
      <c r="AP402" s="4" t="e" cm="1">
        <f t="array" ref="AP402">IF(INDEX(Table2[],_xlfn.XMATCH($A402,Table2[Steel Member],0),_xlfn.XMATCH(AP$2,Table2[#Headers],0))=0,"",INDEX(Table2[],_xlfn.XMATCH($A402,Table2[Steel Member],0),_xlfn.XMATCH(AP$2,Table2[#Headers],0)))</f>
        <v>#N/A</v>
      </c>
      <c r="AQ402" s="4"/>
      <c r="AR402" s="4"/>
      <c r="AS402" s="4"/>
      <c r="AT402" s="4"/>
    </row>
    <row r="403" spans="1:46" x14ac:dyDescent="0.25">
      <c r="A403" s="52"/>
      <c r="B403" s="52"/>
      <c r="C403" s="52"/>
      <c r="D403" s="52"/>
      <c r="E403" s="52"/>
      <c r="F403" s="64" cm="1">
        <f t="array" ref="F403">IF(COUNT(FIND(PurlinsxGirthsxBracings,$C403))&gt;0,0,ROUNDUP(IF(D403=0,0,VLOOKUP(D403,'DATA SHEET'!$B:$D,2,FALSE)),2))</f>
        <v>0</v>
      </c>
      <c r="G403" s="64" cm="1">
        <f t="array" ref="G403">IF(COUNT(FIND(PurlinsxGirthsxBracings,$C403))&gt;0,0,ROUNDUP(IF(D403=0,0,VLOOKUP(D403,'DATA SHEET'!$B:$D,3,FALSE)),2))</f>
        <v>0</v>
      </c>
      <c r="H403" s="53"/>
      <c r="I403" s="66" cm="1">
        <f t="array" ref="I403">IF(AND(ISBLANK(B403),ISBLANK(C403),ISBLANK(E403)),0,IF(COUNT(FIND(PurlinsxGirthsxBracings,$C403))&gt;0,IF(B403=0,CONCATENATE(E403," ",C403),CONCATENATE(B403," - ",E403," ",C403)),IF(B403=0,IF(ISBLANK(C403),E403,CONCATENATE(D403,", ",F403,"kg/m, ",G403,"mm surface perimeter")),IF(AND(ISBLANK(C403),ISTEXT(E403)),CONCATENATE(B403," - ",E403),IF(AND(ISBLANK(C403),ISBLANK(E403)),B403,CONCATENATE(B403," - ",D403,", ",F403,"kg/m, ",G403,"mm surface perimeter"))))&amp;IF(ISBLANK(H403),"",H403)))</f>
        <v>0</v>
      </c>
      <c r="J403" s="53"/>
      <c r="L403" s="4" t="str" cm="1">
        <f t="array" ref="L403">IF(COUNT(FIND({0,1,2,3,4,5,6,7,8,9},B403))&gt;0,COUNT(FIND({0,1,2,3,4,5,6,7,8,9},B403))&gt;0,"")</f>
        <v/>
      </c>
      <c r="M403" s="4" t="str" cm="1">
        <f t="array" aca="1" ref="M403" ca="1">IFERROR(_xlfn.IFS(R403="Count",RANDBETWEEN(1,COUNTIF($R$11:$R$653,"Count")),R403="Length",RANDBETWEEN(1,COUNTIF($R$11:$R$653,"Length"))),"")</f>
        <v/>
      </c>
      <c r="N403" s="4" t="str">
        <f ca="1">IFERROR(_xlfn.RANK.EQ(M403,$M$11:$M$653)+COUNTIF($M$11:M403,M403)-1,"")</f>
        <v/>
      </c>
      <c r="O403" s="86" t="str">
        <f>IF(A403='DATA SHEET'!$L$36,C403,IFERROR(IF(AND(ISTEXT(I403),ISBLANK(C403)),"No details",VLOOKUP(C403,DimFolder,2,FALSE)),""))</f>
        <v/>
      </c>
      <c r="P403" s="4" t="str">
        <f t="shared" si="113"/>
        <v/>
      </c>
      <c r="Q403" s="58" t="str">
        <f t="shared" si="112"/>
        <v/>
      </c>
      <c r="R403" s="4" t="e" cm="1">
        <f t="array" ref="R403">IF(INDEX(Table2[],_xlfn.XMATCH($A403,Table2[Steel Member],0),_xlfn.XMATCH(R$2,Table2[#Headers],0))=0,"",INDEX(Table2[],_xlfn.XMATCH($A403,Table2[Steel Member],0),_xlfn.XMATCH(R$2,Table2[#Headers],0)))</f>
        <v>#N/A</v>
      </c>
      <c r="S403" s="4" t="e" cm="1">
        <f t="array" ref="S403">IF(INDEX(Table2[],_xlfn.XMATCH($A403,Table2[Steel Member],0),_xlfn.XMATCH(S$2,Table2[#Headers],0))=0,"",INDEX(Table2[],_xlfn.XMATCH($A403,Table2[Steel Member],0),_xlfn.XMATCH(S$2,Table2[#Headers],0)))</f>
        <v>#N/A</v>
      </c>
      <c r="T403" s="4" t="str">
        <f t="shared" si="103"/>
        <v/>
      </c>
      <c r="U403" s="4" t="e">
        <f ca="1">VLOOKUP(N403,'COLOR CODE'!$B:$D,2,FALSE)</f>
        <v>#N/A</v>
      </c>
      <c r="V403" s="4" t="str">
        <f t="shared" si="104"/>
        <v/>
      </c>
      <c r="W403" s="4" t="e" cm="1">
        <f t="array" ref="W403">IF(INDEX(Table2[],_xlfn.XMATCH($A403,Table2[Steel Member],0),_xlfn.XMATCH(W$2,Table2[#Headers],0))=0,"",INDEX(Table2[],_xlfn.XMATCH($A403,Table2[Steel Member],0),_xlfn.XMATCH(W$2,Table2[#Headers],0)))</f>
        <v>#N/A</v>
      </c>
      <c r="X403" s="4" t="e">
        <f t="shared" si="114"/>
        <v>#N/A</v>
      </c>
      <c r="Y403" s="4" t="e" cm="1">
        <f t="array" ref="Y403">IF(INDEX(Table2[],_xlfn.XMATCH($A403,Table2[Steel Member],0),_xlfn.XMATCH(Y$2,Table2[#Headers],0))=0,"",INDEX(Table2[],_xlfn.XMATCH($A403,Table2[Steel Member],0),_xlfn.XMATCH(Y$2,Table2[#Headers],0)))</f>
        <v>#N/A</v>
      </c>
      <c r="Z403" s="4" t="e" cm="1">
        <f t="array" ref="Z403">IF(INDEX(Table2[],_xlfn.XMATCH($A403,Table2[Steel Member],0),_xlfn.XMATCH(Z$2,Table2[#Headers],0))=0,"",INDEX(Table2[],_xlfn.XMATCH($A403,Table2[Steel Member],0),_xlfn.XMATCH(Z$2,Table2[#Headers],0)))</f>
        <v>#N/A</v>
      </c>
      <c r="AA403" s="4" t="e" cm="1">
        <f t="array" ref="AA403">IF(INDEX(Table2[],_xlfn.XMATCH($A403,Table2[Steel Member],0),_xlfn.XMATCH(AA$2,Table2[#Headers],0))=0,"",INDEX(Table2[],_xlfn.XMATCH($A403,Table2[Steel Member],0),_xlfn.XMATCH(AA$2,Table2[#Headers],0)))</f>
        <v>#N/A</v>
      </c>
      <c r="AB403" s="4" t="e" cm="1">
        <f t="array" ref="AB403">IF(INDEX(Table2[],_xlfn.XMATCH($A403,Table2[Steel Member],0),_xlfn.XMATCH(AB$2,Table2[#Headers],0))=0,"",INDEX(Table2[],_xlfn.XMATCH($A403,Table2[Steel Member],0),_xlfn.XMATCH(AB$2,Table2[#Headers],0)))</f>
        <v>#N/A</v>
      </c>
      <c r="AC403" s="4" t="str" cm="1">
        <f t="array" ref="AC403">IFERROR(INDEX(Table8[],_xlfn.XMATCH($O403,Table8[Dimension Name Category],0),_xlfn.XMATCH(AC$2&amp;IF($L403," w/ tag"," w/o tag"),Table8[#Headers],0)),"")</f>
        <v/>
      </c>
      <c r="AD403" s="59" t="str">
        <f t="shared" si="105"/>
        <v/>
      </c>
      <c r="AE403" s="4" t="str">
        <f t="shared" si="106"/>
        <v/>
      </c>
      <c r="AF403" s="4" t="str">
        <f t="shared" si="107"/>
        <v/>
      </c>
      <c r="AG403" s="4" t="str" cm="1">
        <f t="array" ref="AG403">IFERROR(INDEX(Table8[],_xlfn.XMATCH($O403,Table8[Dimension Name Category],0),_xlfn.XMATCH(AG$2&amp;IF($L403," w/ tag"," w/o tag"),Table8[#Headers],0)),"")</f>
        <v/>
      </c>
      <c r="AH403" s="59" t="str">
        <f t="shared" si="108"/>
        <v/>
      </c>
      <c r="AI403" s="4"/>
      <c r="AJ403" s="4" t="str">
        <f t="shared" si="109"/>
        <v/>
      </c>
      <c r="AK403" s="4" t="str">
        <f t="shared" si="110"/>
        <v/>
      </c>
      <c r="AL403" s="4" t="e" cm="1">
        <f t="array" ref="AL403">IF(INDEX(Table2[],_xlfn.XMATCH($A403,Table2[Steel Member],0),_xlfn.XMATCH(AL$2,Table2[#Headers],0))=0,"",INDEX(Table2[],_xlfn.XMATCH($A403,Table2[Steel Member],0),_xlfn.XMATCH(AL$2,Table2[#Headers],0)))</f>
        <v>#N/A</v>
      </c>
      <c r="AM403" s="4"/>
      <c r="AN403" s="4" t="str">
        <f t="shared" si="111"/>
        <v/>
      </c>
      <c r="AO403" s="4"/>
      <c r="AP403" s="4" t="e" cm="1">
        <f t="array" ref="AP403">IF(INDEX(Table2[],_xlfn.XMATCH($A403,Table2[Steel Member],0),_xlfn.XMATCH(AP$2,Table2[#Headers],0))=0,"",INDEX(Table2[],_xlfn.XMATCH($A403,Table2[Steel Member],0),_xlfn.XMATCH(AP$2,Table2[#Headers],0)))</f>
        <v>#N/A</v>
      </c>
      <c r="AQ403" s="4"/>
      <c r="AR403" s="4"/>
      <c r="AS403" s="4"/>
      <c r="AT403" s="4"/>
    </row>
    <row r="404" spans="1:46" x14ac:dyDescent="0.25">
      <c r="A404" s="52"/>
      <c r="B404" s="52"/>
      <c r="C404" s="52"/>
      <c r="D404" s="52"/>
      <c r="E404" s="52"/>
      <c r="F404" s="64" cm="1">
        <f t="array" ref="F404">IF(COUNT(FIND(PurlinsxGirthsxBracings,$C404))&gt;0,0,ROUNDUP(IF(D404=0,0,VLOOKUP(D404,'DATA SHEET'!$B:$D,2,FALSE)),2))</f>
        <v>0</v>
      </c>
      <c r="G404" s="64" cm="1">
        <f t="array" ref="G404">IF(COUNT(FIND(PurlinsxGirthsxBracings,$C404))&gt;0,0,ROUNDUP(IF(D404=0,0,VLOOKUP(D404,'DATA SHEET'!$B:$D,3,FALSE)),2))</f>
        <v>0</v>
      </c>
      <c r="H404" s="53"/>
      <c r="I404" s="66" cm="1">
        <f t="array" ref="I404">IF(AND(ISBLANK(B404),ISBLANK(C404),ISBLANK(E404)),0,IF(COUNT(FIND(PurlinsxGirthsxBracings,$C404))&gt;0,IF(B404=0,CONCATENATE(E404," ",C404),CONCATENATE(B404," - ",E404," ",C404)),IF(B404=0,IF(ISBLANK(C404),E404,CONCATENATE(D404,", ",F404,"kg/m, ",G404,"mm surface perimeter")),IF(AND(ISBLANK(C404),ISTEXT(E404)),CONCATENATE(B404," - ",E404),IF(AND(ISBLANK(C404),ISBLANK(E404)),B404,CONCATENATE(B404," - ",D404,", ",F404,"kg/m, ",G404,"mm surface perimeter"))))&amp;IF(ISBLANK(H404),"",H404)))</f>
        <v>0</v>
      </c>
      <c r="J404" s="53"/>
      <c r="L404" s="4" t="str" cm="1">
        <f t="array" ref="L404">IF(COUNT(FIND({0,1,2,3,4,5,6,7,8,9},B404))&gt;0,COUNT(FIND({0,1,2,3,4,5,6,7,8,9},B404))&gt;0,"")</f>
        <v/>
      </c>
      <c r="M404" s="4" t="str" cm="1">
        <f t="array" aca="1" ref="M404" ca="1">IFERROR(_xlfn.IFS(R404="Count",RANDBETWEEN(1,COUNTIF($R$11:$R$653,"Count")),R404="Length",RANDBETWEEN(1,COUNTIF($R$11:$R$653,"Length"))),"")</f>
        <v/>
      </c>
      <c r="N404" s="4" t="str">
        <f ca="1">IFERROR(_xlfn.RANK.EQ(M404,$M$11:$M$653)+COUNTIF($M$11:M404,M404)-1,"")</f>
        <v/>
      </c>
      <c r="O404" s="86" t="str">
        <f>IF(A404='DATA SHEET'!$L$36,C404,IFERROR(IF(AND(ISTEXT(I404),ISBLANK(C404)),"No details",VLOOKUP(C404,DimFolder,2,FALSE)),""))</f>
        <v/>
      </c>
      <c r="P404" s="4" t="str">
        <f t="shared" si="113"/>
        <v/>
      </c>
      <c r="Q404" s="58" t="str">
        <f t="shared" si="112"/>
        <v/>
      </c>
      <c r="R404" s="4" t="e" cm="1">
        <f t="array" ref="R404">IF(INDEX(Table2[],_xlfn.XMATCH($A404,Table2[Steel Member],0),_xlfn.XMATCH(R$2,Table2[#Headers],0))=0,"",INDEX(Table2[],_xlfn.XMATCH($A404,Table2[Steel Member],0),_xlfn.XMATCH(R$2,Table2[#Headers],0)))</f>
        <v>#N/A</v>
      </c>
      <c r="S404" s="4" t="e" cm="1">
        <f t="array" ref="S404">IF(INDEX(Table2[],_xlfn.XMATCH($A404,Table2[Steel Member],0),_xlfn.XMATCH(S$2,Table2[#Headers],0))=0,"",INDEX(Table2[],_xlfn.XMATCH($A404,Table2[Steel Member],0),_xlfn.XMATCH(S$2,Table2[#Headers],0)))</f>
        <v>#N/A</v>
      </c>
      <c r="T404" s="4" t="str">
        <f t="shared" si="103"/>
        <v/>
      </c>
      <c r="U404" s="4" t="e">
        <f ca="1">VLOOKUP(N404,'COLOR CODE'!$B:$D,2,FALSE)</f>
        <v>#N/A</v>
      </c>
      <c r="V404" s="4" t="str">
        <f t="shared" si="104"/>
        <v/>
      </c>
      <c r="W404" s="4" t="e" cm="1">
        <f t="array" ref="W404">IF(INDEX(Table2[],_xlfn.XMATCH($A404,Table2[Steel Member],0),_xlfn.XMATCH(W$2,Table2[#Headers],0))=0,"",INDEX(Table2[],_xlfn.XMATCH($A404,Table2[Steel Member],0),_xlfn.XMATCH(W$2,Table2[#Headers],0)))</f>
        <v>#N/A</v>
      </c>
      <c r="X404" s="4" t="e">
        <f t="shared" si="114"/>
        <v>#N/A</v>
      </c>
      <c r="Y404" s="4" t="e" cm="1">
        <f t="array" ref="Y404">IF(INDEX(Table2[],_xlfn.XMATCH($A404,Table2[Steel Member],0),_xlfn.XMATCH(Y$2,Table2[#Headers],0))=0,"",INDEX(Table2[],_xlfn.XMATCH($A404,Table2[Steel Member],0),_xlfn.XMATCH(Y$2,Table2[#Headers],0)))</f>
        <v>#N/A</v>
      </c>
      <c r="Z404" s="4" t="e" cm="1">
        <f t="array" ref="Z404">IF(INDEX(Table2[],_xlfn.XMATCH($A404,Table2[Steel Member],0),_xlfn.XMATCH(Z$2,Table2[#Headers],0))=0,"",INDEX(Table2[],_xlfn.XMATCH($A404,Table2[Steel Member],0),_xlfn.XMATCH(Z$2,Table2[#Headers],0)))</f>
        <v>#N/A</v>
      </c>
      <c r="AA404" s="4" t="e" cm="1">
        <f t="array" ref="AA404">IF(INDEX(Table2[],_xlfn.XMATCH($A404,Table2[Steel Member],0),_xlfn.XMATCH(AA$2,Table2[#Headers],0))=0,"",INDEX(Table2[],_xlfn.XMATCH($A404,Table2[Steel Member],0),_xlfn.XMATCH(AA$2,Table2[#Headers],0)))</f>
        <v>#N/A</v>
      </c>
      <c r="AB404" s="4" t="e" cm="1">
        <f t="array" ref="AB404">IF(INDEX(Table2[],_xlfn.XMATCH($A404,Table2[Steel Member],0),_xlfn.XMATCH(AB$2,Table2[#Headers],0))=0,"",INDEX(Table2[],_xlfn.XMATCH($A404,Table2[Steel Member],0),_xlfn.XMATCH(AB$2,Table2[#Headers],0)))</f>
        <v>#N/A</v>
      </c>
      <c r="AC404" s="4" t="str" cm="1">
        <f t="array" ref="AC404">IFERROR(INDEX(Table8[],_xlfn.XMATCH($O404,Table8[Dimension Name Category],0),_xlfn.XMATCH(AC$2&amp;IF($L404," w/ tag"," w/o tag"),Table8[#Headers],0)),"")</f>
        <v/>
      </c>
      <c r="AD404" s="59" t="str">
        <f t="shared" si="105"/>
        <v/>
      </c>
      <c r="AE404" s="4" t="str">
        <f t="shared" si="106"/>
        <v/>
      </c>
      <c r="AF404" s="4" t="str">
        <f t="shared" si="107"/>
        <v/>
      </c>
      <c r="AG404" s="4" t="str" cm="1">
        <f t="array" ref="AG404">IFERROR(INDEX(Table8[],_xlfn.XMATCH($O404,Table8[Dimension Name Category],0),_xlfn.XMATCH(AG$2&amp;IF($L404," w/ tag"," w/o tag"),Table8[#Headers],0)),"")</f>
        <v/>
      </c>
      <c r="AH404" s="59" t="str">
        <f t="shared" si="108"/>
        <v/>
      </c>
      <c r="AI404" s="4"/>
      <c r="AJ404" s="4" t="str">
        <f t="shared" si="109"/>
        <v/>
      </c>
      <c r="AK404" s="4" t="str">
        <f t="shared" si="110"/>
        <v/>
      </c>
      <c r="AL404" s="4" t="e" cm="1">
        <f t="array" ref="AL404">IF(INDEX(Table2[],_xlfn.XMATCH($A404,Table2[Steel Member],0),_xlfn.XMATCH(AL$2,Table2[#Headers],0))=0,"",INDEX(Table2[],_xlfn.XMATCH($A404,Table2[Steel Member],0),_xlfn.XMATCH(AL$2,Table2[#Headers],0)))</f>
        <v>#N/A</v>
      </c>
      <c r="AM404" s="4"/>
      <c r="AN404" s="4" t="str">
        <f t="shared" si="111"/>
        <v/>
      </c>
      <c r="AO404" s="4"/>
      <c r="AP404" s="4" t="e" cm="1">
        <f t="array" ref="AP404">IF(INDEX(Table2[],_xlfn.XMATCH($A404,Table2[Steel Member],0),_xlfn.XMATCH(AP$2,Table2[#Headers],0))=0,"",INDEX(Table2[],_xlfn.XMATCH($A404,Table2[Steel Member],0),_xlfn.XMATCH(AP$2,Table2[#Headers],0)))</f>
        <v>#N/A</v>
      </c>
      <c r="AQ404" s="4"/>
      <c r="AR404" s="4"/>
      <c r="AS404" s="4"/>
      <c r="AT404" s="4"/>
    </row>
    <row r="405" spans="1:46" x14ac:dyDescent="0.25">
      <c r="A405" s="52"/>
      <c r="B405" s="52"/>
      <c r="C405" s="52"/>
      <c r="D405" s="52"/>
      <c r="E405" s="52"/>
      <c r="F405" s="64" cm="1">
        <f t="array" ref="F405">IF(COUNT(FIND(PurlinsxGirthsxBracings,$C405))&gt;0,0,ROUNDUP(IF(D405=0,0,VLOOKUP(D405,'DATA SHEET'!$B:$D,2,FALSE)),2))</f>
        <v>0</v>
      </c>
      <c r="G405" s="64" cm="1">
        <f t="array" ref="G405">IF(COUNT(FIND(PurlinsxGirthsxBracings,$C405))&gt;0,0,ROUNDUP(IF(D405=0,0,VLOOKUP(D405,'DATA SHEET'!$B:$D,3,FALSE)),2))</f>
        <v>0</v>
      </c>
      <c r="H405" s="53"/>
      <c r="I405" s="66" cm="1">
        <f t="array" ref="I405">IF(AND(ISBLANK(B405),ISBLANK(C405),ISBLANK(E405)),0,IF(COUNT(FIND(PurlinsxGirthsxBracings,$C405))&gt;0,IF(B405=0,CONCATENATE(E405," ",C405),CONCATENATE(B405," - ",E405," ",C405)),IF(B405=0,IF(ISBLANK(C405),E405,CONCATENATE(D405,", ",F405,"kg/m, ",G405,"mm surface perimeter")),IF(AND(ISBLANK(C405),ISTEXT(E405)),CONCATENATE(B405," - ",E405),IF(AND(ISBLANK(C405),ISBLANK(E405)),B405,CONCATENATE(B405," - ",D405,", ",F405,"kg/m, ",G405,"mm surface perimeter"))))&amp;IF(ISBLANK(H405),"",H405)))</f>
        <v>0</v>
      </c>
      <c r="J405" s="53"/>
      <c r="L405" s="4" t="str" cm="1">
        <f t="array" ref="L405">IF(COUNT(FIND({0,1,2,3,4,5,6,7,8,9},B405))&gt;0,COUNT(FIND({0,1,2,3,4,5,6,7,8,9},B405))&gt;0,"")</f>
        <v/>
      </c>
      <c r="M405" s="4" t="str" cm="1">
        <f t="array" aca="1" ref="M405" ca="1">IFERROR(_xlfn.IFS(R405="Count",RANDBETWEEN(1,COUNTIF($R$11:$R$653,"Count")),R405="Length",RANDBETWEEN(1,COUNTIF($R$11:$R$653,"Length"))),"")</f>
        <v/>
      </c>
      <c r="N405" s="4" t="str">
        <f ca="1">IFERROR(_xlfn.RANK.EQ(M405,$M$11:$M$653)+COUNTIF($M$11:M405,M405)-1,"")</f>
        <v/>
      </c>
      <c r="O405" s="86" t="str">
        <f>IF(A405='DATA SHEET'!$L$36,C405,IFERROR(IF(AND(ISTEXT(I405),ISBLANK(C405)),"No details",VLOOKUP(C405,DimFolder,2,FALSE)),""))</f>
        <v/>
      </c>
      <c r="P405" s="4" t="str">
        <f t="shared" si="113"/>
        <v/>
      </c>
      <c r="Q405" s="58" t="str">
        <f t="shared" si="112"/>
        <v/>
      </c>
      <c r="R405" s="4" t="e" cm="1">
        <f t="array" ref="R405">IF(INDEX(Table2[],_xlfn.XMATCH($A405,Table2[Steel Member],0),_xlfn.XMATCH(R$2,Table2[#Headers],0))=0,"",INDEX(Table2[],_xlfn.XMATCH($A405,Table2[Steel Member],0),_xlfn.XMATCH(R$2,Table2[#Headers],0)))</f>
        <v>#N/A</v>
      </c>
      <c r="S405" s="4" t="e" cm="1">
        <f t="array" ref="S405">IF(INDEX(Table2[],_xlfn.XMATCH($A405,Table2[Steel Member],0),_xlfn.XMATCH(S$2,Table2[#Headers],0))=0,"",INDEX(Table2[],_xlfn.XMATCH($A405,Table2[Steel Member],0),_xlfn.XMATCH(S$2,Table2[#Headers],0)))</f>
        <v>#N/A</v>
      </c>
      <c r="T405" s="4" t="str">
        <f t="shared" si="103"/>
        <v/>
      </c>
      <c r="U405" s="4" t="e">
        <f ca="1">VLOOKUP(N405,'COLOR CODE'!$B:$D,2,FALSE)</f>
        <v>#N/A</v>
      </c>
      <c r="V405" s="4" t="str">
        <f t="shared" si="104"/>
        <v/>
      </c>
      <c r="W405" s="4" t="e" cm="1">
        <f t="array" ref="W405">IF(INDEX(Table2[],_xlfn.XMATCH($A405,Table2[Steel Member],0),_xlfn.XMATCH(W$2,Table2[#Headers],0))=0,"",INDEX(Table2[],_xlfn.XMATCH($A405,Table2[Steel Member],0),_xlfn.XMATCH(W$2,Table2[#Headers],0)))</f>
        <v>#N/A</v>
      </c>
      <c r="X405" s="4" t="e">
        <f t="shared" si="114"/>
        <v>#N/A</v>
      </c>
      <c r="Y405" s="4" t="e" cm="1">
        <f t="array" ref="Y405">IF(INDEX(Table2[],_xlfn.XMATCH($A405,Table2[Steel Member],0),_xlfn.XMATCH(Y$2,Table2[#Headers],0))=0,"",INDEX(Table2[],_xlfn.XMATCH($A405,Table2[Steel Member],0),_xlfn.XMATCH(Y$2,Table2[#Headers],0)))</f>
        <v>#N/A</v>
      </c>
      <c r="Z405" s="4" t="e" cm="1">
        <f t="array" ref="Z405">IF(INDEX(Table2[],_xlfn.XMATCH($A405,Table2[Steel Member],0),_xlfn.XMATCH(Z$2,Table2[#Headers],0))=0,"",INDEX(Table2[],_xlfn.XMATCH($A405,Table2[Steel Member],0),_xlfn.XMATCH(Z$2,Table2[#Headers],0)))</f>
        <v>#N/A</v>
      </c>
      <c r="AA405" s="4" t="e" cm="1">
        <f t="array" ref="AA405">IF(INDEX(Table2[],_xlfn.XMATCH($A405,Table2[Steel Member],0),_xlfn.XMATCH(AA$2,Table2[#Headers],0))=0,"",INDEX(Table2[],_xlfn.XMATCH($A405,Table2[Steel Member],0),_xlfn.XMATCH(AA$2,Table2[#Headers],0)))</f>
        <v>#N/A</v>
      </c>
      <c r="AB405" s="4" t="e" cm="1">
        <f t="array" ref="AB405">IF(INDEX(Table2[],_xlfn.XMATCH($A405,Table2[Steel Member],0),_xlfn.XMATCH(AB$2,Table2[#Headers],0))=0,"",INDEX(Table2[],_xlfn.XMATCH($A405,Table2[Steel Member],0),_xlfn.XMATCH(AB$2,Table2[#Headers],0)))</f>
        <v>#N/A</v>
      </c>
      <c r="AC405" s="4" t="str" cm="1">
        <f t="array" ref="AC405">IFERROR(INDEX(Table8[],_xlfn.XMATCH($O405,Table8[Dimension Name Category],0),_xlfn.XMATCH(AC$2&amp;IF($L405," w/ tag"," w/o tag"),Table8[#Headers],0)),"")</f>
        <v/>
      </c>
      <c r="AD405" s="59" t="str">
        <f t="shared" si="105"/>
        <v/>
      </c>
      <c r="AE405" s="4" t="str">
        <f t="shared" si="106"/>
        <v/>
      </c>
      <c r="AF405" s="4" t="str">
        <f t="shared" si="107"/>
        <v/>
      </c>
      <c r="AG405" s="4" t="str" cm="1">
        <f t="array" ref="AG405">IFERROR(INDEX(Table8[],_xlfn.XMATCH($O405,Table8[Dimension Name Category],0),_xlfn.XMATCH(AG$2&amp;IF($L405," w/ tag"," w/o tag"),Table8[#Headers],0)),"")</f>
        <v/>
      </c>
      <c r="AH405" s="59" t="str">
        <f t="shared" si="108"/>
        <v/>
      </c>
      <c r="AI405" s="4"/>
      <c r="AJ405" s="4" t="str">
        <f t="shared" si="109"/>
        <v/>
      </c>
      <c r="AK405" s="4" t="str">
        <f t="shared" si="110"/>
        <v/>
      </c>
      <c r="AL405" s="4" t="e" cm="1">
        <f t="array" ref="AL405">IF(INDEX(Table2[],_xlfn.XMATCH($A405,Table2[Steel Member],0),_xlfn.XMATCH(AL$2,Table2[#Headers],0))=0,"",INDEX(Table2[],_xlfn.XMATCH($A405,Table2[Steel Member],0),_xlfn.XMATCH(AL$2,Table2[#Headers],0)))</f>
        <v>#N/A</v>
      </c>
      <c r="AM405" s="4"/>
      <c r="AN405" s="4" t="str">
        <f t="shared" si="111"/>
        <v/>
      </c>
      <c r="AO405" s="4"/>
      <c r="AP405" s="4" t="e" cm="1">
        <f t="array" ref="AP405">IF(INDEX(Table2[],_xlfn.XMATCH($A405,Table2[Steel Member],0),_xlfn.XMATCH(AP$2,Table2[#Headers],0))=0,"",INDEX(Table2[],_xlfn.XMATCH($A405,Table2[Steel Member],0),_xlfn.XMATCH(AP$2,Table2[#Headers],0)))</f>
        <v>#N/A</v>
      </c>
      <c r="AQ405" s="4"/>
      <c r="AR405" s="4"/>
      <c r="AS405" s="4"/>
      <c r="AT405" s="4"/>
    </row>
    <row r="406" spans="1:46" x14ac:dyDescent="0.25">
      <c r="A406" s="52"/>
      <c r="B406" s="52"/>
      <c r="C406" s="52"/>
      <c r="D406" s="52"/>
      <c r="E406" s="52"/>
      <c r="F406" s="64" cm="1">
        <f t="array" ref="F406">IF(COUNT(FIND(PurlinsxGirthsxBracings,$C406))&gt;0,0,ROUNDUP(IF(D406=0,0,VLOOKUP(D406,'DATA SHEET'!$B:$D,2,FALSE)),2))</f>
        <v>0</v>
      </c>
      <c r="G406" s="64" cm="1">
        <f t="array" ref="G406">IF(COUNT(FIND(PurlinsxGirthsxBracings,$C406))&gt;0,0,ROUNDUP(IF(D406=0,0,VLOOKUP(D406,'DATA SHEET'!$B:$D,3,FALSE)),2))</f>
        <v>0</v>
      </c>
      <c r="H406" s="53"/>
      <c r="I406" s="66" cm="1">
        <f t="array" ref="I406">IF(AND(ISBLANK(B406),ISBLANK(C406),ISBLANK(E406)),0,IF(COUNT(FIND(PurlinsxGirthsxBracings,$C406))&gt;0,IF(B406=0,CONCATENATE(E406," ",C406),CONCATENATE(B406," - ",E406," ",C406)),IF(B406=0,IF(ISBLANK(C406),E406,CONCATENATE(D406,", ",F406,"kg/m, ",G406,"mm surface perimeter")),IF(AND(ISBLANK(C406),ISTEXT(E406)),CONCATENATE(B406," - ",E406),IF(AND(ISBLANK(C406),ISBLANK(E406)),B406,CONCATENATE(B406," - ",D406,", ",F406,"kg/m, ",G406,"mm surface perimeter"))))&amp;IF(ISBLANK(H406),"",H406)))</f>
        <v>0</v>
      </c>
      <c r="J406" s="53"/>
      <c r="L406" s="4" t="str" cm="1">
        <f t="array" ref="L406">IF(COUNT(FIND({0,1,2,3,4,5,6,7,8,9},B406))&gt;0,COUNT(FIND({0,1,2,3,4,5,6,7,8,9},B406))&gt;0,"")</f>
        <v/>
      </c>
      <c r="M406" s="4" t="str" cm="1">
        <f t="array" aca="1" ref="M406" ca="1">IFERROR(_xlfn.IFS(R406="Count",RANDBETWEEN(1,COUNTIF($R$11:$R$653,"Count")),R406="Length",RANDBETWEEN(1,COUNTIF($R$11:$R$653,"Length"))),"")</f>
        <v/>
      </c>
      <c r="N406" s="4" t="str">
        <f ca="1">IFERROR(_xlfn.RANK.EQ(M406,$M$11:$M$653)+COUNTIF($M$11:M406,M406)-1,"")</f>
        <v/>
      </c>
      <c r="O406" s="86" t="str">
        <f>IF(A406='DATA SHEET'!$L$36,C406,IFERROR(IF(AND(ISTEXT(I406),ISBLANK(C406)),"No details",VLOOKUP(C406,DimFolder,2,FALSE)),""))</f>
        <v/>
      </c>
      <c r="P406" s="4" t="str">
        <f t="shared" si="113"/>
        <v/>
      </c>
      <c r="Q406" s="58" t="str">
        <f t="shared" si="112"/>
        <v/>
      </c>
      <c r="R406" s="4" t="e" cm="1">
        <f t="array" ref="R406">IF(INDEX(Table2[],_xlfn.XMATCH($A406,Table2[Steel Member],0),_xlfn.XMATCH(R$2,Table2[#Headers],0))=0,"",INDEX(Table2[],_xlfn.XMATCH($A406,Table2[Steel Member],0),_xlfn.XMATCH(R$2,Table2[#Headers],0)))</f>
        <v>#N/A</v>
      </c>
      <c r="S406" s="4" t="e" cm="1">
        <f t="array" ref="S406">IF(INDEX(Table2[],_xlfn.XMATCH($A406,Table2[Steel Member],0),_xlfn.XMATCH(S$2,Table2[#Headers],0))=0,"",INDEX(Table2[],_xlfn.XMATCH($A406,Table2[Steel Member],0),_xlfn.XMATCH(S$2,Table2[#Headers],0)))</f>
        <v>#N/A</v>
      </c>
      <c r="T406" s="4" t="str">
        <f t="shared" si="103"/>
        <v/>
      </c>
      <c r="U406" s="4" t="e">
        <f ca="1">VLOOKUP(N406,'COLOR CODE'!$B:$D,2,FALSE)</f>
        <v>#N/A</v>
      </c>
      <c r="V406" s="4" t="str">
        <f t="shared" si="104"/>
        <v/>
      </c>
      <c r="W406" s="4" t="e" cm="1">
        <f t="array" ref="W406">IF(INDEX(Table2[],_xlfn.XMATCH($A406,Table2[Steel Member],0),_xlfn.XMATCH(W$2,Table2[#Headers],0))=0,"",INDEX(Table2[],_xlfn.XMATCH($A406,Table2[Steel Member],0),_xlfn.XMATCH(W$2,Table2[#Headers],0)))</f>
        <v>#N/A</v>
      </c>
      <c r="X406" s="4" t="e">
        <f t="shared" si="114"/>
        <v>#N/A</v>
      </c>
      <c r="Y406" s="4" t="e" cm="1">
        <f t="array" ref="Y406">IF(INDEX(Table2[],_xlfn.XMATCH($A406,Table2[Steel Member],0),_xlfn.XMATCH(Y$2,Table2[#Headers],0))=0,"",INDEX(Table2[],_xlfn.XMATCH($A406,Table2[Steel Member],0),_xlfn.XMATCH(Y$2,Table2[#Headers],0)))</f>
        <v>#N/A</v>
      </c>
      <c r="Z406" s="4" t="e" cm="1">
        <f t="array" ref="Z406">IF(INDEX(Table2[],_xlfn.XMATCH($A406,Table2[Steel Member],0),_xlfn.XMATCH(Z$2,Table2[#Headers],0))=0,"",INDEX(Table2[],_xlfn.XMATCH($A406,Table2[Steel Member],0),_xlfn.XMATCH(Z$2,Table2[#Headers],0)))</f>
        <v>#N/A</v>
      </c>
      <c r="AA406" s="4" t="e" cm="1">
        <f t="array" ref="AA406">IF(INDEX(Table2[],_xlfn.XMATCH($A406,Table2[Steel Member],0),_xlfn.XMATCH(AA$2,Table2[#Headers],0))=0,"",INDEX(Table2[],_xlfn.XMATCH($A406,Table2[Steel Member],0),_xlfn.XMATCH(AA$2,Table2[#Headers],0)))</f>
        <v>#N/A</v>
      </c>
      <c r="AB406" s="4" t="e" cm="1">
        <f t="array" ref="AB406">IF(INDEX(Table2[],_xlfn.XMATCH($A406,Table2[Steel Member],0),_xlfn.XMATCH(AB$2,Table2[#Headers],0))=0,"",INDEX(Table2[],_xlfn.XMATCH($A406,Table2[Steel Member],0),_xlfn.XMATCH(AB$2,Table2[#Headers],0)))</f>
        <v>#N/A</v>
      </c>
      <c r="AC406" s="4" t="str" cm="1">
        <f t="array" ref="AC406">IFERROR(INDEX(Table8[],_xlfn.XMATCH($O406,Table8[Dimension Name Category],0),_xlfn.XMATCH(AC$2&amp;IF($L406," w/ tag"," w/o tag"),Table8[#Headers],0)),"")</f>
        <v/>
      </c>
      <c r="AD406" s="59" t="str">
        <f t="shared" si="105"/>
        <v/>
      </c>
      <c r="AE406" s="4" t="str">
        <f t="shared" si="106"/>
        <v/>
      </c>
      <c r="AF406" s="4" t="str">
        <f t="shared" si="107"/>
        <v/>
      </c>
      <c r="AG406" s="4" t="str" cm="1">
        <f t="array" ref="AG406">IFERROR(INDEX(Table8[],_xlfn.XMATCH($O406,Table8[Dimension Name Category],0),_xlfn.XMATCH(AG$2&amp;IF($L406," w/ tag"," w/o tag"),Table8[#Headers],0)),"")</f>
        <v/>
      </c>
      <c r="AH406" s="59" t="str">
        <f t="shared" si="108"/>
        <v/>
      </c>
      <c r="AI406" s="4"/>
      <c r="AJ406" s="4" t="str">
        <f t="shared" si="109"/>
        <v/>
      </c>
      <c r="AK406" s="4" t="str">
        <f t="shared" si="110"/>
        <v/>
      </c>
      <c r="AL406" s="4" t="e" cm="1">
        <f t="array" ref="AL406">IF(INDEX(Table2[],_xlfn.XMATCH($A406,Table2[Steel Member],0),_xlfn.XMATCH(AL$2,Table2[#Headers],0))=0,"",INDEX(Table2[],_xlfn.XMATCH($A406,Table2[Steel Member],0),_xlfn.XMATCH(AL$2,Table2[#Headers],0)))</f>
        <v>#N/A</v>
      </c>
      <c r="AM406" s="4"/>
      <c r="AN406" s="4" t="str">
        <f t="shared" si="111"/>
        <v/>
      </c>
      <c r="AO406" s="4"/>
      <c r="AP406" s="4" t="e" cm="1">
        <f t="array" ref="AP406">IF(INDEX(Table2[],_xlfn.XMATCH($A406,Table2[Steel Member],0),_xlfn.XMATCH(AP$2,Table2[#Headers],0))=0,"",INDEX(Table2[],_xlfn.XMATCH($A406,Table2[Steel Member],0),_xlfn.XMATCH(AP$2,Table2[#Headers],0)))</f>
        <v>#N/A</v>
      </c>
      <c r="AQ406" s="4"/>
      <c r="AR406" s="4"/>
      <c r="AS406" s="4"/>
      <c r="AT406" s="4"/>
    </row>
    <row r="407" spans="1:46" x14ac:dyDescent="0.25">
      <c r="A407" s="52"/>
      <c r="B407" s="52"/>
      <c r="C407" s="52"/>
      <c r="D407" s="52"/>
      <c r="E407" s="52"/>
      <c r="F407" s="64" cm="1">
        <f t="array" ref="F407">IF(COUNT(FIND(PurlinsxGirthsxBracings,$C407))&gt;0,0,ROUNDUP(IF(D407=0,0,VLOOKUP(D407,'DATA SHEET'!$B:$D,2,FALSE)),2))</f>
        <v>0</v>
      </c>
      <c r="G407" s="64" cm="1">
        <f t="array" ref="G407">IF(COUNT(FIND(PurlinsxGirthsxBracings,$C407))&gt;0,0,ROUNDUP(IF(D407=0,0,VLOOKUP(D407,'DATA SHEET'!$B:$D,3,FALSE)),2))</f>
        <v>0</v>
      </c>
      <c r="H407" s="53"/>
      <c r="I407" s="66" cm="1">
        <f t="array" ref="I407">IF(AND(ISBLANK(B407),ISBLANK(C407),ISBLANK(E407)),0,IF(COUNT(FIND(PurlinsxGirthsxBracings,$C407))&gt;0,IF(B407=0,CONCATENATE(E407," ",C407),CONCATENATE(B407," - ",E407," ",C407)),IF(B407=0,IF(ISBLANK(C407),E407,CONCATENATE(D407,", ",F407,"kg/m, ",G407,"mm surface perimeter")),IF(AND(ISBLANK(C407),ISTEXT(E407)),CONCATENATE(B407," - ",E407),IF(AND(ISBLANK(C407),ISBLANK(E407)),B407,CONCATENATE(B407," - ",D407,", ",F407,"kg/m, ",G407,"mm surface perimeter"))))&amp;IF(ISBLANK(H407),"",H407)))</f>
        <v>0</v>
      </c>
      <c r="J407" s="53"/>
      <c r="L407" s="4" t="str" cm="1">
        <f t="array" ref="L407">IF(COUNT(FIND({0,1,2,3,4,5,6,7,8,9},B407))&gt;0,COUNT(FIND({0,1,2,3,4,5,6,7,8,9},B407))&gt;0,"")</f>
        <v/>
      </c>
      <c r="M407" s="4" t="str" cm="1">
        <f t="array" aca="1" ref="M407" ca="1">IFERROR(_xlfn.IFS(R407="Count",RANDBETWEEN(1,COUNTIF($R$11:$R$653,"Count")),R407="Length",RANDBETWEEN(1,COUNTIF($R$11:$R$653,"Length"))),"")</f>
        <v/>
      </c>
      <c r="N407" s="4" t="str">
        <f ca="1">IFERROR(_xlfn.RANK.EQ(M407,$M$11:$M$653)+COUNTIF($M$11:M407,M407)-1,"")</f>
        <v/>
      </c>
      <c r="O407" s="86" t="str">
        <f>IF(A407='DATA SHEET'!$L$36,C407,IFERROR(IF(AND(ISTEXT(I407),ISBLANK(C407)),"No details",VLOOKUP(C407,DimFolder,2,FALSE)),""))</f>
        <v/>
      </c>
      <c r="P407" s="4" t="str">
        <f t="shared" si="113"/>
        <v/>
      </c>
      <c r="Q407" s="58" t="str">
        <f t="shared" si="112"/>
        <v/>
      </c>
      <c r="R407" s="4" t="e" cm="1">
        <f t="array" ref="R407">IF(INDEX(Table2[],_xlfn.XMATCH($A407,Table2[Steel Member],0),_xlfn.XMATCH(R$2,Table2[#Headers],0))=0,"",INDEX(Table2[],_xlfn.XMATCH($A407,Table2[Steel Member],0),_xlfn.XMATCH(R$2,Table2[#Headers],0)))</f>
        <v>#N/A</v>
      </c>
      <c r="S407" s="4" t="e" cm="1">
        <f t="array" ref="S407">IF(INDEX(Table2[],_xlfn.XMATCH($A407,Table2[Steel Member],0),_xlfn.XMATCH(S$2,Table2[#Headers],0))=0,"",INDEX(Table2[],_xlfn.XMATCH($A407,Table2[Steel Member],0),_xlfn.XMATCH(S$2,Table2[#Headers],0)))</f>
        <v>#N/A</v>
      </c>
      <c r="T407" s="4" t="str">
        <f t="shared" si="103"/>
        <v/>
      </c>
      <c r="U407" s="4" t="e">
        <f ca="1">VLOOKUP(N407,'COLOR CODE'!$B:$D,2,FALSE)</f>
        <v>#N/A</v>
      </c>
      <c r="V407" s="4" t="str">
        <f t="shared" si="104"/>
        <v/>
      </c>
      <c r="W407" s="4" t="e" cm="1">
        <f t="array" ref="W407">IF(INDEX(Table2[],_xlfn.XMATCH($A407,Table2[Steel Member],0),_xlfn.XMATCH(W$2,Table2[#Headers],0))=0,"",INDEX(Table2[],_xlfn.XMATCH($A407,Table2[Steel Member],0),_xlfn.XMATCH(W$2,Table2[#Headers],0)))</f>
        <v>#N/A</v>
      </c>
      <c r="X407" s="4" t="e">
        <f t="shared" si="114"/>
        <v>#N/A</v>
      </c>
      <c r="Y407" s="4" t="e" cm="1">
        <f t="array" ref="Y407">IF(INDEX(Table2[],_xlfn.XMATCH($A407,Table2[Steel Member],0),_xlfn.XMATCH(Y$2,Table2[#Headers],0))=0,"",INDEX(Table2[],_xlfn.XMATCH($A407,Table2[Steel Member],0),_xlfn.XMATCH(Y$2,Table2[#Headers],0)))</f>
        <v>#N/A</v>
      </c>
      <c r="Z407" s="4" t="e" cm="1">
        <f t="array" ref="Z407">IF(INDEX(Table2[],_xlfn.XMATCH($A407,Table2[Steel Member],0),_xlfn.XMATCH(Z$2,Table2[#Headers],0))=0,"",INDEX(Table2[],_xlfn.XMATCH($A407,Table2[Steel Member],0),_xlfn.XMATCH(Z$2,Table2[#Headers],0)))</f>
        <v>#N/A</v>
      </c>
      <c r="AA407" s="4" t="e" cm="1">
        <f t="array" ref="AA407">IF(INDEX(Table2[],_xlfn.XMATCH($A407,Table2[Steel Member],0),_xlfn.XMATCH(AA$2,Table2[#Headers],0))=0,"",INDEX(Table2[],_xlfn.XMATCH($A407,Table2[Steel Member],0),_xlfn.XMATCH(AA$2,Table2[#Headers],0)))</f>
        <v>#N/A</v>
      </c>
      <c r="AB407" s="4" t="e" cm="1">
        <f t="array" ref="AB407">IF(INDEX(Table2[],_xlfn.XMATCH($A407,Table2[Steel Member],0),_xlfn.XMATCH(AB$2,Table2[#Headers],0))=0,"",INDEX(Table2[],_xlfn.XMATCH($A407,Table2[Steel Member],0),_xlfn.XMATCH(AB$2,Table2[#Headers],0)))</f>
        <v>#N/A</v>
      </c>
      <c r="AC407" s="4" t="str" cm="1">
        <f t="array" ref="AC407">IFERROR(INDEX(Table8[],_xlfn.XMATCH($O407,Table8[Dimension Name Category],0),_xlfn.XMATCH(AC$2&amp;IF($L407," w/ tag"," w/o tag"),Table8[#Headers],0)),"")</f>
        <v/>
      </c>
      <c r="AD407" s="59" t="str">
        <f t="shared" si="105"/>
        <v/>
      </c>
      <c r="AE407" s="4" t="str">
        <f t="shared" si="106"/>
        <v/>
      </c>
      <c r="AF407" s="4" t="str">
        <f t="shared" si="107"/>
        <v/>
      </c>
      <c r="AG407" s="4" t="str" cm="1">
        <f t="array" ref="AG407">IFERROR(INDEX(Table8[],_xlfn.XMATCH($O407,Table8[Dimension Name Category],0),_xlfn.XMATCH(AG$2&amp;IF($L407," w/ tag"," w/o tag"),Table8[#Headers],0)),"")</f>
        <v/>
      </c>
      <c r="AH407" s="59" t="str">
        <f t="shared" si="108"/>
        <v/>
      </c>
      <c r="AI407" s="4"/>
      <c r="AJ407" s="4" t="str">
        <f t="shared" si="109"/>
        <v/>
      </c>
      <c r="AK407" s="4" t="str">
        <f t="shared" si="110"/>
        <v/>
      </c>
      <c r="AL407" s="4" t="e" cm="1">
        <f t="array" ref="AL407">IF(INDEX(Table2[],_xlfn.XMATCH($A407,Table2[Steel Member],0),_xlfn.XMATCH(AL$2,Table2[#Headers],0))=0,"",INDEX(Table2[],_xlfn.XMATCH($A407,Table2[Steel Member],0),_xlfn.XMATCH(AL$2,Table2[#Headers],0)))</f>
        <v>#N/A</v>
      </c>
      <c r="AM407" s="4"/>
      <c r="AN407" s="4" t="str">
        <f t="shared" si="111"/>
        <v/>
      </c>
      <c r="AO407" s="4"/>
      <c r="AP407" s="4" t="e" cm="1">
        <f t="array" ref="AP407">IF(INDEX(Table2[],_xlfn.XMATCH($A407,Table2[Steel Member],0),_xlfn.XMATCH(AP$2,Table2[#Headers],0))=0,"",INDEX(Table2[],_xlfn.XMATCH($A407,Table2[Steel Member],0),_xlfn.XMATCH(AP$2,Table2[#Headers],0)))</f>
        <v>#N/A</v>
      </c>
      <c r="AQ407" s="4"/>
      <c r="AR407" s="4"/>
      <c r="AS407" s="4"/>
      <c r="AT407" s="4"/>
    </row>
    <row r="408" spans="1:46" x14ac:dyDescent="0.25">
      <c r="A408" s="52"/>
      <c r="B408" s="52"/>
      <c r="C408" s="52"/>
      <c r="D408" s="52"/>
      <c r="E408" s="52"/>
      <c r="F408" s="64" cm="1">
        <f t="array" ref="F408">IF(COUNT(FIND(PurlinsxGirthsxBracings,$C408))&gt;0,0,ROUNDUP(IF(D408=0,0,VLOOKUP(D408,'DATA SHEET'!$B:$D,2,FALSE)),2))</f>
        <v>0</v>
      </c>
      <c r="G408" s="64" cm="1">
        <f t="array" ref="G408">IF(COUNT(FIND(PurlinsxGirthsxBracings,$C408))&gt;0,0,ROUNDUP(IF(D408=0,0,VLOOKUP(D408,'DATA SHEET'!$B:$D,3,FALSE)),2))</f>
        <v>0</v>
      </c>
      <c r="H408" s="53"/>
      <c r="I408" s="66" cm="1">
        <f t="array" ref="I408">IF(AND(ISBLANK(B408),ISBLANK(C408),ISBLANK(E408)),0,IF(COUNT(FIND(PurlinsxGirthsxBracings,$C408))&gt;0,IF(B408=0,CONCATENATE(E408," ",C408),CONCATENATE(B408," - ",E408," ",C408)),IF(B408=0,IF(ISBLANK(C408),E408,CONCATENATE(D408,", ",F408,"kg/m, ",G408,"mm surface perimeter")),IF(AND(ISBLANK(C408),ISTEXT(E408)),CONCATENATE(B408," - ",E408),IF(AND(ISBLANK(C408),ISBLANK(E408)),B408,CONCATENATE(B408," - ",D408,", ",F408,"kg/m, ",G408,"mm surface perimeter"))))&amp;IF(ISBLANK(H408),"",H408)))</f>
        <v>0</v>
      </c>
      <c r="J408" s="53"/>
      <c r="L408" s="4" t="str" cm="1">
        <f t="array" ref="L408">IF(COUNT(FIND({0,1,2,3,4,5,6,7,8,9},B408))&gt;0,COUNT(FIND({0,1,2,3,4,5,6,7,8,9},B408))&gt;0,"")</f>
        <v/>
      </c>
      <c r="M408" s="4" t="str" cm="1">
        <f t="array" aca="1" ref="M408" ca="1">IFERROR(_xlfn.IFS(R408="Count",RANDBETWEEN(1,COUNTIF($R$11:$R$653,"Count")),R408="Length",RANDBETWEEN(1,COUNTIF($R$11:$R$653,"Length"))),"")</f>
        <v/>
      </c>
      <c r="N408" s="4" t="str">
        <f ca="1">IFERROR(_xlfn.RANK.EQ(M408,$M$11:$M$653)+COUNTIF($M$11:M408,M408)-1,"")</f>
        <v/>
      </c>
      <c r="O408" s="86" t="str">
        <f>IF(A408='DATA SHEET'!$L$36,C408,IFERROR(IF(AND(ISTEXT(I408),ISBLANK(C408)),"No details",VLOOKUP(C408,DimFolder,2,FALSE)),""))</f>
        <v/>
      </c>
      <c r="P408" s="4" t="str">
        <f t="shared" si="113"/>
        <v/>
      </c>
      <c r="Q408" s="58" t="str">
        <f t="shared" si="112"/>
        <v/>
      </c>
      <c r="R408" s="4" t="e" cm="1">
        <f t="array" ref="R408">IF(INDEX(Table2[],_xlfn.XMATCH($A408,Table2[Steel Member],0),_xlfn.XMATCH(R$2,Table2[#Headers],0))=0,"",INDEX(Table2[],_xlfn.XMATCH($A408,Table2[Steel Member],0),_xlfn.XMATCH(R$2,Table2[#Headers],0)))</f>
        <v>#N/A</v>
      </c>
      <c r="S408" s="4" t="e" cm="1">
        <f t="array" ref="S408">IF(INDEX(Table2[],_xlfn.XMATCH($A408,Table2[Steel Member],0),_xlfn.XMATCH(S$2,Table2[#Headers],0))=0,"",INDEX(Table2[],_xlfn.XMATCH($A408,Table2[Steel Member],0),_xlfn.XMATCH(S$2,Table2[#Headers],0)))</f>
        <v>#N/A</v>
      </c>
      <c r="T408" s="4" t="str">
        <f t="shared" si="103"/>
        <v/>
      </c>
      <c r="U408" s="4" t="e">
        <f ca="1">VLOOKUP(N408,'COLOR CODE'!$B:$D,2,FALSE)</f>
        <v>#N/A</v>
      </c>
      <c r="V408" s="4" t="str">
        <f t="shared" si="104"/>
        <v/>
      </c>
      <c r="W408" s="4" t="e" cm="1">
        <f t="array" ref="W408">IF(INDEX(Table2[],_xlfn.XMATCH($A408,Table2[Steel Member],0),_xlfn.XMATCH(W$2,Table2[#Headers],0))=0,"",INDEX(Table2[],_xlfn.XMATCH($A408,Table2[Steel Member],0),_xlfn.XMATCH(W$2,Table2[#Headers],0)))</f>
        <v>#N/A</v>
      </c>
      <c r="X408" s="4" t="e">
        <f t="shared" si="114"/>
        <v>#N/A</v>
      </c>
      <c r="Y408" s="4" t="e" cm="1">
        <f t="array" ref="Y408">IF(INDEX(Table2[],_xlfn.XMATCH($A408,Table2[Steel Member],0),_xlfn.XMATCH(Y$2,Table2[#Headers],0))=0,"",INDEX(Table2[],_xlfn.XMATCH($A408,Table2[Steel Member],0),_xlfn.XMATCH(Y$2,Table2[#Headers],0)))</f>
        <v>#N/A</v>
      </c>
      <c r="Z408" s="4" t="e" cm="1">
        <f t="array" ref="Z408">IF(INDEX(Table2[],_xlfn.XMATCH($A408,Table2[Steel Member],0),_xlfn.XMATCH(Z$2,Table2[#Headers],0))=0,"",INDEX(Table2[],_xlfn.XMATCH($A408,Table2[Steel Member],0),_xlfn.XMATCH(Z$2,Table2[#Headers],0)))</f>
        <v>#N/A</v>
      </c>
      <c r="AA408" s="4" t="e" cm="1">
        <f t="array" ref="AA408">IF(INDEX(Table2[],_xlfn.XMATCH($A408,Table2[Steel Member],0),_xlfn.XMATCH(AA$2,Table2[#Headers],0))=0,"",INDEX(Table2[],_xlfn.XMATCH($A408,Table2[Steel Member],0),_xlfn.XMATCH(AA$2,Table2[#Headers],0)))</f>
        <v>#N/A</v>
      </c>
      <c r="AB408" s="4" t="e" cm="1">
        <f t="array" ref="AB408">IF(INDEX(Table2[],_xlfn.XMATCH($A408,Table2[Steel Member],0),_xlfn.XMATCH(AB$2,Table2[#Headers],0))=0,"",INDEX(Table2[],_xlfn.XMATCH($A408,Table2[Steel Member],0),_xlfn.XMATCH(AB$2,Table2[#Headers],0)))</f>
        <v>#N/A</v>
      </c>
      <c r="AC408" s="4" t="str" cm="1">
        <f t="array" ref="AC408">IFERROR(INDEX(Table8[],_xlfn.XMATCH($O408,Table8[Dimension Name Category],0),_xlfn.XMATCH(AC$2&amp;IF($L408," w/ tag"," w/o tag"),Table8[#Headers],0)),"")</f>
        <v/>
      </c>
      <c r="AD408" s="59" t="str">
        <f t="shared" si="105"/>
        <v/>
      </c>
      <c r="AE408" s="4" t="str">
        <f t="shared" si="106"/>
        <v/>
      </c>
      <c r="AF408" s="4" t="str">
        <f t="shared" si="107"/>
        <v/>
      </c>
      <c r="AG408" s="4" t="str" cm="1">
        <f t="array" ref="AG408">IFERROR(INDEX(Table8[],_xlfn.XMATCH($O408,Table8[Dimension Name Category],0),_xlfn.XMATCH(AG$2&amp;IF($L408," w/ tag"," w/o tag"),Table8[#Headers],0)),"")</f>
        <v/>
      </c>
      <c r="AH408" s="59" t="str">
        <f t="shared" si="108"/>
        <v/>
      </c>
      <c r="AI408" s="4"/>
      <c r="AJ408" s="4" t="str">
        <f t="shared" si="109"/>
        <v/>
      </c>
      <c r="AK408" s="4" t="str">
        <f t="shared" si="110"/>
        <v/>
      </c>
      <c r="AL408" s="4" t="e" cm="1">
        <f t="array" ref="AL408">IF(INDEX(Table2[],_xlfn.XMATCH($A408,Table2[Steel Member],0),_xlfn.XMATCH(AL$2,Table2[#Headers],0))=0,"",INDEX(Table2[],_xlfn.XMATCH($A408,Table2[Steel Member],0),_xlfn.XMATCH(AL$2,Table2[#Headers],0)))</f>
        <v>#N/A</v>
      </c>
      <c r="AM408" s="4"/>
      <c r="AN408" s="4" t="str">
        <f t="shared" si="111"/>
        <v/>
      </c>
      <c r="AO408" s="4"/>
      <c r="AP408" s="4" t="e" cm="1">
        <f t="array" ref="AP408">IF(INDEX(Table2[],_xlfn.XMATCH($A408,Table2[Steel Member],0),_xlfn.XMATCH(AP$2,Table2[#Headers],0))=0,"",INDEX(Table2[],_xlfn.XMATCH($A408,Table2[Steel Member],0),_xlfn.XMATCH(AP$2,Table2[#Headers],0)))</f>
        <v>#N/A</v>
      </c>
      <c r="AQ408" s="4"/>
      <c r="AR408" s="4"/>
      <c r="AS408" s="4"/>
      <c r="AT408" s="4"/>
    </row>
    <row r="409" spans="1:46" x14ac:dyDescent="0.25">
      <c r="A409" s="52"/>
      <c r="B409" s="52"/>
      <c r="C409" s="52"/>
      <c r="D409" s="52"/>
      <c r="E409" s="52"/>
      <c r="F409" s="64" cm="1">
        <f t="array" ref="F409">IF(COUNT(FIND(PurlinsxGirthsxBracings,$C409))&gt;0,0,ROUNDUP(IF(D409=0,0,VLOOKUP(D409,'DATA SHEET'!$B:$D,2,FALSE)),2))</f>
        <v>0</v>
      </c>
      <c r="G409" s="64" cm="1">
        <f t="array" ref="G409">IF(COUNT(FIND(PurlinsxGirthsxBracings,$C409))&gt;0,0,ROUNDUP(IF(D409=0,0,VLOOKUP(D409,'DATA SHEET'!$B:$D,3,FALSE)),2))</f>
        <v>0</v>
      </c>
      <c r="H409" s="53"/>
      <c r="I409" s="66" cm="1">
        <f t="array" ref="I409">IF(AND(ISBLANK(B409),ISBLANK(C409),ISBLANK(E409)),0,IF(COUNT(FIND(PurlinsxGirthsxBracings,$C409))&gt;0,IF(B409=0,CONCATENATE(E409," ",C409),CONCATENATE(B409," - ",E409," ",C409)),IF(B409=0,IF(ISBLANK(C409),E409,CONCATENATE(D409,", ",F409,"kg/m, ",G409,"mm surface perimeter")),IF(AND(ISBLANK(C409),ISTEXT(E409)),CONCATENATE(B409," - ",E409),IF(AND(ISBLANK(C409),ISBLANK(E409)),B409,CONCATENATE(B409," - ",D409,", ",F409,"kg/m, ",G409,"mm surface perimeter"))))&amp;IF(ISBLANK(H409),"",H409)))</f>
        <v>0</v>
      </c>
      <c r="J409" s="53"/>
      <c r="L409" s="4" t="str" cm="1">
        <f t="array" ref="L409">IF(COUNT(FIND({0,1,2,3,4,5,6,7,8,9},B409))&gt;0,COUNT(FIND({0,1,2,3,4,5,6,7,8,9},B409))&gt;0,"")</f>
        <v/>
      </c>
      <c r="M409" s="4" t="str" cm="1">
        <f t="array" aca="1" ref="M409" ca="1">IFERROR(_xlfn.IFS(R409="Count",RANDBETWEEN(1,COUNTIF($R$11:$R$653,"Count")),R409="Length",RANDBETWEEN(1,COUNTIF($R$11:$R$653,"Length"))),"")</f>
        <v/>
      </c>
      <c r="N409" s="4" t="str">
        <f ca="1">IFERROR(_xlfn.RANK.EQ(M409,$M$11:$M$653)+COUNTIF($M$11:M409,M409)-1,"")</f>
        <v/>
      </c>
      <c r="O409" s="86" t="str">
        <f>IF(A409='DATA SHEET'!$L$36,C409,IFERROR(IF(AND(ISTEXT(I409),ISBLANK(C409)),"No details",VLOOKUP(C409,DimFolder,2,FALSE)),""))</f>
        <v/>
      </c>
      <c r="P409" s="4" t="str">
        <f t="shared" si="113"/>
        <v/>
      </c>
      <c r="Q409" s="58" t="str">
        <f t="shared" si="112"/>
        <v/>
      </c>
      <c r="R409" s="4" t="e" cm="1">
        <f t="array" ref="R409">IF(INDEX(Table2[],_xlfn.XMATCH($A409,Table2[Steel Member],0),_xlfn.XMATCH(R$2,Table2[#Headers],0))=0,"",INDEX(Table2[],_xlfn.XMATCH($A409,Table2[Steel Member],0),_xlfn.XMATCH(R$2,Table2[#Headers],0)))</f>
        <v>#N/A</v>
      </c>
      <c r="S409" s="4" t="e" cm="1">
        <f t="array" ref="S409">IF(INDEX(Table2[],_xlfn.XMATCH($A409,Table2[Steel Member],0),_xlfn.XMATCH(S$2,Table2[#Headers],0))=0,"",INDEX(Table2[],_xlfn.XMATCH($A409,Table2[Steel Member],0),_xlfn.XMATCH(S$2,Table2[#Headers],0)))</f>
        <v>#N/A</v>
      </c>
      <c r="T409" s="4" t="str">
        <f t="shared" si="103"/>
        <v/>
      </c>
      <c r="U409" s="4" t="e">
        <f ca="1">VLOOKUP(N409,'COLOR CODE'!$B:$D,2,FALSE)</f>
        <v>#N/A</v>
      </c>
      <c r="V409" s="4" t="str">
        <f t="shared" si="104"/>
        <v/>
      </c>
      <c r="W409" s="4" t="e" cm="1">
        <f t="array" ref="W409">IF(INDEX(Table2[],_xlfn.XMATCH($A409,Table2[Steel Member],0),_xlfn.XMATCH(W$2,Table2[#Headers],0))=0,"",INDEX(Table2[],_xlfn.XMATCH($A409,Table2[Steel Member],0),_xlfn.XMATCH(W$2,Table2[#Headers],0)))</f>
        <v>#N/A</v>
      </c>
      <c r="X409" s="4" t="e">
        <f t="shared" si="114"/>
        <v>#N/A</v>
      </c>
      <c r="Y409" s="4" t="e" cm="1">
        <f t="array" ref="Y409">IF(INDEX(Table2[],_xlfn.XMATCH($A409,Table2[Steel Member],0),_xlfn.XMATCH(Y$2,Table2[#Headers],0))=0,"",INDEX(Table2[],_xlfn.XMATCH($A409,Table2[Steel Member],0),_xlfn.XMATCH(Y$2,Table2[#Headers],0)))</f>
        <v>#N/A</v>
      </c>
      <c r="Z409" s="4" t="e" cm="1">
        <f t="array" ref="Z409">IF(INDEX(Table2[],_xlfn.XMATCH($A409,Table2[Steel Member],0),_xlfn.XMATCH(Z$2,Table2[#Headers],0))=0,"",INDEX(Table2[],_xlfn.XMATCH($A409,Table2[Steel Member],0),_xlfn.XMATCH(Z$2,Table2[#Headers],0)))</f>
        <v>#N/A</v>
      </c>
      <c r="AA409" s="4" t="e" cm="1">
        <f t="array" ref="AA409">IF(INDEX(Table2[],_xlfn.XMATCH($A409,Table2[Steel Member],0),_xlfn.XMATCH(AA$2,Table2[#Headers],0))=0,"",INDEX(Table2[],_xlfn.XMATCH($A409,Table2[Steel Member],0),_xlfn.XMATCH(AA$2,Table2[#Headers],0)))</f>
        <v>#N/A</v>
      </c>
      <c r="AB409" s="4" t="e" cm="1">
        <f t="array" ref="AB409">IF(INDEX(Table2[],_xlfn.XMATCH($A409,Table2[Steel Member],0),_xlfn.XMATCH(AB$2,Table2[#Headers],0))=0,"",INDEX(Table2[],_xlfn.XMATCH($A409,Table2[Steel Member],0),_xlfn.XMATCH(AB$2,Table2[#Headers],0)))</f>
        <v>#N/A</v>
      </c>
      <c r="AC409" s="4" t="str" cm="1">
        <f t="array" ref="AC409">IFERROR(INDEX(Table8[],_xlfn.XMATCH($O409,Table8[Dimension Name Category],0),_xlfn.XMATCH(AC$2&amp;IF($L409," w/ tag"," w/o tag"),Table8[#Headers],0)),"")</f>
        <v/>
      </c>
      <c r="AD409" s="59" t="str">
        <f t="shared" si="105"/>
        <v/>
      </c>
      <c r="AE409" s="4" t="str">
        <f t="shared" si="106"/>
        <v/>
      </c>
      <c r="AF409" s="4" t="str">
        <f t="shared" si="107"/>
        <v/>
      </c>
      <c r="AG409" s="4" t="str" cm="1">
        <f t="array" ref="AG409">IFERROR(INDEX(Table8[],_xlfn.XMATCH($O409,Table8[Dimension Name Category],0),_xlfn.XMATCH(AG$2&amp;IF($L409," w/ tag"," w/o tag"),Table8[#Headers],0)),"")</f>
        <v/>
      </c>
      <c r="AH409" s="59" t="str">
        <f t="shared" si="108"/>
        <v/>
      </c>
      <c r="AI409" s="4"/>
      <c r="AJ409" s="4" t="str">
        <f t="shared" si="109"/>
        <v/>
      </c>
      <c r="AK409" s="4" t="str">
        <f t="shared" si="110"/>
        <v/>
      </c>
      <c r="AL409" s="4" t="e" cm="1">
        <f t="array" ref="AL409">IF(INDEX(Table2[],_xlfn.XMATCH($A409,Table2[Steel Member],0),_xlfn.XMATCH(AL$2,Table2[#Headers],0))=0,"",INDEX(Table2[],_xlfn.XMATCH($A409,Table2[Steel Member],0),_xlfn.XMATCH(AL$2,Table2[#Headers],0)))</f>
        <v>#N/A</v>
      </c>
      <c r="AM409" s="4"/>
      <c r="AN409" s="4" t="str">
        <f t="shared" si="111"/>
        <v/>
      </c>
      <c r="AO409" s="4"/>
      <c r="AP409" s="4" t="e" cm="1">
        <f t="array" ref="AP409">IF(INDEX(Table2[],_xlfn.XMATCH($A409,Table2[Steel Member],0),_xlfn.XMATCH(AP$2,Table2[#Headers],0))=0,"",INDEX(Table2[],_xlfn.XMATCH($A409,Table2[Steel Member],0),_xlfn.XMATCH(AP$2,Table2[#Headers],0)))</f>
        <v>#N/A</v>
      </c>
      <c r="AQ409" s="4"/>
      <c r="AR409" s="4"/>
      <c r="AS409" s="4"/>
      <c r="AT409" s="4"/>
    </row>
    <row r="410" spans="1:46" x14ac:dyDescent="0.25">
      <c r="A410" s="52"/>
      <c r="B410" s="52"/>
      <c r="C410" s="52"/>
      <c r="D410" s="52"/>
      <c r="E410" s="52"/>
      <c r="F410" s="64" cm="1">
        <f t="array" ref="F410">IF(COUNT(FIND(PurlinsxGirthsxBracings,$C410))&gt;0,0,ROUNDUP(IF(D410=0,0,VLOOKUP(D410,'DATA SHEET'!$B:$D,2,FALSE)),2))</f>
        <v>0</v>
      </c>
      <c r="G410" s="64" cm="1">
        <f t="array" ref="G410">IF(COUNT(FIND(PurlinsxGirthsxBracings,$C410))&gt;0,0,ROUNDUP(IF(D410=0,0,VLOOKUP(D410,'DATA SHEET'!$B:$D,3,FALSE)),2))</f>
        <v>0</v>
      </c>
      <c r="H410" s="53"/>
      <c r="I410" s="66" cm="1">
        <f t="array" ref="I410">IF(AND(ISBLANK(B410),ISBLANK(C410),ISBLANK(E410)),0,IF(COUNT(FIND(PurlinsxGirthsxBracings,$C410))&gt;0,IF(B410=0,CONCATENATE(E410," ",C410),CONCATENATE(B410," - ",E410," ",C410)),IF(B410=0,IF(ISBLANK(C410),E410,CONCATENATE(D410,", ",F410,"kg/m, ",G410,"mm surface perimeter")),IF(AND(ISBLANK(C410),ISTEXT(E410)),CONCATENATE(B410," - ",E410),IF(AND(ISBLANK(C410),ISBLANK(E410)),B410,CONCATENATE(B410," - ",D410,", ",F410,"kg/m, ",G410,"mm surface perimeter"))))&amp;IF(ISBLANK(H410),"",H410)))</f>
        <v>0</v>
      </c>
      <c r="J410" s="53"/>
      <c r="L410" s="4" t="str" cm="1">
        <f t="array" ref="L410">IF(COUNT(FIND({0,1,2,3,4,5,6,7,8,9},B410))&gt;0,COUNT(FIND({0,1,2,3,4,5,6,7,8,9},B410))&gt;0,"")</f>
        <v/>
      </c>
      <c r="M410" s="4" t="str" cm="1">
        <f t="array" aca="1" ref="M410" ca="1">IFERROR(_xlfn.IFS(R410="Count",RANDBETWEEN(1,COUNTIF($R$11:$R$653,"Count")),R410="Length",RANDBETWEEN(1,COUNTIF($R$11:$R$653,"Length"))),"")</f>
        <v/>
      </c>
      <c r="N410" s="4" t="str">
        <f ca="1">IFERROR(_xlfn.RANK.EQ(M410,$M$11:$M$653)+COUNTIF($M$11:M410,M410)-1,"")</f>
        <v/>
      </c>
      <c r="O410" s="86" t="str">
        <f>IF(A410='DATA SHEET'!$L$36,C410,IFERROR(IF(AND(ISTEXT(I410),ISBLANK(C410)),"No details",VLOOKUP(C410,DimFolder,2,FALSE)),""))</f>
        <v/>
      </c>
      <c r="P410" s="4" t="str">
        <f t="shared" si="113"/>
        <v/>
      </c>
      <c r="Q410" s="58" t="str">
        <f t="shared" si="112"/>
        <v/>
      </c>
      <c r="R410" s="4" t="e" cm="1">
        <f t="array" ref="R410">IF(INDEX(Table2[],_xlfn.XMATCH($A410,Table2[Steel Member],0),_xlfn.XMATCH(R$2,Table2[#Headers],0))=0,"",INDEX(Table2[],_xlfn.XMATCH($A410,Table2[Steel Member],0),_xlfn.XMATCH(R$2,Table2[#Headers],0)))</f>
        <v>#N/A</v>
      </c>
      <c r="S410" s="4" t="e" cm="1">
        <f t="array" ref="S410">IF(INDEX(Table2[],_xlfn.XMATCH($A410,Table2[Steel Member],0),_xlfn.XMATCH(S$2,Table2[#Headers],0))=0,"",INDEX(Table2[],_xlfn.XMATCH($A410,Table2[Steel Member],0),_xlfn.XMATCH(S$2,Table2[#Headers],0)))</f>
        <v>#N/A</v>
      </c>
      <c r="T410" s="4" t="str">
        <f t="shared" si="103"/>
        <v/>
      </c>
      <c r="U410" s="4" t="e">
        <f ca="1">VLOOKUP(N410,'COLOR CODE'!$B:$D,2,FALSE)</f>
        <v>#N/A</v>
      </c>
      <c r="V410" s="4" t="str">
        <f t="shared" si="104"/>
        <v/>
      </c>
      <c r="W410" s="4" t="e" cm="1">
        <f t="array" ref="W410">IF(INDEX(Table2[],_xlfn.XMATCH($A410,Table2[Steel Member],0),_xlfn.XMATCH(W$2,Table2[#Headers],0))=0,"",INDEX(Table2[],_xlfn.XMATCH($A410,Table2[Steel Member],0),_xlfn.XMATCH(W$2,Table2[#Headers],0)))</f>
        <v>#N/A</v>
      </c>
      <c r="X410" s="4" t="e">
        <f t="shared" si="114"/>
        <v>#N/A</v>
      </c>
      <c r="Y410" s="4" t="e" cm="1">
        <f t="array" ref="Y410">IF(INDEX(Table2[],_xlfn.XMATCH($A410,Table2[Steel Member],0),_xlfn.XMATCH(Y$2,Table2[#Headers],0))=0,"",INDEX(Table2[],_xlfn.XMATCH($A410,Table2[Steel Member],0),_xlfn.XMATCH(Y$2,Table2[#Headers],0)))</f>
        <v>#N/A</v>
      </c>
      <c r="Z410" s="4" t="e" cm="1">
        <f t="array" ref="Z410">IF(INDEX(Table2[],_xlfn.XMATCH($A410,Table2[Steel Member],0),_xlfn.XMATCH(Z$2,Table2[#Headers],0))=0,"",INDEX(Table2[],_xlfn.XMATCH($A410,Table2[Steel Member],0),_xlfn.XMATCH(Z$2,Table2[#Headers],0)))</f>
        <v>#N/A</v>
      </c>
      <c r="AA410" s="4" t="e" cm="1">
        <f t="array" ref="AA410">IF(INDEX(Table2[],_xlfn.XMATCH($A410,Table2[Steel Member],0),_xlfn.XMATCH(AA$2,Table2[#Headers],0))=0,"",INDEX(Table2[],_xlfn.XMATCH($A410,Table2[Steel Member],0),_xlfn.XMATCH(AA$2,Table2[#Headers],0)))</f>
        <v>#N/A</v>
      </c>
      <c r="AB410" s="4" t="e" cm="1">
        <f t="array" ref="AB410">IF(INDEX(Table2[],_xlfn.XMATCH($A410,Table2[Steel Member],0),_xlfn.XMATCH(AB$2,Table2[#Headers],0))=0,"",INDEX(Table2[],_xlfn.XMATCH($A410,Table2[Steel Member],0),_xlfn.XMATCH(AB$2,Table2[#Headers],0)))</f>
        <v>#N/A</v>
      </c>
      <c r="AC410" s="4" t="str" cm="1">
        <f t="array" ref="AC410">IFERROR(INDEX(Table8[],_xlfn.XMATCH($O410,Table8[Dimension Name Category],0),_xlfn.XMATCH(AC$2&amp;IF($L410," w/ tag"," w/o tag"),Table8[#Headers],0)),"")</f>
        <v/>
      </c>
      <c r="AD410" s="59" t="str">
        <f t="shared" si="105"/>
        <v/>
      </c>
      <c r="AE410" s="4" t="str">
        <f t="shared" si="106"/>
        <v/>
      </c>
      <c r="AF410" s="4" t="str">
        <f t="shared" si="107"/>
        <v/>
      </c>
      <c r="AG410" s="4" t="str" cm="1">
        <f t="array" ref="AG410">IFERROR(INDEX(Table8[],_xlfn.XMATCH($O410,Table8[Dimension Name Category],0),_xlfn.XMATCH(AG$2&amp;IF($L410," w/ tag"," w/o tag"),Table8[#Headers],0)),"")</f>
        <v/>
      </c>
      <c r="AH410" s="59" t="str">
        <f t="shared" si="108"/>
        <v/>
      </c>
      <c r="AI410" s="4"/>
      <c r="AJ410" s="4" t="str">
        <f t="shared" si="109"/>
        <v/>
      </c>
      <c r="AK410" s="4" t="str">
        <f t="shared" si="110"/>
        <v/>
      </c>
      <c r="AL410" s="4" t="e" cm="1">
        <f t="array" ref="AL410">IF(INDEX(Table2[],_xlfn.XMATCH($A410,Table2[Steel Member],0),_xlfn.XMATCH(AL$2,Table2[#Headers],0))=0,"",INDEX(Table2[],_xlfn.XMATCH($A410,Table2[Steel Member],0),_xlfn.XMATCH(AL$2,Table2[#Headers],0)))</f>
        <v>#N/A</v>
      </c>
      <c r="AM410" s="4"/>
      <c r="AN410" s="4" t="str">
        <f t="shared" si="111"/>
        <v/>
      </c>
      <c r="AO410" s="4"/>
      <c r="AP410" s="4" t="e" cm="1">
        <f t="array" ref="AP410">IF(INDEX(Table2[],_xlfn.XMATCH($A410,Table2[Steel Member],0),_xlfn.XMATCH(AP$2,Table2[#Headers],0))=0,"",INDEX(Table2[],_xlfn.XMATCH($A410,Table2[Steel Member],0),_xlfn.XMATCH(AP$2,Table2[#Headers],0)))</f>
        <v>#N/A</v>
      </c>
      <c r="AQ410" s="4"/>
      <c r="AR410" s="4"/>
      <c r="AS410" s="4"/>
      <c r="AT410" s="4"/>
    </row>
    <row r="411" spans="1:46" x14ac:dyDescent="0.25">
      <c r="A411" s="52"/>
      <c r="B411" s="52"/>
      <c r="C411" s="52"/>
      <c r="D411" s="52"/>
      <c r="E411" s="52"/>
      <c r="F411" s="64" cm="1">
        <f t="array" ref="F411">IF(COUNT(FIND(PurlinsxGirthsxBracings,$C411))&gt;0,0,ROUNDUP(IF(D411=0,0,VLOOKUP(D411,'DATA SHEET'!$B:$D,2,FALSE)),2))</f>
        <v>0</v>
      </c>
      <c r="G411" s="64" cm="1">
        <f t="array" ref="G411">IF(COUNT(FIND(PurlinsxGirthsxBracings,$C411))&gt;0,0,ROUNDUP(IF(D411=0,0,VLOOKUP(D411,'DATA SHEET'!$B:$D,3,FALSE)),2))</f>
        <v>0</v>
      </c>
      <c r="H411" s="53"/>
      <c r="I411" s="66" cm="1">
        <f t="array" ref="I411">IF(AND(ISBLANK(B411),ISBLANK(C411),ISBLANK(E411)),0,IF(COUNT(FIND(PurlinsxGirthsxBracings,$C411))&gt;0,IF(B411=0,CONCATENATE(E411," ",C411),CONCATENATE(B411," - ",E411," ",C411)),IF(B411=0,IF(ISBLANK(C411),E411,CONCATENATE(D411,", ",F411,"kg/m, ",G411,"mm surface perimeter")),IF(AND(ISBLANK(C411),ISTEXT(E411)),CONCATENATE(B411," - ",E411),IF(AND(ISBLANK(C411),ISBLANK(E411)),B411,CONCATENATE(B411," - ",D411,", ",F411,"kg/m, ",G411,"mm surface perimeter"))))&amp;IF(ISBLANK(H411),"",H411)))</f>
        <v>0</v>
      </c>
      <c r="J411" s="53"/>
      <c r="L411" s="4" t="str" cm="1">
        <f t="array" ref="L411">IF(COUNT(FIND({0,1,2,3,4,5,6,7,8,9},B411))&gt;0,COUNT(FIND({0,1,2,3,4,5,6,7,8,9},B411))&gt;0,"")</f>
        <v/>
      </c>
      <c r="M411" s="4" t="str" cm="1">
        <f t="array" aca="1" ref="M411" ca="1">IFERROR(_xlfn.IFS(R411="Count",RANDBETWEEN(1,COUNTIF($R$11:$R$653,"Count")),R411="Length",RANDBETWEEN(1,COUNTIF($R$11:$R$653,"Length"))),"")</f>
        <v/>
      </c>
      <c r="N411" s="4" t="str">
        <f ca="1">IFERROR(_xlfn.RANK.EQ(M411,$M$11:$M$653)+COUNTIF($M$11:M411,M411)-1,"")</f>
        <v/>
      </c>
      <c r="O411" s="86" t="str">
        <f>IF(A411='DATA SHEET'!$L$36,C411,IFERROR(IF(AND(ISTEXT(I411),ISBLANK(C411)),"No details",VLOOKUP(C411,DimFolder,2,FALSE)),""))</f>
        <v/>
      </c>
      <c r="P411" s="4" t="str">
        <f t="shared" si="113"/>
        <v/>
      </c>
      <c r="Q411" s="58" t="str">
        <f t="shared" si="112"/>
        <v/>
      </c>
      <c r="R411" s="4" t="e" cm="1">
        <f t="array" ref="R411">IF(INDEX(Table2[],_xlfn.XMATCH($A411,Table2[Steel Member],0),_xlfn.XMATCH(R$2,Table2[#Headers],0))=0,"",INDEX(Table2[],_xlfn.XMATCH($A411,Table2[Steel Member],0),_xlfn.XMATCH(R$2,Table2[#Headers],0)))</f>
        <v>#N/A</v>
      </c>
      <c r="S411" s="4" t="e" cm="1">
        <f t="array" ref="S411">IF(INDEX(Table2[],_xlfn.XMATCH($A411,Table2[Steel Member],0),_xlfn.XMATCH(S$2,Table2[#Headers],0))=0,"",INDEX(Table2[],_xlfn.XMATCH($A411,Table2[Steel Member],0),_xlfn.XMATCH(S$2,Table2[#Headers],0)))</f>
        <v>#N/A</v>
      </c>
      <c r="T411" s="4" t="str">
        <f t="shared" si="103"/>
        <v/>
      </c>
      <c r="U411" s="4" t="e">
        <f ca="1">VLOOKUP(N411,'COLOR CODE'!$B:$D,2,FALSE)</f>
        <v>#N/A</v>
      </c>
      <c r="V411" s="4" t="str">
        <f t="shared" si="104"/>
        <v/>
      </c>
      <c r="W411" s="4" t="e" cm="1">
        <f t="array" ref="W411">IF(INDEX(Table2[],_xlfn.XMATCH($A411,Table2[Steel Member],0),_xlfn.XMATCH(W$2,Table2[#Headers],0))=0,"",INDEX(Table2[],_xlfn.XMATCH($A411,Table2[Steel Member],0),_xlfn.XMATCH(W$2,Table2[#Headers],0)))</f>
        <v>#N/A</v>
      </c>
      <c r="X411" s="4" t="e">
        <f t="shared" si="114"/>
        <v>#N/A</v>
      </c>
      <c r="Y411" s="4" t="e" cm="1">
        <f t="array" ref="Y411">IF(INDEX(Table2[],_xlfn.XMATCH($A411,Table2[Steel Member],0),_xlfn.XMATCH(Y$2,Table2[#Headers],0))=0,"",INDEX(Table2[],_xlfn.XMATCH($A411,Table2[Steel Member],0),_xlfn.XMATCH(Y$2,Table2[#Headers],0)))</f>
        <v>#N/A</v>
      </c>
      <c r="Z411" s="4" t="e" cm="1">
        <f t="array" ref="Z411">IF(INDEX(Table2[],_xlfn.XMATCH($A411,Table2[Steel Member],0),_xlfn.XMATCH(Z$2,Table2[#Headers],0))=0,"",INDEX(Table2[],_xlfn.XMATCH($A411,Table2[Steel Member],0),_xlfn.XMATCH(Z$2,Table2[#Headers],0)))</f>
        <v>#N/A</v>
      </c>
      <c r="AA411" s="4" t="e" cm="1">
        <f t="array" ref="AA411">IF(INDEX(Table2[],_xlfn.XMATCH($A411,Table2[Steel Member],0),_xlfn.XMATCH(AA$2,Table2[#Headers],0))=0,"",INDEX(Table2[],_xlfn.XMATCH($A411,Table2[Steel Member],0),_xlfn.XMATCH(AA$2,Table2[#Headers],0)))</f>
        <v>#N/A</v>
      </c>
      <c r="AB411" s="4" t="e" cm="1">
        <f t="array" ref="AB411">IF(INDEX(Table2[],_xlfn.XMATCH($A411,Table2[Steel Member],0),_xlfn.XMATCH(AB$2,Table2[#Headers],0))=0,"",INDEX(Table2[],_xlfn.XMATCH($A411,Table2[Steel Member],0),_xlfn.XMATCH(AB$2,Table2[#Headers],0)))</f>
        <v>#N/A</v>
      </c>
      <c r="AC411" s="4" t="str" cm="1">
        <f t="array" ref="AC411">IFERROR(INDEX(Table8[],_xlfn.XMATCH($O411,Table8[Dimension Name Category],0),_xlfn.XMATCH(AC$2&amp;IF($L411," w/ tag"," w/o tag"),Table8[#Headers],0)),"")</f>
        <v/>
      </c>
      <c r="AD411" s="59" t="str">
        <f t="shared" si="105"/>
        <v/>
      </c>
      <c r="AE411" s="4" t="str">
        <f t="shared" si="106"/>
        <v/>
      </c>
      <c r="AF411" s="4" t="str">
        <f t="shared" si="107"/>
        <v/>
      </c>
      <c r="AG411" s="4" t="str" cm="1">
        <f t="array" ref="AG411">IFERROR(INDEX(Table8[],_xlfn.XMATCH($O411,Table8[Dimension Name Category],0),_xlfn.XMATCH(AG$2&amp;IF($L411," w/ tag"," w/o tag"),Table8[#Headers],0)),"")</f>
        <v/>
      </c>
      <c r="AH411" s="59" t="str">
        <f t="shared" si="108"/>
        <v/>
      </c>
      <c r="AI411" s="4"/>
      <c r="AJ411" s="4" t="str">
        <f t="shared" si="109"/>
        <v/>
      </c>
      <c r="AK411" s="4" t="str">
        <f t="shared" si="110"/>
        <v/>
      </c>
      <c r="AL411" s="4" t="e" cm="1">
        <f t="array" ref="AL411">IF(INDEX(Table2[],_xlfn.XMATCH($A411,Table2[Steel Member],0),_xlfn.XMATCH(AL$2,Table2[#Headers],0))=0,"",INDEX(Table2[],_xlfn.XMATCH($A411,Table2[Steel Member],0),_xlfn.XMATCH(AL$2,Table2[#Headers],0)))</f>
        <v>#N/A</v>
      </c>
      <c r="AM411" s="4"/>
      <c r="AN411" s="4" t="str">
        <f t="shared" si="111"/>
        <v/>
      </c>
      <c r="AO411" s="4"/>
      <c r="AP411" s="4" t="e" cm="1">
        <f t="array" ref="AP411">IF(INDEX(Table2[],_xlfn.XMATCH($A411,Table2[Steel Member],0),_xlfn.XMATCH(AP$2,Table2[#Headers],0))=0,"",INDEX(Table2[],_xlfn.XMATCH($A411,Table2[Steel Member],0),_xlfn.XMATCH(AP$2,Table2[#Headers],0)))</f>
        <v>#N/A</v>
      </c>
      <c r="AQ411" s="4"/>
      <c r="AR411" s="4"/>
      <c r="AS411" s="4"/>
      <c r="AT411" s="4"/>
    </row>
    <row r="412" spans="1:46" x14ac:dyDescent="0.25">
      <c r="A412" s="52"/>
      <c r="B412" s="52"/>
      <c r="C412" s="52"/>
      <c r="D412" s="52"/>
      <c r="E412" s="52"/>
      <c r="F412" s="64" cm="1">
        <f t="array" ref="F412">IF(COUNT(FIND(PurlinsxGirthsxBracings,$C412))&gt;0,0,ROUNDUP(IF(D412=0,0,VLOOKUP(D412,'DATA SHEET'!$B:$D,2,FALSE)),2))</f>
        <v>0</v>
      </c>
      <c r="G412" s="64" cm="1">
        <f t="array" ref="G412">IF(COUNT(FIND(PurlinsxGirthsxBracings,$C412))&gt;0,0,ROUNDUP(IF(D412=0,0,VLOOKUP(D412,'DATA SHEET'!$B:$D,3,FALSE)),2))</f>
        <v>0</v>
      </c>
      <c r="H412" s="53"/>
      <c r="I412" s="66" cm="1">
        <f t="array" ref="I412">IF(AND(ISBLANK(B412),ISBLANK(C412),ISBLANK(E412)),0,IF(COUNT(FIND(PurlinsxGirthsxBracings,$C412))&gt;0,IF(B412=0,CONCATENATE(E412," ",C412),CONCATENATE(B412," - ",E412," ",C412)),IF(B412=0,IF(ISBLANK(C412),E412,CONCATENATE(D412,", ",F412,"kg/m, ",G412,"mm surface perimeter")),IF(AND(ISBLANK(C412),ISTEXT(E412)),CONCATENATE(B412," - ",E412),IF(AND(ISBLANK(C412),ISBLANK(E412)),B412,CONCATENATE(B412," - ",D412,", ",F412,"kg/m, ",G412,"mm surface perimeter"))))&amp;IF(ISBLANK(H412),"",H412)))</f>
        <v>0</v>
      </c>
      <c r="J412" s="53"/>
      <c r="L412" s="4" t="str" cm="1">
        <f t="array" ref="L412">IF(COUNT(FIND({0,1,2,3,4,5,6,7,8,9},B412))&gt;0,COUNT(FIND({0,1,2,3,4,5,6,7,8,9},B412))&gt;0,"")</f>
        <v/>
      </c>
      <c r="M412" s="4" t="str" cm="1">
        <f t="array" aca="1" ref="M412" ca="1">IFERROR(_xlfn.IFS(R412="Count",RANDBETWEEN(1,COUNTIF($R$11:$R$653,"Count")),R412="Length",RANDBETWEEN(1,COUNTIF($R$11:$R$653,"Length"))),"")</f>
        <v/>
      </c>
      <c r="N412" s="4" t="str">
        <f ca="1">IFERROR(_xlfn.RANK.EQ(M412,$M$11:$M$653)+COUNTIF($M$11:M412,M412)-1,"")</f>
        <v/>
      </c>
      <c r="O412" s="86" t="str">
        <f>IF(A412='DATA SHEET'!$L$36,C412,IFERROR(IF(AND(ISTEXT(I412),ISBLANK(C412)),"No details",VLOOKUP(C412,DimFolder,2,FALSE)),""))</f>
        <v/>
      </c>
      <c r="P412" s="4" t="str">
        <f t="shared" si="113"/>
        <v/>
      </c>
      <c r="Q412" s="58" t="str">
        <f t="shared" si="112"/>
        <v/>
      </c>
      <c r="R412" s="4" t="e" cm="1">
        <f t="array" ref="R412">IF(INDEX(Table2[],_xlfn.XMATCH($A412,Table2[Steel Member],0),_xlfn.XMATCH(R$2,Table2[#Headers],0))=0,"",INDEX(Table2[],_xlfn.XMATCH($A412,Table2[Steel Member],0),_xlfn.XMATCH(R$2,Table2[#Headers],0)))</f>
        <v>#N/A</v>
      </c>
      <c r="S412" s="4" t="e" cm="1">
        <f t="array" ref="S412">IF(INDEX(Table2[],_xlfn.XMATCH($A412,Table2[Steel Member],0),_xlfn.XMATCH(S$2,Table2[#Headers],0))=0,"",INDEX(Table2[],_xlfn.XMATCH($A412,Table2[Steel Member],0),_xlfn.XMATCH(S$2,Table2[#Headers],0)))</f>
        <v>#N/A</v>
      </c>
      <c r="T412" s="4" t="str">
        <f t="shared" si="103"/>
        <v/>
      </c>
      <c r="U412" s="4" t="e">
        <f ca="1">VLOOKUP(N412,'COLOR CODE'!$B:$D,2,FALSE)</f>
        <v>#N/A</v>
      </c>
      <c r="V412" s="4" t="str">
        <f t="shared" si="104"/>
        <v/>
      </c>
      <c r="W412" s="4" t="e" cm="1">
        <f t="array" ref="W412">IF(INDEX(Table2[],_xlfn.XMATCH($A412,Table2[Steel Member],0),_xlfn.XMATCH(W$2,Table2[#Headers],0))=0,"",INDEX(Table2[],_xlfn.XMATCH($A412,Table2[Steel Member],0),_xlfn.XMATCH(W$2,Table2[#Headers],0)))</f>
        <v>#N/A</v>
      </c>
      <c r="X412" s="4" t="e">
        <f t="shared" si="114"/>
        <v>#N/A</v>
      </c>
      <c r="Y412" s="4" t="e" cm="1">
        <f t="array" ref="Y412">IF(INDEX(Table2[],_xlfn.XMATCH($A412,Table2[Steel Member],0),_xlfn.XMATCH(Y$2,Table2[#Headers],0))=0,"",INDEX(Table2[],_xlfn.XMATCH($A412,Table2[Steel Member],0),_xlfn.XMATCH(Y$2,Table2[#Headers],0)))</f>
        <v>#N/A</v>
      </c>
      <c r="Z412" s="4" t="e" cm="1">
        <f t="array" ref="Z412">IF(INDEX(Table2[],_xlfn.XMATCH($A412,Table2[Steel Member],0),_xlfn.XMATCH(Z$2,Table2[#Headers],0))=0,"",INDEX(Table2[],_xlfn.XMATCH($A412,Table2[Steel Member],0),_xlfn.XMATCH(Z$2,Table2[#Headers],0)))</f>
        <v>#N/A</v>
      </c>
      <c r="AA412" s="4" t="e" cm="1">
        <f t="array" ref="AA412">IF(INDEX(Table2[],_xlfn.XMATCH($A412,Table2[Steel Member],0),_xlfn.XMATCH(AA$2,Table2[#Headers],0))=0,"",INDEX(Table2[],_xlfn.XMATCH($A412,Table2[Steel Member],0),_xlfn.XMATCH(AA$2,Table2[#Headers],0)))</f>
        <v>#N/A</v>
      </c>
      <c r="AB412" s="4" t="e" cm="1">
        <f t="array" ref="AB412">IF(INDEX(Table2[],_xlfn.XMATCH($A412,Table2[Steel Member],0),_xlfn.XMATCH(AB$2,Table2[#Headers],0))=0,"",INDEX(Table2[],_xlfn.XMATCH($A412,Table2[Steel Member],0),_xlfn.XMATCH(AB$2,Table2[#Headers],0)))</f>
        <v>#N/A</v>
      </c>
      <c r="AC412" s="4" t="str" cm="1">
        <f t="array" ref="AC412">IFERROR(INDEX(Table8[],_xlfn.XMATCH($O412,Table8[Dimension Name Category],0),_xlfn.XMATCH(AC$2&amp;IF($L412," w/ tag"," w/o tag"),Table8[#Headers],0)),"")</f>
        <v/>
      </c>
      <c r="AD412" s="59" t="str">
        <f t="shared" si="105"/>
        <v/>
      </c>
      <c r="AE412" s="4" t="str">
        <f t="shared" si="106"/>
        <v/>
      </c>
      <c r="AF412" s="4" t="str">
        <f t="shared" si="107"/>
        <v/>
      </c>
      <c r="AG412" s="4" t="str" cm="1">
        <f t="array" ref="AG412">IFERROR(INDEX(Table8[],_xlfn.XMATCH($O412,Table8[Dimension Name Category],0),_xlfn.XMATCH(AG$2&amp;IF($L412," w/ tag"," w/o tag"),Table8[#Headers],0)),"")</f>
        <v/>
      </c>
      <c r="AH412" s="59" t="str">
        <f t="shared" si="108"/>
        <v/>
      </c>
      <c r="AI412" s="4"/>
      <c r="AJ412" s="4" t="str">
        <f t="shared" si="109"/>
        <v/>
      </c>
      <c r="AK412" s="4" t="str">
        <f t="shared" si="110"/>
        <v/>
      </c>
      <c r="AL412" s="4" t="e" cm="1">
        <f t="array" ref="AL412">IF(INDEX(Table2[],_xlfn.XMATCH($A412,Table2[Steel Member],0),_xlfn.XMATCH(AL$2,Table2[#Headers],0))=0,"",INDEX(Table2[],_xlfn.XMATCH($A412,Table2[Steel Member],0),_xlfn.XMATCH(AL$2,Table2[#Headers],0)))</f>
        <v>#N/A</v>
      </c>
      <c r="AM412" s="4"/>
      <c r="AN412" s="4" t="str">
        <f t="shared" si="111"/>
        <v/>
      </c>
      <c r="AO412" s="4"/>
      <c r="AP412" s="4" t="e" cm="1">
        <f t="array" ref="AP412">IF(INDEX(Table2[],_xlfn.XMATCH($A412,Table2[Steel Member],0),_xlfn.XMATCH(AP$2,Table2[#Headers],0))=0,"",INDEX(Table2[],_xlfn.XMATCH($A412,Table2[Steel Member],0),_xlfn.XMATCH(AP$2,Table2[#Headers],0)))</f>
        <v>#N/A</v>
      </c>
      <c r="AQ412" s="4"/>
      <c r="AR412" s="4"/>
      <c r="AS412" s="4"/>
      <c r="AT412" s="4"/>
    </row>
    <row r="413" spans="1:46" x14ac:dyDescent="0.25">
      <c r="A413" s="52"/>
      <c r="B413" s="52"/>
      <c r="C413" s="52"/>
      <c r="D413" s="52"/>
      <c r="E413" s="52"/>
      <c r="F413" s="64" cm="1">
        <f t="array" ref="F413">IF(COUNT(FIND(PurlinsxGirthsxBracings,$C413))&gt;0,0,ROUNDUP(IF(D413=0,0,VLOOKUP(D413,'DATA SHEET'!$B:$D,2,FALSE)),2))</f>
        <v>0</v>
      </c>
      <c r="G413" s="64" cm="1">
        <f t="array" ref="G413">IF(COUNT(FIND(PurlinsxGirthsxBracings,$C413))&gt;0,0,ROUNDUP(IF(D413=0,0,VLOOKUP(D413,'DATA SHEET'!$B:$D,3,FALSE)),2))</f>
        <v>0</v>
      </c>
      <c r="H413" s="53"/>
      <c r="I413" s="66" cm="1">
        <f t="array" ref="I413">IF(AND(ISBLANK(B413),ISBLANK(C413),ISBLANK(E413)),0,IF(COUNT(FIND(PurlinsxGirthsxBracings,$C413))&gt;0,IF(B413=0,CONCATENATE(E413," ",C413),CONCATENATE(B413," - ",E413," ",C413)),IF(B413=0,IF(ISBLANK(C413),E413,CONCATENATE(D413,", ",F413,"kg/m, ",G413,"mm surface perimeter")),IF(AND(ISBLANK(C413),ISTEXT(E413)),CONCATENATE(B413," - ",E413),IF(AND(ISBLANK(C413),ISBLANK(E413)),B413,CONCATENATE(B413," - ",D413,", ",F413,"kg/m, ",G413,"mm surface perimeter"))))&amp;IF(ISBLANK(H413),"",H413)))</f>
        <v>0</v>
      </c>
      <c r="J413" s="53"/>
      <c r="L413" s="4" t="str" cm="1">
        <f t="array" ref="L413">IF(COUNT(FIND({0,1,2,3,4,5,6,7,8,9},B413))&gt;0,COUNT(FIND({0,1,2,3,4,5,6,7,8,9},B413))&gt;0,"")</f>
        <v/>
      </c>
      <c r="M413" s="4" t="str" cm="1">
        <f t="array" aca="1" ref="M413" ca="1">IFERROR(_xlfn.IFS(R413="Count",RANDBETWEEN(1,COUNTIF($R$11:$R$653,"Count")),R413="Length",RANDBETWEEN(1,COUNTIF($R$11:$R$653,"Length"))),"")</f>
        <v/>
      </c>
      <c r="N413" s="4" t="str">
        <f ca="1">IFERROR(_xlfn.RANK.EQ(M413,$M$11:$M$653)+COUNTIF($M$11:M413,M413)-1,"")</f>
        <v/>
      </c>
      <c r="O413" s="86" t="str">
        <f>IF(A413='DATA SHEET'!$L$36,C413,IFERROR(IF(AND(ISTEXT(I413),ISBLANK(C413)),"No details",VLOOKUP(C413,DimFolder,2,FALSE)),""))</f>
        <v/>
      </c>
      <c r="P413" s="4" t="str">
        <f t="shared" si="113"/>
        <v/>
      </c>
      <c r="Q413" s="58" t="str">
        <f t="shared" si="112"/>
        <v/>
      </c>
      <c r="R413" s="4" t="e" cm="1">
        <f t="array" ref="R413">IF(INDEX(Table2[],_xlfn.XMATCH($A413,Table2[Steel Member],0),_xlfn.XMATCH(R$2,Table2[#Headers],0))=0,"",INDEX(Table2[],_xlfn.XMATCH($A413,Table2[Steel Member],0),_xlfn.XMATCH(R$2,Table2[#Headers],0)))</f>
        <v>#N/A</v>
      </c>
      <c r="S413" s="4" t="e" cm="1">
        <f t="array" ref="S413">IF(INDEX(Table2[],_xlfn.XMATCH($A413,Table2[Steel Member],0),_xlfn.XMATCH(S$2,Table2[#Headers],0))=0,"",INDEX(Table2[],_xlfn.XMATCH($A413,Table2[Steel Member],0),_xlfn.XMATCH(S$2,Table2[#Headers],0)))</f>
        <v>#N/A</v>
      </c>
      <c r="T413" s="4" t="str">
        <f t="shared" si="103"/>
        <v/>
      </c>
      <c r="U413" s="4" t="e">
        <f ca="1">VLOOKUP(N413,'COLOR CODE'!$B:$D,2,FALSE)</f>
        <v>#N/A</v>
      </c>
      <c r="V413" s="4" t="str">
        <f t="shared" si="104"/>
        <v/>
      </c>
      <c r="W413" s="4" t="e" cm="1">
        <f t="array" ref="W413">IF(INDEX(Table2[],_xlfn.XMATCH($A413,Table2[Steel Member],0),_xlfn.XMATCH(W$2,Table2[#Headers],0))=0,"",INDEX(Table2[],_xlfn.XMATCH($A413,Table2[Steel Member],0),_xlfn.XMATCH(W$2,Table2[#Headers],0)))</f>
        <v>#N/A</v>
      </c>
      <c r="X413" s="4" t="e">
        <f t="shared" si="114"/>
        <v>#N/A</v>
      </c>
      <c r="Y413" s="4" t="e" cm="1">
        <f t="array" ref="Y413">IF(INDEX(Table2[],_xlfn.XMATCH($A413,Table2[Steel Member],0),_xlfn.XMATCH(Y$2,Table2[#Headers],0))=0,"",INDEX(Table2[],_xlfn.XMATCH($A413,Table2[Steel Member],0),_xlfn.XMATCH(Y$2,Table2[#Headers],0)))</f>
        <v>#N/A</v>
      </c>
      <c r="Z413" s="4" t="e" cm="1">
        <f t="array" ref="Z413">IF(INDEX(Table2[],_xlfn.XMATCH($A413,Table2[Steel Member],0),_xlfn.XMATCH(Z$2,Table2[#Headers],0))=0,"",INDEX(Table2[],_xlfn.XMATCH($A413,Table2[Steel Member],0),_xlfn.XMATCH(Z$2,Table2[#Headers],0)))</f>
        <v>#N/A</v>
      </c>
      <c r="AA413" s="4" t="e" cm="1">
        <f t="array" ref="AA413">IF(INDEX(Table2[],_xlfn.XMATCH($A413,Table2[Steel Member],0),_xlfn.XMATCH(AA$2,Table2[#Headers],0))=0,"",INDEX(Table2[],_xlfn.XMATCH($A413,Table2[Steel Member],0),_xlfn.XMATCH(AA$2,Table2[#Headers],0)))</f>
        <v>#N/A</v>
      </c>
      <c r="AB413" s="4" t="e" cm="1">
        <f t="array" ref="AB413">IF(INDEX(Table2[],_xlfn.XMATCH($A413,Table2[Steel Member],0),_xlfn.XMATCH(AB$2,Table2[#Headers],0))=0,"",INDEX(Table2[],_xlfn.XMATCH($A413,Table2[Steel Member],0),_xlfn.XMATCH(AB$2,Table2[#Headers],0)))</f>
        <v>#N/A</v>
      </c>
      <c r="AC413" s="4" t="str" cm="1">
        <f t="array" ref="AC413">IFERROR(INDEX(Table8[],_xlfn.XMATCH($O413,Table8[Dimension Name Category],0),_xlfn.XMATCH(AC$2&amp;IF($L413," w/ tag"," w/o tag"),Table8[#Headers],0)),"")</f>
        <v/>
      </c>
      <c r="AD413" s="59" t="str">
        <f t="shared" si="105"/>
        <v/>
      </c>
      <c r="AE413" s="4" t="str">
        <f t="shared" si="106"/>
        <v/>
      </c>
      <c r="AF413" s="4" t="str">
        <f t="shared" si="107"/>
        <v/>
      </c>
      <c r="AG413" s="4" t="str" cm="1">
        <f t="array" ref="AG413">IFERROR(INDEX(Table8[],_xlfn.XMATCH($O413,Table8[Dimension Name Category],0),_xlfn.XMATCH(AG$2&amp;IF($L413," w/ tag"," w/o tag"),Table8[#Headers],0)),"")</f>
        <v/>
      </c>
      <c r="AH413" s="59" t="str">
        <f t="shared" si="108"/>
        <v/>
      </c>
      <c r="AI413" s="4"/>
      <c r="AJ413" s="4" t="str">
        <f t="shared" si="109"/>
        <v/>
      </c>
      <c r="AK413" s="4" t="str">
        <f t="shared" si="110"/>
        <v/>
      </c>
      <c r="AL413" s="4" t="e" cm="1">
        <f t="array" ref="AL413">IF(INDEX(Table2[],_xlfn.XMATCH($A413,Table2[Steel Member],0),_xlfn.XMATCH(AL$2,Table2[#Headers],0))=0,"",INDEX(Table2[],_xlfn.XMATCH($A413,Table2[Steel Member],0),_xlfn.XMATCH(AL$2,Table2[#Headers],0)))</f>
        <v>#N/A</v>
      </c>
      <c r="AM413" s="4"/>
      <c r="AN413" s="4" t="str">
        <f t="shared" si="111"/>
        <v/>
      </c>
      <c r="AO413" s="4"/>
      <c r="AP413" s="4" t="e" cm="1">
        <f t="array" ref="AP413">IF(INDEX(Table2[],_xlfn.XMATCH($A413,Table2[Steel Member],0),_xlfn.XMATCH(AP$2,Table2[#Headers],0))=0,"",INDEX(Table2[],_xlfn.XMATCH($A413,Table2[Steel Member],0),_xlfn.XMATCH(AP$2,Table2[#Headers],0)))</f>
        <v>#N/A</v>
      </c>
      <c r="AQ413" s="4"/>
      <c r="AR413" s="4"/>
      <c r="AS413" s="4"/>
      <c r="AT413" s="4"/>
    </row>
    <row r="414" spans="1:46" x14ac:dyDescent="0.25">
      <c r="A414" s="52"/>
      <c r="B414" s="52"/>
      <c r="C414" s="52"/>
      <c r="D414" s="52"/>
      <c r="E414" s="52"/>
      <c r="F414" s="64" cm="1">
        <f t="array" ref="F414">IF(COUNT(FIND(PurlinsxGirthsxBracings,$C414))&gt;0,0,ROUNDUP(IF(D414=0,0,VLOOKUP(D414,'DATA SHEET'!$B:$D,2,FALSE)),2))</f>
        <v>0</v>
      </c>
      <c r="G414" s="64" cm="1">
        <f t="array" ref="G414">IF(COUNT(FIND(PurlinsxGirthsxBracings,$C414))&gt;0,0,ROUNDUP(IF(D414=0,0,VLOOKUP(D414,'DATA SHEET'!$B:$D,3,FALSE)),2))</f>
        <v>0</v>
      </c>
      <c r="H414" s="53"/>
      <c r="I414" s="66" cm="1">
        <f t="array" ref="I414">IF(AND(ISBLANK(B414),ISBLANK(C414),ISBLANK(E414)),0,IF(COUNT(FIND(PurlinsxGirthsxBracings,$C414))&gt;0,IF(B414=0,CONCATENATE(E414," ",C414),CONCATENATE(B414," - ",E414," ",C414)),IF(B414=0,IF(ISBLANK(C414),E414,CONCATENATE(D414,", ",F414,"kg/m, ",G414,"mm surface perimeter")),IF(AND(ISBLANK(C414),ISTEXT(E414)),CONCATENATE(B414," - ",E414),IF(AND(ISBLANK(C414),ISBLANK(E414)),B414,CONCATENATE(B414," - ",D414,", ",F414,"kg/m, ",G414,"mm surface perimeter"))))&amp;IF(ISBLANK(H414),"",H414)))</f>
        <v>0</v>
      </c>
      <c r="J414" s="53"/>
      <c r="L414" s="4" t="str" cm="1">
        <f t="array" ref="L414">IF(COUNT(FIND({0,1,2,3,4,5,6,7,8,9},B414))&gt;0,COUNT(FIND({0,1,2,3,4,5,6,7,8,9},B414))&gt;0,"")</f>
        <v/>
      </c>
      <c r="M414" s="4" t="str" cm="1">
        <f t="array" aca="1" ref="M414" ca="1">IFERROR(_xlfn.IFS(R414="Count",RANDBETWEEN(1,COUNTIF($R$11:$R$653,"Count")),R414="Length",RANDBETWEEN(1,COUNTIF($R$11:$R$653,"Length"))),"")</f>
        <v/>
      </c>
      <c r="N414" s="4" t="str">
        <f ca="1">IFERROR(_xlfn.RANK.EQ(M414,$M$11:$M$653)+COUNTIF($M$11:M414,M414)-1,"")</f>
        <v/>
      </c>
      <c r="O414" s="86" t="str">
        <f>IF(A414='DATA SHEET'!$L$36,C414,IFERROR(IF(AND(ISTEXT(I414),ISBLANK(C414)),"No details",VLOOKUP(C414,DimFolder,2,FALSE)),""))</f>
        <v/>
      </c>
      <c r="P414" s="4" t="str">
        <f t="shared" si="113"/>
        <v/>
      </c>
      <c r="Q414" s="58" t="str">
        <f t="shared" si="112"/>
        <v/>
      </c>
      <c r="R414" s="4" t="e" cm="1">
        <f t="array" ref="R414">IF(INDEX(Table2[],_xlfn.XMATCH($A414,Table2[Steel Member],0),_xlfn.XMATCH(R$2,Table2[#Headers],0))=0,"",INDEX(Table2[],_xlfn.XMATCH($A414,Table2[Steel Member],0),_xlfn.XMATCH(R$2,Table2[#Headers],0)))</f>
        <v>#N/A</v>
      </c>
      <c r="S414" s="4" t="e" cm="1">
        <f t="array" ref="S414">IF(INDEX(Table2[],_xlfn.XMATCH($A414,Table2[Steel Member],0),_xlfn.XMATCH(S$2,Table2[#Headers],0))=0,"",INDEX(Table2[],_xlfn.XMATCH($A414,Table2[Steel Member],0),_xlfn.XMATCH(S$2,Table2[#Headers],0)))</f>
        <v>#N/A</v>
      </c>
      <c r="T414" s="4" t="str">
        <f t="shared" si="103"/>
        <v/>
      </c>
      <c r="U414" s="4" t="e">
        <f ca="1">VLOOKUP(N414,'COLOR CODE'!$B:$D,2,FALSE)</f>
        <v>#N/A</v>
      </c>
      <c r="V414" s="4" t="str">
        <f t="shared" si="104"/>
        <v/>
      </c>
      <c r="W414" s="4" t="e" cm="1">
        <f t="array" ref="W414">IF(INDEX(Table2[],_xlfn.XMATCH($A414,Table2[Steel Member],0),_xlfn.XMATCH(W$2,Table2[#Headers],0))=0,"",INDEX(Table2[],_xlfn.XMATCH($A414,Table2[Steel Member],0),_xlfn.XMATCH(W$2,Table2[#Headers],0)))</f>
        <v>#N/A</v>
      </c>
      <c r="X414" s="4" t="e">
        <f t="shared" si="114"/>
        <v>#N/A</v>
      </c>
      <c r="Y414" s="4" t="e" cm="1">
        <f t="array" ref="Y414">IF(INDEX(Table2[],_xlfn.XMATCH($A414,Table2[Steel Member],0),_xlfn.XMATCH(Y$2,Table2[#Headers],0))=0,"",INDEX(Table2[],_xlfn.XMATCH($A414,Table2[Steel Member],0),_xlfn.XMATCH(Y$2,Table2[#Headers],0)))</f>
        <v>#N/A</v>
      </c>
      <c r="Z414" s="4" t="e" cm="1">
        <f t="array" ref="Z414">IF(INDEX(Table2[],_xlfn.XMATCH($A414,Table2[Steel Member],0),_xlfn.XMATCH(Z$2,Table2[#Headers],0))=0,"",INDEX(Table2[],_xlfn.XMATCH($A414,Table2[Steel Member],0),_xlfn.XMATCH(Z$2,Table2[#Headers],0)))</f>
        <v>#N/A</v>
      </c>
      <c r="AA414" s="4" t="e" cm="1">
        <f t="array" ref="AA414">IF(INDEX(Table2[],_xlfn.XMATCH($A414,Table2[Steel Member],0),_xlfn.XMATCH(AA$2,Table2[#Headers],0))=0,"",INDEX(Table2[],_xlfn.XMATCH($A414,Table2[Steel Member],0),_xlfn.XMATCH(AA$2,Table2[#Headers],0)))</f>
        <v>#N/A</v>
      </c>
      <c r="AB414" s="4" t="e" cm="1">
        <f t="array" ref="AB414">IF(INDEX(Table2[],_xlfn.XMATCH($A414,Table2[Steel Member],0),_xlfn.XMATCH(AB$2,Table2[#Headers],0))=0,"",INDEX(Table2[],_xlfn.XMATCH($A414,Table2[Steel Member],0),_xlfn.XMATCH(AB$2,Table2[#Headers],0)))</f>
        <v>#N/A</v>
      </c>
      <c r="AC414" s="4" t="str" cm="1">
        <f t="array" ref="AC414">IFERROR(INDEX(Table8[],_xlfn.XMATCH($O414,Table8[Dimension Name Category],0),_xlfn.XMATCH(AC$2&amp;IF($L414," w/ tag"," w/o tag"),Table8[#Headers],0)),"")</f>
        <v/>
      </c>
      <c r="AD414" s="59" t="str">
        <f t="shared" si="105"/>
        <v/>
      </c>
      <c r="AE414" s="4" t="str">
        <f t="shared" si="106"/>
        <v/>
      </c>
      <c r="AF414" s="4" t="str">
        <f t="shared" si="107"/>
        <v/>
      </c>
      <c r="AG414" s="4" t="str" cm="1">
        <f t="array" ref="AG414">IFERROR(INDEX(Table8[],_xlfn.XMATCH($O414,Table8[Dimension Name Category],0),_xlfn.XMATCH(AG$2&amp;IF($L414," w/ tag"," w/o tag"),Table8[#Headers],0)),"")</f>
        <v/>
      </c>
      <c r="AH414" s="59" t="str">
        <f t="shared" si="108"/>
        <v/>
      </c>
      <c r="AI414" s="4"/>
      <c r="AJ414" s="4" t="str">
        <f t="shared" si="109"/>
        <v/>
      </c>
      <c r="AK414" s="4" t="str">
        <f t="shared" si="110"/>
        <v/>
      </c>
      <c r="AL414" s="4" t="e" cm="1">
        <f t="array" ref="AL414">IF(INDEX(Table2[],_xlfn.XMATCH($A414,Table2[Steel Member],0),_xlfn.XMATCH(AL$2,Table2[#Headers],0))=0,"",INDEX(Table2[],_xlfn.XMATCH($A414,Table2[Steel Member],0),_xlfn.XMATCH(AL$2,Table2[#Headers],0)))</f>
        <v>#N/A</v>
      </c>
      <c r="AM414" s="4"/>
      <c r="AN414" s="4" t="str">
        <f t="shared" si="111"/>
        <v/>
      </c>
      <c r="AO414" s="4"/>
      <c r="AP414" s="4" t="e" cm="1">
        <f t="array" ref="AP414">IF(INDEX(Table2[],_xlfn.XMATCH($A414,Table2[Steel Member],0),_xlfn.XMATCH(AP$2,Table2[#Headers],0))=0,"",INDEX(Table2[],_xlfn.XMATCH($A414,Table2[Steel Member],0),_xlfn.XMATCH(AP$2,Table2[#Headers],0)))</f>
        <v>#N/A</v>
      </c>
      <c r="AQ414" s="4"/>
      <c r="AR414" s="4"/>
      <c r="AS414" s="4"/>
      <c r="AT414" s="4"/>
    </row>
    <row r="415" spans="1:46" x14ac:dyDescent="0.25">
      <c r="A415" s="52"/>
      <c r="B415" s="52"/>
      <c r="C415" s="52"/>
      <c r="D415" s="52"/>
      <c r="E415" s="52"/>
      <c r="F415" s="64" cm="1">
        <f t="array" ref="F415">IF(COUNT(FIND(PurlinsxGirthsxBracings,$C415))&gt;0,0,ROUNDUP(IF(D415=0,0,VLOOKUP(D415,'DATA SHEET'!$B:$D,2,FALSE)),2))</f>
        <v>0</v>
      </c>
      <c r="G415" s="64" cm="1">
        <f t="array" ref="G415">IF(COUNT(FIND(PurlinsxGirthsxBracings,$C415))&gt;0,0,ROUNDUP(IF(D415=0,0,VLOOKUP(D415,'DATA SHEET'!$B:$D,3,FALSE)),2))</f>
        <v>0</v>
      </c>
      <c r="H415" s="53"/>
      <c r="I415" s="66" cm="1">
        <f t="array" ref="I415">IF(AND(ISBLANK(B415),ISBLANK(C415),ISBLANK(E415)),0,IF(COUNT(FIND(PurlinsxGirthsxBracings,$C415))&gt;0,IF(B415=0,CONCATENATE(E415," ",C415),CONCATENATE(B415," - ",E415," ",C415)),IF(B415=0,IF(ISBLANK(C415),E415,CONCATENATE(D415,", ",F415,"kg/m, ",G415,"mm surface perimeter")),IF(AND(ISBLANK(C415),ISTEXT(E415)),CONCATENATE(B415," - ",E415),IF(AND(ISBLANK(C415),ISBLANK(E415)),B415,CONCATENATE(B415," - ",D415,", ",F415,"kg/m, ",G415,"mm surface perimeter"))))&amp;IF(ISBLANK(H415),"",H415)))</f>
        <v>0</v>
      </c>
      <c r="J415" s="53"/>
      <c r="L415" s="4" t="str" cm="1">
        <f t="array" ref="L415">IF(COUNT(FIND({0,1,2,3,4,5,6,7,8,9},B415))&gt;0,COUNT(FIND({0,1,2,3,4,5,6,7,8,9},B415))&gt;0,"")</f>
        <v/>
      </c>
      <c r="M415" s="4" t="str" cm="1">
        <f t="array" aca="1" ref="M415" ca="1">IFERROR(_xlfn.IFS(R415="Count",RANDBETWEEN(1,COUNTIF($R$11:$R$653,"Count")),R415="Length",RANDBETWEEN(1,COUNTIF($R$11:$R$653,"Length"))),"")</f>
        <v/>
      </c>
      <c r="N415" s="4" t="str">
        <f ca="1">IFERROR(_xlfn.RANK.EQ(M415,$M$11:$M$653)+COUNTIF($M$11:M415,M415)-1,"")</f>
        <v/>
      </c>
      <c r="O415" s="86" t="str">
        <f>IF(A415='DATA SHEET'!$L$36,C415,IFERROR(IF(AND(ISTEXT(I415),ISBLANK(C415)),"No details",VLOOKUP(C415,DimFolder,2,FALSE)),""))</f>
        <v/>
      </c>
      <c r="P415" s="4" t="str">
        <f t="shared" si="113"/>
        <v/>
      </c>
      <c r="Q415" s="58" t="str">
        <f t="shared" si="112"/>
        <v/>
      </c>
      <c r="R415" s="4" t="e" cm="1">
        <f t="array" ref="R415">IF(INDEX(Table2[],_xlfn.XMATCH($A415,Table2[Steel Member],0),_xlfn.XMATCH(R$2,Table2[#Headers],0))=0,"",INDEX(Table2[],_xlfn.XMATCH($A415,Table2[Steel Member],0),_xlfn.XMATCH(R$2,Table2[#Headers],0)))</f>
        <v>#N/A</v>
      </c>
      <c r="S415" s="4" t="e" cm="1">
        <f t="array" ref="S415">IF(INDEX(Table2[],_xlfn.XMATCH($A415,Table2[Steel Member],0),_xlfn.XMATCH(S$2,Table2[#Headers],0))=0,"",INDEX(Table2[],_xlfn.XMATCH($A415,Table2[Steel Member],0),_xlfn.XMATCH(S$2,Table2[#Headers],0)))</f>
        <v>#N/A</v>
      </c>
      <c r="T415" s="4" t="str">
        <f t="shared" si="103"/>
        <v/>
      </c>
      <c r="U415" s="4" t="e">
        <f ca="1">VLOOKUP(N415,'COLOR CODE'!$B:$D,2,FALSE)</f>
        <v>#N/A</v>
      </c>
      <c r="V415" s="4" t="str">
        <f t="shared" si="104"/>
        <v/>
      </c>
      <c r="W415" s="4" t="e" cm="1">
        <f t="array" ref="W415">IF(INDEX(Table2[],_xlfn.XMATCH($A415,Table2[Steel Member],0),_xlfn.XMATCH(W$2,Table2[#Headers],0))=0,"",INDEX(Table2[],_xlfn.XMATCH($A415,Table2[Steel Member],0),_xlfn.XMATCH(W$2,Table2[#Headers],0)))</f>
        <v>#N/A</v>
      </c>
      <c r="X415" s="4" t="e">
        <f t="shared" si="114"/>
        <v>#N/A</v>
      </c>
      <c r="Y415" s="4" t="e" cm="1">
        <f t="array" ref="Y415">IF(INDEX(Table2[],_xlfn.XMATCH($A415,Table2[Steel Member],0),_xlfn.XMATCH(Y$2,Table2[#Headers],0))=0,"",INDEX(Table2[],_xlfn.XMATCH($A415,Table2[Steel Member],0),_xlfn.XMATCH(Y$2,Table2[#Headers],0)))</f>
        <v>#N/A</v>
      </c>
      <c r="Z415" s="4" t="e" cm="1">
        <f t="array" ref="Z415">IF(INDEX(Table2[],_xlfn.XMATCH($A415,Table2[Steel Member],0),_xlfn.XMATCH(Z$2,Table2[#Headers],0))=0,"",INDEX(Table2[],_xlfn.XMATCH($A415,Table2[Steel Member],0),_xlfn.XMATCH(Z$2,Table2[#Headers],0)))</f>
        <v>#N/A</v>
      </c>
      <c r="AA415" s="4" t="e" cm="1">
        <f t="array" ref="AA415">IF(INDEX(Table2[],_xlfn.XMATCH($A415,Table2[Steel Member],0),_xlfn.XMATCH(AA$2,Table2[#Headers],0))=0,"",INDEX(Table2[],_xlfn.XMATCH($A415,Table2[Steel Member],0),_xlfn.XMATCH(AA$2,Table2[#Headers],0)))</f>
        <v>#N/A</v>
      </c>
      <c r="AB415" s="4" t="e" cm="1">
        <f t="array" ref="AB415">IF(INDEX(Table2[],_xlfn.XMATCH($A415,Table2[Steel Member],0),_xlfn.XMATCH(AB$2,Table2[#Headers],0))=0,"",INDEX(Table2[],_xlfn.XMATCH($A415,Table2[Steel Member],0),_xlfn.XMATCH(AB$2,Table2[#Headers],0)))</f>
        <v>#N/A</v>
      </c>
      <c r="AC415" s="4" t="str" cm="1">
        <f t="array" ref="AC415">IFERROR(INDEX(Table8[],_xlfn.XMATCH($O415,Table8[Dimension Name Category],0),_xlfn.XMATCH(AC$2&amp;IF($L415," w/ tag"," w/o tag"),Table8[#Headers],0)),"")</f>
        <v/>
      </c>
      <c r="AD415" s="59" t="str">
        <f t="shared" si="105"/>
        <v/>
      </c>
      <c r="AE415" s="4" t="str">
        <f t="shared" si="106"/>
        <v/>
      </c>
      <c r="AF415" s="4" t="str">
        <f t="shared" si="107"/>
        <v/>
      </c>
      <c r="AG415" s="4" t="str" cm="1">
        <f t="array" ref="AG415">IFERROR(INDEX(Table8[],_xlfn.XMATCH($O415,Table8[Dimension Name Category],0),_xlfn.XMATCH(AG$2&amp;IF($L415," w/ tag"," w/o tag"),Table8[#Headers],0)),"")</f>
        <v/>
      </c>
      <c r="AH415" s="59" t="str">
        <f t="shared" si="108"/>
        <v/>
      </c>
      <c r="AI415" s="4"/>
      <c r="AJ415" s="4" t="str">
        <f t="shared" si="109"/>
        <v/>
      </c>
      <c r="AK415" s="4" t="str">
        <f t="shared" si="110"/>
        <v/>
      </c>
      <c r="AL415" s="4" t="e" cm="1">
        <f t="array" ref="AL415">IF(INDEX(Table2[],_xlfn.XMATCH($A415,Table2[Steel Member],0),_xlfn.XMATCH(AL$2,Table2[#Headers],0))=0,"",INDEX(Table2[],_xlfn.XMATCH($A415,Table2[Steel Member],0),_xlfn.XMATCH(AL$2,Table2[#Headers],0)))</f>
        <v>#N/A</v>
      </c>
      <c r="AM415" s="4"/>
      <c r="AN415" s="4" t="str">
        <f t="shared" si="111"/>
        <v/>
      </c>
      <c r="AO415" s="4"/>
      <c r="AP415" s="4" t="e" cm="1">
        <f t="array" ref="AP415">IF(INDEX(Table2[],_xlfn.XMATCH($A415,Table2[Steel Member],0),_xlfn.XMATCH(AP$2,Table2[#Headers],0))=0,"",INDEX(Table2[],_xlfn.XMATCH($A415,Table2[Steel Member],0),_xlfn.XMATCH(AP$2,Table2[#Headers],0)))</f>
        <v>#N/A</v>
      </c>
      <c r="AQ415" s="4"/>
      <c r="AR415" s="4"/>
      <c r="AS415" s="4"/>
      <c r="AT415" s="4"/>
    </row>
    <row r="416" spans="1:46" x14ac:dyDescent="0.25">
      <c r="A416" s="52"/>
      <c r="B416" s="52"/>
      <c r="C416" s="52"/>
      <c r="D416" s="52"/>
      <c r="E416" s="52"/>
      <c r="F416" s="64" cm="1">
        <f t="array" ref="F416">IF(COUNT(FIND(PurlinsxGirthsxBracings,$C416))&gt;0,0,ROUNDUP(IF(D416=0,0,VLOOKUP(D416,'DATA SHEET'!$B:$D,2,FALSE)),2))</f>
        <v>0</v>
      </c>
      <c r="G416" s="64" cm="1">
        <f t="array" ref="G416">IF(COUNT(FIND(PurlinsxGirthsxBracings,$C416))&gt;0,0,ROUNDUP(IF(D416=0,0,VLOOKUP(D416,'DATA SHEET'!$B:$D,3,FALSE)),2))</f>
        <v>0</v>
      </c>
      <c r="H416" s="53"/>
      <c r="I416" s="66" cm="1">
        <f t="array" ref="I416">IF(AND(ISBLANK(B416),ISBLANK(C416),ISBLANK(E416)),0,IF(COUNT(FIND(PurlinsxGirthsxBracings,$C416))&gt;0,IF(B416=0,CONCATENATE(E416," ",C416),CONCATENATE(B416," - ",E416," ",C416)),IF(B416=0,IF(ISBLANK(C416),E416,CONCATENATE(D416,", ",F416,"kg/m, ",G416,"mm surface perimeter")),IF(AND(ISBLANK(C416),ISTEXT(E416)),CONCATENATE(B416," - ",E416),IF(AND(ISBLANK(C416),ISBLANK(E416)),B416,CONCATENATE(B416," - ",D416,", ",F416,"kg/m, ",G416,"mm surface perimeter"))))&amp;IF(ISBLANK(H416),"",H416)))</f>
        <v>0</v>
      </c>
      <c r="J416" s="53"/>
      <c r="L416" s="4" t="str" cm="1">
        <f t="array" ref="L416">IF(COUNT(FIND({0,1,2,3,4,5,6,7,8,9},B416))&gt;0,COUNT(FIND({0,1,2,3,4,5,6,7,8,9},B416))&gt;0,"")</f>
        <v/>
      </c>
      <c r="M416" s="4" t="str" cm="1">
        <f t="array" aca="1" ref="M416" ca="1">IFERROR(_xlfn.IFS(R416="Count",RANDBETWEEN(1,COUNTIF($R$11:$R$653,"Count")),R416="Length",RANDBETWEEN(1,COUNTIF($R$11:$R$653,"Length"))),"")</f>
        <v/>
      </c>
      <c r="N416" s="4" t="str">
        <f ca="1">IFERROR(_xlfn.RANK.EQ(M416,$M$11:$M$653)+COUNTIF($M$11:M416,M416)-1,"")</f>
        <v/>
      </c>
      <c r="O416" s="86" t="str">
        <f>IF(A416='DATA SHEET'!$L$36,C416,IFERROR(IF(AND(ISTEXT(I416),ISBLANK(C416)),"No details",VLOOKUP(C416,DimFolder,2,FALSE)),""))</f>
        <v/>
      </c>
      <c r="P416" s="4" t="str">
        <f t="shared" si="113"/>
        <v/>
      </c>
      <c r="Q416" s="58" t="str">
        <f t="shared" si="112"/>
        <v/>
      </c>
      <c r="R416" s="4" t="e" cm="1">
        <f t="array" ref="R416">IF(INDEX(Table2[],_xlfn.XMATCH($A416,Table2[Steel Member],0),_xlfn.XMATCH(R$2,Table2[#Headers],0))=0,"",INDEX(Table2[],_xlfn.XMATCH($A416,Table2[Steel Member],0),_xlfn.XMATCH(R$2,Table2[#Headers],0)))</f>
        <v>#N/A</v>
      </c>
      <c r="S416" s="4" t="e" cm="1">
        <f t="array" ref="S416">IF(INDEX(Table2[],_xlfn.XMATCH($A416,Table2[Steel Member],0),_xlfn.XMATCH(S$2,Table2[#Headers],0))=0,"",INDEX(Table2[],_xlfn.XMATCH($A416,Table2[Steel Member],0),_xlfn.XMATCH(S$2,Table2[#Headers],0)))</f>
        <v>#N/A</v>
      </c>
      <c r="T416" s="4" t="str">
        <f t="shared" si="103"/>
        <v/>
      </c>
      <c r="U416" s="4" t="e">
        <f ca="1">VLOOKUP(N416,'COLOR CODE'!$B:$D,2,FALSE)</f>
        <v>#N/A</v>
      </c>
      <c r="V416" s="4" t="str">
        <f t="shared" si="104"/>
        <v/>
      </c>
      <c r="W416" s="4" t="e" cm="1">
        <f t="array" ref="W416">IF(INDEX(Table2[],_xlfn.XMATCH($A416,Table2[Steel Member],0),_xlfn.XMATCH(W$2,Table2[#Headers],0))=0,"",INDEX(Table2[],_xlfn.XMATCH($A416,Table2[Steel Member],0),_xlfn.XMATCH(W$2,Table2[#Headers],0)))</f>
        <v>#N/A</v>
      </c>
      <c r="X416" s="4" t="e">
        <f t="shared" si="114"/>
        <v>#N/A</v>
      </c>
      <c r="Y416" s="4" t="e" cm="1">
        <f t="array" ref="Y416">IF(INDEX(Table2[],_xlfn.XMATCH($A416,Table2[Steel Member],0),_xlfn.XMATCH(Y$2,Table2[#Headers],0))=0,"",INDEX(Table2[],_xlfn.XMATCH($A416,Table2[Steel Member],0),_xlfn.XMATCH(Y$2,Table2[#Headers],0)))</f>
        <v>#N/A</v>
      </c>
      <c r="Z416" s="4" t="e" cm="1">
        <f t="array" ref="Z416">IF(INDEX(Table2[],_xlfn.XMATCH($A416,Table2[Steel Member],0),_xlfn.XMATCH(Z$2,Table2[#Headers],0))=0,"",INDEX(Table2[],_xlfn.XMATCH($A416,Table2[Steel Member],0),_xlfn.XMATCH(Z$2,Table2[#Headers],0)))</f>
        <v>#N/A</v>
      </c>
      <c r="AA416" s="4" t="e" cm="1">
        <f t="array" ref="AA416">IF(INDEX(Table2[],_xlfn.XMATCH($A416,Table2[Steel Member],0),_xlfn.XMATCH(AA$2,Table2[#Headers],0))=0,"",INDEX(Table2[],_xlfn.XMATCH($A416,Table2[Steel Member],0),_xlfn.XMATCH(AA$2,Table2[#Headers],0)))</f>
        <v>#N/A</v>
      </c>
      <c r="AB416" s="4" t="e" cm="1">
        <f t="array" ref="AB416">IF(INDEX(Table2[],_xlfn.XMATCH($A416,Table2[Steel Member],0),_xlfn.XMATCH(AB$2,Table2[#Headers],0))=0,"",INDEX(Table2[],_xlfn.XMATCH($A416,Table2[Steel Member],0),_xlfn.XMATCH(AB$2,Table2[#Headers],0)))</f>
        <v>#N/A</v>
      </c>
      <c r="AC416" s="4" t="str" cm="1">
        <f t="array" ref="AC416">IFERROR(INDEX(Table8[],_xlfn.XMATCH($O416,Table8[Dimension Name Category],0),_xlfn.XMATCH(AC$2&amp;IF($L416," w/ tag"," w/o tag"),Table8[#Headers],0)),"")</f>
        <v/>
      </c>
      <c r="AD416" s="59" t="str">
        <f t="shared" si="105"/>
        <v/>
      </c>
      <c r="AE416" s="4" t="str">
        <f t="shared" si="106"/>
        <v/>
      </c>
      <c r="AF416" s="4" t="str">
        <f t="shared" si="107"/>
        <v/>
      </c>
      <c r="AG416" s="4" t="str" cm="1">
        <f t="array" ref="AG416">IFERROR(INDEX(Table8[],_xlfn.XMATCH($O416,Table8[Dimension Name Category],0),_xlfn.XMATCH(AG$2&amp;IF($L416," w/ tag"," w/o tag"),Table8[#Headers],0)),"")</f>
        <v/>
      </c>
      <c r="AH416" s="59" t="str">
        <f t="shared" si="108"/>
        <v/>
      </c>
      <c r="AI416" s="4"/>
      <c r="AJ416" s="4" t="str">
        <f t="shared" si="109"/>
        <v/>
      </c>
      <c r="AK416" s="4" t="str">
        <f t="shared" si="110"/>
        <v/>
      </c>
      <c r="AL416" s="4" t="e" cm="1">
        <f t="array" ref="AL416">IF(INDEX(Table2[],_xlfn.XMATCH($A416,Table2[Steel Member],0),_xlfn.XMATCH(AL$2,Table2[#Headers],0))=0,"",INDEX(Table2[],_xlfn.XMATCH($A416,Table2[Steel Member],0),_xlfn.XMATCH(AL$2,Table2[#Headers],0)))</f>
        <v>#N/A</v>
      </c>
      <c r="AM416" s="4"/>
      <c r="AN416" s="4" t="str">
        <f t="shared" si="111"/>
        <v/>
      </c>
      <c r="AO416" s="4"/>
      <c r="AP416" s="4" t="e" cm="1">
        <f t="array" ref="AP416">IF(INDEX(Table2[],_xlfn.XMATCH($A416,Table2[Steel Member],0),_xlfn.XMATCH(AP$2,Table2[#Headers],0))=0,"",INDEX(Table2[],_xlfn.XMATCH($A416,Table2[Steel Member],0),_xlfn.XMATCH(AP$2,Table2[#Headers],0)))</f>
        <v>#N/A</v>
      </c>
      <c r="AQ416" s="4"/>
      <c r="AR416" s="4"/>
      <c r="AS416" s="4"/>
      <c r="AT416" s="4"/>
    </row>
    <row r="417" spans="1:46" x14ac:dyDescent="0.25">
      <c r="A417" s="52"/>
      <c r="B417" s="52"/>
      <c r="C417" s="52"/>
      <c r="D417" s="52"/>
      <c r="E417" s="52"/>
      <c r="F417" s="64" cm="1">
        <f t="array" ref="F417">IF(COUNT(FIND(PurlinsxGirthsxBracings,$C417))&gt;0,0,ROUNDUP(IF(D417=0,0,VLOOKUP(D417,'DATA SHEET'!$B:$D,2,FALSE)),2))</f>
        <v>0</v>
      </c>
      <c r="G417" s="64" cm="1">
        <f t="array" ref="G417">IF(COUNT(FIND(PurlinsxGirthsxBracings,$C417))&gt;0,0,ROUNDUP(IF(D417=0,0,VLOOKUP(D417,'DATA SHEET'!$B:$D,3,FALSE)),2))</f>
        <v>0</v>
      </c>
      <c r="H417" s="53"/>
      <c r="I417" s="66" cm="1">
        <f t="array" ref="I417">IF(AND(ISBLANK(B417),ISBLANK(C417),ISBLANK(E417)),0,IF(COUNT(FIND(PurlinsxGirthsxBracings,$C417))&gt;0,IF(B417=0,CONCATENATE(E417," ",C417),CONCATENATE(B417," - ",E417," ",C417)),IF(B417=0,IF(ISBLANK(C417),E417,CONCATENATE(D417,", ",F417,"kg/m, ",G417,"mm surface perimeter")),IF(AND(ISBLANK(C417),ISTEXT(E417)),CONCATENATE(B417," - ",E417),IF(AND(ISBLANK(C417),ISBLANK(E417)),B417,CONCATENATE(B417," - ",D417,", ",F417,"kg/m, ",G417,"mm surface perimeter"))))&amp;IF(ISBLANK(H417),"",H417)))</f>
        <v>0</v>
      </c>
      <c r="J417" s="53"/>
      <c r="L417" s="4" t="str" cm="1">
        <f t="array" ref="L417">IF(COUNT(FIND({0,1,2,3,4,5,6,7,8,9},B417))&gt;0,COUNT(FIND({0,1,2,3,4,5,6,7,8,9},B417))&gt;0,"")</f>
        <v/>
      </c>
      <c r="M417" s="4" t="str" cm="1">
        <f t="array" aca="1" ref="M417" ca="1">IFERROR(_xlfn.IFS(R417="Count",RANDBETWEEN(1,COUNTIF($R$11:$R$653,"Count")),R417="Length",RANDBETWEEN(1,COUNTIF($R$11:$R$653,"Length"))),"")</f>
        <v/>
      </c>
      <c r="N417" s="4" t="str">
        <f ca="1">IFERROR(_xlfn.RANK.EQ(M417,$M$11:$M$653)+COUNTIF($M$11:M417,M417)-1,"")</f>
        <v/>
      </c>
      <c r="O417" s="86" t="str">
        <f>IF(A417='DATA SHEET'!$L$36,C417,IFERROR(IF(AND(ISTEXT(I417),ISBLANK(C417)),"No details",VLOOKUP(C417,DimFolder,2,FALSE)),""))</f>
        <v/>
      </c>
      <c r="P417" s="4" t="str">
        <f t="shared" si="113"/>
        <v/>
      </c>
      <c r="Q417" s="58" t="str">
        <f t="shared" si="112"/>
        <v/>
      </c>
      <c r="R417" s="4" t="e" cm="1">
        <f t="array" ref="R417">IF(INDEX(Table2[],_xlfn.XMATCH($A417,Table2[Steel Member],0),_xlfn.XMATCH(R$2,Table2[#Headers],0))=0,"",INDEX(Table2[],_xlfn.XMATCH($A417,Table2[Steel Member],0),_xlfn.XMATCH(R$2,Table2[#Headers],0)))</f>
        <v>#N/A</v>
      </c>
      <c r="S417" s="4" t="e" cm="1">
        <f t="array" ref="S417">IF(INDEX(Table2[],_xlfn.XMATCH($A417,Table2[Steel Member],0),_xlfn.XMATCH(S$2,Table2[#Headers],0))=0,"",INDEX(Table2[],_xlfn.XMATCH($A417,Table2[Steel Member],0),_xlfn.XMATCH(S$2,Table2[#Headers],0)))</f>
        <v>#N/A</v>
      </c>
      <c r="T417" s="4" t="str">
        <f t="shared" si="103"/>
        <v/>
      </c>
      <c r="U417" s="4" t="e">
        <f ca="1">VLOOKUP(N417,'COLOR CODE'!$B:$D,2,FALSE)</f>
        <v>#N/A</v>
      </c>
      <c r="V417" s="4" t="str">
        <f t="shared" si="104"/>
        <v/>
      </c>
      <c r="W417" s="4" t="e" cm="1">
        <f t="array" ref="W417">IF(INDEX(Table2[],_xlfn.XMATCH($A417,Table2[Steel Member],0),_xlfn.XMATCH(W$2,Table2[#Headers],0))=0,"",INDEX(Table2[],_xlfn.XMATCH($A417,Table2[Steel Member],0),_xlfn.XMATCH(W$2,Table2[#Headers],0)))</f>
        <v>#N/A</v>
      </c>
      <c r="X417" s="4" t="e">
        <f t="shared" si="114"/>
        <v>#N/A</v>
      </c>
      <c r="Y417" s="4" t="e" cm="1">
        <f t="array" ref="Y417">IF(INDEX(Table2[],_xlfn.XMATCH($A417,Table2[Steel Member],0),_xlfn.XMATCH(Y$2,Table2[#Headers],0))=0,"",INDEX(Table2[],_xlfn.XMATCH($A417,Table2[Steel Member],0),_xlfn.XMATCH(Y$2,Table2[#Headers],0)))</f>
        <v>#N/A</v>
      </c>
      <c r="Z417" s="4" t="e" cm="1">
        <f t="array" ref="Z417">IF(INDEX(Table2[],_xlfn.XMATCH($A417,Table2[Steel Member],0),_xlfn.XMATCH(Z$2,Table2[#Headers],0))=0,"",INDEX(Table2[],_xlfn.XMATCH($A417,Table2[Steel Member],0),_xlfn.XMATCH(Z$2,Table2[#Headers],0)))</f>
        <v>#N/A</v>
      </c>
      <c r="AA417" s="4" t="e" cm="1">
        <f t="array" ref="AA417">IF(INDEX(Table2[],_xlfn.XMATCH($A417,Table2[Steel Member],0),_xlfn.XMATCH(AA$2,Table2[#Headers],0))=0,"",INDEX(Table2[],_xlfn.XMATCH($A417,Table2[Steel Member],0),_xlfn.XMATCH(AA$2,Table2[#Headers],0)))</f>
        <v>#N/A</v>
      </c>
      <c r="AB417" s="4" t="e" cm="1">
        <f t="array" ref="AB417">IF(INDEX(Table2[],_xlfn.XMATCH($A417,Table2[Steel Member],0),_xlfn.XMATCH(AB$2,Table2[#Headers],0))=0,"",INDEX(Table2[],_xlfn.XMATCH($A417,Table2[Steel Member],0),_xlfn.XMATCH(AB$2,Table2[#Headers],0)))</f>
        <v>#N/A</v>
      </c>
      <c r="AC417" s="4" t="str" cm="1">
        <f t="array" ref="AC417">IFERROR(INDEX(Table8[],_xlfn.XMATCH($O417,Table8[Dimension Name Category],0),_xlfn.XMATCH(AC$2&amp;IF($L417," w/ tag"," w/o tag"),Table8[#Headers],0)),"")</f>
        <v/>
      </c>
      <c r="AD417" s="59" t="str">
        <f t="shared" si="105"/>
        <v/>
      </c>
      <c r="AE417" s="4" t="str">
        <f t="shared" si="106"/>
        <v/>
      </c>
      <c r="AF417" s="4" t="str">
        <f t="shared" si="107"/>
        <v/>
      </c>
      <c r="AG417" s="4" t="str" cm="1">
        <f t="array" ref="AG417">IFERROR(INDEX(Table8[],_xlfn.XMATCH($O417,Table8[Dimension Name Category],0),_xlfn.XMATCH(AG$2&amp;IF($L417," w/ tag"," w/o tag"),Table8[#Headers],0)),"")</f>
        <v/>
      </c>
      <c r="AH417" s="59" t="str">
        <f t="shared" si="108"/>
        <v/>
      </c>
      <c r="AI417" s="4"/>
      <c r="AJ417" s="4" t="str">
        <f t="shared" si="109"/>
        <v/>
      </c>
      <c r="AK417" s="4" t="str">
        <f t="shared" si="110"/>
        <v/>
      </c>
      <c r="AL417" s="4" t="e" cm="1">
        <f t="array" ref="AL417">IF(INDEX(Table2[],_xlfn.XMATCH($A417,Table2[Steel Member],0),_xlfn.XMATCH(AL$2,Table2[#Headers],0))=0,"",INDEX(Table2[],_xlfn.XMATCH($A417,Table2[Steel Member],0),_xlfn.XMATCH(AL$2,Table2[#Headers],0)))</f>
        <v>#N/A</v>
      </c>
      <c r="AM417" s="4"/>
      <c r="AN417" s="4" t="str">
        <f t="shared" si="111"/>
        <v/>
      </c>
      <c r="AO417" s="4"/>
      <c r="AP417" s="4" t="e" cm="1">
        <f t="array" ref="AP417">IF(INDEX(Table2[],_xlfn.XMATCH($A417,Table2[Steel Member],0),_xlfn.XMATCH(AP$2,Table2[#Headers],0))=0,"",INDEX(Table2[],_xlfn.XMATCH($A417,Table2[Steel Member],0),_xlfn.XMATCH(AP$2,Table2[#Headers],0)))</f>
        <v>#N/A</v>
      </c>
      <c r="AQ417" s="4"/>
      <c r="AR417" s="4"/>
      <c r="AS417" s="4"/>
      <c r="AT417" s="4"/>
    </row>
    <row r="418" spans="1:46" x14ac:dyDescent="0.25">
      <c r="A418" s="52"/>
      <c r="B418" s="52"/>
      <c r="C418" s="52"/>
      <c r="D418" s="52"/>
      <c r="E418" s="52"/>
      <c r="F418" s="64" cm="1">
        <f t="array" ref="F418">IF(COUNT(FIND(PurlinsxGirthsxBracings,$C418))&gt;0,0,ROUNDUP(IF(D418=0,0,VLOOKUP(D418,'DATA SHEET'!$B:$D,2,FALSE)),2))</f>
        <v>0</v>
      </c>
      <c r="G418" s="64" cm="1">
        <f t="array" ref="G418">IF(COUNT(FIND(PurlinsxGirthsxBracings,$C418))&gt;0,0,ROUNDUP(IF(D418=0,0,VLOOKUP(D418,'DATA SHEET'!$B:$D,3,FALSE)),2))</f>
        <v>0</v>
      </c>
      <c r="H418" s="53"/>
      <c r="I418" s="66" cm="1">
        <f t="array" ref="I418">IF(AND(ISBLANK(B418),ISBLANK(C418),ISBLANK(E418)),0,IF(COUNT(FIND(PurlinsxGirthsxBracings,$C418))&gt;0,IF(B418=0,CONCATENATE(E418," ",C418),CONCATENATE(B418," - ",E418," ",C418)),IF(B418=0,IF(ISBLANK(C418),E418,CONCATENATE(D418,", ",F418,"kg/m, ",G418,"mm surface perimeter")),IF(AND(ISBLANK(C418),ISTEXT(E418)),CONCATENATE(B418," - ",E418),IF(AND(ISBLANK(C418),ISBLANK(E418)),B418,CONCATENATE(B418," - ",D418,", ",F418,"kg/m, ",G418,"mm surface perimeter"))))&amp;IF(ISBLANK(H418),"",H418)))</f>
        <v>0</v>
      </c>
      <c r="J418" s="53"/>
      <c r="L418" s="4" t="str" cm="1">
        <f t="array" ref="L418">IF(COUNT(FIND({0,1,2,3,4,5,6,7,8,9},B418))&gt;0,COUNT(FIND({0,1,2,3,4,5,6,7,8,9},B418))&gt;0,"")</f>
        <v/>
      </c>
      <c r="M418" s="4" t="str" cm="1">
        <f t="array" aca="1" ref="M418" ca="1">IFERROR(_xlfn.IFS(R418="Count",RANDBETWEEN(1,COUNTIF($R$11:$R$653,"Count")),R418="Length",RANDBETWEEN(1,COUNTIF($R$11:$R$653,"Length"))),"")</f>
        <v/>
      </c>
      <c r="N418" s="4" t="str">
        <f ca="1">IFERROR(_xlfn.RANK.EQ(M418,$M$11:$M$653)+COUNTIF($M$11:M418,M418)-1,"")</f>
        <v/>
      </c>
      <c r="O418" s="86" t="str">
        <f>IF(A418='DATA SHEET'!$L$36,C418,IFERROR(IF(AND(ISTEXT(I418),ISBLANK(C418)),"No details",VLOOKUP(C418,DimFolder,2,FALSE)),""))</f>
        <v/>
      </c>
      <c r="P418" s="4" t="str">
        <f t="shared" si="113"/>
        <v/>
      </c>
      <c r="Q418" s="58" t="str">
        <f t="shared" si="112"/>
        <v/>
      </c>
      <c r="R418" s="4" t="e" cm="1">
        <f t="array" ref="R418">IF(INDEX(Table2[],_xlfn.XMATCH($A418,Table2[Steel Member],0),_xlfn.XMATCH(R$2,Table2[#Headers],0))=0,"",INDEX(Table2[],_xlfn.XMATCH($A418,Table2[Steel Member],0),_xlfn.XMATCH(R$2,Table2[#Headers],0)))</f>
        <v>#N/A</v>
      </c>
      <c r="S418" s="4" t="e" cm="1">
        <f t="array" ref="S418">IF(INDEX(Table2[],_xlfn.XMATCH($A418,Table2[Steel Member],0),_xlfn.XMATCH(S$2,Table2[#Headers],0))=0,"",INDEX(Table2[],_xlfn.XMATCH($A418,Table2[Steel Member],0),_xlfn.XMATCH(S$2,Table2[#Headers],0)))</f>
        <v>#N/A</v>
      </c>
      <c r="T418" s="4" t="str">
        <f t="shared" si="103"/>
        <v/>
      </c>
      <c r="U418" s="4" t="e">
        <f ca="1">VLOOKUP(N418,'COLOR CODE'!$B:$D,2,FALSE)</f>
        <v>#N/A</v>
      </c>
      <c r="V418" s="4" t="str">
        <f t="shared" si="104"/>
        <v/>
      </c>
      <c r="W418" s="4" t="e" cm="1">
        <f t="array" ref="W418">IF(INDEX(Table2[],_xlfn.XMATCH($A418,Table2[Steel Member],0),_xlfn.XMATCH(W$2,Table2[#Headers],0))=0,"",INDEX(Table2[],_xlfn.XMATCH($A418,Table2[Steel Member],0),_xlfn.XMATCH(W$2,Table2[#Headers],0)))</f>
        <v>#N/A</v>
      </c>
      <c r="X418" s="4" t="e">
        <f t="shared" si="114"/>
        <v>#N/A</v>
      </c>
      <c r="Y418" s="4" t="e" cm="1">
        <f t="array" ref="Y418">IF(INDEX(Table2[],_xlfn.XMATCH($A418,Table2[Steel Member],0),_xlfn.XMATCH(Y$2,Table2[#Headers],0))=0,"",INDEX(Table2[],_xlfn.XMATCH($A418,Table2[Steel Member],0),_xlfn.XMATCH(Y$2,Table2[#Headers],0)))</f>
        <v>#N/A</v>
      </c>
      <c r="Z418" s="4" t="e" cm="1">
        <f t="array" ref="Z418">IF(INDEX(Table2[],_xlfn.XMATCH($A418,Table2[Steel Member],0),_xlfn.XMATCH(Z$2,Table2[#Headers],0))=0,"",INDEX(Table2[],_xlfn.XMATCH($A418,Table2[Steel Member],0),_xlfn.XMATCH(Z$2,Table2[#Headers],0)))</f>
        <v>#N/A</v>
      </c>
      <c r="AA418" s="4" t="e" cm="1">
        <f t="array" ref="AA418">IF(INDEX(Table2[],_xlfn.XMATCH($A418,Table2[Steel Member],0),_xlfn.XMATCH(AA$2,Table2[#Headers],0))=0,"",INDEX(Table2[],_xlfn.XMATCH($A418,Table2[Steel Member],0),_xlfn.XMATCH(AA$2,Table2[#Headers],0)))</f>
        <v>#N/A</v>
      </c>
      <c r="AB418" s="4" t="e" cm="1">
        <f t="array" ref="AB418">IF(INDEX(Table2[],_xlfn.XMATCH($A418,Table2[Steel Member],0),_xlfn.XMATCH(AB$2,Table2[#Headers],0))=0,"",INDEX(Table2[],_xlfn.XMATCH($A418,Table2[Steel Member],0),_xlfn.XMATCH(AB$2,Table2[#Headers],0)))</f>
        <v>#N/A</v>
      </c>
      <c r="AC418" s="4" t="str" cm="1">
        <f t="array" ref="AC418">IFERROR(INDEX(Table8[],_xlfn.XMATCH($O418,Table8[Dimension Name Category],0),_xlfn.XMATCH(AC$2&amp;IF($L418," w/ tag"," w/o tag"),Table8[#Headers],0)),"")</f>
        <v/>
      </c>
      <c r="AD418" s="59" t="str">
        <f t="shared" si="105"/>
        <v/>
      </c>
      <c r="AE418" s="4" t="str">
        <f t="shared" si="106"/>
        <v/>
      </c>
      <c r="AF418" s="4" t="str">
        <f t="shared" si="107"/>
        <v/>
      </c>
      <c r="AG418" s="4" t="str" cm="1">
        <f t="array" ref="AG418">IFERROR(INDEX(Table8[],_xlfn.XMATCH($O418,Table8[Dimension Name Category],0),_xlfn.XMATCH(AG$2&amp;IF($L418," w/ tag"," w/o tag"),Table8[#Headers],0)),"")</f>
        <v/>
      </c>
      <c r="AH418" s="59" t="str">
        <f t="shared" si="108"/>
        <v/>
      </c>
      <c r="AI418" s="4"/>
      <c r="AJ418" s="4" t="str">
        <f t="shared" si="109"/>
        <v/>
      </c>
      <c r="AK418" s="4" t="str">
        <f t="shared" si="110"/>
        <v/>
      </c>
      <c r="AL418" s="4" t="e" cm="1">
        <f t="array" ref="AL418">IF(INDEX(Table2[],_xlfn.XMATCH($A418,Table2[Steel Member],0),_xlfn.XMATCH(AL$2,Table2[#Headers],0))=0,"",INDEX(Table2[],_xlfn.XMATCH($A418,Table2[Steel Member],0),_xlfn.XMATCH(AL$2,Table2[#Headers],0)))</f>
        <v>#N/A</v>
      </c>
      <c r="AM418" s="4"/>
      <c r="AN418" s="4" t="str">
        <f t="shared" si="111"/>
        <v/>
      </c>
      <c r="AO418" s="4"/>
      <c r="AP418" s="4" t="e" cm="1">
        <f t="array" ref="AP418">IF(INDEX(Table2[],_xlfn.XMATCH($A418,Table2[Steel Member],0),_xlfn.XMATCH(AP$2,Table2[#Headers],0))=0,"",INDEX(Table2[],_xlfn.XMATCH($A418,Table2[Steel Member],0),_xlfn.XMATCH(AP$2,Table2[#Headers],0)))</f>
        <v>#N/A</v>
      </c>
      <c r="AQ418" s="4"/>
      <c r="AR418" s="4"/>
      <c r="AS418" s="4"/>
      <c r="AT418" s="4"/>
    </row>
    <row r="419" spans="1:46" x14ac:dyDescent="0.25">
      <c r="A419" s="52"/>
      <c r="B419" s="52"/>
      <c r="C419" s="52"/>
      <c r="D419" s="52"/>
      <c r="E419" s="52"/>
      <c r="F419" s="64" cm="1">
        <f t="array" ref="F419">IF(COUNT(FIND(PurlinsxGirthsxBracings,$C419))&gt;0,0,ROUNDUP(IF(D419=0,0,VLOOKUP(D419,'DATA SHEET'!$B:$D,2,FALSE)),2))</f>
        <v>0</v>
      </c>
      <c r="G419" s="64" cm="1">
        <f t="array" ref="G419">IF(COUNT(FIND(PurlinsxGirthsxBracings,$C419))&gt;0,0,ROUNDUP(IF(D419=0,0,VLOOKUP(D419,'DATA SHEET'!$B:$D,3,FALSE)),2))</f>
        <v>0</v>
      </c>
      <c r="H419" s="53"/>
      <c r="I419" s="66" cm="1">
        <f t="array" ref="I419">IF(AND(ISBLANK(B419),ISBLANK(C419),ISBLANK(E419)),0,IF(COUNT(FIND(PurlinsxGirthsxBracings,$C419))&gt;0,IF(B419=0,CONCATENATE(E419," ",C419),CONCATENATE(B419," - ",E419," ",C419)),IF(B419=0,IF(ISBLANK(C419),E419,CONCATENATE(D419,", ",F419,"kg/m, ",G419,"mm surface perimeter")),IF(AND(ISBLANK(C419),ISTEXT(E419)),CONCATENATE(B419," - ",E419),IF(AND(ISBLANK(C419),ISBLANK(E419)),B419,CONCATENATE(B419," - ",D419,", ",F419,"kg/m, ",G419,"mm surface perimeter"))))&amp;IF(ISBLANK(H419),"",H419)))</f>
        <v>0</v>
      </c>
      <c r="J419" s="53"/>
      <c r="L419" s="4" t="str" cm="1">
        <f t="array" ref="L419">IF(COUNT(FIND({0,1,2,3,4,5,6,7,8,9},B419))&gt;0,COUNT(FIND({0,1,2,3,4,5,6,7,8,9},B419))&gt;0,"")</f>
        <v/>
      </c>
      <c r="M419" s="4" t="str" cm="1">
        <f t="array" aca="1" ref="M419" ca="1">IFERROR(_xlfn.IFS(R419="Count",RANDBETWEEN(1,COUNTIF($R$11:$R$653,"Count")),R419="Length",RANDBETWEEN(1,COUNTIF($R$11:$R$653,"Length"))),"")</f>
        <v/>
      </c>
      <c r="N419" s="4" t="str">
        <f ca="1">IFERROR(_xlfn.RANK.EQ(M419,$M$11:$M$653)+COUNTIF($M$11:M419,M419)-1,"")</f>
        <v/>
      </c>
      <c r="O419" s="86" t="str">
        <f>IF(A419='DATA SHEET'!$L$36,C419,IFERROR(IF(AND(ISTEXT(I419),ISBLANK(C419)),"No details",VLOOKUP(C419,DimFolder,2,FALSE)),""))</f>
        <v/>
      </c>
      <c r="P419" s="4" t="str">
        <f t="shared" si="113"/>
        <v/>
      </c>
      <c r="Q419" s="58" t="str">
        <f t="shared" si="112"/>
        <v/>
      </c>
      <c r="R419" s="4" t="e" cm="1">
        <f t="array" ref="R419">IF(INDEX(Table2[],_xlfn.XMATCH($A419,Table2[Steel Member],0),_xlfn.XMATCH(R$2,Table2[#Headers],0))=0,"",INDEX(Table2[],_xlfn.XMATCH($A419,Table2[Steel Member],0),_xlfn.XMATCH(R$2,Table2[#Headers],0)))</f>
        <v>#N/A</v>
      </c>
      <c r="S419" s="4" t="e" cm="1">
        <f t="array" ref="S419">IF(INDEX(Table2[],_xlfn.XMATCH($A419,Table2[Steel Member],0),_xlfn.XMATCH(S$2,Table2[#Headers],0))=0,"",INDEX(Table2[],_xlfn.XMATCH($A419,Table2[Steel Member],0),_xlfn.XMATCH(S$2,Table2[#Headers],0)))</f>
        <v>#N/A</v>
      </c>
      <c r="T419" s="4" t="str">
        <f t="shared" si="103"/>
        <v/>
      </c>
      <c r="U419" s="4" t="e">
        <f ca="1">VLOOKUP(N419,'COLOR CODE'!$B:$D,2,FALSE)</f>
        <v>#N/A</v>
      </c>
      <c r="V419" s="4" t="str">
        <f t="shared" si="104"/>
        <v/>
      </c>
      <c r="W419" s="4" t="e" cm="1">
        <f t="array" ref="W419">IF(INDEX(Table2[],_xlfn.XMATCH($A419,Table2[Steel Member],0),_xlfn.XMATCH(W$2,Table2[#Headers],0))=0,"",INDEX(Table2[],_xlfn.XMATCH($A419,Table2[Steel Member],0),_xlfn.XMATCH(W$2,Table2[#Headers],0)))</f>
        <v>#N/A</v>
      </c>
      <c r="X419" s="4" t="e">
        <f t="shared" si="114"/>
        <v>#N/A</v>
      </c>
      <c r="Y419" s="4" t="e" cm="1">
        <f t="array" ref="Y419">IF(INDEX(Table2[],_xlfn.XMATCH($A419,Table2[Steel Member],0),_xlfn.XMATCH(Y$2,Table2[#Headers],0))=0,"",INDEX(Table2[],_xlfn.XMATCH($A419,Table2[Steel Member],0),_xlfn.XMATCH(Y$2,Table2[#Headers],0)))</f>
        <v>#N/A</v>
      </c>
      <c r="Z419" s="4" t="e" cm="1">
        <f t="array" ref="Z419">IF(INDEX(Table2[],_xlfn.XMATCH($A419,Table2[Steel Member],0),_xlfn.XMATCH(Z$2,Table2[#Headers],0))=0,"",INDEX(Table2[],_xlfn.XMATCH($A419,Table2[Steel Member],0),_xlfn.XMATCH(Z$2,Table2[#Headers],0)))</f>
        <v>#N/A</v>
      </c>
      <c r="AA419" s="4" t="e" cm="1">
        <f t="array" ref="AA419">IF(INDEX(Table2[],_xlfn.XMATCH($A419,Table2[Steel Member],0),_xlfn.XMATCH(AA$2,Table2[#Headers],0))=0,"",INDEX(Table2[],_xlfn.XMATCH($A419,Table2[Steel Member],0),_xlfn.XMATCH(AA$2,Table2[#Headers],0)))</f>
        <v>#N/A</v>
      </c>
      <c r="AB419" s="4" t="e" cm="1">
        <f t="array" ref="AB419">IF(INDEX(Table2[],_xlfn.XMATCH($A419,Table2[Steel Member],0),_xlfn.XMATCH(AB$2,Table2[#Headers],0))=0,"",INDEX(Table2[],_xlfn.XMATCH($A419,Table2[Steel Member],0),_xlfn.XMATCH(AB$2,Table2[#Headers],0)))</f>
        <v>#N/A</v>
      </c>
      <c r="AC419" s="4" t="str" cm="1">
        <f t="array" ref="AC419">IFERROR(INDEX(Table8[],_xlfn.XMATCH($O419,Table8[Dimension Name Category],0),_xlfn.XMATCH(AC$2&amp;IF($L419," w/ tag"," w/o tag"),Table8[#Headers],0)),"")</f>
        <v/>
      </c>
      <c r="AD419" s="59" t="str">
        <f t="shared" si="105"/>
        <v/>
      </c>
      <c r="AE419" s="4" t="str">
        <f t="shared" si="106"/>
        <v/>
      </c>
      <c r="AF419" s="4" t="str">
        <f t="shared" si="107"/>
        <v/>
      </c>
      <c r="AG419" s="4" t="str" cm="1">
        <f t="array" ref="AG419">IFERROR(INDEX(Table8[],_xlfn.XMATCH($O419,Table8[Dimension Name Category],0),_xlfn.XMATCH(AG$2&amp;IF($L419," w/ tag"," w/o tag"),Table8[#Headers],0)),"")</f>
        <v/>
      </c>
      <c r="AH419" s="59" t="str">
        <f t="shared" si="108"/>
        <v/>
      </c>
      <c r="AI419" s="4"/>
      <c r="AJ419" s="4" t="str">
        <f t="shared" si="109"/>
        <v/>
      </c>
      <c r="AK419" s="4" t="str">
        <f t="shared" si="110"/>
        <v/>
      </c>
      <c r="AL419" s="4" t="e" cm="1">
        <f t="array" ref="AL419">IF(INDEX(Table2[],_xlfn.XMATCH($A419,Table2[Steel Member],0),_xlfn.XMATCH(AL$2,Table2[#Headers],0))=0,"",INDEX(Table2[],_xlfn.XMATCH($A419,Table2[Steel Member],0),_xlfn.XMATCH(AL$2,Table2[#Headers],0)))</f>
        <v>#N/A</v>
      </c>
      <c r="AM419" s="4"/>
      <c r="AN419" s="4" t="str">
        <f t="shared" si="111"/>
        <v/>
      </c>
      <c r="AO419" s="4"/>
      <c r="AP419" s="4" t="e" cm="1">
        <f t="array" ref="AP419">IF(INDEX(Table2[],_xlfn.XMATCH($A419,Table2[Steel Member],0),_xlfn.XMATCH(AP$2,Table2[#Headers],0))=0,"",INDEX(Table2[],_xlfn.XMATCH($A419,Table2[Steel Member],0),_xlfn.XMATCH(AP$2,Table2[#Headers],0)))</f>
        <v>#N/A</v>
      </c>
      <c r="AQ419" s="4"/>
      <c r="AR419" s="4"/>
      <c r="AS419" s="4"/>
      <c r="AT419" s="4"/>
    </row>
    <row r="420" spans="1:46" x14ac:dyDescent="0.25">
      <c r="A420" s="52"/>
      <c r="B420" s="52"/>
      <c r="C420" s="52"/>
      <c r="D420" s="52"/>
      <c r="E420" s="52"/>
      <c r="F420" s="64" cm="1">
        <f t="array" ref="F420">IF(COUNT(FIND(PurlinsxGirthsxBracings,$C420))&gt;0,0,ROUNDUP(IF(D420=0,0,VLOOKUP(D420,'DATA SHEET'!$B:$D,2,FALSE)),2))</f>
        <v>0</v>
      </c>
      <c r="G420" s="64" cm="1">
        <f t="array" ref="G420">IF(COUNT(FIND(PurlinsxGirthsxBracings,$C420))&gt;0,0,ROUNDUP(IF(D420=0,0,VLOOKUP(D420,'DATA SHEET'!$B:$D,3,FALSE)),2))</f>
        <v>0</v>
      </c>
      <c r="H420" s="53"/>
      <c r="I420" s="66" cm="1">
        <f t="array" ref="I420">IF(AND(ISBLANK(B420),ISBLANK(C420),ISBLANK(E420)),0,IF(COUNT(FIND(PurlinsxGirthsxBracings,$C420))&gt;0,IF(B420=0,CONCATENATE(E420," ",C420),CONCATENATE(B420," - ",E420," ",C420)),IF(B420=0,IF(ISBLANK(C420),E420,CONCATENATE(D420,", ",F420,"kg/m, ",G420,"mm surface perimeter")),IF(AND(ISBLANK(C420),ISTEXT(E420)),CONCATENATE(B420," - ",E420),IF(AND(ISBLANK(C420),ISBLANK(E420)),B420,CONCATENATE(B420," - ",D420,", ",F420,"kg/m, ",G420,"mm surface perimeter"))))&amp;IF(ISBLANK(H420),"",H420)))</f>
        <v>0</v>
      </c>
      <c r="J420" s="53"/>
      <c r="L420" s="4" t="str" cm="1">
        <f t="array" ref="L420">IF(COUNT(FIND({0,1,2,3,4,5,6,7,8,9},B420))&gt;0,COUNT(FIND({0,1,2,3,4,5,6,7,8,9},B420))&gt;0,"")</f>
        <v/>
      </c>
      <c r="M420" s="4" t="str" cm="1">
        <f t="array" aca="1" ref="M420" ca="1">IFERROR(_xlfn.IFS(R420="Count",RANDBETWEEN(1,COUNTIF($R$11:$R$653,"Count")),R420="Length",RANDBETWEEN(1,COUNTIF($R$11:$R$653,"Length"))),"")</f>
        <v/>
      </c>
      <c r="N420" s="4" t="str">
        <f ca="1">IFERROR(_xlfn.RANK.EQ(M420,$M$11:$M$653)+COUNTIF($M$11:M420,M420)-1,"")</f>
        <v/>
      </c>
      <c r="O420" s="86" t="str">
        <f>IF(A420='DATA SHEET'!$L$36,C420,IFERROR(IF(AND(ISTEXT(I420),ISBLANK(C420)),"No details",VLOOKUP(C420,DimFolder,2,FALSE)),""))</f>
        <v/>
      </c>
      <c r="P420" s="4" t="str">
        <f t="shared" si="113"/>
        <v/>
      </c>
      <c r="Q420" s="58" t="str">
        <f t="shared" si="112"/>
        <v/>
      </c>
      <c r="R420" s="4" t="e" cm="1">
        <f t="array" ref="R420">IF(INDEX(Table2[],_xlfn.XMATCH($A420,Table2[Steel Member],0),_xlfn.XMATCH(R$2,Table2[#Headers],0))=0,"",INDEX(Table2[],_xlfn.XMATCH($A420,Table2[Steel Member],0),_xlfn.XMATCH(R$2,Table2[#Headers],0)))</f>
        <v>#N/A</v>
      </c>
      <c r="S420" s="4" t="e" cm="1">
        <f t="array" ref="S420">IF(INDEX(Table2[],_xlfn.XMATCH($A420,Table2[Steel Member],0),_xlfn.XMATCH(S$2,Table2[#Headers],0))=0,"",INDEX(Table2[],_xlfn.XMATCH($A420,Table2[Steel Member],0),_xlfn.XMATCH(S$2,Table2[#Headers],0)))</f>
        <v>#N/A</v>
      </c>
      <c r="T420" s="4" t="str">
        <f t="shared" si="103"/>
        <v/>
      </c>
      <c r="U420" s="4" t="e">
        <f ca="1">VLOOKUP(N420,'COLOR CODE'!$B:$D,2,FALSE)</f>
        <v>#N/A</v>
      </c>
      <c r="V420" s="4" t="str">
        <f t="shared" si="104"/>
        <v/>
      </c>
      <c r="W420" s="4" t="e" cm="1">
        <f t="array" ref="W420">IF(INDEX(Table2[],_xlfn.XMATCH($A420,Table2[Steel Member],0),_xlfn.XMATCH(W$2,Table2[#Headers],0))=0,"",INDEX(Table2[],_xlfn.XMATCH($A420,Table2[Steel Member],0),_xlfn.XMATCH(W$2,Table2[#Headers],0)))</f>
        <v>#N/A</v>
      </c>
      <c r="X420" s="4" t="e">
        <f t="shared" si="114"/>
        <v>#N/A</v>
      </c>
      <c r="Y420" s="4" t="e" cm="1">
        <f t="array" ref="Y420">IF(INDEX(Table2[],_xlfn.XMATCH($A420,Table2[Steel Member],0),_xlfn.XMATCH(Y$2,Table2[#Headers],0))=0,"",INDEX(Table2[],_xlfn.XMATCH($A420,Table2[Steel Member],0),_xlfn.XMATCH(Y$2,Table2[#Headers],0)))</f>
        <v>#N/A</v>
      </c>
      <c r="Z420" s="4" t="e" cm="1">
        <f t="array" ref="Z420">IF(INDEX(Table2[],_xlfn.XMATCH($A420,Table2[Steel Member],0),_xlfn.XMATCH(Z$2,Table2[#Headers],0))=0,"",INDEX(Table2[],_xlfn.XMATCH($A420,Table2[Steel Member],0),_xlfn.XMATCH(Z$2,Table2[#Headers],0)))</f>
        <v>#N/A</v>
      </c>
      <c r="AA420" s="4" t="e" cm="1">
        <f t="array" ref="AA420">IF(INDEX(Table2[],_xlfn.XMATCH($A420,Table2[Steel Member],0),_xlfn.XMATCH(AA$2,Table2[#Headers],0))=0,"",INDEX(Table2[],_xlfn.XMATCH($A420,Table2[Steel Member],0),_xlfn.XMATCH(AA$2,Table2[#Headers],0)))</f>
        <v>#N/A</v>
      </c>
      <c r="AB420" s="4" t="e" cm="1">
        <f t="array" ref="AB420">IF(INDEX(Table2[],_xlfn.XMATCH($A420,Table2[Steel Member],0),_xlfn.XMATCH(AB$2,Table2[#Headers],0))=0,"",INDEX(Table2[],_xlfn.XMATCH($A420,Table2[Steel Member],0),_xlfn.XMATCH(AB$2,Table2[#Headers],0)))</f>
        <v>#N/A</v>
      </c>
      <c r="AC420" s="4" t="str" cm="1">
        <f t="array" ref="AC420">IFERROR(INDEX(Table8[],_xlfn.XMATCH($O420,Table8[Dimension Name Category],0),_xlfn.XMATCH(AC$2&amp;IF($L420," w/ tag"," w/o tag"),Table8[#Headers],0)),"")</f>
        <v/>
      </c>
      <c r="AD420" s="59" t="str">
        <f t="shared" si="105"/>
        <v/>
      </c>
      <c r="AE420" s="4" t="str">
        <f t="shared" si="106"/>
        <v/>
      </c>
      <c r="AF420" s="4" t="str">
        <f t="shared" si="107"/>
        <v/>
      </c>
      <c r="AG420" s="4" t="str" cm="1">
        <f t="array" ref="AG420">IFERROR(INDEX(Table8[],_xlfn.XMATCH($O420,Table8[Dimension Name Category],0),_xlfn.XMATCH(AG$2&amp;IF($L420," w/ tag"," w/o tag"),Table8[#Headers],0)),"")</f>
        <v/>
      </c>
      <c r="AH420" s="59" t="str">
        <f t="shared" si="108"/>
        <v/>
      </c>
      <c r="AI420" s="4"/>
      <c r="AJ420" s="4" t="str">
        <f t="shared" si="109"/>
        <v/>
      </c>
      <c r="AK420" s="4" t="str">
        <f t="shared" si="110"/>
        <v/>
      </c>
      <c r="AL420" s="4" t="e" cm="1">
        <f t="array" ref="AL420">IF(INDEX(Table2[],_xlfn.XMATCH($A420,Table2[Steel Member],0),_xlfn.XMATCH(AL$2,Table2[#Headers],0))=0,"",INDEX(Table2[],_xlfn.XMATCH($A420,Table2[Steel Member],0),_xlfn.XMATCH(AL$2,Table2[#Headers],0)))</f>
        <v>#N/A</v>
      </c>
      <c r="AM420" s="4"/>
      <c r="AN420" s="4" t="str">
        <f t="shared" si="111"/>
        <v/>
      </c>
      <c r="AO420" s="4"/>
      <c r="AP420" s="4" t="e" cm="1">
        <f t="array" ref="AP420">IF(INDEX(Table2[],_xlfn.XMATCH($A420,Table2[Steel Member],0),_xlfn.XMATCH(AP$2,Table2[#Headers],0))=0,"",INDEX(Table2[],_xlfn.XMATCH($A420,Table2[Steel Member],0),_xlfn.XMATCH(AP$2,Table2[#Headers],0)))</f>
        <v>#N/A</v>
      </c>
      <c r="AQ420" s="4"/>
      <c r="AR420" s="4"/>
      <c r="AS420" s="4"/>
      <c r="AT420" s="4"/>
    </row>
    <row r="421" spans="1:46" x14ac:dyDescent="0.25">
      <c r="A421" s="52"/>
      <c r="B421" s="52"/>
      <c r="C421" s="52"/>
      <c r="D421" s="52"/>
      <c r="E421" s="52"/>
      <c r="F421" s="64" cm="1">
        <f t="array" ref="F421">IF(COUNT(FIND(PurlinsxGirthsxBracings,$C421))&gt;0,0,ROUNDUP(IF(D421=0,0,VLOOKUP(D421,'DATA SHEET'!$B:$D,2,FALSE)),2))</f>
        <v>0</v>
      </c>
      <c r="G421" s="64" cm="1">
        <f t="array" ref="G421">IF(COUNT(FIND(PurlinsxGirthsxBracings,$C421))&gt;0,0,ROUNDUP(IF(D421=0,0,VLOOKUP(D421,'DATA SHEET'!$B:$D,3,FALSE)),2))</f>
        <v>0</v>
      </c>
      <c r="H421" s="53"/>
      <c r="I421" s="66" cm="1">
        <f t="array" ref="I421">IF(AND(ISBLANK(B421),ISBLANK(C421),ISBLANK(E421)),0,IF(COUNT(FIND(PurlinsxGirthsxBracings,$C421))&gt;0,IF(B421=0,CONCATENATE(E421," ",C421),CONCATENATE(B421," - ",E421," ",C421)),IF(B421=0,IF(ISBLANK(C421),E421,CONCATENATE(D421,", ",F421,"kg/m, ",G421,"mm surface perimeter")),IF(AND(ISBLANK(C421),ISTEXT(E421)),CONCATENATE(B421," - ",E421),IF(AND(ISBLANK(C421),ISBLANK(E421)),B421,CONCATENATE(B421," - ",D421,", ",F421,"kg/m, ",G421,"mm surface perimeter"))))&amp;IF(ISBLANK(H421),"",H421)))</f>
        <v>0</v>
      </c>
      <c r="J421" s="53"/>
      <c r="L421" s="4" t="str" cm="1">
        <f t="array" ref="L421">IF(COUNT(FIND({0,1,2,3,4,5,6,7,8,9},B421))&gt;0,COUNT(FIND({0,1,2,3,4,5,6,7,8,9},B421))&gt;0,"")</f>
        <v/>
      </c>
      <c r="M421" s="4" t="str" cm="1">
        <f t="array" aca="1" ref="M421" ca="1">IFERROR(_xlfn.IFS(R421="Count",RANDBETWEEN(1,COUNTIF($R$11:$R$653,"Count")),R421="Length",RANDBETWEEN(1,COUNTIF($R$11:$R$653,"Length"))),"")</f>
        <v/>
      </c>
      <c r="N421" s="4" t="str">
        <f ca="1">IFERROR(_xlfn.RANK.EQ(M421,$M$11:$M$653)+COUNTIF($M$11:M421,M421)-1,"")</f>
        <v/>
      </c>
      <c r="O421" s="86" t="str">
        <f>IF(A421='DATA SHEET'!$L$36,C421,IFERROR(IF(AND(ISTEXT(I421),ISBLANK(C421)),"No details",VLOOKUP(C421,DimFolder,2,FALSE)),""))</f>
        <v/>
      </c>
      <c r="P421" s="4" t="str">
        <f t="shared" si="113"/>
        <v/>
      </c>
      <c r="Q421" s="58" t="str">
        <f t="shared" si="112"/>
        <v/>
      </c>
      <c r="R421" s="4" t="e" cm="1">
        <f t="array" ref="R421">IF(INDEX(Table2[],_xlfn.XMATCH($A421,Table2[Steel Member],0),_xlfn.XMATCH(R$2,Table2[#Headers],0))=0,"",INDEX(Table2[],_xlfn.XMATCH($A421,Table2[Steel Member],0),_xlfn.XMATCH(R$2,Table2[#Headers],0)))</f>
        <v>#N/A</v>
      </c>
      <c r="S421" s="4" t="e" cm="1">
        <f t="array" ref="S421">IF(INDEX(Table2[],_xlfn.XMATCH($A421,Table2[Steel Member],0),_xlfn.XMATCH(S$2,Table2[#Headers],0))=0,"",INDEX(Table2[],_xlfn.XMATCH($A421,Table2[Steel Member],0),_xlfn.XMATCH(S$2,Table2[#Headers],0)))</f>
        <v>#N/A</v>
      </c>
      <c r="T421" s="4" t="str">
        <f t="shared" si="103"/>
        <v/>
      </c>
      <c r="U421" s="4" t="e">
        <f ca="1">VLOOKUP(N421,'COLOR CODE'!$B:$D,2,FALSE)</f>
        <v>#N/A</v>
      </c>
      <c r="V421" s="4" t="str">
        <f t="shared" si="104"/>
        <v/>
      </c>
      <c r="W421" s="4" t="e" cm="1">
        <f t="array" ref="W421">IF(INDEX(Table2[],_xlfn.XMATCH($A421,Table2[Steel Member],0),_xlfn.XMATCH(W$2,Table2[#Headers],0))=0,"",INDEX(Table2[],_xlfn.XMATCH($A421,Table2[Steel Member],0),_xlfn.XMATCH(W$2,Table2[#Headers],0)))</f>
        <v>#N/A</v>
      </c>
      <c r="X421" s="4" t="e">
        <f t="shared" si="114"/>
        <v>#N/A</v>
      </c>
      <c r="Y421" s="4" t="e" cm="1">
        <f t="array" ref="Y421">IF(INDEX(Table2[],_xlfn.XMATCH($A421,Table2[Steel Member],0),_xlfn.XMATCH(Y$2,Table2[#Headers],0))=0,"",INDEX(Table2[],_xlfn.XMATCH($A421,Table2[Steel Member],0),_xlfn.XMATCH(Y$2,Table2[#Headers],0)))</f>
        <v>#N/A</v>
      </c>
      <c r="Z421" s="4" t="e" cm="1">
        <f t="array" ref="Z421">IF(INDEX(Table2[],_xlfn.XMATCH($A421,Table2[Steel Member],0),_xlfn.XMATCH(Z$2,Table2[#Headers],0))=0,"",INDEX(Table2[],_xlfn.XMATCH($A421,Table2[Steel Member],0),_xlfn.XMATCH(Z$2,Table2[#Headers],0)))</f>
        <v>#N/A</v>
      </c>
      <c r="AA421" s="4" t="e" cm="1">
        <f t="array" ref="AA421">IF(INDEX(Table2[],_xlfn.XMATCH($A421,Table2[Steel Member],0),_xlfn.XMATCH(AA$2,Table2[#Headers],0))=0,"",INDEX(Table2[],_xlfn.XMATCH($A421,Table2[Steel Member],0),_xlfn.XMATCH(AA$2,Table2[#Headers],0)))</f>
        <v>#N/A</v>
      </c>
      <c r="AB421" s="4" t="e" cm="1">
        <f t="array" ref="AB421">IF(INDEX(Table2[],_xlfn.XMATCH($A421,Table2[Steel Member],0),_xlfn.XMATCH(AB$2,Table2[#Headers],0))=0,"",INDEX(Table2[],_xlfn.XMATCH($A421,Table2[Steel Member],0),_xlfn.XMATCH(AB$2,Table2[#Headers],0)))</f>
        <v>#N/A</v>
      </c>
      <c r="AC421" s="4" t="str" cm="1">
        <f t="array" ref="AC421">IFERROR(INDEX(Table8[],_xlfn.XMATCH($O421,Table8[Dimension Name Category],0),_xlfn.XMATCH(AC$2&amp;IF($L421," w/ tag"," w/o tag"),Table8[#Headers],0)),"")</f>
        <v/>
      </c>
      <c r="AD421" s="59" t="str">
        <f t="shared" si="105"/>
        <v/>
      </c>
      <c r="AE421" s="4" t="str">
        <f t="shared" si="106"/>
        <v/>
      </c>
      <c r="AF421" s="4" t="str">
        <f t="shared" si="107"/>
        <v/>
      </c>
      <c r="AG421" s="4" t="str" cm="1">
        <f t="array" ref="AG421">IFERROR(INDEX(Table8[],_xlfn.XMATCH($O421,Table8[Dimension Name Category],0),_xlfn.XMATCH(AG$2&amp;IF($L421," w/ tag"," w/o tag"),Table8[#Headers],0)),"")</f>
        <v/>
      </c>
      <c r="AH421" s="59" t="str">
        <f t="shared" si="108"/>
        <v/>
      </c>
      <c r="AI421" s="4"/>
      <c r="AJ421" s="4" t="str">
        <f t="shared" si="109"/>
        <v/>
      </c>
      <c r="AK421" s="4" t="str">
        <f t="shared" si="110"/>
        <v/>
      </c>
      <c r="AL421" s="4" t="e" cm="1">
        <f t="array" ref="AL421">IF(INDEX(Table2[],_xlfn.XMATCH($A421,Table2[Steel Member],0),_xlfn.XMATCH(AL$2,Table2[#Headers],0))=0,"",INDEX(Table2[],_xlfn.XMATCH($A421,Table2[Steel Member],0),_xlfn.XMATCH(AL$2,Table2[#Headers],0)))</f>
        <v>#N/A</v>
      </c>
      <c r="AM421" s="4"/>
      <c r="AN421" s="4" t="str">
        <f t="shared" si="111"/>
        <v/>
      </c>
      <c r="AO421" s="4"/>
      <c r="AP421" s="4" t="e" cm="1">
        <f t="array" ref="AP421">IF(INDEX(Table2[],_xlfn.XMATCH($A421,Table2[Steel Member],0),_xlfn.XMATCH(AP$2,Table2[#Headers],0))=0,"",INDEX(Table2[],_xlfn.XMATCH($A421,Table2[Steel Member],0),_xlfn.XMATCH(AP$2,Table2[#Headers],0)))</f>
        <v>#N/A</v>
      </c>
      <c r="AQ421" s="4"/>
      <c r="AR421" s="4"/>
      <c r="AS421" s="4"/>
      <c r="AT421" s="4"/>
    </row>
    <row r="422" spans="1:46" x14ac:dyDescent="0.25">
      <c r="A422" s="52"/>
      <c r="B422" s="52"/>
      <c r="C422" s="52"/>
      <c r="D422" s="52"/>
      <c r="E422" s="52"/>
      <c r="F422" s="64" cm="1">
        <f t="array" ref="F422">IF(COUNT(FIND(PurlinsxGirthsxBracings,$C422))&gt;0,0,ROUNDUP(IF(D422=0,0,VLOOKUP(D422,'DATA SHEET'!$B:$D,2,FALSE)),2))</f>
        <v>0</v>
      </c>
      <c r="G422" s="64" cm="1">
        <f t="array" ref="G422">IF(COUNT(FIND(PurlinsxGirthsxBracings,$C422))&gt;0,0,ROUNDUP(IF(D422=0,0,VLOOKUP(D422,'DATA SHEET'!$B:$D,3,FALSE)),2))</f>
        <v>0</v>
      </c>
      <c r="H422" s="53"/>
      <c r="I422" s="66" cm="1">
        <f t="array" ref="I422">IF(AND(ISBLANK(B422),ISBLANK(C422),ISBLANK(E422)),0,IF(COUNT(FIND(PurlinsxGirthsxBracings,$C422))&gt;0,IF(B422=0,CONCATENATE(E422," ",C422),CONCATENATE(B422," - ",E422," ",C422)),IF(B422=0,IF(ISBLANK(C422),E422,CONCATENATE(D422,", ",F422,"kg/m, ",G422,"mm surface perimeter")),IF(AND(ISBLANK(C422),ISTEXT(E422)),CONCATENATE(B422," - ",E422),IF(AND(ISBLANK(C422),ISBLANK(E422)),B422,CONCATENATE(B422," - ",D422,", ",F422,"kg/m, ",G422,"mm surface perimeter"))))&amp;IF(ISBLANK(H422),"",H422)))</f>
        <v>0</v>
      </c>
      <c r="J422" s="53"/>
      <c r="L422" s="4" t="str" cm="1">
        <f t="array" ref="L422">IF(COUNT(FIND({0,1,2,3,4,5,6,7,8,9},B422))&gt;0,COUNT(FIND({0,1,2,3,4,5,6,7,8,9},B422))&gt;0,"")</f>
        <v/>
      </c>
      <c r="M422" s="4" t="str" cm="1">
        <f t="array" aca="1" ref="M422" ca="1">IFERROR(_xlfn.IFS(R422="Count",RANDBETWEEN(1,COUNTIF($R$11:$R$653,"Count")),R422="Length",RANDBETWEEN(1,COUNTIF($R$11:$R$653,"Length"))),"")</f>
        <v/>
      </c>
      <c r="N422" s="4" t="str">
        <f ca="1">IFERROR(_xlfn.RANK.EQ(M422,$M$11:$M$653)+COUNTIF($M$11:M422,M422)-1,"")</f>
        <v/>
      </c>
      <c r="O422" s="86" t="str">
        <f>IF(A422='DATA SHEET'!$L$36,C422,IFERROR(IF(AND(ISTEXT(I422),ISBLANK(C422)),"No details",VLOOKUP(C422,DimFolder,2,FALSE)),""))</f>
        <v/>
      </c>
      <c r="P422" s="4" t="str">
        <f t="shared" si="113"/>
        <v/>
      </c>
      <c r="Q422" s="58" t="str">
        <f t="shared" si="112"/>
        <v/>
      </c>
      <c r="R422" s="4" t="e" cm="1">
        <f t="array" ref="R422">IF(INDEX(Table2[],_xlfn.XMATCH($A422,Table2[Steel Member],0),_xlfn.XMATCH(R$2,Table2[#Headers],0))=0,"",INDEX(Table2[],_xlfn.XMATCH($A422,Table2[Steel Member],0),_xlfn.XMATCH(R$2,Table2[#Headers],0)))</f>
        <v>#N/A</v>
      </c>
      <c r="S422" s="4" t="e" cm="1">
        <f t="array" ref="S422">IF(INDEX(Table2[],_xlfn.XMATCH($A422,Table2[Steel Member],0),_xlfn.XMATCH(S$2,Table2[#Headers],0))=0,"",INDEX(Table2[],_xlfn.XMATCH($A422,Table2[Steel Member],0),_xlfn.XMATCH(S$2,Table2[#Headers],0)))</f>
        <v>#N/A</v>
      </c>
      <c r="T422" s="4" t="str">
        <f t="shared" si="103"/>
        <v/>
      </c>
      <c r="U422" s="4" t="e">
        <f ca="1">VLOOKUP(N422,'COLOR CODE'!$B:$D,2,FALSE)</f>
        <v>#N/A</v>
      </c>
      <c r="V422" s="4" t="str">
        <f t="shared" si="104"/>
        <v/>
      </c>
      <c r="W422" s="4" t="e" cm="1">
        <f t="array" ref="W422">IF(INDEX(Table2[],_xlfn.XMATCH($A422,Table2[Steel Member],0),_xlfn.XMATCH(W$2,Table2[#Headers],0))=0,"",INDEX(Table2[],_xlfn.XMATCH($A422,Table2[Steel Member],0),_xlfn.XMATCH(W$2,Table2[#Headers],0)))</f>
        <v>#N/A</v>
      </c>
      <c r="X422" s="4" t="e">
        <f t="shared" si="114"/>
        <v>#N/A</v>
      </c>
      <c r="Y422" s="4" t="e" cm="1">
        <f t="array" ref="Y422">IF(INDEX(Table2[],_xlfn.XMATCH($A422,Table2[Steel Member],0),_xlfn.XMATCH(Y$2,Table2[#Headers],0))=0,"",INDEX(Table2[],_xlfn.XMATCH($A422,Table2[Steel Member],0),_xlfn.XMATCH(Y$2,Table2[#Headers],0)))</f>
        <v>#N/A</v>
      </c>
      <c r="Z422" s="4" t="e" cm="1">
        <f t="array" ref="Z422">IF(INDEX(Table2[],_xlfn.XMATCH($A422,Table2[Steel Member],0),_xlfn.XMATCH(Z$2,Table2[#Headers],0))=0,"",INDEX(Table2[],_xlfn.XMATCH($A422,Table2[Steel Member],0),_xlfn.XMATCH(Z$2,Table2[#Headers],0)))</f>
        <v>#N/A</v>
      </c>
      <c r="AA422" s="4" t="e" cm="1">
        <f t="array" ref="AA422">IF(INDEX(Table2[],_xlfn.XMATCH($A422,Table2[Steel Member],0),_xlfn.XMATCH(AA$2,Table2[#Headers],0))=0,"",INDEX(Table2[],_xlfn.XMATCH($A422,Table2[Steel Member],0),_xlfn.XMATCH(AA$2,Table2[#Headers],0)))</f>
        <v>#N/A</v>
      </c>
      <c r="AB422" s="4" t="e" cm="1">
        <f t="array" ref="AB422">IF(INDEX(Table2[],_xlfn.XMATCH($A422,Table2[Steel Member],0),_xlfn.XMATCH(AB$2,Table2[#Headers],0))=0,"",INDEX(Table2[],_xlfn.XMATCH($A422,Table2[Steel Member],0),_xlfn.XMATCH(AB$2,Table2[#Headers],0)))</f>
        <v>#N/A</v>
      </c>
      <c r="AC422" s="4" t="str" cm="1">
        <f t="array" ref="AC422">IFERROR(INDEX(Table8[],_xlfn.XMATCH($O422,Table8[Dimension Name Category],0),_xlfn.XMATCH(AC$2&amp;IF($L422," w/ tag"," w/o tag"),Table8[#Headers],0)),"")</f>
        <v/>
      </c>
      <c r="AD422" s="59" t="str">
        <f t="shared" si="105"/>
        <v/>
      </c>
      <c r="AE422" s="4" t="str">
        <f t="shared" si="106"/>
        <v/>
      </c>
      <c r="AF422" s="4" t="str">
        <f t="shared" si="107"/>
        <v/>
      </c>
      <c r="AG422" s="4" t="str" cm="1">
        <f t="array" ref="AG422">IFERROR(INDEX(Table8[],_xlfn.XMATCH($O422,Table8[Dimension Name Category],0),_xlfn.XMATCH(AG$2&amp;IF($L422," w/ tag"," w/o tag"),Table8[#Headers],0)),"")</f>
        <v/>
      </c>
      <c r="AH422" s="59" t="str">
        <f t="shared" si="108"/>
        <v/>
      </c>
      <c r="AI422" s="4"/>
      <c r="AJ422" s="4" t="str">
        <f t="shared" si="109"/>
        <v/>
      </c>
      <c r="AK422" s="4" t="str">
        <f t="shared" si="110"/>
        <v/>
      </c>
      <c r="AL422" s="4" t="e" cm="1">
        <f t="array" ref="AL422">IF(INDEX(Table2[],_xlfn.XMATCH($A422,Table2[Steel Member],0),_xlfn.XMATCH(AL$2,Table2[#Headers],0))=0,"",INDEX(Table2[],_xlfn.XMATCH($A422,Table2[Steel Member],0),_xlfn.XMATCH(AL$2,Table2[#Headers],0)))</f>
        <v>#N/A</v>
      </c>
      <c r="AM422" s="4"/>
      <c r="AN422" s="4" t="str">
        <f t="shared" si="111"/>
        <v/>
      </c>
      <c r="AO422" s="4"/>
      <c r="AP422" s="4" t="e" cm="1">
        <f t="array" ref="AP422">IF(INDEX(Table2[],_xlfn.XMATCH($A422,Table2[Steel Member],0),_xlfn.XMATCH(AP$2,Table2[#Headers],0))=0,"",INDEX(Table2[],_xlfn.XMATCH($A422,Table2[Steel Member],0),_xlfn.XMATCH(AP$2,Table2[#Headers],0)))</f>
        <v>#N/A</v>
      </c>
      <c r="AQ422" s="4"/>
      <c r="AR422" s="4"/>
      <c r="AS422" s="4"/>
      <c r="AT422" s="4"/>
    </row>
    <row r="423" spans="1:46" x14ac:dyDescent="0.25">
      <c r="A423" s="52"/>
      <c r="B423" s="52"/>
      <c r="C423" s="52"/>
      <c r="D423" s="52"/>
      <c r="E423" s="52"/>
      <c r="F423" s="64" cm="1">
        <f t="array" ref="F423">IF(COUNT(FIND(PurlinsxGirthsxBracings,$C423))&gt;0,0,ROUNDUP(IF(D423=0,0,VLOOKUP(D423,'DATA SHEET'!$B:$D,2,FALSE)),2))</f>
        <v>0</v>
      </c>
      <c r="G423" s="64" cm="1">
        <f t="array" ref="G423">IF(COUNT(FIND(PurlinsxGirthsxBracings,$C423))&gt;0,0,ROUNDUP(IF(D423=0,0,VLOOKUP(D423,'DATA SHEET'!$B:$D,3,FALSE)),2))</f>
        <v>0</v>
      </c>
      <c r="H423" s="53"/>
      <c r="I423" s="66" cm="1">
        <f t="array" ref="I423">IF(AND(ISBLANK(B423),ISBLANK(C423),ISBLANK(E423)),0,IF(COUNT(FIND(PurlinsxGirthsxBracings,$C423))&gt;0,IF(B423=0,CONCATENATE(E423," ",C423),CONCATENATE(B423," - ",E423," ",C423)),IF(B423=0,IF(ISBLANK(C423),E423,CONCATENATE(D423,", ",F423,"kg/m, ",G423,"mm surface perimeter")),IF(AND(ISBLANK(C423),ISTEXT(E423)),CONCATENATE(B423," - ",E423),IF(AND(ISBLANK(C423),ISBLANK(E423)),B423,CONCATENATE(B423," - ",D423,", ",F423,"kg/m, ",G423,"mm surface perimeter"))))&amp;IF(ISBLANK(H423),"",H423)))</f>
        <v>0</v>
      </c>
      <c r="J423" s="53"/>
      <c r="L423" s="4" t="str" cm="1">
        <f t="array" ref="L423">IF(COUNT(FIND({0,1,2,3,4,5,6,7,8,9},B423))&gt;0,COUNT(FIND({0,1,2,3,4,5,6,7,8,9},B423))&gt;0,"")</f>
        <v/>
      </c>
      <c r="M423" s="4" t="str" cm="1">
        <f t="array" aca="1" ref="M423" ca="1">IFERROR(_xlfn.IFS(R423="Count",RANDBETWEEN(1,COUNTIF($R$11:$R$653,"Count")),R423="Length",RANDBETWEEN(1,COUNTIF($R$11:$R$653,"Length"))),"")</f>
        <v/>
      </c>
      <c r="N423" s="4" t="str">
        <f ca="1">IFERROR(_xlfn.RANK.EQ(M423,$M$11:$M$653)+COUNTIF($M$11:M423,M423)-1,"")</f>
        <v/>
      </c>
      <c r="O423" s="86" t="str">
        <f>IF(A423='DATA SHEET'!$L$36,C423,IFERROR(IF(AND(ISTEXT(I423),ISBLANK(C423)),"No details",VLOOKUP(C423,DimFolder,2,FALSE)),""))</f>
        <v/>
      </c>
      <c r="P423" s="4" t="str">
        <f t="shared" si="113"/>
        <v/>
      </c>
      <c r="Q423" s="58" t="str">
        <f t="shared" si="112"/>
        <v/>
      </c>
      <c r="R423" s="4" t="e" cm="1">
        <f t="array" ref="R423">IF(INDEX(Table2[],_xlfn.XMATCH($A423,Table2[Steel Member],0),_xlfn.XMATCH(R$2,Table2[#Headers],0))=0,"",INDEX(Table2[],_xlfn.XMATCH($A423,Table2[Steel Member],0),_xlfn.XMATCH(R$2,Table2[#Headers],0)))</f>
        <v>#N/A</v>
      </c>
      <c r="S423" s="4" t="e" cm="1">
        <f t="array" ref="S423">IF(INDEX(Table2[],_xlfn.XMATCH($A423,Table2[Steel Member],0),_xlfn.XMATCH(S$2,Table2[#Headers],0))=0,"",INDEX(Table2[],_xlfn.XMATCH($A423,Table2[Steel Member],0),_xlfn.XMATCH(S$2,Table2[#Headers],0)))</f>
        <v>#N/A</v>
      </c>
      <c r="T423" s="4" t="str">
        <f t="shared" si="103"/>
        <v/>
      </c>
      <c r="U423" s="4" t="e">
        <f ca="1">VLOOKUP(N423,'COLOR CODE'!$B:$D,2,FALSE)</f>
        <v>#N/A</v>
      </c>
      <c r="V423" s="4" t="str">
        <f t="shared" si="104"/>
        <v/>
      </c>
      <c r="W423" s="4" t="e" cm="1">
        <f t="array" ref="W423">IF(INDEX(Table2[],_xlfn.XMATCH($A423,Table2[Steel Member],0),_xlfn.XMATCH(W$2,Table2[#Headers],0))=0,"",INDEX(Table2[],_xlfn.XMATCH($A423,Table2[Steel Member],0),_xlfn.XMATCH(W$2,Table2[#Headers],0)))</f>
        <v>#N/A</v>
      </c>
      <c r="X423" s="4" t="e">
        <f t="shared" si="114"/>
        <v>#N/A</v>
      </c>
      <c r="Y423" s="4" t="e" cm="1">
        <f t="array" ref="Y423">IF(INDEX(Table2[],_xlfn.XMATCH($A423,Table2[Steel Member],0),_xlfn.XMATCH(Y$2,Table2[#Headers],0))=0,"",INDEX(Table2[],_xlfn.XMATCH($A423,Table2[Steel Member],0),_xlfn.XMATCH(Y$2,Table2[#Headers],0)))</f>
        <v>#N/A</v>
      </c>
      <c r="Z423" s="4" t="e" cm="1">
        <f t="array" ref="Z423">IF(INDEX(Table2[],_xlfn.XMATCH($A423,Table2[Steel Member],0),_xlfn.XMATCH(Z$2,Table2[#Headers],0))=0,"",INDEX(Table2[],_xlfn.XMATCH($A423,Table2[Steel Member],0),_xlfn.XMATCH(Z$2,Table2[#Headers],0)))</f>
        <v>#N/A</v>
      </c>
      <c r="AA423" s="4" t="e" cm="1">
        <f t="array" ref="AA423">IF(INDEX(Table2[],_xlfn.XMATCH($A423,Table2[Steel Member],0),_xlfn.XMATCH(AA$2,Table2[#Headers],0))=0,"",INDEX(Table2[],_xlfn.XMATCH($A423,Table2[Steel Member],0),_xlfn.XMATCH(AA$2,Table2[#Headers],0)))</f>
        <v>#N/A</v>
      </c>
      <c r="AB423" s="4" t="e" cm="1">
        <f t="array" ref="AB423">IF(INDEX(Table2[],_xlfn.XMATCH($A423,Table2[Steel Member],0),_xlfn.XMATCH(AB$2,Table2[#Headers],0))=0,"",INDEX(Table2[],_xlfn.XMATCH($A423,Table2[Steel Member],0),_xlfn.XMATCH(AB$2,Table2[#Headers],0)))</f>
        <v>#N/A</v>
      </c>
      <c r="AC423" s="4" t="str" cm="1">
        <f t="array" ref="AC423">IFERROR(INDEX(Table8[],_xlfn.XMATCH($O423,Table8[Dimension Name Category],0),_xlfn.XMATCH(AC$2&amp;IF($L423," w/ tag"," w/o tag"),Table8[#Headers],0)),"")</f>
        <v/>
      </c>
      <c r="AD423" s="59" t="str">
        <f t="shared" si="105"/>
        <v/>
      </c>
      <c r="AE423" s="4" t="str">
        <f t="shared" si="106"/>
        <v/>
      </c>
      <c r="AF423" s="4" t="str">
        <f t="shared" si="107"/>
        <v/>
      </c>
      <c r="AG423" s="4" t="str" cm="1">
        <f t="array" ref="AG423">IFERROR(INDEX(Table8[],_xlfn.XMATCH($O423,Table8[Dimension Name Category],0),_xlfn.XMATCH(AG$2&amp;IF($L423," w/ tag"," w/o tag"),Table8[#Headers],0)),"")</f>
        <v/>
      </c>
      <c r="AH423" s="59" t="str">
        <f t="shared" si="108"/>
        <v/>
      </c>
      <c r="AI423" s="4"/>
      <c r="AJ423" s="4" t="str">
        <f t="shared" si="109"/>
        <v/>
      </c>
      <c r="AK423" s="4" t="str">
        <f t="shared" si="110"/>
        <v/>
      </c>
      <c r="AL423" s="4" t="e" cm="1">
        <f t="array" ref="AL423">IF(INDEX(Table2[],_xlfn.XMATCH($A423,Table2[Steel Member],0),_xlfn.XMATCH(AL$2,Table2[#Headers],0))=0,"",INDEX(Table2[],_xlfn.XMATCH($A423,Table2[Steel Member],0),_xlfn.XMATCH(AL$2,Table2[#Headers],0)))</f>
        <v>#N/A</v>
      </c>
      <c r="AM423" s="4"/>
      <c r="AN423" s="4" t="str">
        <f t="shared" si="111"/>
        <v/>
      </c>
      <c r="AO423" s="4"/>
      <c r="AP423" s="4" t="e" cm="1">
        <f t="array" ref="AP423">IF(INDEX(Table2[],_xlfn.XMATCH($A423,Table2[Steel Member],0),_xlfn.XMATCH(AP$2,Table2[#Headers],0))=0,"",INDEX(Table2[],_xlfn.XMATCH($A423,Table2[Steel Member],0),_xlfn.XMATCH(AP$2,Table2[#Headers],0)))</f>
        <v>#N/A</v>
      </c>
      <c r="AQ423" s="4"/>
      <c r="AR423" s="4"/>
      <c r="AS423" s="4"/>
      <c r="AT423" s="4"/>
    </row>
    <row r="424" spans="1:46" x14ac:dyDescent="0.25">
      <c r="A424" s="52"/>
      <c r="B424" s="52"/>
      <c r="C424" s="52"/>
      <c r="D424" s="52"/>
      <c r="E424" s="52"/>
      <c r="F424" s="64" cm="1">
        <f t="array" ref="F424">IF(COUNT(FIND(PurlinsxGirthsxBracings,$C424))&gt;0,0,ROUNDUP(IF(D424=0,0,VLOOKUP(D424,'DATA SHEET'!$B:$D,2,FALSE)),2))</f>
        <v>0</v>
      </c>
      <c r="G424" s="64" cm="1">
        <f t="array" ref="G424">IF(COUNT(FIND(PurlinsxGirthsxBracings,$C424))&gt;0,0,ROUNDUP(IF(D424=0,0,VLOOKUP(D424,'DATA SHEET'!$B:$D,3,FALSE)),2))</f>
        <v>0</v>
      </c>
      <c r="H424" s="53"/>
      <c r="I424" s="66" cm="1">
        <f t="array" ref="I424">IF(AND(ISBLANK(B424),ISBLANK(C424),ISBLANK(E424)),0,IF(COUNT(FIND(PurlinsxGirthsxBracings,$C424))&gt;0,IF(B424=0,CONCATENATE(E424," ",C424),CONCATENATE(B424," - ",E424," ",C424)),IF(B424=0,IF(ISBLANK(C424),E424,CONCATENATE(D424,", ",F424,"kg/m, ",G424,"mm surface perimeter")),IF(AND(ISBLANK(C424),ISTEXT(E424)),CONCATENATE(B424," - ",E424),IF(AND(ISBLANK(C424),ISBLANK(E424)),B424,CONCATENATE(B424," - ",D424,", ",F424,"kg/m, ",G424,"mm surface perimeter"))))&amp;IF(ISBLANK(H424),"",H424)))</f>
        <v>0</v>
      </c>
      <c r="J424" s="53"/>
      <c r="L424" s="4" t="str" cm="1">
        <f t="array" ref="L424">IF(COUNT(FIND({0,1,2,3,4,5,6,7,8,9},B424))&gt;0,COUNT(FIND({0,1,2,3,4,5,6,7,8,9},B424))&gt;0,"")</f>
        <v/>
      </c>
      <c r="M424" s="4" t="str" cm="1">
        <f t="array" aca="1" ref="M424" ca="1">IFERROR(_xlfn.IFS(R424="Count",RANDBETWEEN(1,COUNTIF($R$11:$R$653,"Count")),R424="Length",RANDBETWEEN(1,COUNTIF($R$11:$R$653,"Length"))),"")</f>
        <v/>
      </c>
      <c r="N424" s="4" t="str">
        <f ca="1">IFERROR(_xlfn.RANK.EQ(M424,$M$11:$M$653)+COUNTIF($M$11:M424,M424)-1,"")</f>
        <v/>
      </c>
      <c r="O424" s="86" t="str">
        <f>IF(A424='DATA SHEET'!$L$36,C424,IFERROR(IF(AND(ISTEXT(I424),ISBLANK(C424)),"No details",VLOOKUP(C424,DimFolder,2,FALSE)),""))</f>
        <v/>
      </c>
      <c r="P424" s="4" t="str">
        <f t="shared" si="113"/>
        <v/>
      </c>
      <c r="Q424" s="58" t="str">
        <f t="shared" si="112"/>
        <v/>
      </c>
      <c r="R424" s="4" t="e" cm="1">
        <f t="array" ref="R424">IF(INDEX(Table2[],_xlfn.XMATCH($A424,Table2[Steel Member],0),_xlfn.XMATCH(R$2,Table2[#Headers],0))=0,"",INDEX(Table2[],_xlfn.XMATCH($A424,Table2[Steel Member],0),_xlfn.XMATCH(R$2,Table2[#Headers],0)))</f>
        <v>#N/A</v>
      </c>
      <c r="S424" s="4" t="e" cm="1">
        <f t="array" ref="S424">IF(INDEX(Table2[],_xlfn.XMATCH($A424,Table2[Steel Member],0),_xlfn.XMATCH(S$2,Table2[#Headers],0))=0,"",INDEX(Table2[],_xlfn.XMATCH($A424,Table2[Steel Member],0),_xlfn.XMATCH(S$2,Table2[#Headers],0)))</f>
        <v>#N/A</v>
      </c>
      <c r="T424" s="4" t="str">
        <f t="shared" si="103"/>
        <v/>
      </c>
      <c r="U424" s="4" t="e">
        <f ca="1">VLOOKUP(N424,'COLOR CODE'!$B:$D,2,FALSE)</f>
        <v>#N/A</v>
      </c>
      <c r="V424" s="4" t="str">
        <f t="shared" si="104"/>
        <v/>
      </c>
      <c r="W424" s="4" t="e" cm="1">
        <f t="array" ref="W424">IF(INDEX(Table2[],_xlfn.XMATCH($A424,Table2[Steel Member],0),_xlfn.XMATCH(W$2,Table2[#Headers],0))=0,"",INDEX(Table2[],_xlfn.XMATCH($A424,Table2[Steel Member],0),_xlfn.XMATCH(W$2,Table2[#Headers],0)))</f>
        <v>#N/A</v>
      </c>
      <c r="X424" s="4" t="e">
        <f t="shared" si="114"/>
        <v>#N/A</v>
      </c>
      <c r="Y424" s="4" t="e" cm="1">
        <f t="array" ref="Y424">IF(INDEX(Table2[],_xlfn.XMATCH($A424,Table2[Steel Member],0),_xlfn.XMATCH(Y$2,Table2[#Headers],0))=0,"",INDEX(Table2[],_xlfn.XMATCH($A424,Table2[Steel Member],0),_xlfn.XMATCH(Y$2,Table2[#Headers],0)))</f>
        <v>#N/A</v>
      </c>
      <c r="Z424" s="4" t="e" cm="1">
        <f t="array" ref="Z424">IF(INDEX(Table2[],_xlfn.XMATCH($A424,Table2[Steel Member],0),_xlfn.XMATCH(Z$2,Table2[#Headers],0))=0,"",INDEX(Table2[],_xlfn.XMATCH($A424,Table2[Steel Member],0),_xlfn.XMATCH(Z$2,Table2[#Headers],0)))</f>
        <v>#N/A</v>
      </c>
      <c r="AA424" s="4" t="e" cm="1">
        <f t="array" ref="AA424">IF(INDEX(Table2[],_xlfn.XMATCH($A424,Table2[Steel Member],0),_xlfn.XMATCH(AA$2,Table2[#Headers],0))=0,"",INDEX(Table2[],_xlfn.XMATCH($A424,Table2[Steel Member],0),_xlfn.XMATCH(AA$2,Table2[#Headers],0)))</f>
        <v>#N/A</v>
      </c>
      <c r="AB424" s="4" t="e" cm="1">
        <f t="array" ref="AB424">IF(INDEX(Table2[],_xlfn.XMATCH($A424,Table2[Steel Member],0),_xlfn.XMATCH(AB$2,Table2[#Headers],0))=0,"",INDEX(Table2[],_xlfn.XMATCH($A424,Table2[Steel Member],0),_xlfn.XMATCH(AB$2,Table2[#Headers],0)))</f>
        <v>#N/A</v>
      </c>
      <c r="AC424" s="4" t="str" cm="1">
        <f t="array" ref="AC424">IFERROR(INDEX(Table8[],_xlfn.XMATCH($O424,Table8[Dimension Name Category],0),_xlfn.XMATCH(AC$2&amp;IF($L424," w/ tag"," w/o tag"),Table8[#Headers],0)),"")</f>
        <v/>
      </c>
      <c r="AD424" s="59" t="str">
        <f t="shared" si="105"/>
        <v/>
      </c>
      <c r="AE424" s="4" t="str">
        <f t="shared" si="106"/>
        <v/>
      </c>
      <c r="AF424" s="4" t="str">
        <f t="shared" si="107"/>
        <v/>
      </c>
      <c r="AG424" s="4" t="str" cm="1">
        <f t="array" ref="AG424">IFERROR(INDEX(Table8[],_xlfn.XMATCH($O424,Table8[Dimension Name Category],0),_xlfn.XMATCH(AG$2&amp;IF($L424," w/ tag"," w/o tag"),Table8[#Headers],0)),"")</f>
        <v/>
      </c>
      <c r="AH424" s="59" t="str">
        <f t="shared" si="108"/>
        <v/>
      </c>
      <c r="AI424" s="4"/>
      <c r="AJ424" s="4" t="str">
        <f t="shared" si="109"/>
        <v/>
      </c>
      <c r="AK424" s="4" t="str">
        <f t="shared" si="110"/>
        <v/>
      </c>
      <c r="AL424" s="4" t="e" cm="1">
        <f t="array" ref="AL424">IF(INDEX(Table2[],_xlfn.XMATCH($A424,Table2[Steel Member],0),_xlfn.XMATCH(AL$2,Table2[#Headers],0))=0,"",INDEX(Table2[],_xlfn.XMATCH($A424,Table2[Steel Member],0),_xlfn.XMATCH(AL$2,Table2[#Headers],0)))</f>
        <v>#N/A</v>
      </c>
      <c r="AM424" s="4"/>
      <c r="AN424" s="4" t="str">
        <f t="shared" si="111"/>
        <v/>
      </c>
      <c r="AO424" s="4"/>
      <c r="AP424" s="4" t="e" cm="1">
        <f t="array" ref="AP424">IF(INDEX(Table2[],_xlfn.XMATCH($A424,Table2[Steel Member],0),_xlfn.XMATCH(AP$2,Table2[#Headers],0))=0,"",INDEX(Table2[],_xlfn.XMATCH($A424,Table2[Steel Member],0),_xlfn.XMATCH(AP$2,Table2[#Headers],0)))</f>
        <v>#N/A</v>
      </c>
      <c r="AQ424" s="4"/>
      <c r="AR424" s="4"/>
      <c r="AS424" s="4"/>
      <c r="AT424" s="4"/>
    </row>
    <row r="425" spans="1:46" x14ac:dyDescent="0.25">
      <c r="A425" s="52"/>
      <c r="B425" s="52"/>
      <c r="C425" s="52"/>
      <c r="D425" s="52"/>
      <c r="E425" s="52"/>
      <c r="F425" s="64" cm="1">
        <f t="array" ref="F425">IF(COUNT(FIND(PurlinsxGirthsxBracings,$C425))&gt;0,0,ROUNDUP(IF(D425=0,0,VLOOKUP(D425,'DATA SHEET'!$B:$D,2,FALSE)),2))</f>
        <v>0</v>
      </c>
      <c r="G425" s="64" cm="1">
        <f t="array" ref="G425">IF(COUNT(FIND(PurlinsxGirthsxBracings,$C425))&gt;0,0,ROUNDUP(IF(D425=0,0,VLOOKUP(D425,'DATA SHEET'!$B:$D,3,FALSE)),2))</f>
        <v>0</v>
      </c>
      <c r="H425" s="53"/>
      <c r="I425" s="66" cm="1">
        <f t="array" ref="I425">IF(AND(ISBLANK(B425),ISBLANK(C425),ISBLANK(E425)),0,IF(COUNT(FIND(PurlinsxGirthsxBracings,$C425))&gt;0,IF(B425=0,CONCATENATE(E425," ",C425),CONCATENATE(B425," - ",E425," ",C425)),IF(B425=0,IF(ISBLANK(C425),E425,CONCATENATE(D425,", ",F425,"kg/m, ",G425,"mm surface perimeter")),IF(AND(ISBLANK(C425),ISTEXT(E425)),CONCATENATE(B425," - ",E425),IF(AND(ISBLANK(C425),ISBLANK(E425)),B425,CONCATENATE(B425," - ",D425,", ",F425,"kg/m, ",G425,"mm surface perimeter"))))&amp;IF(ISBLANK(H425),"",H425)))</f>
        <v>0</v>
      </c>
      <c r="J425" s="53"/>
      <c r="L425" s="4" t="str" cm="1">
        <f t="array" ref="L425">IF(COUNT(FIND({0,1,2,3,4,5,6,7,8,9},B425))&gt;0,COUNT(FIND({0,1,2,3,4,5,6,7,8,9},B425))&gt;0,"")</f>
        <v/>
      </c>
      <c r="M425" s="4" t="str" cm="1">
        <f t="array" aca="1" ref="M425" ca="1">IFERROR(_xlfn.IFS(R425="Count",RANDBETWEEN(1,COUNTIF($R$11:$R$653,"Count")),R425="Length",RANDBETWEEN(1,COUNTIF($R$11:$R$653,"Length"))),"")</f>
        <v/>
      </c>
      <c r="N425" s="4" t="str">
        <f ca="1">IFERROR(_xlfn.RANK.EQ(M425,$M$11:$M$653)+COUNTIF($M$11:M425,M425)-1,"")</f>
        <v/>
      </c>
      <c r="O425" s="86" t="str">
        <f>IF(A425='DATA SHEET'!$L$36,C425,IFERROR(IF(AND(ISTEXT(I425),ISBLANK(C425)),"No details",VLOOKUP(C425,DimFolder,2,FALSE)),""))</f>
        <v/>
      </c>
      <c r="P425" s="4" t="str">
        <f t="shared" si="113"/>
        <v/>
      </c>
      <c r="Q425" s="58" t="str">
        <f t="shared" si="112"/>
        <v/>
      </c>
      <c r="R425" s="4" t="e" cm="1">
        <f t="array" ref="R425">IF(INDEX(Table2[],_xlfn.XMATCH($A425,Table2[Steel Member],0),_xlfn.XMATCH(R$2,Table2[#Headers],0))=0,"",INDEX(Table2[],_xlfn.XMATCH($A425,Table2[Steel Member],0),_xlfn.XMATCH(R$2,Table2[#Headers],0)))</f>
        <v>#N/A</v>
      </c>
      <c r="S425" s="4" t="e" cm="1">
        <f t="array" ref="S425">IF(INDEX(Table2[],_xlfn.XMATCH($A425,Table2[Steel Member],0),_xlfn.XMATCH(S$2,Table2[#Headers],0))=0,"",INDEX(Table2[],_xlfn.XMATCH($A425,Table2[Steel Member],0),_xlfn.XMATCH(S$2,Table2[#Headers],0)))</f>
        <v>#N/A</v>
      </c>
      <c r="T425" s="4" t="str">
        <f t="shared" si="103"/>
        <v/>
      </c>
      <c r="U425" s="4" t="e">
        <f ca="1">VLOOKUP(N425,'COLOR CODE'!$B:$D,2,FALSE)</f>
        <v>#N/A</v>
      </c>
      <c r="V425" s="4" t="str">
        <f t="shared" si="104"/>
        <v/>
      </c>
      <c r="W425" s="4" t="e" cm="1">
        <f t="array" ref="W425">IF(INDEX(Table2[],_xlfn.XMATCH($A425,Table2[Steel Member],0),_xlfn.XMATCH(W$2,Table2[#Headers],0))=0,"",INDEX(Table2[],_xlfn.XMATCH($A425,Table2[Steel Member],0),_xlfn.XMATCH(W$2,Table2[#Headers],0)))</f>
        <v>#N/A</v>
      </c>
      <c r="X425" s="4" t="e">
        <f t="shared" si="114"/>
        <v>#N/A</v>
      </c>
      <c r="Y425" s="4" t="e" cm="1">
        <f t="array" ref="Y425">IF(INDEX(Table2[],_xlfn.XMATCH($A425,Table2[Steel Member],0),_xlfn.XMATCH(Y$2,Table2[#Headers],0))=0,"",INDEX(Table2[],_xlfn.XMATCH($A425,Table2[Steel Member],0),_xlfn.XMATCH(Y$2,Table2[#Headers],0)))</f>
        <v>#N/A</v>
      </c>
      <c r="Z425" s="4" t="e" cm="1">
        <f t="array" ref="Z425">IF(INDEX(Table2[],_xlfn.XMATCH($A425,Table2[Steel Member],0),_xlfn.XMATCH(Z$2,Table2[#Headers],0))=0,"",INDEX(Table2[],_xlfn.XMATCH($A425,Table2[Steel Member],0),_xlfn.XMATCH(Z$2,Table2[#Headers],0)))</f>
        <v>#N/A</v>
      </c>
      <c r="AA425" s="4" t="e" cm="1">
        <f t="array" ref="AA425">IF(INDEX(Table2[],_xlfn.XMATCH($A425,Table2[Steel Member],0),_xlfn.XMATCH(AA$2,Table2[#Headers],0))=0,"",INDEX(Table2[],_xlfn.XMATCH($A425,Table2[Steel Member],0),_xlfn.XMATCH(AA$2,Table2[#Headers],0)))</f>
        <v>#N/A</v>
      </c>
      <c r="AB425" s="4" t="e" cm="1">
        <f t="array" ref="AB425">IF(INDEX(Table2[],_xlfn.XMATCH($A425,Table2[Steel Member],0),_xlfn.XMATCH(AB$2,Table2[#Headers],0))=0,"",INDEX(Table2[],_xlfn.XMATCH($A425,Table2[Steel Member],0),_xlfn.XMATCH(AB$2,Table2[#Headers],0)))</f>
        <v>#N/A</v>
      </c>
      <c r="AC425" s="4" t="str" cm="1">
        <f t="array" ref="AC425">IFERROR(INDEX(Table8[],_xlfn.XMATCH($O425,Table8[Dimension Name Category],0),_xlfn.XMATCH(AC$2&amp;IF($L425," w/ tag"," w/o tag"),Table8[#Headers],0)),"")</f>
        <v/>
      </c>
      <c r="AD425" s="59" t="str">
        <f t="shared" si="105"/>
        <v/>
      </c>
      <c r="AE425" s="4" t="str">
        <f t="shared" si="106"/>
        <v/>
      </c>
      <c r="AF425" s="4" t="str">
        <f t="shared" si="107"/>
        <v/>
      </c>
      <c r="AG425" s="4" t="str" cm="1">
        <f t="array" ref="AG425">IFERROR(INDEX(Table8[],_xlfn.XMATCH($O425,Table8[Dimension Name Category],0),_xlfn.XMATCH(AG$2&amp;IF($L425," w/ tag"," w/o tag"),Table8[#Headers],0)),"")</f>
        <v/>
      </c>
      <c r="AH425" s="59" t="str">
        <f t="shared" si="108"/>
        <v/>
      </c>
      <c r="AI425" s="4"/>
      <c r="AJ425" s="4" t="str">
        <f t="shared" si="109"/>
        <v/>
      </c>
      <c r="AK425" s="4" t="str">
        <f t="shared" si="110"/>
        <v/>
      </c>
      <c r="AL425" s="4" t="e" cm="1">
        <f t="array" ref="AL425">IF(INDEX(Table2[],_xlfn.XMATCH($A425,Table2[Steel Member],0),_xlfn.XMATCH(AL$2,Table2[#Headers],0))=0,"",INDEX(Table2[],_xlfn.XMATCH($A425,Table2[Steel Member],0),_xlfn.XMATCH(AL$2,Table2[#Headers],0)))</f>
        <v>#N/A</v>
      </c>
      <c r="AM425" s="4"/>
      <c r="AN425" s="4" t="str">
        <f t="shared" si="111"/>
        <v/>
      </c>
      <c r="AO425" s="4"/>
      <c r="AP425" s="4" t="e" cm="1">
        <f t="array" ref="AP425">IF(INDEX(Table2[],_xlfn.XMATCH($A425,Table2[Steel Member],0),_xlfn.XMATCH(AP$2,Table2[#Headers],0))=0,"",INDEX(Table2[],_xlfn.XMATCH($A425,Table2[Steel Member],0),_xlfn.XMATCH(AP$2,Table2[#Headers],0)))</f>
        <v>#N/A</v>
      </c>
      <c r="AQ425" s="4"/>
      <c r="AR425" s="4"/>
      <c r="AS425" s="4"/>
      <c r="AT425" s="4"/>
    </row>
    <row r="426" spans="1:46" x14ac:dyDescent="0.25">
      <c r="A426" s="52"/>
      <c r="B426" s="52"/>
      <c r="C426" s="52"/>
      <c r="D426" s="52"/>
      <c r="E426" s="52"/>
      <c r="F426" s="64" cm="1">
        <f t="array" ref="F426">IF(COUNT(FIND(PurlinsxGirthsxBracings,$C426))&gt;0,0,ROUNDUP(IF(D426=0,0,VLOOKUP(D426,'DATA SHEET'!$B:$D,2,FALSE)),2))</f>
        <v>0</v>
      </c>
      <c r="G426" s="64" cm="1">
        <f t="array" ref="G426">IF(COUNT(FIND(PurlinsxGirthsxBracings,$C426))&gt;0,0,ROUNDUP(IF(D426=0,0,VLOOKUP(D426,'DATA SHEET'!$B:$D,3,FALSE)),2))</f>
        <v>0</v>
      </c>
      <c r="H426" s="53"/>
      <c r="I426" s="66" cm="1">
        <f t="array" ref="I426">IF(AND(ISBLANK(B426),ISBLANK(C426),ISBLANK(E426)),0,IF(COUNT(FIND(PurlinsxGirthsxBracings,$C426))&gt;0,IF(B426=0,CONCATENATE(E426," ",C426),CONCATENATE(B426," - ",E426," ",C426)),IF(B426=0,IF(ISBLANK(C426),E426,CONCATENATE(D426,", ",F426,"kg/m, ",G426,"mm surface perimeter")),IF(AND(ISBLANK(C426),ISTEXT(E426)),CONCATENATE(B426," - ",E426),IF(AND(ISBLANK(C426),ISBLANK(E426)),B426,CONCATENATE(B426," - ",D426,", ",F426,"kg/m, ",G426,"mm surface perimeter"))))&amp;IF(ISBLANK(H426),"",H426)))</f>
        <v>0</v>
      </c>
      <c r="J426" s="53"/>
      <c r="L426" s="4" t="str" cm="1">
        <f t="array" ref="L426">IF(COUNT(FIND({0,1,2,3,4,5,6,7,8,9},B426))&gt;0,COUNT(FIND({0,1,2,3,4,5,6,7,8,9},B426))&gt;0,"")</f>
        <v/>
      </c>
      <c r="M426" s="4" t="str" cm="1">
        <f t="array" aca="1" ref="M426" ca="1">IFERROR(_xlfn.IFS(R426="Count",RANDBETWEEN(1,COUNTIF($R$11:$R$653,"Count")),R426="Length",RANDBETWEEN(1,COUNTIF($R$11:$R$653,"Length"))),"")</f>
        <v/>
      </c>
      <c r="N426" s="4" t="str">
        <f ca="1">IFERROR(_xlfn.RANK.EQ(M426,$M$11:$M$653)+COUNTIF($M$11:M426,M426)-1,"")</f>
        <v/>
      </c>
      <c r="O426" s="86" t="str">
        <f>IF(A426='DATA SHEET'!$L$36,C426,IFERROR(IF(AND(ISTEXT(I426),ISBLANK(C426)),"No details",VLOOKUP(C426,DimFolder,2,FALSE)),""))</f>
        <v/>
      </c>
      <c r="P426" s="4" t="str">
        <f t="shared" si="113"/>
        <v/>
      </c>
      <c r="Q426" s="58" t="str">
        <f t="shared" si="112"/>
        <v/>
      </c>
      <c r="R426" s="4" t="e" cm="1">
        <f t="array" ref="R426">IF(INDEX(Table2[],_xlfn.XMATCH($A426,Table2[Steel Member],0),_xlfn.XMATCH(R$2,Table2[#Headers],0))=0,"",INDEX(Table2[],_xlfn.XMATCH($A426,Table2[Steel Member],0),_xlfn.XMATCH(R$2,Table2[#Headers],0)))</f>
        <v>#N/A</v>
      </c>
      <c r="S426" s="4" t="e" cm="1">
        <f t="array" ref="S426">IF(INDEX(Table2[],_xlfn.XMATCH($A426,Table2[Steel Member],0),_xlfn.XMATCH(S$2,Table2[#Headers],0))=0,"",INDEX(Table2[],_xlfn.XMATCH($A426,Table2[Steel Member],0),_xlfn.XMATCH(S$2,Table2[#Headers],0)))</f>
        <v>#N/A</v>
      </c>
      <c r="T426" s="4" t="str">
        <f t="shared" si="103"/>
        <v/>
      </c>
      <c r="U426" s="4" t="e">
        <f ca="1">VLOOKUP(N426,'COLOR CODE'!$B:$D,2,FALSE)</f>
        <v>#N/A</v>
      </c>
      <c r="V426" s="4" t="str">
        <f t="shared" si="104"/>
        <v/>
      </c>
      <c r="W426" s="4" t="e" cm="1">
        <f t="array" ref="W426">IF(INDEX(Table2[],_xlfn.XMATCH($A426,Table2[Steel Member],0),_xlfn.XMATCH(W$2,Table2[#Headers],0))=0,"",INDEX(Table2[],_xlfn.XMATCH($A426,Table2[Steel Member],0),_xlfn.XMATCH(W$2,Table2[#Headers],0)))</f>
        <v>#N/A</v>
      </c>
      <c r="X426" s="4" t="e">
        <f t="shared" si="114"/>
        <v>#N/A</v>
      </c>
      <c r="Y426" s="4" t="e" cm="1">
        <f t="array" ref="Y426">IF(INDEX(Table2[],_xlfn.XMATCH($A426,Table2[Steel Member],0),_xlfn.XMATCH(Y$2,Table2[#Headers],0))=0,"",INDEX(Table2[],_xlfn.XMATCH($A426,Table2[Steel Member],0),_xlfn.XMATCH(Y$2,Table2[#Headers],0)))</f>
        <v>#N/A</v>
      </c>
      <c r="Z426" s="4" t="e" cm="1">
        <f t="array" ref="Z426">IF(INDEX(Table2[],_xlfn.XMATCH($A426,Table2[Steel Member],0),_xlfn.XMATCH(Z$2,Table2[#Headers],0))=0,"",INDEX(Table2[],_xlfn.XMATCH($A426,Table2[Steel Member],0),_xlfn.XMATCH(Z$2,Table2[#Headers],0)))</f>
        <v>#N/A</v>
      </c>
      <c r="AA426" s="4" t="e" cm="1">
        <f t="array" ref="AA426">IF(INDEX(Table2[],_xlfn.XMATCH($A426,Table2[Steel Member],0),_xlfn.XMATCH(AA$2,Table2[#Headers],0))=0,"",INDEX(Table2[],_xlfn.XMATCH($A426,Table2[Steel Member],0),_xlfn.XMATCH(AA$2,Table2[#Headers],0)))</f>
        <v>#N/A</v>
      </c>
      <c r="AB426" s="4" t="e" cm="1">
        <f t="array" ref="AB426">IF(INDEX(Table2[],_xlfn.XMATCH($A426,Table2[Steel Member],0),_xlfn.XMATCH(AB$2,Table2[#Headers],0))=0,"",INDEX(Table2[],_xlfn.XMATCH($A426,Table2[Steel Member],0),_xlfn.XMATCH(AB$2,Table2[#Headers],0)))</f>
        <v>#N/A</v>
      </c>
      <c r="AC426" s="4" t="str" cm="1">
        <f t="array" ref="AC426">IFERROR(INDEX(Table8[],_xlfn.XMATCH($O426,Table8[Dimension Name Category],0),_xlfn.XMATCH(AC$2&amp;IF($L426," w/ tag"," w/o tag"),Table8[#Headers],0)),"")</f>
        <v/>
      </c>
      <c r="AD426" s="59" t="str">
        <f t="shared" si="105"/>
        <v/>
      </c>
      <c r="AE426" s="4" t="str">
        <f t="shared" si="106"/>
        <v/>
      </c>
      <c r="AF426" s="4" t="str">
        <f t="shared" si="107"/>
        <v/>
      </c>
      <c r="AG426" s="4" t="str" cm="1">
        <f t="array" ref="AG426">IFERROR(INDEX(Table8[],_xlfn.XMATCH($O426,Table8[Dimension Name Category],0),_xlfn.XMATCH(AG$2&amp;IF($L426," w/ tag"," w/o tag"),Table8[#Headers],0)),"")</f>
        <v/>
      </c>
      <c r="AH426" s="59" t="str">
        <f t="shared" si="108"/>
        <v/>
      </c>
      <c r="AI426" s="4"/>
      <c r="AJ426" s="4" t="str">
        <f t="shared" si="109"/>
        <v/>
      </c>
      <c r="AK426" s="4" t="str">
        <f t="shared" si="110"/>
        <v/>
      </c>
      <c r="AL426" s="4" t="e" cm="1">
        <f t="array" ref="AL426">IF(INDEX(Table2[],_xlfn.XMATCH($A426,Table2[Steel Member],0),_xlfn.XMATCH(AL$2,Table2[#Headers],0))=0,"",INDEX(Table2[],_xlfn.XMATCH($A426,Table2[Steel Member],0),_xlfn.XMATCH(AL$2,Table2[#Headers],0)))</f>
        <v>#N/A</v>
      </c>
      <c r="AM426" s="4"/>
      <c r="AN426" s="4" t="str">
        <f t="shared" si="111"/>
        <v/>
      </c>
      <c r="AO426" s="4"/>
      <c r="AP426" s="4" t="e" cm="1">
        <f t="array" ref="AP426">IF(INDEX(Table2[],_xlfn.XMATCH($A426,Table2[Steel Member],0),_xlfn.XMATCH(AP$2,Table2[#Headers],0))=0,"",INDEX(Table2[],_xlfn.XMATCH($A426,Table2[Steel Member],0),_xlfn.XMATCH(AP$2,Table2[#Headers],0)))</f>
        <v>#N/A</v>
      </c>
      <c r="AQ426" s="4"/>
      <c r="AR426" s="4"/>
      <c r="AS426" s="4"/>
      <c r="AT426" s="4"/>
    </row>
    <row r="427" spans="1:46" x14ac:dyDescent="0.25">
      <c r="A427" s="52"/>
      <c r="B427" s="52"/>
      <c r="C427" s="52"/>
      <c r="D427" s="52"/>
      <c r="E427" s="52"/>
      <c r="F427" s="64" cm="1">
        <f t="array" ref="F427">IF(COUNT(FIND(PurlinsxGirthsxBracings,$C427))&gt;0,0,ROUNDUP(IF(D427=0,0,VLOOKUP(D427,'DATA SHEET'!$B:$D,2,FALSE)),2))</f>
        <v>0</v>
      </c>
      <c r="G427" s="64" cm="1">
        <f t="array" ref="G427">IF(COUNT(FIND(PurlinsxGirthsxBracings,$C427))&gt;0,0,ROUNDUP(IF(D427=0,0,VLOOKUP(D427,'DATA SHEET'!$B:$D,3,FALSE)),2))</f>
        <v>0</v>
      </c>
      <c r="H427" s="53"/>
      <c r="I427" s="66" cm="1">
        <f t="array" ref="I427">IF(AND(ISBLANK(B427),ISBLANK(C427),ISBLANK(E427)),0,IF(COUNT(FIND(PurlinsxGirthsxBracings,$C427))&gt;0,IF(B427=0,CONCATENATE(E427," ",C427),CONCATENATE(B427," - ",E427," ",C427)),IF(B427=0,IF(ISBLANK(C427),E427,CONCATENATE(D427,", ",F427,"kg/m, ",G427,"mm surface perimeter")),IF(AND(ISBLANK(C427),ISTEXT(E427)),CONCATENATE(B427," - ",E427),IF(AND(ISBLANK(C427),ISBLANK(E427)),B427,CONCATENATE(B427," - ",D427,", ",F427,"kg/m, ",G427,"mm surface perimeter"))))&amp;IF(ISBLANK(H427),"",H427)))</f>
        <v>0</v>
      </c>
      <c r="J427" s="53"/>
      <c r="L427" s="4" t="str" cm="1">
        <f t="array" ref="L427">IF(COUNT(FIND({0,1,2,3,4,5,6,7,8,9},B427))&gt;0,COUNT(FIND({0,1,2,3,4,5,6,7,8,9},B427))&gt;0,"")</f>
        <v/>
      </c>
      <c r="M427" s="4" t="str" cm="1">
        <f t="array" aca="1" ref="M427" ca="1">IFERROR(_xlfn.IFS(R427="Count",RANDBETWEEN(1,COUNTIF($R$11:$R$653,"Count")),R427="Length",RANDBETWEEN(1,COUNTIF($R$11:$R$653,"Length"))),"")</f>
        <v/>
      </c>
      <c r="N427" s="4" t="str">
        <f ca="1">IFERROR(_xlfn.RANK.EQ(M427,$M$11:$M$653)+COUNTIF($M$11:M427,M427)-1,"")</f>
        <v/>
      </c>
      <c r="O427" s="86" t="str">
        <f>IF(A427='DATA SHEET'!$L$36,C427,IFERROR(IF(AND(ISTEXT(I427),ISBLANK(C427)),"No details",VLOOKUP(C427,DimFolder,2,FALSE)),""))</f>
        <v/>
      </c>
      <c r="P427" s="4" t="str">
        <f t="shared" si="113"/>
        <v/>
      </c>
      <c r="Q427" s="58" t="str">
        <f t="shared" si="112"/>
        <v/>
      </c>
      <c r="R427" s="4" t="e" cm="1">
        <f t="array" ref="R427">IF(INDEX(Table2[],_xlfn.XMATCH($A427,Table2[Steel Member],0),_xlfn.XMATCH(R$2,Table2[#Headers],0))=0,"",INDEX(Table2[],_xlfn.XMATCH($A427,Table2[Steel Member],0),_xlfn.XMATCH(R$2,Table2[#Headers],0)))</f>
        <v>#N/A</v>
      </c>
      <c r="S427" s="4" t="e" cm="1">
        <f t="array" ref="S427">IF(INDEX(Table2[],_xlfn.XMATCH($A427,Table2[Steel Member],0),_xlfn.XMATCH(S$2,Table2[#Headers],0))=0,"",INDEX(Table2[],_xlfn.XMATCH($A427,Table2[Steel Member],0),_xlfn.XMATCH(S$2,Table2[#Headers],0)))</f>
        <v>#N/A</v>
      </c>
      <c r="T427" s="4" t="str">
        <f t="shared" si="103"/>
        <v/>
      </c>
      <c r="U427" s="4" t="e">
        <f ca="1">VLOOKUP(N427,'COLOR CODE'!$B:$D,2,FALSE)</f>
        <v>#N/A</v>
      </c>
      <c r="V427" s="4" t="str">
        <f t="shared" si="104"/>
        <v/>
      </c>
      <c r="W427" s="4" t="e" cm="1">
        <f t="array" ref="W427">IF(INDEX(Table2[],_xlfn.XMATCH($A427,Table2[Steel Member],0),_xlfn.XMATCH(W$2,Table2[#Headers],0))=0,"",INDEX(Table2[],_xlfn.XMATCH($A427,Table2[Steel Member],0),_xlfn.XMATCH(W$2,Table2[#Headers],0)))</f>
        <v>#N/A</v>
      </c>
      <c r="X427" s="4" t="e">
        <f t="shared" si="114"/>
        <v>#N/A</v>
      </c>
      <c r="Y427" s="4" t="e" cm="1">
        <f t="array" ref="Y427">IF(INDEX(Table2[],_xlfn.XMATCH($A427,Table2[Steel Member],0),_xlfn.XMATCH(Y$2,Table2[#Headers],0))=0,"",INDEX(Table2[],_xlfn.XMATCH($A427,Table2[Steel Member],0),_xlfn.XMATCH(Y$2,Table2[#Headers],0)))</f>
        <v>#N/A</v>
      </c>
      <c r="Z427" s="4" t="e" cm="1">
        <f t="array" ref="Z427">IF(INDEX(Table2[],_xlfn.XMATCH($A427,Table2[Steel Member],0),_xlfn.XMATCH(Z$2,Table2[#Headers],0))=0,"",INDEX(Table2[],_xlfn.XMATCH($A427,Table2[Steel Member],0),_xlfn.XMATCH(Z$2,Table2[#Headers],0)))</f>
        <v>#N/A</v>
      </c>
      <c r="AA427" s="4" t="e" cm="1">
        <f t="array" ref="AA427">IF(INDEX(Table2[],_xlfn.XMATCH($A427,Table2[Steel Member],0),_xlfn.XMATCH(AA$2,Table2[#Headers],0))=0,"",INDEX(Table2[],_xlfn.XMATCH($A427,Table2[Steel Member],0),_xlfn.XMATCH(AA$2,Table2[#Headers],0)))</f>
        <v>#N/A</v>
      </c>
      <c r="AB427" s="4" t="e" cm="1">
        <f t="array" ref="AB427">IF(INDEX(Table2[],_xlfn.XMATCH($A427,Table2[Steel Member],0),_xlfn.XMATCH(AB$2,Table2[#Headers],0))=0,"",INDEX(Table2[],_xlfn.XMATCH($A427,Table2[Steel Member],0),_xlfn.XMATCH(AB$2,Table2[#Headers],0)))</f>
        <v>#N/A</v>
      </c>
      <c r="AC427" s="4" t="str" cm="1">
        <f t="array" ref="AC427">IFERROR(INDEX(Table8[],_xlfn.XMATCH($O427,Table8[Dimension Name Category],0),_xlfn.XMATCH(AC$2&amp;IF($L427," w/ tag"," w/o tag"),Table8[#Headers],0)),"")</f>
        <v/>
      </c>
      <c r="AD427" s="59" t="str">
        <f t="shared" si="105"/>
        <v/>
      </c>
      <c r="AE427" s="4" t="str">
        <f t="shared" si="106"/>
        <v/>
      </c>
      <c r="AF427" s="4" t="str">
        <f t="shared" si="107"/>
        <v/>
      </c>
      <c r="AG427" s="4" t="str" cm="1">
        <f t="array" ref="AG427">IFERROR(INDEX(Table8[],_xlfn.XMATCH($O427,Table8[Dimension Name Category],0),_xlfn.XMATCH(AG$2&amp;IF($L427," w/ tag"," w/o tag"),Table8[#Headers],0)),"")</f>
        <v/>
      </c>
      <c r="AH427" s="59" t="str">
        <f t="shared" si="108"/>
        <v/>
      </c>
      <c r="AI427" s="4"/>
      <c r="AJ427" s="4" t="str">
        <f t="shared" si="109"/>
        <v/>
      </c>
      <c r="AK427" s="4" t="str">
        <f t="shared" si="110"/>
        <v/>
      </c>
      <c r="AL427" s="4" t="e" cm="1">
        <f t="array" ref="AL427">IF(INDEX(Table2[],_xlfn.XMATCH($A427,Table2[Steel Member],0),_xlfn.XMATCH(AL$2,Table2[#Headers],0))=0,"",INDEX(Table2[],_xlfn.XMATCH($A427,Table2[Steel Member],0),_xlfn.XMATCH(AL$2,Table2[#Headers],0)))</f>
        <v>#N/A</v>
      </c>
      <c r="AM427" s="4"/>
      <c r="AN427" s="4" t="str">
        <f t="shared" si="111"/>
        <v/>
      </c>
      <c r="AO427" s="4"/>
      <c r="AP427" s="4" t="e" cm="1">
        <f t="array" ref="AP427">IF(INDEX(Table2[],_xlfn.XMATCH($A427,Table2[Steel Member],0),_xlfn.XMATCH(AP$2,Table2[#Headers],0))=0,"",INDEX(Table2[],_xlfn.XMATCH($A427,Table2[Steel Member],0),_xlfn.XMATCH(AP$2,Table2[#Headers],0)))</f>
        <v>#N/A</v>
      </c>
      <c r="AQ427" s="4"/>
      <c r="AR427" s="4"/>
      <c r="AS427" s="4"/>
      <c r="AT427" s="4"/>
    </row>
    <row r="428" spans="1:46" x14ac:dyDescent="0.25">
      <c r="A428" s="52"/>
      <c r="B428" s="52"/>
      <c r="C428" s="52"/>
      <c r="D428" s="52"/>
      <c r="E428" s="52"/>
      <c r="F428" s="64" cm="1">
        <f t="array" ref="F428">IF(COUNT(FIND(PurlinsxGirthsxBracings,$C428))&gt;0,0,ROUNDUP(IF(D428=0,0,VLOOKUP(D428,'DATA SHEET'!$B:$D,2,FALSE)),2))</f>
        <v>0</v>
      </c>
      <c r="G428" s="64" cm="1">
        <f t="array" ref="G428">IF(COUNT(FIND(PurlinsxGirthsxBracings,$C428))&gt;0,0,ROUNDUP(IF(D428=0,0,VLOOKUP(D428,'DATA SHEET'!$B:$D,3,FALSE)),2))</f>
        <v>0</v>
      </c>
      <c r="H428" s="53"/>
      <c r="I428" s="66" cm="1">
        <f t="array" ref="I428">IF(AND(ISBLANK(B428),ISBLANK(C428),ISBLANK(E428)),0,IF(COUNT(FIND(PurlinsxGirthsxBracings,$C428))&gt;0,IF(B428=0,CONCATENATE(E428," ",C428),CONCATENATE(B428," - ",E428," ",C428)),IF(B428=0,IF(ISBLANK(C428),E428,CONCATENATE(D428,", ",F428,"kg/m, ",G428,"mm surface perimeter")),IF(AND(ISBLANK(C428),ISTEXT(E428)),CONCATENATE(B428," - ",E428),IF(AND(ISBLANK(C428),ISBLANK(E428)),B428,CONCATENATE(B428," - ",D428,", ",F428,"kg/m, ",G428,"mm surface perimeter"))))&amp;IF(ISBLANK(H428),"",H428)))</f>
        <v>0</v>
      </c>
      <c r="J428" s="53"/>
      <c r="L428" s="4" t="str" cm="1">
        <f t="array" ref="L428">IF(COUNT(FIND({0,1,2,3,4,5,6,7,8,9},B428))&gt;0,COUNT(FIND({0,1,2,3,4,5,6,7,8,9},B428))&gt;0,"")</f>
        <v/>
      </c>
      <c r="M428" s="4" t="str" cm="1">
        <f t="array" aca="1" ref="M428" ca="1">IFERROR(_xlfn.IFS(R428="Count",RANDBETWEEN(1,COUNTIF($R$11:$R$653,"Count")),R428="Length",RANDBETWEEN(1,COUNTIF($R$11:$R$653,"Length"))),"")</f>
        <v/>
      </c>
      <c r="N428" s="4" t="str">
        <f ca="1">IFERROR(_xlfn.RANK.EQ(M428,$M$11:$M$653)+COUNTIF($M$11:M428,M428)-1,"")</f>
        <v/>
      </c>
      <c r="O428" s="86" t="str">
        <f>IF(A428='DATA SHEET'!$L$36,C428,IFERROR(IF(AND(ISTEXT(I428),ISBLANK(C428)),"No details",VLOOKUP(C428,DimFolder,2,FALSE)),""))</f>
        <v/>
      </c>
      <c r="P428" s="4" t="str">
        <f t="shared" si="113"/>
        <v/>
      </c>
      <c r="Q428" s="58" t="str">
        <f t="shared" si="112"/>
        <v/>
      </c>
      <c r="R428" s="4" t="e" cm="1">
        <f t="array" ref="R428">IF(INDEX(Table2[],_xlfn.XMATCH($A428,Table2[Steel Member],0),_xlfn.XMATCH(R$2,Table2[#Headers],0))=0,"",INDEX(Table2[],_xlfn.XMATCH($A428,Table2[Steel Member],0),_xlfn.XMATCH(R$2,Table2[#Headers],0)))</f>
        <v>#N/A</v>
      </c>
      <c r="S428" s="4" t="e" cm="1">
        <f t="array" ref="S428">IF(INDEX(Table2[],_xlfn.XMATCH($A428,Table2[Steel Member],0),_xlfn.XMATCH(S$2,Table2[#Headers],0))=0,"",INDEX(Table2[],_xlfn.XMATCH($A428,Table2[Steel Member],0),_xlfn.XMATCH(S$2,Table2[#Headers],0)))</f>
        <v>#N/A</v>
      </c>
      <c r="T428" s="4" t="str">
        <f t="shared" si="103"/>
        <v/>
      </c>
      <c r="U428" s="4" t="e">
        <f ca="1">VLOOKUP(N428,'COLOR CODE'!$B:$D,2,FALSE)</f>
        <v>#N/A</v>
      </c>
      <c r="V428" s="4" t="str">
        <f t="shared" si="104"/>
        <v/>
      </c>
      <c r="W428" s="4" t="e" cm="1">
        <f t="array" ref="W428">IF(INDEX(Table2[],_xlfn.XMATCH($A428,Table2[Steel Member],0),_xlfn.XMATCH(W$2,Table2[#Headers],0))=0,"",INDEX(Table2[],_xlfn.XMATCH($A428,Table2[Steel Member],0),_xlfn.XMATCH(W$2,Table2[#Headers],0)))</f>
        <v>#N/A</v>
      </c>
      <c r="X428" s="4" t="e">
        <f t="shared" si="114"/>
        <v>#N/A</v>
      </c>
      <c r="Y428" s="4" t="e" cm="1">
        <f t="array" ref="Y428">IF(INDEX(Table2[],_xlfn.XMATCH($A428,Table2[Steel Member],0),_xlfn.XMATCH(Y$2,Table2[#Headers],0))=0,"",INDEX(Table2[],_xlfn.XMATCH($A428,Table2[Steel Member],0),_xlfn.XMATCH(Y$2,Table2[#Headers],0)))</f>
        <v>#N/A</v>
      </c>
      <c r="Z428" s="4" t="e" cm="1">
        <f t="array" ref="Z428">IF(INDEX(Table2[],_xlfn.XMATCH($A428,Table2[Steel Member],0),_xlfn.XMATCH(Z$2,Table2[#Headers],0))=0,"",INDEX(Table2[],_xlfn.XMATCH($A428,Table2[Steel Member],0),_xlfn.XMATCH(Z$2,Table2[#Headers],0)))</f>
        <v>#N/A</v>
      </c>
      <c r="AA428" s="4" t="e" cm="1">
        <f t="array" ref="AA428">IF(INDEX(Table2[],_xlfn.XMATCH($A428,Table2[Steel Member],0),_xlfn.XMATCH(AA$2,Table2[#Headers],0))=0,"",INDEX(Table2[],_xlfn.XMATCH($A428,Table2[Steel Member],0),_xlfn.XMATCH(AA$2,Table2[#Headers],0)))</f>
        <v>#N/A</v>
      </c>
      <c r="AB428" s="4" t="e" cm="1">
        <f t="array" ref="AB428">IF(INDEX(Table2[],_xlfn.XMATCH($A428,Table2[Steel Member],0),_xlfn.XMATCH(AB$2,Table2[#Headers],0))=0,"",INDEX(Table2[],_xlfn.XMATCH($A428,Table2[Steel Member],0),_xlfn.XMATCH(AB$2,Table2[#Headers],0)))</f>
        <v>#N/A</v>
      </c>
      <c r="AC428" s="4" t="str" cm="1">
        <f t="array" ref="AC428">IFERROR(INDEX(Table8[],_xlfn.XMATCH($O428,Table8[Dimension Name Category],0),_xlfn.XMATCH(AC$2&amp;IF($L428," w/ tag"," w/o tag"),Table8[#Headers],0)),"")</f>
        <v/>
      </c>
      <c r="AD428" s="59" t="str">
        <f t="shared" si="105"/>
        <v/>
      </c>
      <c r="AE428" s="4" t="str">
        <f t="shared" si="106"/>
        <v/>
      </c>
      <c r="AF428" s="4" t="str">
        <f t="shared" si="107"/>
        <v/>
      </c>
      <c r="AG428" s="4" t="str" cm="1">
        <f t="array" ref="AG428">IFERROR(INDEX(Table8[],_xlfn.XMATCH($O428,Table8[Dimension Name Category],0),_xlfn.XMATCH(AG$2&amp;IF($L428," w/ tag"," w/o tag"),Table8[#Headers],0)),"")</f>
        <v/>
      </c>
      <c r="AH428" s="59" t="str">
        <f t="shared" si="108"/>
        <v/>
      </c>
      <c r="AI428" s="4"/>
      <c r="AJ428" s="4" t="str">
        <f t="shared" si="109"/>
        <v/>
      </c>
      <c r="AK428" s="4" t="str">
        <f t="shared" si="110"/>
        <v/>
      </c>
      <c r="AL428" s="4" t="e" cm="1">
        <f t="array" ref="AL428">IF(INDEX(Table2[],_xlfn.XMATCH($A428,Table2[Steel Member],0),_xlfn.XMATCH(AL$2,Table2[#Headers],0))=0,"",INDEX(Table2[],_xlfn.XMATCH($A428,Table2[Steel Member],0),_xlfn.XMATCH(AL$2,Table2[#Headers],0)))</f>
        <v>#N/A</v>
      </c>
      <c r="AM428" s="4"/>
      <c r="AN428" s="4" t="str">
        <f t="shared" si="111"/>
        <v/>
      </c>
      <c r="AO428" s="4"/>
      <c r="AP428" s="4" t="e" cm="1">
        <f t="array" ref="AP428">IF(INDEX(Table2[],_xlfn.XMATCH($A428,Table2[Steel Member],0),_xlfn.XMATCH(AP$2,Table2[#Headers],0))=0,"",INDEX(Table2[],_xlfn.XMATCH($A428,Table2[Steel Member],0),_xlfn.XMATCH(AP$2,Table2[#Headers],0)))</f>
        <v>#N/A</v>
      </c>
      <c r="AQ428" s="4"/>
      <c r="AR428" s="4"/>
      <c r="AS428" s="4"/>
      <c r="AT428" s="4"/>
    </row>
    <row r="429" spans="1:46" x14ac:dyDescent="0.25">
      <c r="A429" s="52"/>
      <c r="B429" s="52"/>
      <c r="C429" s="52"/>
      <c r="D429" s="52"/>
      <c r="E429" s="52"/>
      <c r="F429" s="64" cm="1">
        <f t="array" ref="F429">IF(COUNT(FIND(PurlinsxGirthsxBracings,$C429))&gt;0,0,ROUNDUP(IF(D429=0,0,VLOOKUP(D429,'DATA SHEET'!$B:$D,2,FALSE)),2))</f>
        <v>0</v>
      </c>
      <c r="G429" s="64" cm="1">
        <f t="array" ref="G429">IF(COUNT(FIND(PurlinsxGirthsxBracings,$C429))&gt;0,0,ROUNDUP(IF(D429=0,0,VLOOKUP(D429,'DATA SHEET'!$B:$D,3,FALSE)),2))</f>
        <v>0</v>
      </c>
      <c r="H429" s="53"/>
      <c r="I429" s="66" cm="1">
        <f t="array" ref="I429">IF(AND(ISBLANK(B429),ISBLANK(C429),ISBLANK(E429)),0,IF(COUNT(FIND(PurlinsxGirthsxBracings,$C429))&gt;0,IF(B429=0,CONCATENATE(E429," ",C429),CONCATENATE(B429," - ",E429," ",C429)),IF(B429=0,IF(ISBLANK(C429),E429,CONCATENATE(D429,", ",F429,"kg/m, ",G429,"mm surface perimeter")),IF(AND(ISBLANK(C429),ISTEXT(E429)),CONCATENATE(B429," - ",E429),IF(AND(ISBLANK(C429),ISBLANK(E429)),B429,CONCATENATE(B429," - ",D429,", ",F429,"kg/m, ",G429,"mm surface perimeter"))))&amp;IF(ISBLANK(H429),"",H429)))</f>
        <v>0</v>
      </c>
      <c r="J429" s="53"/>
      <c r="L429" s="4" t="str" cm="1">
        <f t="array" ref="L429">IF(COUNT(FIND({0,1,2,3,4,5,6,7,8,9},B429))&gt;0,COUNT(FIND({0,1,2,3,4,5,6,7,8,9},B429))&gt;0,"")</f>
        <v/>
      </c>
      <c r="M429" s="4" t="str" cm="1">
        <f t="array" aca="1" ref="M429" ca="1">IFERROR(_xlfn.IFS(R429="Count",RANDBETWEEN(1,COUNTIF($R$11:$R$653,"Count")),R429="Length",RANDBETWEEN(1,COUNTIF($R$11:$R$653,"Length"))),"")</f>
        <v/>
      </c>
      <c r="N429" s="4" t="str">
        <f ca="1">IFERROR(_xlfn.RANK.EQ(M429,$M$11:$M$653)+COUNTIF($M$11:M429,M429)-1,"")</f>
        <v/>
      </c>
      <c r="O429" s="86" t="str">
        <f>IF(A429='DATA SHEET'!$L$36,C429,IFERROR(IF(AND(ISTEXT(I429),ISBLANK(C429)),"No details",VLOOKUP(C429,DimFolder,2,FALSE)),""))</f>
        <v/>
      </c>
      <c r="P429" s="4" t="str">
        <f t="shared" si="113"/>
        <v/>
      </c>
      <c r="Q429" s="58" t="str">
        <f t="shared" si="112"/>
        <v/>
      </c>
      <c r="R429" s="4" t="e" cm="1">
        <f t="array" ref="R429">IF(INDEX(Table2[],_xlfn.XMATCH($A429,Table2[Steel Member],0),_xlfn.XMATCH(R$2,Table2[#Headers],0))=0,"",INDEX(Table2[],_xlfn.XMATCH($A429,Table2[Steel Member],0),_xlfn.XMATCH(R$2,Table2[#Headers],0)))</f>
        <v>#N/A</v>
      </c>
      <c r="S429" s="4" t="e" cm="1">
        <f t="array" ref="S429">IF(INDEX(Table2[],_xlfn.XMATCH($A429,Table2[Steel Member],0),_xlfn.XMATCH(S$2,Table2[#Headers],0))=0,"",INDEX(Table2[],_xlfn.XMATCH($A429,Table2[Steel Member],0),_xlfn.XMATCH(S$2,Table2[#Headers],0)))</f>
        <v>#N/A</v>
      </c>
      <c r="T429" s="4" t="str">
        <f t="shared" si="103"/>
        <v/>
      </c>
      <c r="U429" s="4" t="e">
        <f ca="1">VLOOKUP(N429,'COLOR CODE'!$B:$D,2,FALSE)</f>
        <v>#N/A</v>
      </c>
      <c r="V429" s="4" t="str">
        <f t="shared" si="104"/>
        <v/>
      </c>
      <c r="W429" s="4" t="e" cm="1">
        <f t="array" ref="W429">IF(INDEX(Table2[],_xlfn.XMATCH($A429,Table2[Steel Member],0),_xlfn.XMATCH(W$2,Table2[#Headers],0))=0,"",INDEX(Table2[],_xlfn.XMATCH($A429,Table2[Steel Member],0),_xlfn.XMATCH(W$2,Table2[#Headers],0)))</f>
        <v>#N/A</v>
      </c>
      <c r="X429" s="4" t="e">
        <f t="shared" si="114"/>
        <v>#N/A</v>
      </c>
      <c r="Y429" s="4" t="e" cm="1">
        <f t="array" ref="Y429">IF(INDEX(Table2[],_xlfn.XMATCH($A429,Table2[Steel Member],0),_xlfn.XMATCH(Y$2,Table2[#Headers],0))=0,"",INDEX(Table2[],_xlfn.XMATCH($A429,Table2[Steel Member],0),_xlfn.XMATCH(Y$2,Table2[#Headers],0)))</f>
        <v>#N/A</v>
      </c>
      <c r="Z429" s="4" t="e" cm="1">
        <f t="array" ref="Z429">IF(INDEX(Table2[],_xlfn.XMATCH($A429,Table2[Steel Member],0),_xlfn.XMATCH(Z$2,Table2[#Headers],0))=0,"",INDEX(Table2[],_xlfn.XMATCH($A429,Table2[Steel Member],0),_xlfn.XMATCH(Z$2,Table2[#Headers],0)))</f>
        <v>#N/A</v>
      </c>
      <c r="AA429" s="4" t="e" cm="1">
        <f t="array" ref="AA429">IF(INDEX(Table2[],_xlfn.XMATCH($A429,Table2[Steel Member],0),_xlfn.XMATCH(AA$2,Table2[#Headers],0))=0,"",INDEX(Table2[],_xlfn.XMATCH($A429,Table2[Steel Member],0),_xlfn.XMATCH(AA$2,Table2[#Headers],0)))</f>
        <v>#N/A</v>
      </c>
      <c r="AB429" s="4" t="e" cm="1">
        <f t="array" ref="AB429">IF(INDEX(Table2[],_xlfn.XMATCH($A429,Table2[Steel Member],0),_xlfn.XMATCH(AB$2,Table2[#Headers],0))=0,"",INDEX(Table2[],_xlfn.XMATCH($A429,Table2[Steel Member],0),_xlfn.XMATCH(AB$2,Table2[#Headers],0)))</f>
        <v>#N/A</v>
      </c>
      <c r="AC429" s="4" t="str" cm="1">
        <f t="array" ref="AC429">IFERROR(INDEX(Table8[],_xlfn.XMATCH($O429,Table8[Dimension Name Category],0),_xlfn.XMATCH(AC$2&amp;IF($L429," w/ tag"," w/o tag"),Table8[#Headers],0)),"")</f>
        <v/>
      </c>
      <c r="AD429" s="59" t="str">
        <f t="shared" si="105"/>
        <v/>
      </c>
      <c r="AE429" s="4" t="str">
        <f t="shared" si="106"/>
        <v/>
      </c>
      <c r="AF429" s="4" t="str">
        <f t="shared" si="107"/>
        <v/>
      </c>
      <c r="AG429" s="4" t="str" cm="1">
        <f t="array" ref="AG429">IFERROR(INDEX(Table8[],_xlfn.XMATCH($O429,Table8[Dimension Name Category],0),_xlfn.XMATCH(AG$2&amp;IF($L429," w/ tag"," w/o tag"),Table8[#Headers],0)),"")</f>
        <v/>
      </c>
      <c r="AH429" s="59" t="str">
        <f t="shared" si="108"/>
        <v/>
      </c>
      <c r="AI429" s="4"/>
      <c r="AJ429" s="4" t="str">
        <f t="shared" si="109"/>
        <v/>
      </c>
      <c r="AK429" s="4" t="str">
        <f t="shared" si="110"/>
        <v/>
      </c>
      <c r="AL429" s="4" t="e" cm="1">
        <f t="array" ref="AL429">IF(INDEX(Table2[],_xlfn.XMATCH($A429,Table2[Steel Member],0),_xlfn.XMATCH(AL$2,Table2[#Headers],0))=0,"",INDEX(Table2[],_xlfn.XMATCH($A429,Table2[Steel Member],0),_xlfn.XMATCH(AL$2,Table2[#Headers],0)))</f>
        <v>#N/A</v>
      </c>
      <c r="AM429" s="4"/>
      <c r="AN429" s="4" t="str">
        <f t="shared" si="111"/>
        <v/>
      </c>
      <c r="AO429" s="4"/>
      <c r="AP429" s="4" t="e" cm="1">
        <f t="array" ref="AP429">IF(INDEX(Table2[],_xlfn.XMATCH($A429,Table2[Steel Member],0),_xlfn.XMATCH(AP$2,Table2[#Headers],0))=0,"",INDEX(Table2[],_xlfn.XMATCH($A429,Table2[Steel Member],0),_xlfn.XMATCH(AP$2,Table2[#Headers],0)))</f>
        <v>#N/A</v>
      </c>
      <c r="AQ429" s="4"/>
      <c r="AR429" s="4"/>
      <c r="AS429" s="4"/>
      <c r="AT429" s="4"/>
    </row>
    <row r="430" spans="1:46" x14ac:dyDescent="0.25">
      <c r="A430" s="52"/>
      <c r="B430" s="52"/>
      <c r="C430" s="52"/>
      <c r="D430" s="52"/>
      <c r="E430" s="52"/>
      <c r="F430" s="64" cm="1">
        <f t="array" ref="F430">IF(COUNT(FIND(PurlinsxGirthsxBracings,$C430))&gt;0,0,ROUNDUP(IF(D430=0,0,VLOOKUP(D430,'DATA SHEET'!$B:$D,2,FALSE)),2))</f>
        <v>0</v>
      </c>
      <c r="G430" s="64" cm="1">
        <f t="array" ref="G430">IF(COUNT(FIND(PurlinsxGirthsxBracings,$C430))&gt;0,0,ROUNDUP(IF(D430=0,0,VLOOKUP(D430,'DATA SHEET'!$B:$D,3,FALSE)),2))</f>
        <v>0</v>
      </c>
      <c r="H430" s="53"/>
      <c r="I430" s="66" cm="1">
        <f t="array" ref="I430">IF(AND(ISBLANK(B430),ISBLANK(C430),ISBLANK(E430)),0,IF(COUNT(FIND(PurlinsxGirthsxBracings,$C430))&gt;0,IF(B430=0,CONCATENATE(E430," ",C430),CONCATENATE(B430," - ",E430," ",C430)),IF(B430=0,IF(ISBLANK(C430),E430,CONCATENATE(D430,", ",F430,"kg/m, ",G430,"mm surface perimeter")),IF(AND(ISBLANK(C430),ISTEXT(E430)),CONCATENATE(B430," - ",E430),IF(AND(ISBLANK(C430),ISBLANK(E430)),B430,CONCATENATE(B430," - ",D430,", ",F430,"kg/m, ",G430,"mm surface perimeter"))))&amp;IF(ISBLANK(H430),"",H430)))</f>
        <v>0</v>
      </c>
      <c r="J430" s="53"/>
      <c r="L430" s="4" t="str" cm="1">
        <f t="array" ref="L430">IF(COUNT(FIND({0,1,2,3,4,5,6,7,8,9},B430))&gt;0,COUNT(FIND({0,1,2,3,4,5,6,7,8,9},B430))&gt;0,"")</f>
        <v/>
      </c>
      <c r="M430" s="4" t="str" cm="1">
        <f t="array" aca="1" ref="M430" ca="1">IFERROR(_xlfn.IFS(R430="Count",RANDBETWEEN(1,COUNTIF($R$11:$R$653,"Count")),R430="Length",RANDBETWEEN(1,COUNTIF($R$11:$R$653,"Length"))),"")</f>
        <v/>
      </c>
      <c r="N430" s="4" t="str">
        <f ca="1">IFERROR(_xlfn.RANK.EQ(M430,$M$11:$M$653)+COUNTIF($M$11:M430,M430)-1,"")</f>
        <v/>
      </c>
      <c r="O430" s="86" t="str">
        <f>IF(A430='DATA SHEET'!$L$36,C430,IFERROR(IF(AND(ISTEXT(I430),ISBLANK(C430)),"No details",VLOOKUP(C430,DimFolder,2,FALSE)),""))</f>
        <v/>
      </c>
      <c r="P430" s="4" t="str">
        <f t="shared" si="113"/>
        <v/>
      </c>
      <c r="Q430" s="58" t="str">
        <f t="shared" si="112"/>
        <v/>
      </c>
      <c r="R430" s="4" t="e" cm="1">
        <f t="array" ref="R430">IF(INDEX(Table2[],_xlfn.XMATCH($A430,Table2[Steel Member],0),_xlfn.XMATCH(R$2,Table2[#Headers],0))=0,"",INDEX(Table2[],_xlfn.XMATCH($A430,Table2[Steel Member],0),_xlfn.XMATCH(R$2,Table2[#Headers],0)))</f>
        <v>#N/A</v>
      </c>
      <c r="S430" s="4" t="e" cm="1">
        <f t="array" ref="S430">IF(INDEX(Table2[],_xlfn.XMATCH($A430,Table2[Steel Member],0),_xlfn.XMATCH(S$2,Table2[#Headers],0))=0,"",INDEX(Table2[],_xlfn.XMATCH($A430,Table2[Steel Member],0),_xlfn.XMATCH(S$2,Table2[#Headers],0)))</f>
        <v>#N/A</v>
      </c>
      <c r="T430" s="4" t="str">
        <f t="shared" si="103"/>
        <v/>
      </c>
      <c r="U430" s="4" t="e">
        <f ca="1">VLOOKUP(N430,'COLOR CODE'!$B:$D,2,FALSE)</f>
        <v>#N/A</v>
      </c>
      <c r="V430" s="4" t="str">
        <f t="shared" si="104"/>
        <v/>
      </c>
      <c r="W430" s="4" t="e" cm="1">
        <f t="array" ref="W430">IF(INDEX(Table2[],_xlfn.XMATCH($A430,Table2[Steel Member],0),_xlfn.XMATCH(W$2,Table2[#Headers],0))=0,"",INDEX(Table2[],_xlfn.XMATCH($A430,Table2[Steel Member],0),_xlfn.XMATCH(W$2,Table2[#Headers],0)))</f>
        <v>#N/A</v>
      </c>
      <c r="X430" s="4" t="e">
        <f t="shared" si="114"/>
        <v>#N/A</v>
      </c>
      <c r="Y430" s="4" t="e" cm="1">
        <f t="array" ref="Y430">IF(INDEX(Table2[],_xlfn.XMATCH($A430,Table2[Steel Member],0),_xlfn.XMATCH(Y$2,Table2[#Headers],0))=0,"",INDEX(Table2[],_xlfn.XMATCH($A430,Table2[Steel Member],0),_xlfn.XMATCH(Y$2,Table2[#Headers],0)))</f>
        <v>#N/A</v>
      </c>
      <c r="Z430" s="4" t="e" cm="1">
        <f t="array" ref="Z430">IF(INDEX(Table2[],_xlfn.XMATCH($A430,Table2[Steel Member],0),_xlfn.XMATCH(Z$2,Table2[#Headers],0))=0,"",INDEX(Table2[],_xlfn.XMATCH($A430,Table2[Steel Member],0),_xlfn.XMATCH(Z$2,Table2[#Headers],0)))</f>
        <v>#N/A</v>
      </c>
      <c r="AA430" s="4" t="e" cm="1">
        <f t="array" ref="AA430">IF(INDEX(Table2[],_xlfn.XMATCH($A430,Table2[Steel Member],0),_xlfn.XMATCH(AA$2,Table2[#Headers],0))=0,"",INDEX(Table2[],_xlfn.XMATCH($A430,Table2[Steel Member],0),_xlfn.XMATCH(AA$2,Table2[#Headers],0)))</f>
        <v>#N/A</v>
      </c>
      <c r="AB430" s="4" t="e" cm="1">
        <f t="array" ref="AB430">IF(INDEX(Table2[],_xlfn.XMATCH($A430,Table2[Steel Member],0),_xlfn.XMATCH(AB$2,Table2[#Headers],0))=0,"",INDEX(Table2[],_xlfn.XMATCH($A430,Table2[Steel Member],0),_xlfn.XMATCH(AB$2,Table2[#Headers],0)))</f>
        <v>#N/A</v>
      </c>
      <c r="AC430" s="4" t="str" cm="1">
        <f t="array" ref="AC430">IFERROR(INDEX(Table8[],_xlfn.XMATCH($O430,Table8[Dimension Name Category],0),_xlfn.XMATCH(AC$2&amp;IF($L430," w/ tag"," w/o tag"),Table8[#Headers],0)),"")</f>
        <v/>
      </c>
      <c r="AD430" s="59" t="str">
        <f t="shared" si="105"/>
        <v/>
      </c>
      <c r="AE430" s="4" t="str">
        <f t="shared" si="106"/>
        <v/>
      </c>
      <c r="AF430" s="4" t="str">
        <f t="shared" si="107"/>
        <v/>
      </c>
      <c r="AG430" s="4" t="str" cm="1">
        <f t="array" ref="AG430">IFERROR(INDEX(Table8[],_xlfn.XMATCH($O430,Table8[Dimension Name Category],0),_xlfn.XMATCH(AG$2&amp;IF($L430," w/ tag"," w/o tag"),Table8[#Headers],0)),"")</f>
        <v/>
      </c>
      <c r="AH430" s="59" t="str">
        <f t="shared" si="108"/>
        <v/>
      </c>
      <c r="AI430" s="4"/>
      <c r="AJ430" s="4" t="str">
        <f t="shared" si="109"/>
        <v/>
      </c>
      <c r="AK430" s="4" t="str">
        <f t="shared" si="110"/>
        <v/>
      </c>
      <c r="AL430" s="4" t="e" cm="1">
        <f t="array" ref="AL430">IF(INDEX(Table2[],_xlfn.XMATCH($A430,Table2[Steel Member],0),_xlfn.XMATCH(AL$2,Table2[#Headers],0))=0,"",INDEX(Table2[],_xlfn.XMATCH($A430,Table2[Steel Member],0),_xlfn.XMATCH(AL$2,Table2[#Headers],0)))</f>
        <v>#N/A</v>
      </c>
      <c r="AM430" s="4"/>
      <c r="AN430" s="4" t="str">
        <f t="shared" si="111"/>
        <v/>
      </c>
      <c r="AO430" s="4"/>
      <c r="AP430" s="4" t="e" cm="1">
        <f t="array" ref="AP430">IF(INDEX(Table2[],_xlfn.XMATCH($A430,Table2[Steel Member],0),_xlfn.XMATCH(AP$2,Table2[#Headers],0))=0,"",INDEX(Table2[],_xlfn.XMATCH($A430,Table2[Steel Member],0),_xlfn.XMATCH(AP$2,Table2[#Headers],0)))</f>
        <v>#N/A</v>
      </c>
      <c r="AQ430" s="4"/>
      <c r="AR430" s="4"/>
      <c r="AS430" s="4"/>
      <c r="AT430" s="4"/>
    </row>
    <row r="431" spans="1:46" x14ac:dyDescent="0.25">
      <c r="A431" s="52"/>
      <c r="B431" s="52"/>
      <c r="C431" s="52"/>
      <c r="D431" s="52"/>
      <c r="E431" s="52"/>
      <c r="F431" s="64" cm="1">
        <f t="array" ref="F431">IF(COUNT(FIND(PurlinsxGirthsxBracings,$C431))&gt;0,0,ROUNDUP(IF(D431=0,0,VLOOKUP(D431,'DATA SHEET'!$B:$D,2,FALSE)),2))</f>
        <v>0</v>
      </c>
      <c r="G431" s="64" cm="1">
        <f t="array" ref="G431">IF(COUNT(FIND(PurlinsxGirthsxBracings,$C431))&gt;0,0,ROUNDUP(IF(D431=0,0,VLOOKUP(D431,'DATA SHEET'!$B:$D,3,FALSE)),2))</f>
        <v>0</v>
      </c>
      <c r="H431" s="53"/>
      <c r="I431" s="66" cm="1">
        <f t="array" ref="I431">IF(AND(ISBLANK(B431),ISBLANK(C431),ISBLANK(E431)),0,IF(COUNT(FIND(PurlinsxGirthsxBracings,$C431))&gt;0,IF(B431=0,CONCATENATE(E431," ",C431),CONCATENATE(B431," - ",E431," ",C431)),IF(B431=0,IF(ISBLANK(C431),E431,CONCATENATE(D431,", ",F431,"kg/m, ",G431,"mm surface perimeter")),IF(AND(ISBLANK(C431),ISTEXT(E431)),CONCATENATE(B431," - ",E431),IF(AND(ISBLANK(C431),ISBLANK(E431)),B431,CONCATENATE(B431," - ",D431,", ",F431,"kg/m, ",G431,"mm surface perimeter"))))&amp;IF(ISBLANK(H431),"",H431)))</f>
        <v>0</v>
      </c>
      <c r="J431" s="53"/>
      <c r="L431" s="4" t="str" cm="1">
        <f t="array" ref="L431">IF(COUNT(FIND({0,1,2,3,4,5,6,7,8,9},B431))&gt;0,COUNT(FIND({0,1,2,3,4,5,6,7,8,9},B431))&gt;0,"")</f>
        <v/>
      </c>
      <c r="M431" s="4" t="str" cm="1">
        <f t="array" aca="1" ref="M431" ca="1">IFERROR(_xlfn.IFS(R431="Count",RANDBETWEEN(1,COUNTIF($R$11:$R$653,"Count")),R431="Length",RANDBETWEEN(1,COUNTIF($R$11:$R$653,"Length"))),"")</f>
        <v/>
      </c>
      <c r="N431" s="4" t="str">
        <f ca="1">IFERROR(_xlfn.RANK.EQ(M431,$M$11:$M$653)+COUNTIF($M$11:M431,M431)-1,"")</f>
        <v/>
      </c>
      <c r="O431" s="86" t="str">
        <f>IF(A431='DATA SHEET'!$L$36,C431,IFERROR(IF(AND(ISTEXT(I431),ISBLANK(C431)),"No details",VLOOKUP(C431,DimFolder,2,FALSE)),""))</f>
        <v/>
      </c>
      <c r="P431" s="4" t="str">
        <f t="shared" si="113"/>
        <v/>
      </c>
      <c r="Q431" s="58" t="str">
        <f t="shared" si="112"/>
        <v/>
      </c>
      <c r="R431" s="4" t="e" cm="1">
        <f t="array" ref="R431">IF(INDEX(Table2[],_xlfn.XMATCH($A431,Table2[Steel Member],0),_xlfn.XMATCH(R$2,Table2[#Headers],0))=0,"",INDEX(Table2[],_xlfn.XMATCH($A431,Table2[Steel Member],0),_xlfn.XMATCH(R$2,Table2[#Headers],0)))</f>
        <v>#N/A</v>
      </c>
      <c r="S431" s="4" t="e" cm="1">
        <f t="array" ref="S431">IF(INDEX(Table2[],_xlfn.XMATCH($A431,Table2[Steel Member],0),_xlfn.XMATCH(S$2,Table2[#Headers],0))=0,"",INDEX(Table2[],_xlfn.XMATCH($A431,Table2[Steel Member],0),_xlfn.XMATCH(S$2,Table2[#Headers],0)))</f>
        <v>#N/A</v>
      </c>
      <c r="T431" s="4" t="str">
        <f t="shared" si="103"/>
        <v/>
      </c>
      <c r="U431" s="4" t="e">
        <f ca="1">VLOOKUP(N431,'COLOR CODE'!$B:$D,2,FALSE)</f>
        <v>#N/A</v>
      </c>
      <c r="V431" s="4" t="str">
        <f t="shared" si="104"/>
        <v/>
      </c>
      <c r="W431" s="4" t="e" cm="1">
        <f t="array" ref="W431">IF(INDEX(Table2[],_xlfn.XMATCH($A431,Table2[Steel Member],0),_xlfn.XMATCH(W$2,Table2[#Headers],0))=0,"",INDEX(Table2[],_xlfn.XMATCH($A431,Table2[Steel Member],0),_xlfn.XMATCH(W$2,Table2[#Headers],0)))</f>
        <v>#N/A</v>
      </c>
      <c r="X431" s="4" t="e">
        <f t="shared" si="114"/>
        <v>#N/A</v>
      </c>
      <c r="Y431" s="4" t="e" cm="1">
        <f t="array" ref="Y431">IF(INDEX(Table2[],_xlfn.XMATCH($A431,Table2[Steel Member],0),_xlfn.XMATCH(Y$2,Table2[#Headers],0))=0,"",INDEX(Table2[],_xlfn.XMATCH($A431,Table2[Steel Member],0),_xlfn.XMATCH(Y$2,Table2[#Headers],0)))</f>
        <v>#N/A</v>
      </c>
      <c r="Z431" s="4" t="e" cm="1">
        <f t="array" ref="Z431">IF(INDEX(Table2[],_xlfn.XMATCH($A431,Table2[Steel Member],0),_xlfn.XMATCH(Z$2,Table2[#Headers],0))=0,"",INDEX(Table2[],_xlfn.XMATCH($A431,Table2[Steel Member],0),_xlfn.XMATCH(Z$2,Table2[#Headers],0)))</f>
        <v>#N/A</v>
      </c>
      <c r="AA431" s="4" t="e" cm="1">
        <f t="array" ref="AA431">IF(INDEX(Table2[],_xlfn.XMATCH($A431,Table2[Steel Member],0),_xlfn.XMATCH(AA$2,Table2[#Headers],0))=0,"",INDEX(Table2[],_xlfn.XMATCH($A431,Table2[Steel Member],0),_xlfn.XMATCH(AA$2,Table2[#Headers],0)))</f>
        <v>#N/A</v>
      </c>
      <c r="AB431" s="4" t="e" cm="1">
        <f t="array" ref="AB431">IF(INDEX(Table2[],_xlfn.XMATCH($A431,Table2[Steel Member],0),_xlfn.XMATCH(AB$2,Table2[#Headers],0))=0,"",INDEX(Table2[],_xlfn.XMATCH($A431,Table2[Steel Member],0),_xlfn.XMATCH(AB$2,Table2[#Headers],0)))</f>
        <v>#N/A</v>
      </c>
      <c r="AC431" s="4" t="str" cm="1">
        <f t="array" ref="AC431">IFERROR(INDEX(Table8[],_xlfn.XMATCH($O431,Table8[Dimension Name Category],0),_xlfn.XMATCH(AC$2&amp;IF($L431," w/ tag"," w/o tag"),Table8[#Headers],0)),"")</f>
        <v/>
      </c>
      <c r="AD431" s="59" t="str">
        <f t="shared" si="105"/>
        <v/>
      </c>
      <c r="AE431" s="4" t="str">
        <f t="shared" si="106"/>
        <v/>
      </c>
      <c r="AF431" s="4" t="str">
        <f t="shared" si="107"/>
        <v/>
      </c>
      <c r="AG431" s="4" t="str" cm="1">
        <f t="array" ref="AG431">IFERROR(INDEX(Table8[],_xlfn.XMATCH($O431,Table8[Dimension Name Category],0),_xlfn.XMATCH(AG$2&amp;IF($L431," w/ tag"," w/o tag"),Table8[#Headers],0)),"")</f>
        <v/>
      </c>
      <c r="AH431" s="59" t="str">
        <f t="shared" si="108"/>
        <v/>
      </c>
      <c r="AI431" s="4"/>
      <c r="AJ431" s="4" t="str">
        <f t="shared" si="109"/>
        <v/>
      </c>
      <c r="AK431" s="4" t="str">
        <f t="shared" si="110"/>
        <v/>
      </c>
      <c r="AL431" s="4" t="e" cm="1">
        <f t="array" ref="AL431">IF(INDEX(Table2[],_xlfn.XMATCH($A431,Table2[Steel Member],0),_xlfn.XMATCH(AL$2,Table2[#Headers],0))=0,"",INDEX(Table2[],_xlfn.XMATCH($A431,Table2[Steel Member],0),_xlfn.XMATCH(AL$2,Table2[#Headers],0)))</f>
        <v>#N/A</v>
      </c>
      <c r="AM431" s="4"/>
      <c r="AN431" s="4" t="str">
        <f t="shared" si="111"/>
        <v/>
      </c>
      <c r="AO431" s="4"/>
      <c r="AP431" s="4" t="e" cm="1">
        <f t="array" ref="AP431">IF(INDEX(Table2[],_xlfn.XMATCH($A431,Table2[Steel Member],0),_xlfn.XMATCH(AP$2,Table2[#Headers],0))=0,"",INDEX(Table2[],_xlfn.XMATCH($A431,Table2[Steel Member],0),_xlfn.XMATCH(AP$2,Table2[#Headers],0)))</f>
        <v>#N/A</v>
      </c>
      <c r="AQ431" s="4"/>
      <c r="AR431" s="4"/>
      <c r="AS431" s="4"/>
      <c r="AT431" s="4"/>
    </row>
    <row r="432" spans="1:46" x14ac:dyDescent="0.25">
      <c r="A432" s="52"/>
      <c r="B432" s="52"/>
      <c r="C432" s="52"/>
      <c r="D432" s="52"/>
      <c r="E432" s="52"/>
      <c r="F432" s="64" cm="1">
        <f t="array" ref="F432">IF(COUNT(FIND(PurlinsxGirthsxBracings,$C432))&gt;0,0,ROUNDUP(IF(D432=0,0,VLOOKUP(D432,'DATA SHEET'!$B:$D,2,FALSE)),2))</f>
        <v>0</v>
      </c>
      <c r="G432" s="64" cm="1">
        <f t="array" ref="G432">IF(COUNT(FIND(PurlinsxGirthsxBracings,$C432))&gt;0,0,ROUNDUP(IF(D432=0,0,VLOOKUP(D432,'DATA SHEET'!$B:$D,3,FALSE)),2))</f>
        <v>0</v>
      </c>
      <c r="H432" s="53"/>
      <c r="I432" s="66" cm="1">
        <f t="array" ref="I432">IF(AND(ISBLANK(B432),ISBLANK(C432),ISBLANK(E432)),0,IF(COUNT(FIND(PurlinsxGirthsxBracings,$C432))&gt;0,IF(B432=0,CONCATENATE(E432," ",C432),CONCATENATE(B432," - ",E432," ",C432)),IF(B432=0,IF(ISBLANK(C432),E432,CONCATENATE(D432,", ",F432,"kg/m, ",G432,"mm surface perimeter")),IF(AND(ISBLANK(C432),ISTEXT(E432)),CONCATENATE(B432," - ",E432),IF(AND(ISBLANK(C432),ISBLANK(E432)),B432,CONCATENATE(B432," - ",D432,", ",F432,"kg/m, ",G432,"mm surface perimeter"))))&amp;IF(ISBLANK(H432),"",H432)))</f>
        <v>0</v>
      </c>
      <c r="J432" s="53"/>
      <c r="L432" s="4" t="str" cm="1">
        <f t="array" ref="L432">IF(COUNT(FIND({0,1,2,3,4,5,6,7,8,9},B432))&gt;0,COUNT(FIND({0,1,2,3,4,5,6,7,8,9},B432))&gt;0,"")</f>
        <v/>
      </c>
      <c r="M432" s="4" t="str" cm="1">
        <f t="array" aca="1" ref="M432" ca="1">IFERROR(_xlfn.IFS(R432="Count",RANDBETWEEN(1,COUNTIF($R$11:$R$653,"Count")),R432="Length",RANDBETWEEN(1,COUNTIF($R$11:$R$653,"Length"))),"")</f>
        <v/>
      </c>
      <c r="N432" s="4" t="str">
        <f ca="1">IFERROR(_xlfn.RANK.EQ(M432,$M$11:$M$653)+COUNTIF($M$11:M432,M432)-1,"")</f>
        <v/>
      </c>
      <c r="O432" s="86" t="str">
        <f>IF(A432='DATA SHEET'!$L$36,C432,IFERROR(IF(AND(ISTEXT(I432),ISBLANK(C432)),"No details",VLOOKUP(C432,DimFolder,2,FALSE)),""))</f>
        <v/>
      </c>
      <c r="P432" s="4" t="str">
        <f t="shared" si="113"/>
        <v/>
      </c>
      <c r="Q432" s="58" t="str">
        <f t="shared" si="112"/>
        <v/>
      </c>
      <c r="R432" s="4" t="e" cm="1">
        <f t="array" ref="R432">IF(INDEX(Table2[],_xlfn.XMATCH($A432,Table2[Steel Member],0),_xlfn.XMATCH(R$2,Table2[#Headers],0))=0,"",INDEX(Table2[],_xlfn.XMATCH($A432,Table2[Steel Member],0),_xlfn.XMATCH(R$2,Table2[#Headers],0)))</f>
        <v>#N/A</v>
      </c>
      <c r="S432" s="4" t="e" cm="1">
        <f t="array" ref="S432">IF(INDEX(Table2[],_xlfn.XMATCH($A432,Table2[Steel Member],0),_xlfn.XMATCH(S$2,Table2[#Headers],0))=0,"",INDEX(Table2[],_xlfn.XMATCH($A432,Table2[Steel Member],0),_xlfn.XMATCH(S$2,Table2[#Headers],0)))</f>
        <v>#N/A</v>
      </c>
      <c r="T432" s="4" t="str">
        <f t="shared" si="103"/>
        <v/>
      </c>
      <c r="U432" s="4" t="e">
        <f ca="1">VLOOKUP(N432,'COLOR CODE'!$B:$D,2,FALSE)</f>
        <v>#N/A</v>
      </c>
      <c r="V432" s="4" t="str">
        <f t="shared" si="104"/>
        <v/>
      </c>
      <c r="W432" s="4" t="e" cm="1">
        <f t="array" ref="W432">IF(INDEX(Table2[],_xlfn.XMATCH($A432,Table2[Steel Member],0),_xlfn.XMATCH(W$2,Table2[#Headers],0))=0,"",INDEX(Table2[],_xlfn.XMATCH($A432,Table2[Steel Member],0),_xlfn.XMATCH(W$2,Table2[#Headers],0)))</f>
        <v>#N/A</v>
      </c>
      <c r="X432" s="4" t="e">
        <f t="shared" si="114"/>
        <v>#N/A</v>
      </c>
      <c r="Y432" s="4" t="e" cm="1">
        <f t="array" ref="Y432">IF(INDEX(Table2[],_xlfn.XMATCH($A432,Table2[Steel Member],0),_xlfn.XMATCH(Y$2,Table2[#Headers],0))=0,"",INDEX(Table2[],_xlfn.XMATCH($A432,Table2[Steel Member],0),_xlfn.XMATCH(Y$2,Table2[#Headers],0)))</f>
        <v>#N/A</v>
      </c>
      <c r="Z432" s="4" t="e" cm="1">
        <f t="array" ref="Z432">IF(INDEX(Table2[],_xlfn.XMATCH($A432,Table2[Steel Member],0),_xlfn.XMATCH(Z$2,Table2[#Headers],0))=0,"",INDEX(Table2[],_xlfn.XMATCH($A432,Table2[Steel Member],0),_xlfn.XMATCH(Z$2,Table2[#Headers],0)))</f>
        <v>#N/A</v>
      </c>
      <c r="AA432" s="4" t="e" cm="1">
        <f t="array" ref="AA432">IF(INDEX(Table2[],_xlfn.XMATCH($A432,Table2[Steel Member],0),_xlfn.XMATCH(AA$2,Table2[#Headers],0))=0,"",INDEX(Table2[],_xlfn.XMATCH($A432,Table2[Steel Member],0),_xlfn.XMATCH(AA$2,Table2[#Headers],0)))</f>
        <v>#N/A</v>
      </c>
      <c r="AB432" s="4" t="e" cm="1">
        <f t="array" ref="AB432">IF(INDEX(Table2[],_xlfn.XMATCH($A432,Table2[Steel Member],0),_xlfn.XMATCH(AB$2,Table2[#Headers],0))=0,"",INDEX(Table2[],_xlfn.XMATCH($A432,Table2[Steel Member],0),_xlfn.XMATCH(AB$2,Table2[#Headers],0)))</f>
        <v>#N/A</v>
      </c>
      <c r="AC432" s="4" t="str" cm="1">
        <f t="array" ref="AC432">IFERROR(INDEX(Table8[],_xlfn.XMATCH($O432,Table8[Dimension Name Category],0),_xlfn.XMATCH(AC$2&amp;IF($L432," w/ tag"," w/o tag"),Table8[#Headers],0)),"")</f>
        <v/>
      </c>
      <c r="AD432" s="59" t="str">
        <f t="shared" si="105"/>
        <v/>
      </c>
      <c r="AE432" s="4" t="str">
        <f t="shared" si="106"/>
        <v/>
      </c>
      <c r="AF432" s="4" t="str">
        <f t="shared" si="107"/>
        <v/>
      </c>
      <c r="AG432" s="4" t="str" cm="1">
        <f t="array" ref="AG432">IFERROR(INDEX(Table8[],_xlfn.XMATCH($O432,Table8[Dimension Name Category],0),_xlfn.XMATCH(AG$2&amp;IF($L432," w/ tag"," w/o tag"),Table8[#Headers],0)),"")</f>
        <v/>
      </c>
      <c r="AH432" s="59" t="str">
        <f t="shared" si="108"/>
        <v/>
      </c>
      <c r="AI432" s="4"/>
      <c r="AJ432" s="4" t="str">
        <f t="shared" si="109"/>
        <v/>
      </c>
      <c r="AK432" s="4" t="str">
        <f t="shared" si="110"/>
        <v/>
      </c>
      <c r="AL432" s="4" t="e" cm="1">
        <f t="array" ref="AL432">IF(INDEX(Table2[],_xlfn.XMATCH($A432,Table2[Steel Member],0),_xlfn.XMATCH(AL$2,Table2[#Headers],0))=0,"",INDEX(Table2[],_xlfn.XMATCH($A432,Table2[Steel Member],0),_xlfn.XMATCH(AL$2,Table2[#Headers],0)))</f>
        <v>#N/A</v>
      </c>
      <c r="AM432" s="4"/>
      <c r="AN432" s="4" t="str">
        <f t="shared" si="111"/>
        <v/>
      </c>
      <c r="AO432" s="4"/>
      <c r="AP432" s="4" t="e" cm="1">
        <f t="array" ref="AP432">IF(INDEX(Table2[],_xlfn.XMATCH($A432,Table2[Steel Member],0),_xlfn.XMATCH(AP$2,Table2[#Headers],0))=0,"",INDEX(Table2[],_xlfn.XMATCH($A432,Table2[Steel Member],0),_xlfn.XMATCH(AP$2,Table2[#Headers],0)))</f>
        <v>#N/A</v>
      </c>
      <c r="AQ432" s="4"/>
      <c r="AR432" s="4"/>
      <c r="AS432" s="4"/>
      <c r="AT432" s="4"/>
    </row>
    <row r="433" spans="1:46" x14ac:dyDescent="0.25">
      <c r="A433" s="52"/>
      <c r="B433" s="52"/>
      <c r="C433" s="52"/>
      <c r="D433" s="52"/>
      <c r="E433" s="52"/>
      <c r="F433" s="64" cm="1">
        <f t="array" ref="F433">IF(COUNT(FIND(PurlinsxGirthsxBracings,$C433))&gt;0,0,ROUNDUP(IF(D433=0,0,VLOOKUP(D433,'DATA SHEET'!$B:$D,2,FALSE)),2))</f>
        <v>0</v>
      </c>
      <c r="G433" s="64" cm="1">
        <f t="array" ref="G433">IF(COUNT(FIND(PurlinsxGirthsxBracings,$C433))&gt;0,0,ROUNDUP(IF(D433=0,0,VLOOKUP(D433,'DATA SHEET'!$B:$D,3,FALSE)),2))</f>
        <v>0</v>
      </c>
      <c r="H433" s="53"/>
      <c r="I433" s="66" cm="1">
        <f t="array" ref="I433">IF(AND(ISBLANK(B433),ISBLANK(C433),ISBLANK(E433)),0,IF(COUNT(FIND(PurlinsxGirthsxBracings,$C433))&gt;0,IF(B433=0,CONCATENATE(E433," ",C433),CONCATENATE(B433," - ",E433," ",C433)),IF(B433=0,IF(ISBLANK(C433),E433,CONCATENATE(D433,", ",F433,"kg/m, ",G433,"mm surface perimeter")),IF(AND(ISBLANK(C433),ISTEXT(E433)),CONCATENATE(B433," - ",E433),IF(AND(ISBLANK(C433),ISBLANK(E433)),B433,CONCATENATE(B433," - ",D433,", ",F433,"kg/m, ",G433,"mm surface perimeter"))))&amp;IF(ISBLANK(H433),"",H433)))</f>
        <v>0</v>
      </c>
      <c r="J433" s="53"/>
      <c r="L433" s="4" t="str" cm="1">
        <f t="array" ref="L433">IF(COUNT(FIND({0,1,2,3,4,5,6,7,8,9},B433))&gt;0,COUNT(FIND({0,1,2,3,4,5,6,7,8,9},B433))&gt;0,"")</f>
        <v/>
      </c>
      <c r="M433" s="4" t="str" cm="1">
        <f t="array" aca="1" ref="M433" ca="1">IFERROR(_xlfn.IFS(R433="Count",RANDBETWEEN(1,COUNTIF($R$11:$R$653,"Count")),R433="Length",RANDBETWEEN(1,COUNTIF($R$11:$R$653,"Length"))),"")</f>
        <v/>
      </c>
      <c r="N433" s="4" t="str">
        <f ca="1">IFERROR(_xlfn.RANK.EQ(M433,$M$11:$M$653)+COUNTIF($M$11:M433,M433)-1,"")</f>
        <v/>
      </c>
      <c r="O433" s="86" t="str">
        <f>IF(A433='DATA SHEET'!$L$36,C433,IFERROR(IF(AND(ISTEXT(I433),ISBLANK(C433)),"No details",VLOOKUP(C433,DimFolder,2,FALSE)),""))</f>
        <v/>
      </c>
      <c r="P433" s="4" t="str">
        <f t="shared" si="113"/>
        <v/>
      </c>
      <c r="Q433" s="58" t="str">
        <f t="shared" si="112"/>
        <v/>
      </c>
      <c r="R433" s="4" t="e" cm="1">
        <f t="array" ref="R433">IF(INDEX(Table2[],_xlfn.XMATCH($A433,Table2[Steel Member],0),_xlfn.XMATCH(R$2,Table2[#Headers],0))=0,"",INDEX(Table2[],_xlfn.XMATCH($A433,Table2[Steel Member],0),_xlfn.XMATCH(R$2,Table2[#Headers],0)))</f>
        <v>#N/A</v>
      </c>
      <c r="S433" s="4" t="e" cm="1">
        <f t="array" ref="S433">IF(INDEX(Table2[],_xlfn.XMATCH($A433,Table2[Steel Member],0),_xlfn.XMATCH(S$2,Table2[#Headers],0))=0,"",INDEX(Table2[],_xlfn.XMATCH($A433,Table2[Steel Member],0),_xlfn.XMATCH(S$2,Table2[#Headers],0)))</f>
        <v>#N/A</v>
      </c>
      <c r="T433" s="4" t="str">
        <f t="shared" si="103"/>
        <v/>
      </c>
      <c r="U433" s="4" t="e">
        <f ca="1">VLOOKUP(N433,'COLOR CODE'!$B:$D,2,FALSE)</f>
        <v>#N/A</v>
      </c>
      <c r="V433" s="4" t="str">
        <f t="shared" si="104"/>
        <v/>
      </c>
      <c r="W433" s="4" t="e" cm="1">
        <f t="array" ref="W433">IF(INDEX(Table2[],_xlfn.XMATCH($A433,Table2[Steel Member],0),_xlfn.XMATCH(W$2,Table2[#Headers],0))=0,"",INDEX(Table2[],_xlfn.XMATCH($A433,Table2[Steel Member],0),_xlfn.XMATCH(W$2,Table2[#Headers],0)))</f>
        <v>#N/A</v>
      </c>
      <c r="X433" s="4" t="e">
        <f t="shared" si="114"/>
        <v>#N/A</v>
      </c>
      <c r="Y433" s="4" t="e" cm="1">
        <f t="array" ref="Y433">IF(INDEX(Table2[],_xlfn.XMATCH($A433,Table2[Steel Member],0),_xlfn.XMATCH(Y$2,Table2[#Headers],0))=0,"",INDEX(Table2[],_xlfn.XMATCH($A433,Table2[Steel Member],0),_xlfn.XMATCH(Y$2,Table2[#Headers],0)))</f>
        <v>#N/A</v>
      </c>
      <c r="Z433" s="4" t="e" cm="1">
        <f t="array" ref="Z433">IF(INDEX(Table2[],_xlfn.XMATCH($A433,Table2[Steel Member],0),_xlfn.XMATCH(Z$2,Table2[#Headers],0))=0,"",INDEX(Table2[],_xlfn.XMATCH($A433,Table2[Steel Member],0),_xlfn.XMATCH(Z$2,Table2[#Headers],0)))</f>
        <v>#N/A</v>
      </c>
      <c r="AA433" s="4" t="e" cm="1">
        <f t="array" ref="AA433">IF(INDEX(Table2[],_xlfn.XMATCH($A433,Table2[Steel Member],0),_xlfn.XMATCH(AA$2,Table2[#Headers],0))=0,"",INDEX(Table2[],_xlfn.XMATCH($A433,Table2[Steel Member],0),_xlfn.XMATCH(AA$2,Table2[#Headers],0)))</f>
        <v>#N/A</v>
      </c>
      <c r="AB433" s="4" t="e" cm="1">
        <f t="array" ref="AB433">IF(INDEX(Table2[],_xlfn.XMATCH($A433,Table2[Steel Member],0),_xlfn.XMATCH(AB$2,Table2[#Headers],0))=0,"",INDEX(Table2[],_xlfn.XMATCH($A433,Table2[Steel Member],0),_xlfn.XMATCH(AB$2,Table2[#Headers],0)))</f>
        <v>#N/A</v>
      </c>
      <c r="AC433" s="4" t="str" cm="1">
        <f t="array" ref="AC433">IFERROR(INDEX(Table8[],_xlfn.XMATCH($O433,Table8[Dimension Name Category],0),_xlfn.XMATCH(AC$2&amp;IF($L433," w/ tag"," w/o tag"),Table8[#Headers],0)),"")</f>
        <v/>
      </c>
      <c r="AD433" s="59" t="str">
        <f t="shared" si="105"/>
        <v/>
      </c>
      <c r="AE433" s="4" t="str">
        <f t="shared" si="106"/>
        <v/>
      </c>
      <c r="AF433" s="4" t="str">
        <f t="shared" si="107"/>
        <v/>
      </c>
      <c r="AG433" s="4" t="str" cm="1">
        <f t="array" ref="AG433">IFERROR(INDEX(Table8[],_xlfn.XMATCH($O433,Table8[Dimension Name Category],0),_xlfn.XMATCH(AG$2&amp;IF($L433," w/ tag"," w/o tag"),Table8[#Headers],0)),"")</f>
        <v/>
      </c>
      <c r="AH433" s="59" t="str">
        <f t="shared" si="108"/>
        <v/>
      </c>
      <c r="AI433" s="4"/>
      <c r="AJ433" s="4" t="str">
        <f t="shared" si="109"/>
        <v/>
      </c>
      <c r="AK433" s="4" t="str">
        <f t="shared" si="110"/>
        <v/>
      </c>
      <c r="AL433" s="4" t="e" cm="1">
        <f t="array" ref="AL433">IF(INDEX(Table2[],_xlfn.XMATCH($A433,Table2[Steel Member],0),_xlfn.XMATCH(AL$2,Table2[#Headers],0))=0,"",INDEX(Table2[],_xlfn.XMATCH($A433,Table2[Steel Member],0),_xlfn.XMATCH(AL$2,Table2[#Headers],0)))</f>
        <v>#N/A</v>
      </c>
      <c r="AM433" s="4"/>
      <c r="AN433" s="4" t="str">
        <f t="shared" si="111"/>
        <v/>
      </c>
      <c r="AO433" s="4"/>
      <c r="AP433" s="4" t="e" cm="1">
        <f t="array" ref="AP433">IF(INDEX(Table2[],_xlfn.XMATCH($A433,Table2[Steel Member],0),_xlfn.XMATCH(AP$2,Table2[#Headers],0))=0,"",INDEX(Table2[],_xlfn.XMATCH($A433,Table2[Steel Member],0),_xlfn.XMATCH(AP$2,Table2[#Headers],0)))</f>
        <v>#N/A</v>
      </c>
      <c r="AQ433" s="4"/>
      <c r="AR433" s="4"/>
      <c r="AS433" s="4"/>
      <c r="AT433" s="4"/>
    </row>
    <row r="434" spans="1:46" x14ac:dyDescent="0.25">
      <c r="A434" s="52"/>
      <c r="B434" s="52"/>
      <c r="C434" s="52"/>
      <c r="D434" s="52"/>
      <c r="E434" s="52"/>
      <c r="F434" s="64" cm="1">
        <f t="array" ref="F434">IF(COUNT(FIND(PurlinsxGirthsxBracings,$C434))&gt;0,0,ROUNDUP(IF(D434=0,0,VLOOKUP(D434,'DATA SHEET'!$B:$D,2,FALSE)),2))</f>
        <v>0</v>
      </c>
      <c r="G434" s="64" cm="1">
        <f t="array" ref="G434">IF(COUNT(FIND(PurlinsxGirthsxBracings,$C434))&gt;0,0,ROUNDUP(IF(D434=0,0,VLOOKUP(D434,'DATA SHEET'!$B:$D,3,FALSE)),2))</f>
        <v>0</v>
      </c>
      <c r="H434" s="53"/>
      <c r="I434" s="66" cm="1">
        <f t="array" ref="I434">IF(AND(ISBLANK(B434),ISBLANK(C434),ISBLANK(E434)),0,IF(COUNT(FIND(PurlinsxGirthsxBracings,$C434))&gt;0,IF(B434=0,CONCATENATE(E434," ",C434),CONCATENATE(B434," - ",E434," ",C434)),IF(B434=0,IF(ISBLANK(C434),E434,CONCATENATE(D434,", ",F434,"kg/m, ",G434,"mm surface perimeter")),IF(AND(ISBLANK(C434),ISTEXT(E434)),CONCATENATE(B434," - ",E434),IF(AND(ISBLANK(C434),ISBLANK(E434)),B434,CONCATENATE(B434," - ",D434,", ",F434,"kg/m, ",G434,"mm surface perimeter"))))&amp;IF(ISBLANK(H434),"",H434)))</f>
        <v>0</v>
      </c>
      <c r="J434" s="53"/>
      <c r="L434" s="4" t="str" cm="1">
        <f t="array" ref="L434">IF(COUNT(FIND({0,1,2,3,4,5,6,7,8,9},B434))&gt;0,COUNT(FIND({0,1,2,3,4,5,6,7,8,9},B434))&gt;0,"")</f>
        <v/>
      </c>
      <c r="M434" s="4" t="str" cm="1">
        <f t="array" aca="1" ref="M434" ca="1">IFERROR(_xlfn.IFS(R434="Count",RANDBETWEEN(1,COUNTIF($R$11:$R$653,"Count")),R434="Length",RANDBETWEEN(1,COUNTIF($R$11:$R$653,"Length"))),"")</f>
        <v/>
      </c>
      <c r="N434" s="4" t="str">
        <f ca="1">IFERROR(_xlfn.RANK.EQ(M434,$M$11:$M$653)+COUNTIF($M$11:M434,M434)-1,"")</f>
        <v/>
      </c>
      <c r="O434" s="86" t="str">
        <f>IF(A434='DATA SHEET'!$L$36,C434,IFERROR(IF(AND(ISTEXT(I434),ISBLANK(C434)),"No details",VLOOKUP(C434,DimFolder,2,FALSE)),""))</f>
        <v/>
      </c>
      <c r="P434" s="4" t="str">
        <f t="shared" si="113"/>
        <v/>
      </c>
      <c r="Q434" s="58" t="str">
        <f t="shared" si="112"/>
        <v/>
      </c>
      <c r="R434" s="4" t="e" cm="1">
        <f t="array" ref="R434">IF(INDEX(Table2[],_xlfn.XMATCH($A434,Table2[Steel Member],0),_xlfn.XMATCH(R$2,Table2[#Headers],0))=0,"",INDEX(Table2[],_xlfn.XMATCH($A434,Table2[Steel Member],0),_xlfn.XMATCH(R$2,Table2[#Headers],0)))</f>
        <v>#N/A</v>
      </c>
      <c r="S434" s="4" t="e" cm="1">
        <f t="array" ref="S434">IF(INDEX(Table2[],_xlfn.XMATCH($A434,Table2[Steel Member],0),_xlfn.XMATCH(S$2,Table2[#Headers],0))=0,"",INDEX(Table2[],_xlfn.XMATCH($A434,Table2[Steel Member],0),_xlfn.XMATCH(S$2,Table2[#Headers],0)))</f>
        <v>#N/A</v>
      </c>
      <c r="T434" s="4" t="str">
        <f t="shared" si="103"/>
        <v/>
      </c>
      <c r="U434" s="4" t="e">
        <f ca="1">VLOOKUP(N434,'COLOR CODE'!$B:$D,2,FALSE)</f>
        <v>#N/A</v>
      </c>
      <c r="V434" s="4" t="str">
        <f t="shared" si="104"/>
        <v/>
      </c>
      <c r="W434" s="4" t="e" cm="1">
        <f t="array" ref="W434">IF(INDEX(Table2[],_xlfn.XMATCH($A434,Table2[Steel Member],0),_xlfn.XMATCH(W$2,Table2[#Headers],0))=0,"",INDEX(Table2[],_xlfn.XMATCH($A434,Table2[Steel Member],0),_xlfn.XMATCH(W$2,Table2[#Headers],0)))</f>
        <v>#N/A</v>
      </c>
      <c r="X434" s="4" t="e">
        <f t="shared" si="114"/>
        <v>#N/A</v>
      </c>
      <c r="Y434" s="4" t="e" cm="1">
        <f t="array" ref="Y434">IF(INDEX(Table2[],_xlfn.XMATCH($A434,Table2[Steel Member],0),_xlfn.XMATCH(Y$2,Table2[#Headers],0))=0,"",INDEX(Table2[],_xlfn.XMATCH($A434,Table2[Steel Member],0),_xlfn.XMATCH(Y$2,Table2[#Headers],0)))</f>
        <v>#N/A</v>
      </c>
      <c r="Z434" s="4" t="e" cm="1">
        <f t="array" ref="Z434">IF(INDEX(Table2[],_xlfn.XMATCH($A434,Table2[Steel Member],0),_xlfn.XMATCH(Z$2,Table2[#Headers],0))=0,"",INDEX(Table2[],_xlfn.XMATCH($A434,Table2[Steel Member],0),_xlfn.XMATCH(Z$2,Table2[#Headers],0)))</f>
        <v>#N/A</v>
      </c>
      <c r="AA434" s="4" t="e" cm="1">
        <f t="array" ref="AA434">IF(INDEX(Table2[],_xlfn.XMATCH($A434,Table2[Steel Member],0),_xlfn.XMATCH(AA$2,Table2[#Headers],0))=0,"",INDEX(Table2[],_xlfn.XMATCH($A434,Table2[Steel Member],0),_xlfn.XMATCH(AA$2,Table2[#Headers],0)))</f>
        <v>#N/A</v>
      </c>
      <c r="AB434" s="4" t="e" cm="1">
        <f t="array" ref="AB434">IF(INDEX(Table2[],_xlfn.XMATCH($A434,Table2[Steel Member],0),_xlfn.XMATCH(AB$2,Table2[#Headers],0))=0,"",INDEX(Table2[],_xlfn.XMATCH($A434,Table2[Steel Member],0),_xlfn.XMATCH(AB$2,Table2[#Headers],0)))</f>
        <v>#N/A</v>
      </c>
      <c r="AC434" s="4" t="str" cm="1">
        <f t="array" ref="AC434">IFERROR(INDEX(Table8[],_xlfn.XMATCH($O434,Table8[Dimension Name Category],0),_xlfn.XMATCH(AC$2&amp;IF($L434," w/ tag"," w/o tag"),Table8[#Headers],0)),"")</f>
        <v/>
      </c>
      <c r="AD434" s="59" t="str">
        <f t="shared" si="105"/>
        <v/>
      </c>
      <c r="AE434" s="4" t="str">
        <f t="shared" si="106"/>
        <v/>
      </c>
      <c r="AF434" s="4" t="str">
        <f t="shared" si="107"/>
        <v/>
      </c>
      <c r="AG434" s="4" t="str" cm="1">
        <f t="array" ref="AG434">IFERROR(INDEX(Table8[],_xlfn.XMATCH($O434,Table8[Dimension Name Category],0),_xlfn.XMATCH(AG$2&amp;IF($L434," w/ tag"," w/o tag"),Table8[#Headers],0)),"")</f>
        <v/>
      </c>
      <c r="AH434" s="59" t="str">
        <f t="shared" si="108"/>
        <v/>
      </c>
      <c r="AI434" s="4"/>
      <c r="AJ434" s="4" t="str">
        <f t="shared" si="109"/>
        <v/>
      </c>
      <c r="AK434" s="4" t="str">
        <f t="shared" si="110"/>
        <v/>
      </c>
      <c r="AL434" s="4" t="e" cm="1">
        <f t="array" ref="AL434">IF(INDEX(Table2[],_xlfn.XMATCH($A434,Table2[Steel Member],0),_xlfn.XMATCH(AL$2,Table2[#Headers],0))=0,"",INDEX(Table2[],_xlfn.XMATCH($A434,Table2[Steel Member],0),_xlfn.XMATCH(AL$2,Table2[#Headers],0)))</f>
        <v>#N/A</v>
      </c>
      <c r="AM434" s="4"/>
      <c r="AN434" s="4" t="str">
        <f t="shared" si="111"/>
        <v/>
      </c>
      <c r="AO434" s="4"/>
      <c r="AP434" s="4" t="e" cm="1">
        <f t="array" ref="AP434">IF(INDEX(Table2[],_xlfn.XMATCH($A434,Table2[Steel Member],0),_xlfn.XMATCH(AP$2,Table2[#Headers],0))=0,"",INDEX(Table2[],_xlfn.XMATCH($A434,Table2[Steel Member],0),_xlfn.XMATCH(AP$2,Table2[#Headers],0)))</f>
        <v>#N/A</v>
      </c>
      <c r="AQ434" s="4"/>
      <c r="AR434" s="4"/>
      <c r="AS434" s="4"/>
      <c r="AT434" s="4"/>
    </row>
    <row r="435" spans="1:46" x14ac:dyDescent="0.25">
      <c r="A435" s="52"/>
      <c r="B435" s="52"/>
      <c r="C435" s="52"/>
      <c r="D435" s="52"/>
      <c r="E435" s="52"/>
      <c r="F435" s="64" cm="1">
        <f t="array" ref="F435">IF(COUNT(FIND(PurlinsxGirthsxBracings,$C435))&gt;0,0,ROUNDUP(IF(D435=0,0,VLOOKUP(D435,'DATA SHEET'!$B:$D,2,FALSE)),2))</f>
        <v>0</v>
      </c>
      <c r="G435" s="64" cm="1">
        <f t="array" ref="G435">IF(COUNT(FIND(PurlinsxGirthsxBracings,$C435))&gt;0,0,ROUNDUP(IF(D435=0,0,VLOOKUP(D435,'DATA SHEET'!$B:$D,3,FALSE)),2))</f>
        <v>0</v>
      </c>
      <c r="H435" s="53"/>
      <c r="I435" s="66" cm="1">
        <f t="array" ref="I435">IF(AND(ISBLANK(B435),ISBLANK(C435),ISBLANK(E435)),0,IF(COUNT(FIND(PurlinsxGirthsxBracings,$C435))&gt;0,IF(B435=0,CONCATENATE(E435," ",C435),CONCATENATE(B435," - ",E435," ",C435)),IF(B435=0,IF(ISBLANK(C435),E435,CONCATENATE(D435,", ",F435,"kg/m, ",G435,"mm surface perimeter")),IF(AND(ISBLANK(C435),ISTEXT(E435)),CONCATENATE(B435," - ",E435),IF(AND(ISBLANK(C435),ISBLANK(E435)),B435,CONCATENATE(B435," - ",D435,", ",F435,"kg/m, ",G435,"mm surface perimeter"))))&amp;IF(ISBLANK(H435),"",H435)))</f>
        <v>0</v>
      </c>
      <c r="J435" s="53"/>
      <c r="L435" s="4" t="str" cm="1">
        <f t="array" ref="L435">IF(COUNT(FIND({0,1,2,3,4,5,6,7,8,9},B435))&gt;0,COUNT(FIND({0,1,2,3,4,5,6,7,8,9},B435))&gt;0,"")</f>
        <v/>
      </c>
      <c r="M435" s="4" t="str" cm="1">
        <f t="array" aca="1" ref="M435" ca="1">IFERROR(_xlfn.IFS(R435="Count",RANDBETWEEN(1,COUNTIF($R$11:$R$653,"Count")),R435="Length",RANDBETWEEN(1,COUNTIF($R$11:$R$653,"Length"))),"")</f>
        <v/>
      </c>
      <c r="N435" s="4" t="str">
        <f ca="1">IFERROR(_xlfn.RANK.EQ(M435,$M$11:$M$653)+COUNTIF($M$11:M435,M435)-1,"")</f>
        <v/>
      </c>
      <c r="O435" s="86" t="str">
        <f>IF(A435='DATA SHEET'!$L$36,C435,IFERROR(IF(AND(ISTEXT(I435),ISBLANK(C435)),"No details",VLOOKUP(C435,DimFolder,2,FALSE)),""))</f>
        <v/>
      </c>
      <c r="P435" s="4" t="str">
        <f t="shared" si="113"/>
        <v/>
      </c>
      <c r="Q435" s="58" t="str">
        <f t="shared" si="112"/>
        <v/>
      </c>
      <c r="R435" s="4" t="e" cm="1">
        <f t="array" ref="R435">IF(INDEX(Table2[],_xlfn.XMATCH($A435,Table2[Steel Member],0),_xlfn.XMATCH(R$2,Table2[#Headers],0))=0,"",INDEX(Table2[],_xlfn.XMATCH($A435,Table2[Steel Member],0),_xlfn.XMATCH(R$2,Table2[#Headers],0)))</f>
        <v>#N/A</v>
      </c>
      <c r="S435" s="4" t="e" cm="1">
        <f t="array" ref="S435">IF(INDEX(Table2[],_xlfn.XMATCH($A435,Table2[Steel Member],0),_xlfn.XMATCH(S$2,Table2[#Headers],0))=0,"",INDEX(Table2[],_xlfn.XMATCH($A435,Table2[Steel Member],0),_xlfn.XMATCH(S$2,Table2[#Headers],0)))</f>
        <v>#N/A</v>
      </c>
      <c r="T435" s="4" t="str">
        <f t="shared" si="103"/>
        <v/>
      </c>
      <c r="U435" s="4" t="e">
        <f ca="1">VLOOKUP(N435,'COLOR CODE'!$B:$D,2,FALSE)</f>
        <v>#N/A</v>
      </c>
      <c r="V435" s="4" t="str">
        <f t="shared" si="104"/>
        <v/>
      </c>
      <c r="W435" s="4" t="e" cm="1">
        <f t="array" ref="W435">IF(INDEX(Table2[],_xlfn.XMATCH($A435,Table2[Steel Member],0),_xlfn.XMATCH(W$2,Table2[#Headers],0))=0,"",INDEX(Table2[],_xlfn.XMATCH($A435,Table2[Steel Member],0),_xlfn.XMATCH(W$2,Table2[#Headers],0)))</f>
        <v>#N/A</v>
      </c>
      <c r="X435" s="4" t="e">
        <f t="shared" si="114"/>
        <v>#N/A</v>
      </c>
      <c r="Y435" s="4" t="e" cm="1">
        <f t="array" ref="Y435">IF(INDEX(Table2[],_xlfn.XMATCH($A435,Table2[Steel Member],0),_xlfn.XMATCH(Y$2,Table2[#Headers],0))=0,"",INDEX(Table2[],_xlfn.XMATCH($A435,Table2[Steel Member],0),_xlfn.XMATCH(Y$2,Table2[#Headers],0)))</f>
        <v>#N/A</v>
      </c>
      <c r="Z435" s="4" t="e" cm="1">
        <f t="array" ref="Z435">IF(INDEX(Table2[],_xlfn.XMATCH($A435,Table2[Steel Member],0),_xlfn.XMATCH(Z$2,Table2[#Headers],0))=0,"",INDEX(Table2[],_xlfn.XMATCH($A435,Table2[Steel Member],0),_xlfn.XMATCH(Z$2,Table2[#Headers],0)))</f>
        <v>#N/A</v>
      </c>
      <c r="AA435" s="4" t="e" cm="1">
        <f t="array" ref="AA435">IF(INDEX(Table2[],_xlfn.XMATCH($A435,Table2[Steel Member],0),_xlfn.XMATCH(AA$2,Table2[#Headers],0))=0,"",INDEX(Table2[],_xlfn.XMATCH($A435,Table2[Steel Member],0),_xlfn.XMATCH(AA$2,Table2[#Headers],0)))</f>
        <v>#N/A</v>
      </c>
      <c r="AB435" s="4" t="e" cm="1">
        <f t="array" ref="AB435">IF(INDEX(Table2[],_xlfn.XMATCH($A435,Table2[Steel Member],0),_xlfn.XMATCH(AB$2,Table2[#Headers],0))=0,"",INDEX(Table2[],_xlfn.XMATCH($A435,Table2[Steel Member],0),_xlfn.XMATCH(AB$2,Table2[#Headers],0)))</f>
        <v>#N/A</v>
      </c>
      <c r="AC435" s="4" t="str" cm="1">
        <f t="array" ref="AC435">IFERROR(INDEX(Table8[],_xlfn.XMATCH($O435,Table8[Dimension Name Category],0),_xlfn.XMATCH(AC$2&amp;IF($L435," w/ tag"," w/o tag"),Table8[#Headers],0)),"")</f>
        <v/>
      </c>
      <c r="AD435" s="59" t="str">
        <f t="shared" si="105"/>
        <v/>
      </c>
      <c r="AE435" s="4" t="str">
        <f t="shared" si="106"/>
        <v/>
      </c>
      <c r="AF435" s="4" t="str">
        <f t="shared" si="107"/>
        <v/>
      </c>
      <c r="AG435" s="4" t="str" cm="1">
        <f t="array" ref="AG435">IFERROR(INDEX(Table8[],_xlfn.XMATCH($O435,Table8[Dimension Name Category],0),_xlfn.XMATCH(AG$2&amp;IF($L435," w/ tag"," w/o tag"),Table8[#Headers],0)),"")</f>
        <v/>
      </c>
      <c r="AH435" s="59" t="str">
        <f t="shared" si="108"/>
        <v/>
      </c>
      <c r="AI435" s="4"/>
      <c r="AJ435" s="4" t="str">
        <f t="shared" si="109"/>
        <v/>
      </c>
      <c r="AK435" s="4" t="str">
        <f t="shared" si="110"/>
        <v/>
      </c>
      <c r="AL435" s="4" t="e" cm="1">
        <f t="array" ref="AL435">IF(INDEX(Table2[],_xlfn.XMATCH($A435,Table2[Steel Member],0),_xlfn.XMATCH(AL$2,Table2[#Headers],0))=0,"",INDEX(Table2[],_xlfn.XMATCH($A435,Table2[Steel Member],0),_xlfn.XMATCH(AL$2,Table2[#Headers],0)))</f>
        <v>#N/A</v>
      </c>
      <c r="AM435" s="4"/>
      <c r="AN435" s="4" t="str">
        <f t="shared" si="111"/>
        <v/>
      </c>
      <c r="AO435" s="4"/>
      <c r="AP435" s="4" t="e" cm="1">
        <f t="array" ref="AP435">IF(INDEX(Table2[],_xlfn.XMATCH($A435,Table2[Steel Member],0),_xlfn.XMATCH(AP$2,Table2[#Headers],0))=0,"",INDEX(Table2[],_xlfn.XMATCH($A435,Table2[Steel Member],0),_xlfn.XMATCH(AP$2,Table2[#Headers],0)))</f>
        <v>#N/A</v>
      </c>
      <c r="AQ435" s="4"/>
      <c r="AR435" s="4"/>
      <c r="AS435" s="4"/>
      <c r="AT435" s="4"/>
    </row>
    <row r="436" spans="1:46" x14ac:dyDescent="0.25">
      <c r="A436" s="52"/>
      <c r="B436" s="52"/>
      <c r="C436" s="52"/>
      <c r="D436" s="52"/>
      <c r="E436" s="52"/>
      <c r="F436" s="64" cm="1">
        <f t="array" ref="F436">IF(COUNT(FIND(PurlinsxGirthsxBracings,$C436))&gt;0,0,ROUNDUP(IF(D436=0,0,VLOOKUP(D436,'DATA SHEET'!$B:$D,2,FALSE)),2))</f>
        <v>0</v>
      </c>
      <c r="G436" s="64" cm="1">
        <f t="array" ref="G436">IF(COUNT(FIND(PurlinsxGirthsxBracings,$C436))&gt;0,0,ROUNDUP(IF(D436=0,0,VLOOKUP(D436,'DATA SHEET'!$B:$D,3,FALSE)),2))</f>
        <v>0</v>
      </c>
      <c r="H436" s="53"/>
      <c r="I436" s="66" cm="1">
        <f t="array" ref="I436">IF(AND(ISBLANK(B436),ISBLANK(C436),ISBLANK(E436)),0,IF(COUNT(FIND(PurlinsxGirthsxBracings,$C436))&gt;0,IF(B436=0,CONCATENATE(E436," ",C436),CONCATENATE(B436," - ",E436," ",C436)),IF(B436=0,IF(ISBLANK(C436),E436,CONCATENATE(D436,", ",F436,"kg/m, ",G436,"mm surface perimeter")),IF(AND(ISBLANK(C436),ISTEXT(E436)),CONCATENATE(B436," - ",E436),IF(AND(ISBLANK(C436),ISBLANK(E436)),B436,CONCATENATE(B436," - ",D436,", ",F436,"kg/m, ",G436,"mm surface perimeter"))))&amp;IF(ISBLANK(H436),"",H436)))</f>
        <v>0</v>
      </c>
      <c r="J436" s="53"/>
      <c r="L436" s="4" t="str" cm="1">
        <f t="array" ref="L436">IF(COUNT(FIND({0,1,2,3,4,5,6,7,8,9},B436))&gt;0,COUNT(FIND({0,1,2,3,4,5,6,7,8,9},B436))&gt;0,"")</f>
        <v/>
      </c>
      <c r="M436" s="4" t="str" cm="1">
        <f t="array" aca="1" ref="M436" ca="1">IFERROR(_xlfn.IFS(R436="Count",RANDBETWEEN(1,COUNTIF($R$11:$R$653,"Count")),R436="Length",RANDBETWEEN(1,COUNTIF($R$11:$R$653,"Length"))),"")</f>
        <v/>
      </c>
      <c r="N436" s="4" t="str">
        <f ca="1">IFERROR(_xlfn.RANK.EQ(M436,$M$11:$M$653)+COUNTIF($M$11:M436,M436)-1,"")</f>
        <v/>
      </c>
      <c r="O436" s="86" t="str">
        <f>IF(A436='DATA SHEET'!$L$36,C436,IFERROR(IF(AND(ISTEXT(I436),ISBLANK(C436)),"No details",VLOOKUP(C436,DimFolder,2,FALSE)),""))</f>
        <v/>
      </c>
      <c r="P436" s="4" t="str">
        <f t="shared" si="113"/>
        <v/>
      </c>
      <c r="Q436" s="58" t="str">
        <f t="shared" si="112"/>
        <v/>
      </c>
      <c r="R436" s="4" t="e" cm="1">
        <f t="array" ref="R436">IF(INDEX(Table2[],_xlfn.XMATCH($A436,Table2[Steel Member],0),_xlfn.XMATCH(R$2,Table2[#Headers],0))=0,"",INDEX(Table2[],_xlfn.XMATCH($A436,Table2[Steel Member],0),_xlfn.XMATCH(R$2,Table2[#Headers],0)))</f>
        <v>#N/A</v>
      </c>
      <c r="S436" s="4" t="e" cm="1">
        <f t="array" ref="S436">IF(INDEX(Table2[],_xlfn.XMATCH($A436,Table2[Steel Member],0),_xlfn.XMATCH(S$2,Table2[#Headers],0))=0,"",INDEX(Table2[],_xlfn.XMATCH($A436,Table2[Steel Member],0),_xlfn.XMATCH(S$2,Table2[#Headers],0)))</f>
        <v>#N/A</v>
      </c>
      <c r="T436" s="4" t="str">
        <f t="shared" si="103"/>
        <v/>
      </c>
      <c r="U436" s="4" t="e">
        <f ca="1">VLOOKUP(N436,'COLOR CODE'!$B:$D,2,FALSE)</f>
        <v>#N/A</v>
      </c>
      <c r="V436" s="4" t="str">
        <f t="shared" si="104"/>
        <v/>
      </c>
      <c r="W436" s="4" t="e" cm="1">
        <f t="array" ref="W436">IF(INDEX(Table2[],_xlfn.XMATCH($A436,Table2[Steel Member],0),_xlfn.XMATCH(W$2,Table2[#Headers],0))=0,"",INDEX(Table2[],_xlfn.XMATCH($A436,Table2[Steel Member],0),_xlfn.XMATCH(W$2,Table2[#Headers],0)))</f>
        <v>#N/A</v>
      </c>
      <c r="X436" s="4" t="e">
        <f t="shared" si="114"/>
        <v>#N/A</v>
      </c>
      <c r="Y436" s="4" t="e" cm="1">
        <f t="array" ref="Y436">IF(INDEX(Table2[],_xlfn.XMATCH($A436,Table2[Steel Member],0),_xlfn.XMATCH(Y$2,Table2[#Headers],0))=0,"",INDEX(Table2[],_xlfn.XMATCH($A436,Table2[Steel Member],0),_xlfn.XMATCH(Y$2,Table2[#Headers],0)))</f>
        <v>#N/A</v>
      </c>
      <c r="Z436" s="4" t="e" cm="1">
        <f t="array" ref="Z436">IF(INDEX(Table2[],_xlfn.XMATCH($A436,Table2[Steel Member],0),_xlfn.XMATCH(Z$2,Table2[#Headers],0))=0,"",INDEX(Table2[],_xlfn.XMATCH($A436,Table2[Steel Member],0),_xlfn.XMATCH(Z$2,Table2[#Headers],0)))</f>
        <v>#N/A</v>
      </c>
      <c r="AA436" s="4" t="e" cm="1">
        <f t="array" ref="AA436">IF(INDEX(Table2[],_xlfn.XMATCH($A436,Table2[Steel Member],0),_xlfn.XMATCH(AA$2,Table2[#Headers],0))=0,"",INDEX(Table2[],_xlfn.XMATCH($A436,Table2[Steel Member],0),_xlfn.XMATCH(AA$2,Table2[#Headers],0)))</f>
        <v>#N/A</v>
      </c>
      <c r="AB436" s="4" t="e" cm="1">
        <f t="array" ref="AB436">IF(INDEX(Table2[],_xlfn.XMATCH($A436,Table2[Steel Member],0),_xlfn.XMATCH(AB$2,Table2[#Headers],0))=0,"",INDEX(Table2[],_xlfn.XMATCH($A436,Table2[Steel Member],0),_xlfn.XMATCH(AB$2,Table2[#Headers],0)))</f>
        <v>#N/A</v>
      </c>
      <c r="AC436" s="4" t="str" cm="1">
        <f t="array" ref="AC436">IFERROR(INDEX(Table8[],_xlfn.XMATCH($O436,Table8[Dimension Name Category],0),_xlfn.XMATCH(AC$2&amp;IF($L436," w/ tag"," w/o tag"),Table8[#Headers],0)),"")</f>
        <v/>
      </c>
      <c r="AD436" s="59" t="str">
        <f t="shared" si="105"/>
        <v/>
      </c>
      <c r="AE436" s="4" t="str">
        <f t="shared" si="106"/>
        <v/>
      </c>
      <c r="AF436" s="4" t="str">
        <f t="shared" si="107"/>
        <v/>
      </c>
      <c r="AG436" s="4" t="str" cm="1">
        <f t="array" ref="AG436">IFERROR(INDEX(Table8[],_xlfn.XMATCH($O436,Table8[Dimension Name Category],0),_xlfn.XMATCH(AG$2&amp;IF($L436," w/ tag"," w/o tag"),Table8[#Headers],0)),"")</f>
        <v/>
      </c>
      <c r="AH436" s="59" t="str">
        <f t="shared" si="108"/>
        <v/>
      </c>
      <c r="AI436" s="4"/>
      <c r="AJ436" s="4" t="str">
        <f t="shared" si="109"/>
        <v/>
      </c>
      <c r="AK436" s="4" t="str">
        <f t="shared" si="110"/>
        <v/>
      </c>
      <c r="AL436" s="4" t="e" cm="1">
        <f t="array" ref="AL436">IF(INDEX(Table2[],_xlfn.XMATCH($A436,Table2[Steel Member],0),_xlfn.XMATCH(AL$2,Table2[#Headers],0))=0,"",INDEX(Table2[],_xlfn.XMATCH($A436,Table2[Steel Member],0),_xlfn.XMATCH(AL$2,Table2[#Headers],0)))</f>
        <v>#N/A</v>
      </c>
      <c r="AM436" s="4"/>
      <c r="AN436" s="4" t="str">
        <f t="shared" si="111"/>
        <v/>
      </c>
      <c r="AO436" s="4"/>
      <c r="AP436" s="4" t="e" cm="1">
        <f t="array" ref="AP436">IF(INDEX(Table2[],_xlfn.XMATCH($A436,Table2[Steel Member],0),_xlfn.XMATCH(AP$2,Table2[#Headers],0))=0,"",INDEX(Table2[],_xlfn.XMATCH($A436,Table2[Steel Member],0),_xlfn.XMATCH(AP$2,Table2[#Headers],0)))</f>
        <v>#N/A</v>
      </c>
      <c r="AQ436" s="4"/>
      <c r="AR436" s="4"/>
      <c r="AS436" s="4"/>
      <c r="AT436" s="4"/>
    </row>
    <row r="437" spans="1:46" x14ac:dyDescent="0.25">
      <c r="A437" s="52"/>
      <c r="B437" s="52"/>
      <c r="C437" s="52"/>
      <c r="D437" s="52"/>
      <c r="E437" s="52"/>
      <c r="F437" s="64" cm="1">
        <f t="array" ref="F437">IF(COUNT(FIND(PurlinsxGirthsxBracings,$C437))&gt;0,0,ROUNDUP(IF(D437=0,0,VLOOKUP(D437,'DATA SHEET'!$B:$D,2,FALSE)),2))</f>
        <v>0</v>
      </c>
      <c r="G437" s="64" cm="1">
        <f t="array" ref="G437">IF(COUNT(FIND(PurlinsxGirthsxBracings,$C437))&gt;0,0,ROUNDUP(IF(D437=0,0,VLOOKUP(D437,'DATA SHEET'!$B:$D,3,FALSE)),2))</f>
        <v>0</v>
      </c>
      <c r="H437" s="53"/>
      <c r="I437" s="66" cm="1">
        <f t="array" ref="I437">IF(AND(ISBLANK(B437),ISBLANK(C437),ISBLANK(E437)),0,IF(COUNT(FIND(PurlinsxGirthsxBracings,$C437))&gt;0,IF(B437=0,CONCATENATE(E437," ",C437),CONCATENATE(B437," - ",E437," ",C437)),IF(B437=0,IF(ISBLANK(C437),E437,CONCATENATE(D437,", ",F437,"kg/m, ",G437,"mm surface perimeter")),IF(AND(ISBLANK(C437),ISTEXT(E437)),CONCATENATE(B437," - ",E437),IF(AND(ISBLANK(C437),ISBLANK(E437)),B437,CONCATENATE(B437," - ",D437,", ",F437,"kg/m, ",G437,"mm surface perimeter"))))&amp;IF(ISBLANK(H437),"",H437)))</f>
        <v>0</v>
      </c>
      <c r="J437" s="53"/>
      <c r="L437" s="4" t="str" cm="1">
        <f t="array" ref="L437">IF(COUNT(FIND({0,1,2,3,4,5,6,7,8,9},B437))&gt;0,COUNT(FIND({0,1,2,3,4,5,6,7,8,9},B437))&gt;0,"")</f>
        <v/>
      </c>
      <c r="M437" s="4" t="str" cm="1">
        <f t="array" aca="1" ref="M437" ca="1">IFERROR(_xlfn.IFS(R437="Count",RANDBETWEEN(1,COUNTIF($R$11:$R$653,"Count")),R437="Length",RANDBETWEEN(1,COUNTIF($R$11:$R$653,"Length"))),"")</f>
        <v/>
      </c>
      <c r="N437" s="4" t="str">
        <f ca="1">IFERROR(_xlfn.RANK.EQ(M437,$M$11:$M$653)+COUNTIF($M$11:M437,M437)-1,"")</f>
        <v/>
      </c>
      <c r="O437" s="86" t="str">
        <f>IF(A437='DATA SHEET'!$L$36,C437,IFERROR(IF(AND(ISTEXT(I437),ISBLANK(C437)),"No details",VLOOKUP(C437,DimFolder,2,FALSE)),""))</f>
        <v/>
      </c>
      <c r="P437" s="4" t="str">
        <f t="shared" si="113"/>
        <v/>
      </c>
      <c r="Q437" s="58" t="str">
        <f t="shared" si="112"/>
        <v/>
      </c>
      <c r="R437" s="4" t="e" cm="1">
        <f t="array" ref="R437">IF(INDEX(Table2[],_xlfn.XMATCH($A437,Table2[Steel Member],0),_xlfn.XMATCH(R$2,Table2[#Headers],0))=0,"",INDEX(Table2[],_xlfn.XMATCH($A437,Table2[Steel Member],0),_xlfn.XMATCH(R$2,Table2[#Headers],0)))</f>
        <v>#N/A</v>
      </c>
      <c r="S437" s="4" t="e" cm="1">
        <f t="array" ref="S437">IF(INDEX(Table2[],_xlfn.XMATCH($A437,Table2[Steel Member],0),_xlfn.XMATCH(S$2,Table2[#Headers],0))=0,"",INDEX(Table2[],_xlfn.XMATCH($A437,Table2[Steel Member],0),_xlfn.XMATCH(S$2,Table2[#Headers],0)))</f>
        <v>#N/A</v>
      </c>
      <c r="T437" s="4" t="str">
        <f t="shared" ref="T437:T500" si="115">IF(AND(ISBLANK(B437),ISBLANK(C437)),"","t")</f>
        <v/>
      </c>
      <c r="U437" s="4" t="e">
        <f ca="1">VLOOKUP(N437,'COLOR CODE'!$B:$D,2,FALSE)</f>
        <v>#N/A</v>
      </c>
      <c r="V437" s="4" t="str">
        <f t="shared" ref="V437:V500" si="116">IF(AND(ISBLANK(B437),ISBLANK(C437)),"","Red")</f>
        <v/>
      </c>
      <c r="W437" s="4" t="e" cm="1">
        <f t="array" ref="W437">IF(INDEX(Table2[],_xlfn.XMATCH($A437,Table2[Steel Member],0),_xlfn.XMATCH(W$2,Table2[#Headers],0))=0,"",INDEX(Table2[],_xlfn.XMATCH($A437,Table2[Steel Member],0),_xlfn.XMATCH(W$2,Table2[#Headers],0)))</f>
        <v>#N/A</v>
      </c>
      <c r="X437" s="4" t="e">
        <f t="shared" si="114"/>
        <v>#N/A</v>
      </c>
      <c r="Y437" s="4" t="e" cm="1">
        <f t="array" ref="Y437">IF(INDEX(Table2[],_xlfn.XMATCH($A437,Table2[Steel Member],0),_xlfn.XMATCH(Y$2,Table2[#Headers],0))=0,"",INDEX(Table2[],_xlfn.XMATCH($A437,Table2[Steel Member],0),_xlfn.XMATCH(Y$2,Table2[#Headers],0)))</f>
        <v>#N/A</v>
      </c>
      <c r="Z437" s="4" t="e" cm="1">
        <f t="array" ref="Z437">IF(INDEX(Table2[],_xlfn.XMATCH($A437,Table2[Steel Member],0),_xlfn.XMATCH(Z$2,Table2[#Headers],0))=0,"",INDEX(Table2[],_xlfn.XMATCH($A437,Table2[Steel Member],0),_xlfn.XMATCH(Z$2,Table2[#Headers],0)))</f>
        <v>#N/A</v>
      </c>
      <c r="AA437" s="4" t="e" cm="1">
        <f t="array" ref="AA437">IF(INDEX(Table2[],_xlfn.XMATCH($A437,Table2[Steel Member],0),_xlfn.XMATCH(AA$2,Table2[#Headers],0))=0,"",INDEX(Table2[],_xlfn.XMATCH($A437,Table2[Steel Member],0),_xlfn.XMATCH(AA$2,Table2[#Headers],0)))</f>
        <v>#N/A</v>
      </c>
      <c r="AB437" s="4" t="e" cm="1">
        <f t="array" ref="AB437">IF(INDEX(Table2[],_xlfn.XMATCH($A437,Table2[Steel Member],0),_xlfn.XMATCH(AB$2,Table2[#Headers],0))=0,"",INDEX(Table2[],_xlfn.XMATCH($A437,Table2[Steel Member],0),_xlfn.XMATCH(AB$2,Table2[#Headers],0)))</f>
        <v>#N/A</v>
      </c>
      <c r="AC437" s="4" t="str" cm="1">
        <f t="array" ref="AC437">IFERROR(INDEX(Table8[],_xlfn.XMATCH($O437,Table8[Dimension Name Category],0),_xlfn.XMATCH(AC$2&amp;IF($L437," w/ tag"," w/o tag"),Table8[#Headers],0)),"")</f>
        <v/>
      </c>
      <c r="AD437" s="59" t="str">
        <f t="shared" ref="AD437:AD500" si="117">IF(OR($AC437="",$AC437=0),"",IF($A437=Column,"{Length}*XNUMBER({Dimension Group Name},"&amp;$AC437&amp;")/1000","{Length}*XNUMBER({Dimension Group Name},"&amp;$AC437&amp;")/1000*{Slope Factor}"))</f>
        <v/>
      </c>
      <c r="AE437" s="4" t="str">
        <f t="shared" ref="AE437:AE500" si="118">IF(AND(ISBLANK(B437),ISBLANK(C437)),"",IF($A437=Purlins_Girths_Bracings,"","Steel Surface Area"))</f>
        <v/>
      </c>
      <c r="AF437" s="4" t="str">
        <f t="shared" ref="AF437:AF500" si="119">IF(AND(ISBLANK(B437),ISBLANK(C437)),"",IF($A437=Purlins_Girths_Bracings,"","m2"))</f>
        <v/>
      </c>
      <c r="AG437" s="4" t="str" cm="1">
        <f t="array" ref="AG437">IFERROR(INDEX(Table8[],_xlfn.XMATCH($O437,Table8[Dimension Name Category],0),_xlfn.XMATCH(AG$2&amp;IF($L437," w/ tag"," w/o tag"),Table8[#Headers],0)),"")</f>
        <v/>
      </c>
      <c r="AH437" s="59" t="str">
        <f t="shared" ref="AH437:AH500" si="120">IF(OR($AG437="",$AG437=0),"",IF($A437=Column,"{Length}*XNUMBER({Dimension Group Name},"&amp;$AG437&amp;")/1000","{Length}*XNUMBER({Dimension Group Name},"&amp;$AG437&amp;")/1000*{Slope Factor}"))</f>
        <v/>
      </c>
      <c r="AI437" s="4"/>
      <c r="AJ437" s="4" t="str">
        <f t="shared" ref="AJ437:AJ500" si="121">IF(OR($A437=Column,$A437=""),"","Slope Length")</f>
        <v/>
      </c>
      <c r="AK437" s="4" t="str">
        <f t="shared" ref="AK437:AK500" si="122">IF(OR($A437=Column,$A437=""),"","m")</f>
        <v/>
      </c>
      <c r="AL437" s="4" t="e" cm="1">
        <f t="array" ref="AL437">IF(INDEX(Table2[],_xlfn.XMATCH($A437,Table2[Steel Member],0),_xlfn.XMATCH(AL$2,Table2[#Headers],0))=0,"",INDEX(Table2[],_xlfn.XMATCH($A437,Table2[Steel Member],0),_xlfn.XMATCH(AL$2,Table2[#Headers],0)))</f>
        <v>#N/A</v>
      </c>
      <c r="AM437" s="4"/>
      <c r="AN437" s="4" t="str">
        <f t="shared" ref="AN437:AN500" si="123">IF(OR($A437=Column,$A437=""),"","Slope Factor")</f>
        <v/>
      </c>
      <c r="AO437" s="4"/>
      <c r="AP437" s="4" t="e" cm="1">
        <f t="array" ref="AP437">IF(INDEX(Table2[],_xlfn.XMATCH($A437,Table2[Steel Member],0),_xlfn.XMATCH(AP$2,Table2[#Headers],0))=0,"",INDEX(Table2[],_xlfn.XMATCH($A437,Table2[Steel Member],0),_xlfn.XMATCH(AP$2,Table2[#Headers],0)))</f>
        <v>#N/A</v>
      </c>
      <c r="AQ437" s="4"/>
      <c r="AR437" s="4"/>
      <c r="AS437" s="4"/>
      <c r="AT437" s="4"/>
    </row>
    <row r="438" spans="1:46" x14ac:dyDescent="0.25">
      <c r="A438" s="52"/>
      <c r="B438" s="52"/>
      <c r="C438" s="52"/>
      <c r="D438" s="52"/>
      <c r="E438" s="52"/>
      <c r="F438" s="64" cm="1">
        <f t="array" ref="F438">IF(COUNT(FIND(PurlinsxGirthsxBracings,$C438))&gt;0,0,ROUNDUP(IF(D438=0,0,VLOOKUP(D438,'DATA SHEET'!$B:$D,2,FALSE)),2))</f>
        <v>0</v>
      </c>
      <c r="G438" s="64" cm="1">
        <f t="array" ref="G438">IF(COUNT(FIND(PurlinsxGirthsxBracings,$C438))&gt;0,0,ROUNDUP(IF(D438=0,0,VLOOKUP(D438,'DATA SHEET'!$B:$D,3,FALSE)),2))</f>
        <v>0</v>
      </c>
      <c r="H438" s="53"/>
      <c r="I438" s="66" cm="1">
        <f t="array" ref="I438">IF(AND(ISBLANK(B438),ISBLANK(C438),ISBLANK(E438)),0,IF(COUNT(FIND(PurlinsxGirthsxBracings,$C438))&gt;0,IF(B438=0,CONCATENATE(E438," ",C438),CONCATENATE(B438," - ",E438," ",C438)),IF(B438=0,IF(ISBLANK(C438),E438,CONCATENATE(D438,", ",F438,"kg/m, ",G438,"mm surface perimeter")),IF(AND(ISBLANK(C438),ISTEXT(E438)),CONCATENATE(B438," - ",E438),IF(AND(ISBLANK(C438),ISBLANK(E438)),B438,CONCATENATE(B438," - ",D438,", ",F438,"kg/m, ",G438,"mm surface perimeter"))))&amp;IF(ISBLANK(H438),"",H438)))</f>
        <v>0</v>
      </c>
      <c r="J438" s="53"/>
      <c r="L438" s="4" t="str" cm="1">
        <f t="array" ref="L438">IF(COUNT(FIND({0,1,2,3,4,5,6,7,8,9},B438))&gt;0,COUNT(FIND({0,1,2,3,4,5,6,7,8,9},B438))&gt;0,"")</f>
        <v/>
      </c>
      <c r="M438" s="4" t="str" cm="1">
        <f t="array" aca="1" ref="M438" ca="1">IFERROR(_xlfn.IFS(R438="Count",RANDBETWEEN(1,COUNTIF($R$11:$R$653,"Count")),R438="Length",RANDBETWEEN(1,COUNTIF($R$11:$R$653,"Length"))),"")</f>
        <v/>
      </c>
      <c r="N438" s="4" t="str">
        <f ca="1">IFERROR(_xlfn.RANK.EQ(M438,$M$11:$M$653)+COUNTIF($M$11:M438,M438)-1,"")</f>
        <v/>
      </c>
      <c r="O438" s="86" t="str">
        <f>IF(A438='DATA SHEET'!$L$36,C438,IFERROR(IF(AND(ISTEXT(I438),ISBLANK(C438)),"No details",VLOOKUP(C438,DimFolder,2,FALSE)),""))</f>
        <v/>
      </c>
      <c r="P438" s="4" t="str">
        <f t="shared" si="113"/>
        <v/>
      </c>
      <c r="Q438" s="58" t="str">
        <f t="shared" ref="Q438:Q501" si="124">IF(AND(ISBLANK(B438),ISBLANK(C438)),"",I438)</f>
        <v/>
      </c>
      <c r="R438" s="4" t="e" cm="1">
        <f t="array" ref="R438">IF(INDEX(Table2[],_xlfn.XMATCH($A438,Table2[Steel Member],0),_xlfn.XMATCH(R$2,Table2[#Headers],0))=0,"",INDEX(Table2[],_xlfn.XMATCH($A438,Table2[Steel Member],0),_xlfn.XMATCH(R$2,Table2[#Headers],0)))</f>
        <v>#N/A</v>
      </c>
      <c r="S438" s="4" t="e" cm="1">
        <f t="array" ref="S438">IF(INDEX(Table2[],_xlfn.XMATCH($A438,Table2[Steel Member],0),_xlfn.XMATCH(S$2,Table2[#Headers],0))=0,"",INDEX(Table2[],_xlfn.XMATCH($A438,Table2[Steel Member],0),_xlfn.XMATCH(S$2,Table2[#Headers],0)))</f>
        <v>#N/A</v>
      </c>
      <c r="T438" s="4" t="str">
        <f t="shared" si="115"/>
        <v/>
      </c>
      <c r="U438" s="4" t="e">
        <f ca="1">VLOOKUP(N438,'COLOR CODE'!$B:$D,2,FALSE)</f>
        <v>#N/A</v>
      </c>
      <c r="V438" s="4" t="str">
        <f t="shared" si="116"/>
        <v/>
      </c>
      <c r="W438" s="4" t="e" cm="1">
        <f t="array" ref="W438">IF(INDEX(Table2[],_xlfn.XMATCH($A438,Table2[Steel Member],0),_xlfn.XMATCH(W$2,Table2[#Headers],0))=0,"",INDEX(Table2[],_xlfn.XMATCH($A438,Table2[Steel Member],0),_xlfn.XMATCH(W$2,Table2[#Headers],0)))</f>
        <v>#N/A</v>
      </c>
      <c r="X438" s="4" t="e">
        <f t="shared" si="114"/>
        <v>#N/A</v>
      </c>
      <c r="Y438" s="4" t="e" cm="1">
        <f t="array" ref="Y438">IF(INDEX(Table2[],_xlfn.XMATCH($A438,Table2[Steel Member],0),_xlfn.XMATCH(Y$2,Table2[#Headers],0))=0,"",INDEX(Table2[],_xlfn.XMATCH($A438,Table2[Steel Member],0),_xlfn.XMATCH(Y$2,Table2[#Headers],0)))</f>
        <v>#N/A</v>
      </c>
      <c r="Z438" s="4" t="e" cm="1">
        <f t="array" ref="Z438">IF(INDEX(Table2[],_xlfn.XMATCH($A438,Table2[Steel Member],0),_xlfn.XMATCH(Z$2,Table2[#Headers],0))=0,"",INDEX(Table2[],_xlfn.XMATCH($A438,Table2[Steel Member],0),_xlfn.XMATCH(Z$2,Table2[#Headers],0)))</f>
        <v>#N/A</v>
      </c>
      <c r="AA438" s="4" t="e" cm="1">
        <f t="array" ref="AA438">IF(INDEX(Table2[],_xlfn.XMATCH($A438,Table2[Steel Member],0),_xlfn.XMATCH(AA$2,Table2[#Headers],0))=0,"",INDEX(Table2[],_xlfn.XMATCH($A438,Table2[Steel Member],0),_xlfn.XMATCH(AA$2,Table2[#Headers],0)))</f>
        <v>#N/A</v>
      </c>
      <c r="AB438" s="4" t="e" cm="1">
        <f t="array" ref="AB438">IF(INDEX(Table2[],_xlfn.XMATCH($A438,Table2[Steel Member],0),_xlfn.XMATCH(AB$2,Table2[#Headers],0))=0,"",INDEX(Table2[],_xlfn.XMATCH($A438,Table2[Steel Member],0),_xlfn.XMATCH(AB$2,Table2[#Headers],0)))</f>
        <v>#N/A</v>
      </c>
      <c r="AC438" s="4" t="str" cm="1">
        <f t="array" ref="AC438">IFERROR(INDEX(Table8[],_xlfn.XMATCH($O438,Table8[Dimension Name Category],0),_xlfn.XMATCH(AC$2&amp;IF($L438," w/ tag"," w/o tag"),Table8[#Headers],0)),"")</f>
        <v/>
      </c>
      <c r="AD438" s="59" t="str">
        <f t="shared" si="117"/>
        <v/>
      </c>
      <c r="AE438" s="4" t="str">
        <f t="shared" si="118"/>
        <v/>
      </c>
      <c r="AF438" s="4" t="str">
        <f t="shared" si="119"/>
        <v/>
      </c>
      <c r="AG438" s="4" t="str" cm="1">
        <f t="array" ref="AG438">IFERROR(INDEX(Table8[],_xlfn.XMATCH($O438,Table8[Dimension Name Category],0),_xlfn.XMATCH(AG$2&amp;IF($L438," w/ tag"," w/o tag"),Table8[#Headers],0)),"")</f>
        <v/>
      </c>
      <c r="AH438" s="59" t="str">
        <f t="shared" si="120"/>
        <v/>
      </c>
      <c r="AI438" s="4"/>
      <c r="AJ438" s="4" t="str">
        <f t="shared" si="121"/>
        <v/>
      </c>
      <c r="AK438" s="4" t="str">
        <f t="shared" si="122"/>
        <v/>
      </c>
      <c r="AL438" s="4" t="e" cm="1">
        <f t="array" ref="AL438">IF(INDEX(Table2[],_xlfn.XMATCH($A438,Table2[Steel Member],0),_xlfn.XMATCH(AL$2,Table2[#Headers],0))=0,"",INDEX(Table2[],_xlfn.XMATCH($A438,Table2[Steel Member],0),_xlfn.XMATCH(AL$2,Table2[#Headers],0)))</f>
        <v>#N/A</v>
      </c>
      <c r="AM438" s="4"/>
      <c r="AN438" s="4" t="str">
        <f t="shared" si="123"/>
        <v/>
      </c>
      <c r="AO438" s="4"/>
      <c r="AP438" s="4" t="e" cm="1">
        <f t="array" ref="AP438">IF(INDEX(Table2[],_xlfn.XMATCH($A438,Table2[Steel Member],0),_xlfn.XMATCH(AP$2,Table2[#Headers],0))=0,"",INDEX(Table2[],_xlfn.XMATCH($A438,Table2[Steel Member],0),_xlfn.XMATCH(AP$2,Table2[#Headers],0)))</f>
        <v>#N/A</v>
      </c>
      <c r="AQ438" s="4"/>
      <c r="AR438" s="4"/>
      <c r="AS438" s="4"/>
      <c r="AT438" s="4"/>
    </row>
    <row r="439" spans="1:46" x14ac:dyDescent="0.25">
      <c r="A439" s="52"/>
      <c r="B439" s="52"/>
      <c r="C439" s="52"/>
      <c r="D439" s="52"/>
      <c r="E439" s="52"/>
      <c r="F439" s="64" cm="1">
        <f t="array" ref="F439">IF(COUNT(FIND(PurlinsxGirthsxBracings,$C439))&gt;0,0,ROUNDUP(IF(D439=0,0,VLOOKUP(D439,'DATA SHEET'!$B:$D,2,FALSE)),2))</f>
        <v>0</v>
      </c>
      <c r="G439" s="64" cm="1">
        <f t="array" ref="G439">IF(COUNT(FIND(PurlinsxGirthsxBracings,$C439))&gt;0,0,ROUNDUP(IF(D439=0,0,VLOOKUP(D439,'DATA SHEET'!$B:$D,3,FALSE)),2))</f>
        <v>0</v>
      </c>
      <c r="H439" s="53"/>
      <c r="I439" s="66" cm="1">
        <f t="array" ref="I439">IF(AND(ISBLANK(B439),ISBLANK(C439),ISBLANK(E439)),0,IF(COUNT(FIND(PurlinsxGirthsxBracings,$C439))&gt;0,IF(B439=0,CONCATENATE(E439," ",C439),CONCATENATE(B439," - ",E439," ",C439)),IF(B439=0,IF(ISBLANK(C439),E439,CONCATENATE(D439,", ",F439,"kg/m, ",G439,"mm surface perimeter")),IF(AND(ISBLANK(C439),ISTEXT(E439)),CONCATENATE(B439," - ",E439),IF(AND(ISBLANK(C439),ISBLANK(E439)),B439,CONCATENATE(B439," - ",D439,", ",F439,"kg/m, ",G439,"mm surface perimeter"))))&amp;IF(ISBLANK(H439),"",H439)))</f>
        <v>0</v>
      </c>
      <c r="J439" s="53"/>
      <c r="L439" s="4" t="str" cm="1">
        <f t="array" ref="L439">IF(COUNT(FIND({0,1,2,3,4,5,6,7,8,9},B439))&gt;0,COUNT(FIND({0,1,2,3,4,5,6,7,8,9},B439))&gt;0,"")</f>
        <v/>
      </c>
      <c r="M439" s="4" t="str" cm="1">
        <f t="array" aca="1" ref="M439" ca="1">IFERROR(_xlfn.IFS(R439="Count",RANDBETWEEN(1,COUNTIF($R$11:$R$653,"Count")),R439="Length",RANDBETWEEN(1,COUNTIF($R$11:$R$653,"Length"))),"")</f>
        <v/>
      </c>
      <c r="N439" s="4" t="str">
        <f ca="1">IFERROR(_xlfn.RANK.EQ(M439,$M$11:$M$653)+COUNTIF($M$11:M439,M439)-1,"")</f>
        <v/>
      </c>
      <c r="O439" s="86" t="str">
        <f>IF(A439='DATA SHEET'!$L$36,C439,IFERROR(IF(AND(ISTEXT(I439),ISBLANK(C439)),"No details",VLOOKUP(C439,DimFolder,2,FALSE)),""))</f>
        <v/>
      </c>
      <c r="P439" s="4" t="str">
        <f t="shared" si="113"/>
        <v/>
      </c>
      <c r="Q439" s="58" t="str">
        <f t="shared" si="124"/>
        <v/>
      </c>
      <c r="R439" s="4" t="e" cm="1">
        <f t="array" ref="R439">IF(INDEX(Table2[],_xlfn.XMATCH($A439,Table2[Steel Member],0),_xlfn.XMATCH(R$2,Table2[#Headers],0))=0,"",INDEX(Table2[],_xlfn.XMATCH($A439,Table2[Steel Member],0),_xlfn.XMATCH(R$2,Table2[#Headers],0)))</f>
        <v>#N/A</v>
      </c>
      <c r="S439" s="4" t="e" cm="1">
        <f t="array" ref="S439">IF(INDEX(Table2[],_xlfn.XMATCH($A439,Table2[Steel Member],0),_xlfn.XMATCH(S$2,Table2[#Headers],0))=0,"",INDEX(Table2[],_xlfn.XMATCH($A439,Table2[Steel Member],0),_xlfn.XMATCH(S$2,Table2[#Headers],0)))</f>
        <v>#N/A</v>
      </c>
      <c r="T439" s="4" t="str">
        <f t="shared" si="115"/>
        <v/>
      </c>
      <c r="U439" s="4" t="e">
        <f ca="1">VLOOKUP(N439,'COLOR CODE'!$B:$D,2,FALSE)</f>
        <v>#N/A</v>
      </c>
      <c r="V439" s="4" t="str">
        <f t="shared" si="116"/>
        <v/>
      </c>
      <c r="W439" s="4" t="e" cm="1">
        <f t="array" ref="W439">IF(INDEX(Table2[],_xlfn.XMATCH($A439,Table2[Steel Member],0),_xlfn.XMATCH(W$2,Table2[#Headers],0))=0,"",INDEX(Table2[],_xlfn.XMATCH($A439,Table2[Steel Member],0),_xlfn.XMATCH(W$2,Table2[#Headers],0)))</f>
        <v>#N/A</v>
      </c>
      <c r="X439" s="4" t="e">
        <f t="shared" si="114"/>
        <v>#N/A</v>
      </c>
      <c r="Y439" s="4" t="e" cm="1">
        <f t="array" ref="Y439">IF(INDEX(Table2[],_xlfn.XMATCH($A439,Table2[Steel Member],0),_xlfn.XMATCH(Y$2,Table2[#Headers],0))=0,"",INDEX(Table2[],_xlfn.XMATCH($A439,Table2[Steel Member],0),_xlfn.XMATCH(Y$2,Table2[#Headers],0)))</f>
        <v>#N/A</v>
      </c>
      <c r="Z439" s="4" t="e" cm="1">
        <f t="array" ref="Z439">IF(INDEX(Table2[],_xlfn.XMATCH($A439,Table2[Steel Member],0),_xlfn.XMATCH(Z$2,Table2[#Headers],0))=0,"",INDEX(Table2[],_xlfn.XMATCH($A439,Table2[Steel Member],0),_xlfn.XMATCH(Z$2,Table2[#Headers],0)))</f>
        <v>#N/A</v>
      </c>
      <c r="AA439" s="4" t="e" cm="1">
        <f t="array" ref="AA439">IF(INDEX(Table2[],_xlfn.XMATCH($A439,Table2[Steel Member],0),_xlfn.XMATCH(AA$2,Table2[#Headers],0))=0,"",INDEX(Table2[],_xlfn.XMATCH($A439,Table2[Steel Member],0),_xlfn.XMATCH(AA$2,Table2[#Headers],0)))</f>
        <v>#N/A</v>
      </c>
      <c r="AB439" s="4" t="e" cm="1">
        <f t="array" ref="AB439">IF(INDEX(Table2[],_xlfn.XMATCH($A439,Table2[Steel Member],0),_xlfn.XMATCH(AB$2,Table2[#Headers],0))=0,"",INDEX(Table2[],_xlfn.XMATCH($A439,Table2[Steel Member],0),_xlfn.XMATCH(AB$2,Table2[#Headers],0)))</f>
        <v>#N/A</v>
      </c>
      <c r="AC439" s="4" t="str" cm="1">
        <f t="array" ref="AC439">IFERROR(INDEX(Table8[],_xlfn.XMATCH($O439,Table8[Dimension Name Category],0),_xlfn.XMATCH(AC$2&amp;IF($L439," w/ tag"," w/o tag"),Table8[#Headers],0)),"")</f>
        <v/>
      </c>
      <c r="AD439" s="59" t="str">
        <f t="shared" si="117"/>
        <v/>
      </c>
      <c r="AE439" s="4" t="str">
        <f t="shared" si="118"/>
        <v/>
      </c>
      <c r="AF439" s="4" t="str">
        <f t="shared" si="119"/>
        <v/>
      </c>
      <c r="AG439" s="4" t="str" cm="1">
        <f t="array" ref="AG439">IFERROR(INDEX(Table8[],_xlfn.XMATCH($O439,Table8[Dimension Name Category],0),_xlfn.XMATCH(AG$2&amp;IF($L439," w/ tag"," w/o tag"),Table8[#Headers],0)),"")</f>
        <v/>
      </c>
      <c r="AH439" s="59" t="str">
        <f t="shared" si="120"/>
        <v/>
      </c>
      <c r="AI439" s="4"/>
      <c r="AJ439" s="4" t="str">
        <f t="shared" si="121"/>
        <v/>
      </c>
      <c r="AK439" s="4" t="str">
        <f t="shared" si="122"/>
        <v/>
      </c>
      <c r="AL439" s="4" t="e" cm="1">
        <f t="array" ref="AL439">IF(INDEX(Table2[],_xlfn.XMATCH($A439,Table2[Steel Member],0),_xlfn.XMATCH(AL$2,Table2[#Headers],0))=0,"",INDEX(Table2[],_xlfn.XMATCH($A439,Table2[Steel Member],0),_xlfn.XMATCH(AL$2,Table2[#Headers],0)))</f>
        <v>#N/A</v>
      </c>
      <c r="AM439" s="4"/>
      <c r="AN439" s="4" t="str">
        <f t="shared" si="123"/>
        <v/>
      </c>
      <c r="AO439" s="4"/>
      <c r="AP439" s="4" t="e" cm="1">
        <f t="array" ref="AP439">IF(INDEX(Table2[],_xlfn.XMATCH($A439,Table2[Steel Member],0),_xlfn.XMATCH(AP$2,Table2[#Headers],0))=0,"",INDEX(Table2[],_xlfn.XMATCH($A439,Table2[Steel Member],0),_xlfn.XMATCH(AP$2,Table2[#Headers],0)))</f>
        <v>#N/A</v>
      </c>
      <c r="AQ439" s="4"/>
      <c r="AR439" s="4"/>
      <c r="AS439" s="4"/>
      <c r="AT439" s="4"/>
    </row>
    <row r="440" spans="1:46" x14ac:dyDescent="0.25">
      <c r="A440" s="52"/>
      <c r="B440" s="52"/>
      <c r="C440" s="52"/>
      <c r="D440" s="52"/>
      <c r="E440" s="52"/>
      <c r="F440" s="64" cm="1">
        <f t="array" ref="F440">IF(COUNT(FIND(PurlinsxGirthsxBracings,$C440))&gt;0,0,ROUNDUP(IF(D440=0,0,VLOOKUP(D440,'DATA SHEET'!$B:$D,2,FALSE)),2))</f>
        <v>0</v>
      </c>
      <c r="G440" s="64" cm="1">
        <f t="array" ref="G440">IF(COUNT(FIND(PurlinsxGirthsxBracings,$C440))&gt;0,0,ROUNDUP(IF(D440=0,0,VLOOKUP(D440,'DATA SHEET'!$B:$D,3,FALSE)),2))</f>
        <v>0</v>
      </c>
      <c r="H440" s="53"/>
      <c r="I440" s="66" cm="1">
        <f t="array" ref="I440">IF(AND(ISBLANK(B440),ISBLANK(C440),ISBLANK(E440)),0,IF(COUNT(FIND(PurlinsxGirthsxBracings,$C440))&gt;0,IF(B440=0,CONCATENATE(E440," ",C440),CONCATENATE(B440," - ",E440," ",C440)),IF(B440=0,IF(ISBLANK(C440),E440,CONCATENATE(D440,", ",F440,"kg/m, ",G440,"mm surface perimeter")),IF(AND(ISBLANK(C440),ISTEXT(E440)),CONCATENATE(B440," - ",E440),IF(AND(ISBLANK(C440),ISBLANK(E440)),B440,CONCATENATE(B440," - ",D440,", ",F440,"kg/m, ",G440,"mm surface perimeter"))))&amp;IF(ISBLANK(H440),"",H440)))</f>
        <v>0</v>
      </c>
      <c r="J440" s="53"/>
      <c r="L440" s="4" t="str" cm="1">
        <f t="array" ref="L440">IF(COUNT(FIND({0,1,2,3,4,5,6,7,8,9},B440))&gt;0,COUNT(FIND({0,1,2,3,4,5,6,7,8,9},B440))&gt;0,"")</f>
        <v/>
      </c>
      <c r="M440" s="4" t="str" cm="1">
        <f t="array" aca="1" ref="M440" ca="1">IFERROR(_xlfn.IFS(R440="Count",RANDBETWEEN(1,COUNTIF($R$11:$R$653,"Count")),R440="Length",RANDBETWEEN(1,COUNTIF($R$11:$R$653,"Length"))),"")</f>
        <v/>
      </c>
      <c r="N440" s="4" t="str">
        <f ca="1">IFERROR(_xlfn.RANK.EQ(M440,$M$11:$M$653)+COUNTIF($M$11:M440,M440)-1,"")</f>
        <v/>
      </c>
      <c r="O440" s="86" t="str">
        <f>IF(A440='DATA SHEET'!$L$36,C440,IFERROR(IF(AND(ISTEXT(I440),ISBLANK(C440)),"No details",VLOOKUP(C440,DimFolder,2,FALSE)),""))</f>
        <v/>
      </c>
      <c r="P440" s="4" t="str">
        <f t="shared" si="113"/>
        <v/>
      </c>
      <c r="Q440" s="58" t="str">
        <f t="shared" si="124"/>
        <v/>
      </c>
      <c r="R440" s="4" t="e" cm="1">
        <f t="array" ref="R440">IF(INDEX(Table2[],_xlfn.XMATCH($A440,Table2[Steel Member],0),_xlfn.XMATCH(R$2,Table2[#Headers],0))=0,"",INDEX(Table2[],_xlfn.XMATCH($A440,Table2[Steel Member],0),_xlfn.XMATCH(R$2,Table2[#Headers],0)))</f>
        <v>#N/A</v>
      </c>
      <c r="S440" s="4" t="e" cm="1">
        <f t="array" ref="S440">IF(INDEX(Table2[],_xlfn.XMATCH($A440,Table2[Steel Member],0),_xlfn.XMATCH(S$2,Table2[#Headers],0))=0,"",INDEX(Table2[],_xlfn.XMATCH($A440,Table2[Steel Member],0),_xlfn.XMATCH(S$2,Table2[#Headers],0)))</f>
        <v>#N/A</v>
      </c>
      <c r="T440" s="4" t="str">
        <f t="shared" si="115"/>
        <v/>
      </c>
      <c r="U440" s="4" t="e">
        <f ca="1">VLOOKUP(N440,'COLOR CODE'!$B:$D,2,FALSE)</f>
        <v>#N/A</v>
      </c>
      <c r="V440" s="4" t="str">
        <f t="shared" si="116"/>
        <v/>
      </c>
      <c r="W440" s="4" t="e" cm="1">
        <f t="array" ref="W440">IF(INDEX(Table2[],_xlfn.XMATCH($A440,Table2[Steel Member],0),_xlfn.XMATCH(W$2,Table2[#Headers],0))=0,"",INDEX(Table2[],_xlfn.XMATCH($A440,Table2[Steel Member],0),_xlfn.XMATCH(W$2,Table2[#Headers],0)))</f>
        <v>#N/A</v>
      </c>
      <c r="X440" s="4" t="e">
        <f t="shared" si="114"/>
        <v>#N/A</v>
      </c>
      <c r="Y440" s="4" t="e" cm="1">
        <f t="array" ref="Y440">IF(INDEX(Table2[],_xlfn.XMATCH($A440,Table2[Steel Member],0),_xlfn.XMATCH(Y$2,Table2[#Headers],0))=0,"",INDEX(Table2[],_xlfn.XMATCH($A440,Table2[Steel Member],0),_xlfn.XMATCH(Y$2,Table2[#Headers],0)))</f>
        <v>#N/A</v>
      </c>
      <c r="Z440" s="4" t="e" cm="1">
        <f t="array" ref="Z440">IF(INDEX(Table2[],_xlfn.XMATCH($A440,Table2[Steel Member],0),_xlfn.XMATCH(Z$2,Table2[#Headers],0))=0,"",INDEX(Table2[],_xlfn.XMATCH($A440,Table2[Steel Member],0),_xlfn.XMATCH(Z$2,Table2[#Headers],0)))</f>
        <v>#N/A</v>
      </c>
      <c r="AA440" s="4" t="e" cm="1">
        <f t="array" ref="AA440">IF(INDEX(Table2[],_xlfn.XMATCH($A440,Table2[Steel Member],0),_xlfn.XMATCH(AA$2,Table2[#Headers],0))=0,"",INDEX(Table2[],_xlfn.XMATCH($A440,Table2[Steel Member],0),_xlfn.XMATCH(AA$2,Table2[#Headers],0)))</f>
        <v>#N/A</v>
      </c>
      <c r="AB440" s="4" t="e" cm="1">
        <f t="array" ref="AB440">IF(INDEX(Table2[],_xlfn.XMATCH($A440,Table2[Steel Member],0),_xlfn.XMATCH(AB$2,Table2[#Headers],0))=0,"",INDEX(Table2[],_xlfn.XMATCH($A440,Table2[Steel Member],0),_xlfn.XMATCH(AB$2,Table2[#Headers],0)))</f>
        <v>#N/A</v>
      </c>
      <c r="AC440" s="4" t="str" cm="1">
        <f t="array" ref="AC440">IFERROR(INDEX(Table8[],_xlfn.XMATCH($O440,Table8[Dimension Name Category],0),_xlfn.XMATCH(AC$2&amp;IF($L440," w/ tag"," w/o tag"),Table8[#Headers],0)),"")</f>
        <v/>
      </c>
      <c r="AD440" s="59" t="str">
        <f t="shared" si="117"/>
        <v/>
      </c>
      <c r="AE440" s="4" t="str">
        <f t="shared" si="118"/>
        <v/>
      </c>
      <c r="AF440" s="4" t="str">
        <f t="shared" si="119"/>
        <v/>
      </c>
      <c r="AG440" s="4" t="str" cm="1">
        <f t="array" ref="AG440">IFERROR(INDEX(Table8[],_xlfn.XMATCH($O440,Table8[Dimension Name Category],0),_xlfn.XMATCH(AG$2&amp;IF($L440," w/ tag"," w/o tag"),Table8[#Headers],0)),"")</f>
        <v/>
      </c>
      <c r="AH440" s="59" t="str">
        <f t="shared" si="120"/>
        <v/>
      </c>
      <c r="AI440" s="4"/>
      <c r="AJ440" s="4" t="str">
        <f t="shared" si="121"/>
        <v/>
      </c>
      <c r="AK440" s="4" t="str">
        <f t="shared" si="122"/>
        <v/>
      </c>
      <c r="AL440" s="4" t="e" cm="1">
        <f t="array" ref="AL440">IF(INDEX(Table2[],_xlfn.XMATCH($A440,Table2[Steel Member],0),_xlfn.XMATCH(AL$2,Table2[#Headers],0))=0,"",INDEX(Table2[],_xlfn.XMATCH($A440,Table2[Steel Member],0),_xlfn.XMATCH(AL$2,Table2[#Headers],0)))</f>
        <v>#N/A</v>
      </c>
      <c r="AM440" s="4"/>
      <c r="AN440" s="4" t="str">
        <f t="shared" si="123"/>
        <v/>
      </c>
      <c r="AO440" s="4"/>
      <c r="AP440" s="4" t="e" cm="1">
        <f t="array" ref="AP440">IF(INDEX(Table2[],_xlfn.XMATCH($A440,Table2[Steel Member],0),_xlfn.XMATCH(AP$2,Table2[#Headers],0))=0,"",INDEX(Table2[],_xlfn.XMATCH($A440,Table2[Steel Member],0),_xlfn.XMATCH(AP$2,Table2[#Headers],0)))</f>
        <v>#N/A</v>
      </c>
      <c r="AQ440" s="4"/>
      <c r="AR440" s="4"/>
      <c r="AS440" s="4"/>
      <c r="AT440" s="4"/>
    </row>
    <row r="441" spans="1:46" x14ac:dyDescent="0.25">
      <c r="A441" s="52"/>
      <c r="B441" s="52"/>
      <c r="C441" s="52"/>
      <c r="D441" s="52"/>
      <c r="E441" s="52"/>
      <c r="F441" s="64" cm="1">
        <f t="array" ref="F441">IF(COUNT(FIND(PurlinsxGirthsxBracings,$C441))&gt;0,0,ROUNDUP(IF(D441=0,0,VLOOKUP(D441,'DATA SHEET'!$B:$D,2,FALSE)),2))</f>
        <v>0</v>
      </c>
      <c r="G441" s="64" cm="1">
        <f t="array" ref="G441">IF(COUNT(FIND(PurlinsxGirthsxBracings,$C441))&gt;0,0,ROUNDUP(IF(D441=0,0,VLOOKUP(D441,'DATA SHEET'!$B:$D,3,FALSE)),2))</f>
        <v>0</v>
      </c>
      <c r="H441" s="53"/>
      <c r="I441" s="66" cm="1">
        <f t="array" ref="I441">IF(AND(ISBLANK(B441),ISBLANK(C441),ISBLANK(E441)),0,IF(COUNT(FIND(PurlinsxGirthsxBracings,$C441))&gt;0,IF(B441=0,CONCATENATE(E441," ",C441),CONCATENATE(B441," - ",E441," ",C441)),IF(B441=0,IF(ISBLANK(C441),E441,CONCATENATE(D441,", ",F441,"kg/m, ",G441,"mm surface perimeter")),IF(AND(ISBLANK(C441),ISTEXT(E441)),CONCATENATE(B441," - ",E441),IF(AND(ISBLANK(C441),ISBLANK(E441)),B441,CONCATENATE(B441," - ",D441,", ",F441,"kg/m, ",G441,"mm surface perimeter"))))&amp;IF(ISBLANK(H441),"",H441)))</f>
        <v>0</v>
      </c>
      <c r="J441" s="53"/>
      <c r="L441" s="4" t="str" cm="1">
        <f t="array" ref="L441">IF(COUNT(FIND({0,1,2,3,4,5,6,7,8,9},B441))&gt;0,COUNT(FIND({0,1,2,3,4,5,6,7,8,9},B441))&gt;0,"")</f>
        <v/>
      </c>
      <c r="M441" s="4" t="str" cm="1">
        <f t="array" aca="1" ref="M441" ca="1">IFERROR(_xlfn.IFS(R441="Count",RANDBETWEEN(1,COUNTIF($R$11:$R$653,"Count")),R441="Length",RANDBETWEEN(1,COUNTIF($R$11:$R$653,"Length"))),"")</f>
        <v/>
      </c>
      <c r="N441" s="4" t="str">
        <f ca="1">IFERROR(_xlfn.RANK.EQ(M441,$M$11:$M$653)+COUNTIF($M$11:M441,M441)-1,"")</f>
        <v/>
      </c>
      <c r="O441" s="86" t="str">
        <f>IF(A441='DATA SHEET'!$L$36,C441,IFERROR(IF(AND(ISTEXT(I441),ISBLANK(C441)),"No details",VLOOKUP(C441,DimFolder,2,FALSE)),""))</f>
        <v/>
      </c>
      <c r="P441" s="4" t="str">
        <f t="shared" si="113"/>
        <v/>
      </c>
      <c r="Q441" s="58" t="str">
        <f t="shared" si="124"/>
        <v/>
      </c>
      <c r="R441" s="4" t="e" cm="1">
        <f t="array" ref="R441">IF(INDEX(Table2[],_xlfn.XMATCH($A441,Table2[Steel Member],0),_xlfn.XMATCH(R$2,Table2[#Headers],0))=0,"",INDEX(Table2[],_xlfn.XMATCH($A441,Table2[Steel Member],0),_xlfn.XMATCH(R$2,Table2[#Headers],0)))</f>
        <v>#N/A</v>
      </c>
      <c r="S441" s="4" t="e" cm="1">
        <f t="array" ref="S441">IF(INDEX(Table2[],_xlfn.XMATCH($A441,Table2[Steel Member],0),_xlfn.XMATCH(S$2,Table2[#Headers],0))=0,"",INDEX(Table2[],_xlfn.XMATCH($A441,Table2[Steel Member],0),_xlfn.XMATCH(S$2,Table2[#Headers],0)))</f>
        <v>#N/A</v>
      </c>
      <c r="T441" s="4" t="str">
        <f t="shared" si="115"/>
        <v/>
      </c>
      <c r="U441" s="4" t="e">
        <f ca="1">VLOOKUP(N441,'COLOR CODE'!$B:$D,2,FALSE)</f>
        <v>#N/A</v>
      </c>
      <c r="V441" s="4" t="str">
        <f t="shared" si="116"/>
        <v/>
      </c>
      <c r="W441" s="4" t="e" cm="1">
        <f t="array" ref="W441">IF(INDEX(Table2[],_xlfn.XMATCH($A441,Table2[Steel Member],0),_xlfn.XMATCH(W$2,Table2[#Headers],0))=0,"",INDEX(Table2[],_xlfn.XMATCH($A441,Table2[Steel Member],0),_xlfn.XMATCH(W$2,Table2[#Headers],0)))</f>
        <v>#N/A</v>
      </c>
      <c r="X441" s="4" t="e">
        <f t="shared" si="114"/>
        <v>#N/A</v>
      </c>
      <c r="Y441" s="4" t="e" cm="1">
        <f t="array" ref="Y441">IF(INDEX(Table2[],_xlfn.XMATCH($A441,Table2[Steel Member],0),_xlfn.XMATCH(Y$2,Table2[#Headers],0))=0,"",INDEX(Table2[],_xlfn.XMATCH($A441,Table2[Steel Member],0),_xlfn.XMATCH(Y$2,Table2[#Headers],0)))</f>
        <v>#N/A</v>
      </c>
      <c r="Z441" s="4" t="e" cm="1">
        <f t="array" ref="Z441">IF(INDEX(Table2[],_xlfn.XMATCH($A441,Table2[Steel Member],0),_xlfn.XMATCH(Z$2,Table2[#Headers],0))=0,"",INDEX(Table2[],_xlfn.XMATCH($A441,Table2[Steel Member],0),_xlfn.XMATCH(Z$2,Table2[#Headers],0)))</f>
        <v>#N/A</v>
      </c>
      <c r="AA441" s="4" t="e" cm="1">
        <f t="array" ref="AA441">IF(INDEX(Table2[],_xlfn.XMATCH($A441,Table2[Steel Member],0),_xlfn.XMATCH(AA$2,Table2[#Headers],0))=0,"",INDEX(Table2[],_xlfn.XMATCH($A441,Table2[Steel Member],0),_xlfn.XMATCH(AA$2,Table2[#Headers],0)))</f>
        <v>#N/A</v>
      </c>
      <c r="AB441" s="4" t="e" cm="1">
        <f t="array" ref="AB441">IF(INDEX(Table2[],_xlfn.XMATCH($A441,Table2[Steel Member],0),_xlfn.XMATCH(AB$2,Table2[#Headers],0))=0,"",INDEX(Table2[],_xlfn.XMATCH($A441,Table2[Steel Member],0),_xlfn.XMATCH(AB$2,Table2[#Headers],0)))</f>
        <v>#N/A</v>
      </c>
      <c r="AC441" s="4" t="str" cm="1">
        <f t="array" ref="AC441">IFERROR(INDEX(Table8[],_xlfn.XMATCH($O441,Table8[Dimension Name Category],0),_xlfn.XMATCH(AC$2&amp;IF($L441," w/ tag"," w/o tag"),Table8[#Headers],0)),"")</f>
        <v/>
      </c>
      <c r="AD441" s="59" t="str">
        <f t="shared" si="117"/>
        <v/>
      </c>
      <c r="AE441" s="4" t="str">
        <f t="shared" si="118"/>
        <v/>
      </c>
      <c r="AF441" s="4" t="str">
        <f t="shared" si="119"/>
        <v/>
      </c>
      <c r="AG441" s="4" t="str" cm="1">
        <f t="array" ref="AG441">IFERROR(INDEX(Table8[],_xlfn.XMATCH($O441,Table8[Dimension Name Category],0),_xlfn.XMATCH(AG$2&amp;IF($L441," w/ tag"," w/o tag"),Table8[#Headers],0)),"")</f>
        <v/>
      </c>
      <c r="AH441" s="59" t="str">
        <f t="shared" si="120"/>
        <v/>
      </c>
      <c r="AI441" s="4"/>
      <c r="AJ441" s="4" t="str">
        <f t="shared" si="121"/>
        <v/>
      </c>
      <c r="AK441" s="4" t="str">
        <f t="shared" si="122"/>
        <v/>
      </c>
      <c r="AL441" s="4" t="e" cm="1">
        <f t="array" ref="AL441">IF(INDEX(Table2[],_xlfn.XMATCH($A441,Table2[Steel Member],0),_xlfn.XMATCH(AL$2,Table2[#Headers],0))=0,"",INDEX(Table2[],_xlfn.XMATCH($A441,Table2[Steel Member],0),_xlfn.XMATCH(AL$2,Table2[#Headers],0)))</f>
        <v>#N/A</v>
      </c>
      <c r="AM441" s="4"/>
      <c r="AN441" s="4" t="str">
        <f t="shared" si="123"/>
        <v/>
      </c>
      <c r="AO441" s="4"/>
      <c r="AP441" s="4" t="e" cm="1">
        <f t="array" ref="AP441">IF(INDEX(Table2[],_xlfn.XMATCH($A441,Table2[Steel Member],0),_xlfn.XMATCH(AP$2,Table2[#Headers],0))=0,"",INDEX(Table2[],_xlfn.XMATCH($A441,Table2[Steel Member],0),_xlfn.XMATCH(AP$2,Table2[#Headers],0)))</f>
        <v>#N/A</v>
      </c>
      <c r="AQ441" s="4"/>
      <c r="AR441" s="4"/>
      <c r="AS441" s="4"/>
      <c r="AT441" s="4"/>
    </row>
    <row r="442" spans="1:46" x14ac:dyDescent="0.25">
      <c r="A442" s="52"/>
      <c r="B442" s="52"/>
      <c r="C442" s="52"/>
      <c r="D442" s="52"/>
      <c r="E442" s="52"/>
      <c r="F442" s="64" cm="1">
        <f t="array" ref="F442">IF(COUNT(FIND(PurlinsxGirthsxBracings,$C442))&gt;0,0,ROUNDUP(IF(D442=0,0,VLOOKUP(D442,'DATA SHEET'!$B:$D,2,FALSE)),2))</f>
        <v>0</v>
      </c>
      <c r="G442" s="64" cm="1">
        <f t="array" ref="G442">IF(COUNT(FIND(PurlinsxGirthsxBracings,$C442))&gt;0,0,ROUNDUP(IF(D442=0,0,VLOOKUP(D442,'DATA SHEET'!$B:$D,3,FALSE)),2))</f>
        <v>0</v>
      </c>
      <c r="H442" s="53"/>
      <c r="I442" s="66" cm="1">
        <f t="array" ref="I442">IF(AND(ISBLANK(B442),ISBLANK(C442),ISBLANK(E442)),0,IF(COUNT(FIND(PurlinsxGirthsxBracings,$C442))&gt;0,IF(B442=0,CONCATENATE(E442," ",C442),CONCATENATE(B442," - ",E442," ",C442)),IF(B442=0,IF(ISBLANK(C442),E442,CONCATENATE(D442,", ",F442,"kg/m, ",G442,"mm surface perimeter")),IF(AND(ISBLANK(C442),ISTEXT(E442)),CONCATENATE(B442," - ",E442),IF(AND(ISBLANK(C442),ISBLANK(E442)),B442,CONCATENATE(B442," - ",D442,", ",F442,"kg/m, ",G442,"mm surface perimeter"))))&amp;IF(ISBLANK(H442),"",H442)))</f>
        <v>0</v>
      </c>
      <c r="J442" s="53"/>
      <c r="L442" s="4" t="str" cm="1">
        <f t="array" ref="L442">IF(COUNT(FIND({0,1,2,3,4,5,6,7,8,9},B442))&gt;0,COUNT(FIND({0,1,2,3,4,5,6,7,8,9},B442))&gt;0,"")</f>
        <v/>
      </c>
      <c r="M442" s="4" t="str" cm="1">
        <f t="array" aca="1" ref="M442" ca="1">IFERROR(_xlfn.IFS(R442="Count",RANDBETWEEN(1,COUNTIF($R$11:$R$653,"Count")),R442="Length",RANDBETWEEN(1,COUNTIF($R$11:$R$653,"Length"))),"")</f>
        <v/>
      </c>
      <c r="N442" s="4" t="str">
        <f ca="1">IFERROR(_xlfn.RANK.EQ(M442,$M$11:$M$653)+COUNTIF($M$11:M442,M442)-1,"")</f>
        <v/>
      </c>
      <c r="O442" s="86" t="str">
        <f>IF(A442='DATA SHEET'!$L$36,C442,IFERROR(IF(AND(ISTEXT(I442),ISBLANK(C442)),"No details",VLOOKUP(C442,DimFolder,2,FALSE)),""))</f>
        <v/>
      </c>
      <c r="P442" s="4" t="str">
        <f t="shared" si="113"/>
        <v/>
      </c>
      <c r="Q442" s="58" t="str">
        <f t="shared" si="124"/>
        <v/>
      </c>
      <c r="R442" s="4" t="e" cm="1">
        <f t="array" ref="R442">IF(INDEX(Table2[],_xlfn.XMATCH($A442,Table2[Steel Member],0),_xlfn.XMATCH(R$2,Table2[#Headers],0))=0,"",INDEX(Table2[],_xlfn.XMATCH($A442,Table2[Steel Member],0),_xlfn.XMATCH(R$2,Table2[#Headers],0)))</f>
        <v>#N/A</v>
      </c>
      <c r="S442" s="4" t="e" cm="1">
        <f t="array" ref="S442">IF(INDEX(Table2[],_xlfn.XMATCH($A442,Table2[Steel Member],0),_xlfn.XMATCH(S$2,Table2[#Headers],0))=0,"",INDEX(Table2[],_xlfn.XMATCH($A442,Table2[Steel Member],0),_xlfn.XMATCH(S$2,Table2[#Headers],0)))</f>
        <v>#N/A</v>
      </c>
      <c r="T442" s="4" t="str">
        <f t="shared" si="115"/>
        <v/>
      </c>
      <c r="U442" s="4" t="e">
        <f ca="1">VLOOKUP(N442,'COLOR CODE'!$B:$D,2,FALSE)</f>
        <v>#N/A</v>
      </c>
      <c r="V442" s="4" t="str">
        <f t="shared" si="116"/>
        <v/>
      </c>
      <c r="W442" s="4" t="e" cm="1">
        <f t="array" ref="W442">IF(INDEX(Table2[],_xlfn.XMATCH($A442,Table2[Steel Member],0),_xlfn.XMATCH(W$2,Table2[#Headers],0))=0,"",INDEX(Table2[],_xlfn.XMATCH($A442,Table2[Steel Member],0),_xlfn.XMATCH(W$2,Table2[#Headers],0)))</f>
        <v>#N/A</v>
      </c>
      <c r="X442" s="4" t="e">
        <f t="shared" si="114"/>
        <v>#N/A</v>
      </c>
      <c r="Y442" s="4" t="e" cm="1">
        <f t="array" ref="Y442">IF(INDEX(Table2[],_xlfn.XMATCH($A442,Table2[Steel Member],0),_xlfn.XMATCH(Y$2,Table2[#Headers],0))=0,"",INDEX(Table2[],_xlfn.XMATCH($A442,Table2[Steel Member],0),_xlfn.XMATCH(Y$2,Table2[#Headers],0)))</f>
        <v>#N/A</v>
      </c>
      <c r="Z442" s="4" t="e" cm="1">
        <f t="array" ref="Z442">IF(INDEX(Table2[],_xlfn.XMATCH($A442,Table2[Steel Member],0),_xlfn.XMATCH(Z$2,Table2[#Headers],0))=0,"",INDEX(Table2[],_xlfn.XMATCH($A442,Table2[Steel Member],0),_xlfn.XMATCH(Z$2,Table2[#Headers],0)))</f>
        <v>#N/A</v>
      </c>
      <c r="AA442" s="4" t="e" cm="1">
        <f t="array" ref="AA442">IF(INDEX(Table2[],_xlfn.XMATCH($A442,Table2[Steel Member],0),_xlfn.XMATCH(AA$2,Table2[#Headers],0))=0,"",INDEX(Table2[],_xlfn.XMATCH($A442,Table2[Steel Member],0),_xlfn.XMATCH(AA$2,Table2[#Headers],0)))</f>
        <v>#N/A</v>
      </c>
      <c r="AB442" s="4" t="e" cm="1">
        <f t="array" ref="AB442">IF(INDEX(Table2[],_xlfn.XMATCH($A442,Table2[Steel Member],0),_xlfn.XMATCH(AB$2,Table2[#Headers],0))=0,"",INDEX(Table2[],_xlfn.XMATCH($A442,Table2[Steel Member],0),_xlfn.XMATCH(AB$2,Table2[#Headers],0)))</f>
        <v>#N/A</v>
      </c>
      <c r="AC442" s="4" t="str" cm="1">
        <f t="array" ref="AC442">IFERROR(INDEX(Table8[],_xlfn.XMATCH($O442,Table8[Dimension Name Category],0),_xlfn.XMATCH(AC$2&amp;IF($L442," w/ tag"," w/o tag"),Table8[#Headers],0)),"")</f>
        <v/>
      </c>
      <c r="AD442" s="59" t="str">
        <f t="shared" si="117"/>
        <v/>
      </c>
      <c r="AE442" s="4" t="str">
        <f t="shared" si="118"/>
        <v/>
      </c>
      <c r="AF442" s="4" t="str">
        <f t="shared" si="119"/>
        <v/>
      </c>
      <c r="AG442" s="4" t="str" cm="1">
        <f t="array" ref="AG442">IFERROR(INDEX(Table8[],_xlfn.XMATCH($O442,Table8[Dimension Name Category],0),_xlfn.XMATCH(AG$2&amp;IF($L442," w/ tag"," w/o tag"),Table8[#Headers],0)),"")</f>
        <v/>
      </c>
      <c r="AH442" s="59" t="str">
        <f t="shared" si="120"/>
        <v/>
      </c>
      <c r="AI442" s="4"/>
      <c r="AJ442" s="4" t="str">
        <f t="shared" si="121"/>
        <v/>
      </c>
      <c r="AK442" s="4" t="str">
        <f t="shared" si="122"/>
        <v/>
      </c>
      <c r="AL442" s="4" t="e" cm="1">
        <f t="array" ref="AL442">IF(INDEX(Table2[],_xlfn.XMATCH($A442,Table2[Steel Member],0),_xlfn.XMATCH(AL$2,Table2[#Headers],0))=0,"",INDEX(Table2[],_xlfn.XMATCH($A442,Table2[Steel Member],0),_xlfn.XMATCH(AL$2,Table2[#Headers],0)))</f>
        <v>#N/A</v>
      </c>
      <c r="AM442" s="4"/>
      <c r="AN442" s="4" t="str">
        <f t="shared" si="123"/>
        <v/>
      </c>
      <c r="AO442" s="4"/>
      <c r="AP442" s="4" t="e" cm="1">
        <f t="array" ref="AP442">IF(INDEX(Table2[],_xlfn.XMATCH($A442,Table2[Steel Member],0),_xlfn.XMATCH(AP$2,Table2[#Headers],0))=0,"",INDEX(Table2[],_xlfn.XMATCH($A442,Table2[Steel Member],0),_xlfn.XMATCH(AP$2,Table2[#Headers],0)))</f>
        <v>#N/A</v>
      </c>
      <c r="AQ442" s="4"/>
      <c r="AR442" s="4"/>
      <c r="AS442" s="4"/>
      <c r="AT442" s="4"/>
    </row>
    <row r="443" spans="1:46" x14ac:dyDescent="0.25">
      <c r="A443" s="52"/>
      <c r="B443" s="52"/>
      <c r="C443" s="52"/>
      <c r="D443" s="52"/>
      <c r="E443" s="52"/>
      <c r="F443" s="64" cm="1">
        <f t="array" ref="F443">IF(COUNT(FIND(PurlinsxGirthsxBracings,$C443))&gt;0,0,ROUNDUP(IF(D443=0,0,VLOOKUP(D443,'DATA SHEET'!$B:$D,2,FALSE)),2))</f>
        <v>0</v>
      </c>
      <c r="G443" s="64" cm="1">
        <f t="array" ref="G443">IF(COUNT(FIND(PurlinsxGirthsxBracings,$C443))&gt;0,0,ROUNDUP(IF(D443=0,0,VLOOKUP(D443,'DATA SHEET'!$B:$D,3,FALSE)),2))</f>
        <v>0</v>
      </c>
      <c r="H443" s="53"/>
      <c r="I443" s="66" cm="1">
        <f t="array" ref="I443">IF(AND(ISBLANK(B443),ISBLANK(C443),ISBLANK(E443)),0,IF(COUNT(FIND(PurlinsxGirthsxBracings,$C443))&gt;0,IF(B443=0,CONCATENATE(E443," ",C443),CONCATENATE(B443," - ",E443," ",C443)),IF(B443=0,IF(ISBLANK(C443),E443,CONCATENATE(D443,", ",F443,"kg/m, ",G443,"mm surface perimeter")),IF(AND(ISBLANK(C443),ISTEXT(E443)),CONCATENATE(B443," - ",E443),IF(AND(ISBLANK(C443),ISBLANK(E443)),B443,CONCATENATE(B443," - ",D443,", ",F443,"kg/m, ",G443,"mm surface perimeter"))))&amp;IF(ISBLANK(H443),"",H443)))</f>
        <v>0</v>
      </c>
      <c r="J443" s="53"/>
      <c r="L443" s="4" t="str" cm="1">
        <f t="array" ref="L443">IF(COUNT(FIND({0,1,2,3,4,5,6,7,8,9},B443))&gt;0,COUNT(FIND({0,1,2,3,4,5,6,7,8,9},B443))&gt;0,"")</f>
        <v/>
      </c>
      <c r="M443" s="4" t="str" cm="1">
        <f t="array" aca="1" ref="M443" ca="1">IFERROR(_xlfn.IFS(R443="Count",RANDBETWEEN(1,COUNTIF($R$11:$R$653,"Count")),R443="Length",RANDBETWEEN(1,COUNTIF($R$11:$R$653,"Length"))),"")</f>
        <v/>
      </c>
      <c r="N443" s="4" t="str">
        <f ca="1">IFERROR(_xlfn.RANK.EQ(M443,$M$11:$M$653)+COUNTIF($M$11:M443,M443)-1,"")</f>
        <v/>
      </c>
      <c r="O443" s="86" t="str">
        <f>IF(A443='DATA SHEET'!$L$36,C443,IFERROR(IF(AND(ISTEXT(I443),ISBLANK(C443)),"No details",VLOOKUP(C443,DimFolder,2,FALSE)),""))</f>
        <v/>
      </c>
      <c r="P443" s="4" t="str">
        <f t="shared" si="113"/>
        <v/>
      </c>
      <c r="Q443" s="58" t="str">
        <f t="shared" si="124"/>
        <v/>
      </c>
      <c r="R443" s="4" t="e" cm="1">
        <f t="array" ref="R443">IF(INDEX(Table2[],_xlfn.XMATCH($A443,Table2[Steel Member],0),_xlfn.XMATCH(R$2,Table2[#Headers],0))=0,"",INDEX(Table2[],_xlfn.XMATCH($A443,Table2[Steel Member],0),_xlfn.XMATCH(R$2,Table2[#Headers],0)))</f>
        <v>#N/A</v>
      </c>
      <c r="S443" s="4" t="e" cm="1">
        <f t="array" ref="S443">IF(INDEX(Table2[],_xlfn.XMATCH($A443,Table2[Steel Member],0),_xlfn.XMATCH(S$2,Table2[#Headers],0))=0,"",INDEX(Table2[],_xlfn.XMATCH($A443,Table2[Steel Member],0),_xlfn.XMATCH(S$2,Table2[#Headers],0)))</f>
        <v>#N/A</v>
      </c>
      <c r="T443" s="4" t="str">
        <f t="shared" si="115"/>
        <v/>
      </c>
      <c r="U443" s="4" t="e">
        <f ca="1">VLOOKUP(N443,'COLOR CODE'!$B:$D,2,FALSE)</f>
        <v>#N/A</v>
      </c>
      <c r="V443" s="4" t="str">
        <f t="shared" si="116"/>
        <v/>
      </c>
      <c r="W443" s="4" t="e" cm="1">
        <f t="array" ref="W443">IF(INDEX(Table2[],_xlfn.XMATCH($A443,Table2[Steel Member],0),_xlfn.XMATCH(W$2,Table2[#Headers],0))=0,"",INDEX(Table2[],_xlfn.XMATCH($A443,Table2[Steel Member],0),_xlfn.XMATCH(W$2,Table2[#Headers],0)))</f>
        <v>#N/A</v>
      </c>
      <c r="X443" s="4" t="e">
        <f t="shared" si="114"/>
        <v>#N/A</v>
      </c>
      <c r="Y443" s="4" t="e" cm="1">
        <f t="array" ref="Y443">IF(INDEX(Table2[],_xlfn.XMATCH($A443,Table2[Steel Member],0),_xlfn.XMATCH(Y$2,Table2[#Headers],0))=0,"",INDEX(Table2[],_xlfn.XMATCH($A443,Table2[Steel Member],0),_xlfn.XMATCH(Y$2,Table2[#Headers],0)))</f>
        <v>#N/A</v>
      </c>
      <c r="Z443" s="4" t="e" cm="1">
        <f t="array" ref="Z443">IF(INDEX(Table2[],_xlfn.XMATCH($A443,Table2[Steel Member],0),_xlfn.XMATCH(Z$2,Table2[#Headers],0))=0,"",INDEX(Table2[],_xlfn.XMATCH($A443,Table2[Steel Member],0),_xlfn.XMATCH(Z$2,Table2[#Headers],0)))</f>
        <v>#N/A</v>
      </c>
      <c r="AA443" s="4" t="e" cm="1">
        <f t="array" ref="AA443">IF(INDEX(Table2[],_xlfn.XMATCH($A443,Table2[Steel Member],0),_xlfn.XMATCH(AA$2,Table2[#Headers],0))=0,"",INDEX(Table2[],_xlfn.XMATCH($A443,Table2[Steel Member],0),_xlfn.XMATCH(AA$2,Table2[#Headers],0)))</f>
        <v>#N/A</v>
      </c>
      <c r="AB443" s="4" t="e" cm="1">
        <f t="array" ref="AB443">IF(INDEX(Table2[],_xlfn.XMATCH($A443,Table2[Steel Member],0),_xlfn.XMATCH(AB$2,Table2[#Headers],0))=0,"",INDEX(Table2[],_xlfn.XMATCH($A443,Table2[Steel Member],0),_xlfn.XMATCH(AB$2,Table2[#Headers],0)))</f>
        <v>#N/A</v>
      </c>
      <c r="AC443" s="4" t="str" cm="1">
        <f t="array" ref="AC443">IFERROR(INDEX(Table8[],_xlfn.XMATCH($O443,Table8[Dimension Name Category],0),_xlfn.XMATCH(AC$2&amp;IF($L443," w/ tag"," w/o tag"),Table8[#Headers],0)),"")</f>
        <v/>
      </c>
      <c r="AD443" s="59" t="str">
        <f t="shared" si="117"/>
        <v/>
      </c>
      <c r="AE443" s="4" t="str">
        <f t="shared" si="118"/>
        <v/>
      </c>
      <c r="AF443" s="4" t="str">
        <f t="shared" si="119"/>
        <v/>
      </c>
      <c r="AG443" s="4" t="str" cm="1">
        <f t="array" ref="AG443">IFERROR(INDEX(Table8[],_xlfn.XMATCH($O443,Table8[Dimension Name Category],0),_xlfn.XMATCH(AG$2&amp;IF($L443," w/ tag"," w/o tag"),Table8[#Headers],0)),"")</f>
        <v/>
      </c>
      <c r="AH443" s="59" t="str">
        <f t="shared" si="120"/>
        <v/>
      </c>
      <c r="AI443" s="4"/>
      <c r="AJ443" s="4" t="str">
        <f t="shared" si="121"/>
        <v/>
      </c>
      <c r="AK443" s="4" t="str">
        <f t="shared" si="122"/>
        <v/>
      </c>
      <c r="AL443" s="4" t="e" cm="1">
        <f t="array" ref="AL443">IF(INDEX(Table2[],_xlfn.XMATCH($A443,Table2[Steel Member],0),_xlfn.XMATCH(AL$2,Table2[#Headers],0))=0,"",INDEX(Table2[],_xlfn.XMATCH($A443,Table2[Steel Member],0),_xlfn.XMATCH(AL$2,Table2[#Headers],0)))</f>
        <v>#N/A</v>
      </c>
      <c r="AM443" s="4"/>
      <c r="AN443" s="4" t="str">
        <f t="shared" si="123"/>
        <v/>
      </c>
      <c r="AO443" s="4"/>
      <c r="AP443" s="4" t="e" cm="1">
        <f t="array" ref="AP443">IF(INDEX(Table2[],_xlfn.XMATCH($A443,Table2[Steel Member],0),_xlfn.XMATCH(AP$2,Table2[#Headers],0))=0,"",INDEX(Table2[],_xlfn.XMATCH($A443,Table2[Steel Member],0),_xlfn.XMATCH(AP$2,Table2[#Headers],0)))</f>
        <v>#N/A</v>
      </c>
      <c r="AQ443" s="4"/>
      <c r="AR443" s="4"/>
      <c r="AS443" s="4"/>
      <c r="AT443" s="4"/>
    </row>
    <row r="444" spans="1:46" x14ac:dyDescent="0.25">
      <c r="A444" s="52"/>
      <c r="B444" s="52"/>
      <c r="C444" s="52"/>
      <c r="D444" s="52"/>
      <c r="E444" s="52"/>
      <c r="F444" s="64" cm="1">
        <f t="array" ref="F444">IF(COUNT(FIND(PurlinsxGirthsxBracings,$C444))&gt;0,0,ROUNDUP(IF(D444=0,0,VLOOKUP(D444,'DATA SHEET'!$B:$D,2,FALSE)),2))</f>
        <v>0</v>
      </c>
      <c r="G444" s="64" cm="1">
        <f t="array" ref="G444">IF(COUNT(FIND(PurlinsxGirthsxBracings,$C444))&gt;0,0,ROUNDUP(IF(D444=0,0,VLOOKUP(D444,'DATA SHEET'!$B:$D,3,FALSE)),2))</f>
        <v>0</v>
      </c>
      <c r="H444" s="53"/>
      <c r="I444" s="66" cm="1">
        <f t="array" ref="I444">IF(AND(ISBLANK(B444),ISBLANK(C444),ISBLANK(E444)),0,IF(COUNT(FIND(PurlinsxGirthsxBracings,$C444))&gt;0,IF(B444=0,CONCATENATE(E444," ",C444),CONCATENATE(B444," - ",E444," ",C444)),IF(B444=0,IF(ISBLANK(C444),E444,CONCATENATE(D444,", ",F444,"kg/m, ",G444,"mm surface perimeter")),IF(AND(ISBLANK(C444),ISTEXT(E444)),CONCATENATE(B444," - ",E444),IF(AND(ISBLANK(C444),ISBLANK(E444)),B444,CONCATENATE(B444," - ",D444,", ",F444,"kg/m, ",G444,"mm surface perimeter"))))&amp;IF(ISBLANK(H444),"",H444)))</f>
        <v>0</v>
      </c>
      <c r="J444" s="53"/>
      <c r="L444" s="4" t="str" cm="1">
        <f t="array" ref="L444">IF(COUNT(FIND({0,1,2,3,4,5,6,7,8,9},B444))&gt;0,COUNT(FIND({0,1,2,3,4,5,6,7,8,9},B444))&gt;0,"")</f>
        <v/>
      </c>
      <c r="M444" s="4" t="str" cm="1">
        <f t="array" aca="1" ref="M444" ca="1">IFERROR(_xlfn.IFS(R444="Count",RANDBETWEEN(1,COUNTIF($R$11:$R$653,"Count")),R444="Length",RANDBETWEEN(1,COUNTIF($R$11:$R$653,"Length"))),"")</f>
        <v/>
      </c>
      <c r="N444" s="4" t="str">
        <f ca="1">IFERROR(_xlfn.RANK.EQ(M444,$M$11:$M$653)+COUNTIF($M$11:M444,M444)-1,"")</f>
        <v/>
      </c>
      <c r="O444" s="86" t="str">
        <f>IF(A444='DATA SHEET'!$L$36,C444,IFERROR(IF(AND(ISTEXT(I444),ISBLANK(C444)),"No details",VLOOKUP(C444,DimFolder,2,FALSE)),""))</f>
        <v/>
      </c>
      <c r="P444" s="4" t="str">
        <f t="shared" si="113"/>
        <v/>
      </c>
      <c r="Q444" s="58" t="str">
        <f t="shared" si="124"/>
        <v/>
      </c>
      <c r="R444" s="4" t="e" cm="1">
        <f t="array" ref="R444">IF(INDEX(Table2[],_xlfn.XMATCH($A444,Table2[Steel Member],0),_xlfn.XMATCH(R$2,Table2[#Headers],0))=0,"",INDEX(Table2[],_xlfn.XMATCH($A444,Table2[Steel Member],0),_xlfn.XMATCH(R$2,Table2[#Headers],0)))</f>
        <v>#N/A</v>
      </c>
      <c r="S444" s="4" t="e" cm="1">
        <f t="array" ref="S444">IF(INDEX(Table2[],_xlfn.XMATCH($A444,Table2[Steel Member],0),_xlfn.XMATCH(S$2,Table2[#Headers],0))=0,"",INDEX(Table2[],_xlfn.XMATCH($A444,Table2[Steel Member],0),_xlfn.XMATCH(S$2,Table2[#Headers],0)))</f>
        <v>#N/A</v>
      </c>
      <c r="T444" s="4" t="str">
        <f t="shared" si="115"/>
        <v/>
      </c>
      <c r="U444" s="4" t="e">
        <f ca="1">VLOOKUP(N444,'COLOR CODE'!$B:$D,2,FALSE)</f>
        <v>#N/A</v>
      </c>
      <c r="V444" s="4" t="str">
        <f t="shared" si="116"/>
        <v/>
      </c>
      <c r="W444" s="4" t="e" cm="1">
        <f t="array" ref="W444">IF(INDEX(Table2[],_xlfn.XMATCH($A444,Table2[Steel Member],0),_xlfn.XMATCH(W$2,Table2[#Headers],0))=0,"",INDEX(Table2[],_xlfn.XMATCH($A444,Table2[Steel Member],0),_xlfn.XMATCH(W$2,Table2[#Headers],0)))</f>
        <v>#N/A</v>
      </c>
      <c r="X444" s="4" t="e">
        <f t="shared" si="114"/>
        <v>#N/A</v>
      </c>
      <c r="Y444" s="4" t="e" cm="1">
        <f t="array" ref="Y444">IF(INDEX(Table2[],_xlfn.XMATCH($A444,Table2[Steel Member],0),_xlfn.XMATCH(Y$2,Table2[#Headers],0))=0,"",INDEX(Table2[],_xlfn.XMATCH($A444,Table2[Steel Member],0),_xlfn.XMATCH(Y$2,Table2[#Headers],0)))</f>
        <v>#N/A</v>
      </c>
      <c r="Z444" s="4" t="e" cm="1">
        <f t="array" ref="Z444">IF(INDEX(Table2[],_xlfn.XMATCH($A444,Table2[Steel Member],0),_xlfn.XMATCH(Z$2,Table2[#Headers],0))=0,"",INDEX(Table2[],_xlfn.XMATCH($A444,Table2[Steel Member],0),_xlfn.XMATCH(Z$2,Table2[#Headers],0)))</f>
        <v>#N/A</v>
      </c>
      <c r="AA444" s="4" t="e" cm="1">
        <f t="array" ref="AA444">IF(INDEX(Table2[],_xlfn.XMATCH($A444,Table2[Steel Member],0),_xlfn.XMATCH(AA$2,Table2[#Headers],0))=0,"",INDEX(Table2[],_xlfn.XMATCH($A444,Table2[Steel Member],0),_xlfn.XMATCH(AA$2,Table2[#Headers],0)))</f>
        <v>#N/A</v>
      </c>
      <c r="AB444" s="4" t="e" cm="1">
        <f t="array" ref="AB444">IF(INDEX(Table2[],_xlfn.XMATCH($A444,Table2[Steel Member],0),_xlfn.XMATCH(AB$2,Table2[#Headers],0))=0,"",INDEX(Table2[],_xlfn.XMATCH($A444,Table2[Steel Member],0),_xlfn.XMATCH(AB$2,Table2[#Headers],0)))</f>
        <v>#N/A</v>
      </c>
      <c r="AC444" s="4" t="str" cm="1">
        <f t="array" ref="AC444">IFERROR(INDEX(Table8[],_xlfn.XMATCH($O444,Table8[Dimension Name Category],0),_xlfn.XMATCH(AC$2&amp;IF($L444," w/ tag"," w/o tag"),Table8[#Headers],0)),"")</f>
        <v/>
      </c>
      <c r="AD444" s="59" t="str">
        <f t="shared" si="117"/>
        <v/>
      </c>
      <c r="AE444" s="4" t="str">
        <f t="shared" si="118"/>
        <v/>
      </c>
      <c r="AF444" s="4" t="str">
        <f t="shared" si="119"/>
        <v/>
      </c>
      <c r="AG444" s="4" t="str" cm="1">
        <f t="array" ref="AG444">IFERROR(INDEX(Table8[],_xlfn.XMATCH($O444,Table8[Dimension Name Category],0),_xlfn.XMATCH(AG$2&amp;IF($L444," w/ tag"," w/o tag"),Table8[#Headers],0)),"")</f>
        <v/>
      </c>
      <c r="AH444" s="59" t="str">
        <f t="shared" si="120"/>
        <v/>
      </c>
      <c r="AI444" s="4"/>
      <c r="AJ444" s="4" t="str">
        <f t="shared" si="121"/>
        <v/>
      </c>
      <c r="AK444" s="4" t="str">
        <f t="shared" si="122"/>
        <v/>
      </c>
      <c r="AL444" s="4" t="e" cm="1">
        <f t="array" ref="AL444">IF(INDEX(Table2[],_xlfn.XMATCH($A444,Table2[Steel Member],0),_xlfn.XMATCH(AL$2,Table2[#Headers],0))=0,"",INDEX(Table2[],_xlfn.XMATCH($A444,Table2[Steel Member],0),_xlfn.XMATCH(AL$2,Table2[#Headers],0)))</f>
        <v>#N/A</v>
      </c>
      <c r="AM444" s="4"/>
      <c r="AN444" s="4" t="str">
        <f t="shared" si="123"/>
        <v/>
      </c>
      <c r="AO444" s="4"/>
      <c r="AP444" s="4" t="e" cm="1">
        <f t="array" ref="AP444">IF(INDEX(Table2[],_xlfn.XMATCH($A444,Table2[Steel Member],0),_xlfn.XMATCH(AP$2,Table2[#Headers],0))=0,"",INDEX(Table2[],_xlfn.XMATCH($A444,Table2[Steel Member],0),_xlfn.XMATCH(AP$2,Table2[#Headers],0)))</f>
        <v>#N/A</v>
      </c>
      <c r="AQ444" s="4"/>
      <c r="AR444" s="4"/>
      <c r="AS444" s="4"/>
      <c r="AT444" s="4"/>
    </row>
    <row r="445" spans="1:46" x14ac:dyDescent="0.25">
      <c r="A445" s="52"/>
      <c r="B445" s="52"/>
      <c r="C445" s="52"/>
      <c r="D445" s="52"/>
      <c r="E445" s="52"/>
      <c r="F445" s="64" cm="1">
        <f t="array" ref="F445">IF(COUNT(FIND(PurlinsxGirthsxBracings,$C445))&gt;0,0,ROUNDUP(IF(D445=0,0,VLOOKUP(D445,'DATA SHEET'!$B:$D,2,FALSE)),2))</f>
        <v>0</v>
      </c>
      <c r="G445" s="64" cm="1">
        <f t="array" ref="G445">IF(COUNT(FIND(PurlinsxGirthsxBracings,$C445))&gt;0,0,ROUNDUP(IF(D445=0,0,VLOOKUP(D445,'DATA SHEET'!$B:$D,3,FALSE)),2))</f>
        <v>0</v>
      </c>
      <c r="H445" s="53"/>
      <c r="I445" s="66" cm="1">
        <f t="array" ref="I445">IF(AND(ISBLANK(B445),ISBLANK(C445),ISBLANK(E445)),0,IF(COUNT(FIND(PurlinsxGirthsxBracings,$C445))&gt;0,IF(B445=0,CONCATENATE(E445," ",C445),CONCATENATE(B445," - ",E445," ",C445)),IF(B445=0,IF(ISBLANK(C445),E445,CONCATENATE(D445,", ",F445,"kg/m, ",G445,"mm surface perimeter")),IF(AND(ISBLANK(C445),ISTEXT(E445)),CONCATENATE(B445," - ",E445),IF(AND(ISBLANK(C445),ISBLANK(E445)),B445,CONCATENATE(B445," - ",D445,", ",F445,"kg/m, ",G445,"mm surface perimeter"))))&amp;IF(ISBLANK(H445),"",H445)))</f>
        <v>0</v>
      </c>
      <c r="J445" s="53"/>
      <c r="L445" s="4" t="str" cm="1">
        <f t="array" ref="L445">IF(COUNT(FIND({0,1,2,3,4,5,6,7,8,9},B445))&gt;0,COUNT(FIND({0,1,2,3,4,5,6,7,8,9},B445))&gt;0,"")</f>
        <v/>
      </c>
      <c r="M445" s="4" t="str" cm="1">
        <f t="array" aca="1" ref="M445" ca="1">IFERROR(_xlfn.IFS(R445="Count",RANDBETWEEN(1,COUNTIF($R$11:$R$653,"Count")),R445="Length",RANDBETWEEN(1,COUNTIF($R$11:$R$653,"Length"))),"")</f>
        <v/>
      </c>
      <c r="N445" s="4" t="str">
        <f ca="1">IFERROR(_xlfn.RANK.EQ(M445,$M$11:$M$653)+COUNTIF($M$11:M445,M445)-1,"")</f>
        <v/>
      </c>
      <c r="O445" s="86" t="str">
        <f>IF(A445='DATA SHEET'!$L$36,C445,IFERROR(IF(AND(ISTEXT(I445),ISBLANK(C445)),"No details",VLOOKUP(C445,DimFolder,2,FALSE)),""))</f>
        <v/>
      </c>
      <c r="P445" s="4" t="str">
        <f t="shared" si="113"/>
        <v/>
      </c>
      <c r="Q445" s="58" t="str">
        <f t="shared" si="124"/>
        <v/>
      </c>
      <c r="R445" s="4" t="e" cm="1">
        <f t="array" ref="R445">IF(INDEX(Table2[],_xlfn.XMATCH($A445,Table2[Steel Member],0),_xlfn.XMATCH(R$2,Table2[#Headers],0))=0,"",INDEX(Table2[],_xlfn.XMATCH($A445,Table2[Steel Member],0),_xlfn.XMATCH(R$2,Table2[#Headers],0)))</f>
        <v>#N/A</v>
      </c>
      <c r="S445" s="4" t="e" cm="1">
        <f t="array" ref="S445">IF(INDEX(Table2[],_xlfn.XMATCH($A445,Table2[Steel Member],0),_xlfn.XMATCH(S$2,Table2[#Headers],0))=0,"",INDEX(Table2[],_xlfn.XMATCH($A445,Table2[Steel Member],0),_xlfn.XMATCH(S$2,Table2[#Headers],0)))</f>
        <v>#N/A</v>
      </c>
      <c r="T445" s="4" t="str">
        <f t="shared" si="115"/>
        <v/>
      </c>
      <c r="U445" s="4" t="e">
        <f ca="1">VLOOKUP(N445,'COLOR CODE'!$B:$D,2,FALSE)</f>
        <v>#N/A</v>
      </c>
      <c r="V445" s="4" t="str">
        <f t="shared" si="116"/>
        <v/>
      </c>
      <c r="W445" s="4" t="e" cm="1">
        <f t="array" ref="W445">IF(INDEX(Table2[],_xlfn.XMATCH($A445,Table2[Steel Member],0),_xlfn.XMATCH(W$2,Table2[#Headers],0))=0,"",INDEX(Table2[],_xlfn.XMATCH($A445,Table2[Steel Member],0),_xlfn.XMATCH(W$2,Table2[#Headers],0)))</f>
        <v>#N/A</v>
      </c>
      <c r="X445" s="4" t="e">
        <f t="shared" si="114"/>
        <v>#N/A</v>
      </c>
      <c r="Y445" s="4" t="e" cm="1">
        <f t="array" ref="Y445">IF(INDEX(Table2[],_xlfn.XMATCH($A445,Table2[Steel Member],0),_xlfn.XMATCH(Y$2,Table2[#Headers],0))=0,"",INDEX(Table2[],_xlfn.XMATCH($A445,Table2[Steel Member],0),_xlfn.XMATCH(Y$2,Table2[#Headers],0)))</f>
        <v>#N/A</v>
      </c>
      <c r="Z445" s="4" t="e" cm="1">
        <f t="array" ref="Z445">IF(INDEX(Table2[],_xlfn.XMATCH($A445,Table2[Steel Member],0),_xlfn.XMATCH(Z$2,Table2[#Headers],0))=0,"",INDEX(Table2[],_xlfn.XMATCH($A445,Table2[Steel Member],0),_xlfn.XMATCH(Z$2,Table2[#Headers],0)))</f>
        <v>#N/A</v>
      </c>
      <c r="AA445" s="4" t="e" cm="1">
        <f t="array" ref="AA445">IF(INDEX(Table2[],_xlfn.XMATCH($A445,Table2[Steel Member],0),_xlfn.XMATCH(AA$2,Table2[#Headers],0))=0,"",INDEX(Table2[],_xlfn.XMATCH($A445,Table2[Steel Member],0),_xlfn.XMATCH(AA$2,Table2[#Headers],0)))</f>
        <v>#N/A</v>
      </c>
      <c r="AB445" s="4" t="e" cm="1">
        <f t="array" ref="AB445">IF(INDEX(Table2[],_xlfn.XMATCH($A445,Table2[Steel Member],0),_xlfn.XMATCH(AB$2,Table2[#Headers],0))=0,"",INDEX(Table2[],_xlfn.XMATCH($A445,Table2[Steel Member],0),_xlfn.XMATCH(AB$2,Table2[#Headers],0)))</f>
        <v>#N/A</v>
      </c>
      <c r="AC445" s="4" t="str" cm="1">
        <f t="array" ref="AC445">IFERROR(INDEX(Table8[],_xlfn.XMATCH($O445,Table8[Dimension Name Category],0),_xlfn.XMATCH(AC$2&amp;IF($L445," w/ tag"," w/o tag"),Table8[#Headers],0)),"")</f>
        <v/>
      </c>
      <c r="AD445" s="59" t="str">
        <f t="shared" si="117"/>
        <v/>
      </c>
      <c r="AE445" s="4" t="str">
        <f t="shared" si="118"/>
        <v/>
      </c>
      <c r="AF445" s="4" t="str">
        <f t="shared" si="119"/>
        <v/>
      </c>
      <c r="AG445" s="4" t="str" cm="1">
        <f t="array" ref="AG445">IFERROR(INDEX(Table8[],_xlfn.XMATCH($O445,Table8[Dimension Name Category],0),_xlfn.XMATCH(AG$2&amp;IF($L445," w/ tag"," w/o tag"),Table8[#Headers],0)),"")</f>
        <v/>
      </c>
      <c r="AH445" s="59" t="str">
        <f t="shared" si="120"/>
        <v/>
      </c>
      <c r="AI445" s="4"/>
      <c r="AJ445" s="4" t="str">
        <f t="shared" si="121"/>
        <v/>
      </c>
      <c r="AK445" s="4" t="str">
        <f t="shared" si="122"/>
        <v/>
      </c>
      <c r="AL445" s="4" t="e" cm="1">
        <f t="array" ref="AL445">IF(INDEX(Table2[],_xlfn.XMATCH($A445,Table2[Steel Member],0),_xlfn.XMATCH(AL$2,Table2[#Headers],0))=0,"",INDEX(Table2[],_xlfn.XMATCH($A445,Table2[Steel Member],0),_xlfn.XMATCH(AL$2,Table2[#Headers],0)))</f>
        <v>#N/A</v>
      </c>
      <c r="AM445" s="4"/>
      <c r="AN445" s="4" t="str">
        <f t="shared" si="123"/>
        <v/>
      </c>
      <c r="AO445" s="4"/>
      <c r="AP445" s="4" t="e" cm="1">
        <f t="array" ref="AP445">IF(INDEX(Table2[],_xlfn.XMATCH($A445,Table2[Steel Member],0),_xlfn.XMATCH(AP$2,Table2[#Headers],0))=0,"",INDEX(Table2[],_xlfn.XMATCH($A445,Table2[Steel Member],0),_xlfn.XMATCH(AP$2,Table2[#Headers],0)))</f>
        <v>#N/A</v>
      </c>
      <c r="AQ445" s="4"/>
      <c r="AR445" s="4"/>
      <c r="AS445" s="4"/>
      <c r="AT445" s="4"/>
    </row>
    <row r="446" spans="1:46" x14ac:dyDescent="0.25">
      <c r="A446" s="52"/>
      <c r="B446" s="52"/>
      <c r="C446" s="52"/>
      <c r="D446" s="52"/>
      <c r="E446" s="52"/>
      <c r="F446" s="64" cm="1">
        <f t="array" ref="F446">IF(COUNT(FIND(PurlinsxGirthsxBracings,$C446))&gt;0,0,ROUNDUP(IF(D446=0,0,VLOOKUP(D446,'DATA SHEET'!$B:$D,2,FALSE)),2))</f>
        <v>0</v>
      </c>
      <c r="G446" s="64" cm="1">
        <f t="array" ref="G446">IF(COUNT(FIND(PurlinsxGirthsxBracings,$C446))&gt;0,0,ROUNDUP(IF(D446=0,0,VLOOKUP(D446,'DATA SHEET'!$B:$D,3,FALSE)),2))</f>
        <v>0</v>
      </c>
      <c r="H446" s="53"/>
      <c r="I446" s="66" cm="1">
        <f t="array" ref="I446">IF(AND(ISBLANK(B446),ISBLANK(C446),ISBLANK(E446)),0,IF(COUNT(FIND(PurlinsxGirthsxBracings,$C446))&gt;0,IF(B446=0,CONCATENATE(E446," ",C446),CONCATENATE(B446," - ",E446," ",C446)),IF(B446=0,IF(ISBLANK(C446),E446,CONCATENATE(D446,", ",F446,"kg/m, ",G446,"mm surface perimeter")),IF(AND(ISBLANK(C446),ISTEXT(E446)),CONCATENATE(B446," - ",E446),IF(AND(ISBLANK(C446),ISBLANK(E446)),B446,CONCATENATE(B446," - ",D446,", ",F446,"kg/m, ",G446,"mm surface perimeter"))))&amp;IF(ISBLANK(H446),"",H446)))</f>
        <v>0</v>
      </c>
      <c r="J446" s="53"/>
      <c r="L446" s="4" t="str" cm="1">
        <f t="array" ref="L446">IF(COUNT(FIND({0,1,2,3,4,5,6,7,8,9},B446))&gt;0,COUNT(FIND({0,1,2,3,4,5,6,7,8,9},B446))&gt;0,"")</f>
        <v/>
      </c>
      <c r="M446" s="4" t="str" cm="1">
        <f t="array" aca="1" ref="M446" ca="1">IFERROR(_xlfn.IFS(R446="Count",RANDBETWEEN(1,COUNTIF($R$11:$R$653,"Count")),R446="Length",RANDBETWEEN(1,COUNTIF($R$11:$R$653,"Length"))),"")</f>
        <v/>
      </c>
      <c r="N446" s="4" t="str">
        <f ca="1">IFERROR(_xlfn.RANK.EQ(M446,$M$11:$M$653)+COUNTIF($M$11:M446,M446)-1,"")</f>
        <v/>
      </c>
      <c r="O446" s="86" t="str">
        <f>IF(A446='DATA SHEET'!$L$36,C446,IFERROR(IF(AND(ISTEXT(I446),ISBLANK(C446)),"No details",VLOOKUP(C446,DimFolder,2,FALSE)),""))</f>
        <v/>
      </c>
      <c r="P446" s="4" t="str">
        <f t="shared" si="113"/>
        <v/>
      </c>
      <c r="Q446" s="58" t="str">
        <f t="shared" si="124"/>
        <v/>
      </c>
      <c r="R446" s="4" t="e" cm="1">
        <f t="array" ref="R446">IF(INDEX(Table2[],_xlfn.XMATCH($A446,Table2[Steel Member],0),_xlfn.XMATCH(R$2,Table2[#Headers],0))=0,"",INDEX(Table2[],_xlfn.XMATCH($A446,Table2[Steel Member],0),_xlfn.XMATCH(R$2,Table2[#Headers],0)))</f>
        <v>#N/A</v>
      </c>
      <c r="S446" s="4" t="e" cm="1">
        <f t="array" ref="S446">IF(INDEX(Table2[],_xlfn.XMATCH($A446,Table2[Steel Member],0),_xlfn.XMATCH(S$2,Table2[#Headers],0))=0,"",INDEX(Table2[],_xlfn.XMATCH($A446,Table2[Steel Member],0),_xlfn.XMATCH(S$2,Table2[#Headers],0)))</f>
        <v>#N/A</v>
      </c>
      <c r="T446" s="4" t="str">
        <f t="shared" si="115"/>
        <v/>
      </c>
      <c r="U446" s="4" t="e">
        <f ca="1">VLOOKUP(N446,'COLOR CODE'!$B:$D,2,FALSE)</f>
        <v>#N/A</v>
      </c>
      <c r="V446" s="4" t="str">
        <f t="shared" si="116"/>
        <v/>
      </c>
      <c r="W446" s="4" t="e" cm="1">
        <f t="array" ref="W446">IF(INDEX(Table2[],_xlfn.XMATCH($A446,Table2[Steel Member],0),_xlfn.XMATCH(W$2,Table2[#Headers],0))=0,"",INDEX(Table2[],_xlfn.XMATCH($A446,Table2[Steel Member],0),_xlfn.XMATCH(W$2,Table2[#Headers],0)))</f>
        <v>#N/A</v>
      </c>
      <c r="X446" s="4" t="e">
        <f t="shared" si="114"/>
        <v>#N/A</v>
      </c>
      <c r="Y446" s="4" t="e" cm="1">
        <f t="array" ref="Y446">IF(INDEX(Table2[],_xlfn.XMATCH($A446,Table2[Steel Member],0),_xlfn.XMATCH(Y$2,Table2[#Headers],0))=0,"",INDEX(Table2[],_xlfn.XMATCH($A446,Table2[Steel Member],0),_xlfn.XMATCH(Y$2,Table2[#Headers],0)))</f>
        <v>#N/A</v>
      </c>
      <c r="Z446" s="4" t="e" cm="1">
        <f t="array" ref="Z446">IF(INDEX(Table2[],_xlfn.XMATCH($A446,Table2[Steel Member],0),_xlfn.XMATCH(Z$2,Table2[#Headers],0))=0,"",INDEX(Table2[],_xlfn.XMATCH($A446,Table2[Steel Member],0),_xlfn.XMATCH(Z$2,Table2[#Headers],0)))</f>
        <v>#N/A</v>
      </c>
      <c r="AA446" s="4" t="e" cm="1">
        <f t="array" ref="AA446">IF(INDEX(Table2[],_xlfn.XMATCH($A446,Table2[Steel Member],0),_xlfn.XMATCH(AA$2,Table2[#Headers],0))=0,"",INDEX(Table2[],_xlfn.XMATCH($A446,Table2[Steel Member],0),_xlfn.XMATCH(AA$2,Table2[#Headers],0)))</f>
        <v>#N/A</v>
      </c>
      <c r="AB446" s="4" t="e" cm="1">
        <f t="array" ref="AB446">IF(INDEX(Table2[],_xlfn.XMATCH($A446,Table2[Steel Member],0),_xlfn.XMATCH(AB$2,Table2[#Headers],0))=0,"",INDEX(Table2[],_xlfn.XMATCH($A446,Table2[Steel Member],0),_xlfn.XMATCH(AB$2,Table2[#Headers],0)))</f>
        <v>#N/A</v>
      </c>
      <c r="AC446" s="4" t="str" cm="1">
        <f t="array" ref="AC446">IFERROR(INDEX(Table8[],_xlfn.XMATCH($O446,Table8[Dimension Name Category],0),_xlfn.XMATCH(AC$2&amp;IF($L446," w/ tag"," w/o tag"),Table8[#Headers],0)),"")</f>
        <v/>
      </c>
      <c r="AD446" s="59" t="str">
        <f t="shared" si="117"/>
        <v/>
      </c>
      <c r="AE446" s="4" t="str">
        <f t="shared" si="118"/>
        <v/>
      </c>
      <c r="AF446" s="4" t="str">
        <f t="shared" si="119"/>
        <v/>
      </c>
      <c r="AG446" s="4" t="str" cm="1">
        <f t="array" ref="AG446">IFERROR(INDEX(Table8[],_xlfn.XMATCH($O446,Table8[Dimension Name Category],0),_xlfn.XMATCH(AG$2&amp;IF($L446," w/ tag"," w/o tag"),Table8[#Headers],0)),"")</f>
        <v/>
      </c>
      <c r="AH446" s="59" t="str">
        <f t="shared" si="120"/>
        <v/>
      </c>
      <c r="AI446" s="4"/>
      <c r="AJ446" s="4" t="str">
        <f t="shared" si="121"/>
        <v/>
      </c>
      <c r="AK446" s="4" t="str">
        <f t="shared" si="122"/>
        <v/>
      </c>
      <c r="AL446" s="4" t="e" cm="1">
        <f t="array" ref="AL446">IF(INDEX(Table2[],_xlfn.XMATCH($A446,Table2[Steel Member],0),_xlfn.XMATCH(AL$2,Table2[#Headers],0))=0,"",INDEX(Table2[],_xlfn.XMATCH($A446,Table2[Steel Member],0),_xlfn.XMATCH(AL$2,Table2[#Headers],0)))</f>
        <v>#N/A</v>
      </c>
      <c r="AM446" s="4"/>
      <c r="AN446" s="4" t="str">
        <f t="shared" si="123"/>
        <v/>
      </c>
      <c r="AO446" s="4"/>
      <c r="AP446" s="4" t="e" cm="1">
        <f t="array" ref="AP446">IF(INDEX(Table2[],_xlfn.XMATCH($A446,Table2[Steel Member],0),_xlfn.XMATCH(AP$2,Table2[#Headers],0))=0,"",INDEX(Table2[],_xlfn.XMATCH($A446,Table2[Steel Member],0),_xlfn.XMATCH(AP$2,Table2[#Headers],0)))</f>
        <v>#N/A</v>
      </c>
      <c r="AQ446" s="4"/>
      <c r="AR446" s="4"/>
      <c r="AS446" s="4"/>
      <c r="AT446" s="4"/>
    </row>
    <row r="447" spans="1:46" x14ac:dyDescent="0.25">
      <c r="A447" s="52"/>
      <c r="B447" s="52"/>
      <c r="C447" s="52"/>
      <c r="D447" s="52"/>
      <c r="E447" s="52"/>
      <c r="F447" s="64" cm="1">
        <f t="array" ref="F447">IF(COUNT(FIND(PurlinsxGirthsxBracings,$C447))&gt;0,0,ROUNDUP(IF(D447=0,0,VLOOKUP(D447,'DATA SHEET'!$B:$D,2,FALSE)),2))</f>
        <v>0</v>
      </c>
      <c r="G447" s="64" cm="1">
        <f t="array" ref="G447">IF(COUNT(FIND(PurlinsxGirthsxBracings,$C447))&gt;0,0,ROUNDUP(IF(D447=0,0,VLOOKUP(D447,'DATA SHEET'!$B:$D,3,FALSE)),2))</f>
        <v>0</v>
      </c>
      <c r="H447" s="53"/>
      <c r="I447" s="66" cm="1">
        <f t="array" ref="I447">IF(AND(ISBLANK(B447),ISBLANK(C447),ISBLANK(E447)),0,IF(COUNT(FIND(PurlinsxGirthsxBracings,$C447))&gt;0,IF(B447=0,CONCATENATE(E447," ",C447),CONCATENATE(B447," - ",E447," ",C447)),IF(B447=0,IF(ISBLANK(C447),E447,CONCATENATE(D447,", ",F447,"kg/m, ",G447,"mm surface perimeter")),IF(AND(ISBLANK(C447),ISTEXT(E447)),CONCATENATE(B447," - ",E447),IF(AND(ISBLANK(C447),ISBLANK(E447)),B447,CONCATENATE(B447," - ",D447,", ",F447,"kg/m, ",G447,"mm surface perimeter"))))&amp;IF(ISBLANK(H447),"",H447)))</f>
        <v>0</v>
      </c>
      <c r="J447" s="53"/>
      <c r="L447" s="4" t="str" cm="1">
        <f t="array" ref="L447">IF(COUNT(FIND({0,1,2,3,4,5,6,7,8,9},B447))&gt;0,COUNT(FIND({0,1,2,3,4,5,6,7,8,9},B447))&gt;0,"")</f>
        <v/>
      </c>
      <c r="M447" s="4" t="str" cm="1">
        <f t="array" aca="1" ref="M447" ca="1">IFERROR(_xlfn.IFS(R447="Count",RANDBETWEEN(1,COUNTIF($R$11:$R$653,"Count")),R447="Length",RANDBETWEEN(1,COUNTIF($R$11:$R$653,"Length"))),"")</f>
        <v/>
      </c>
      <c r="N447" s="4" t="str">
        <f ca="1">IFERROR(_xlfn.RANK.EQ(M447,$M$11:$M$653)+COUNTIF($M$11:M447,M447)-1,"")</f>
        <v/>
      </c>
      <c r="O447" s="86" t="str">
        <f>IF(A447='DATA SHEET'!$L$36,C447,IFERROR(IF(AND(ISTEXT(I447),ISBLANK(C447)),"No details",VLOOKUP(C447,DimFolder,2,FALSE)),""))</f>
        <v/>
      </c>
      <c r="P447" s="4" t="str">
        <f t="shared" si="113"/>
        <v/>
      </c>
      <c r="Q447" s="58" t="str">
        <f t="shared" si="124"/>
        <v/>
      </c>
      <c r="R447" s="4" t="e" cm="1">
        <f t="array" ref="R447">IF(INDEX(Table2[],_xlfn.XMATCH($A447,Table2[Steel Member],0),_xlfn.XMATCH(R$2,Table2[#Headers],0))=0,"",INDEX(Table2[],_xlfn.XMATCH($A447,Table2[Steel Member],0),_xlfn.XMATCH(R$2,Table2[#Headers],0)))</f>
        <v>#N/A</v>
      </c>
      <c r="S447" s="4" t="e" cm="1">
        <f t="array" ref="S447">IF(INDEX(Table2[],_xlfn.XMATCH($A447,Table2[Steel Member],0),_xlfn.XMATCH(S$2,Table2[#Headers],0))=0,"",INDEX(Table2[],_xlfn.XMATCH($A447,Table2[Steel Member],0),_xlfn.XMATCH(S$2,Table2[#Headers],0)))</f>
        <v>#N/A</v>
      </c>
      <c r="T447" s="4" t="str">
        <f t="shared" si="115"/>
        <v/>
      </c>
      <c r="U447" s="4" t="e">
        <f ca="1">VLOOKUP(N447,'COLOR CODE'!$B:$D,2,FALSE)</f>
        <v>#N/A</v>
      </c>
      <c r="V447" s="4" t="str">
        <f t="shared" si="116"/>
        <v/>
      </c>
      <c r="W447" s="4" t="e" cm="1">
        <f t="array" ref="W447">IF(INDEX(Table2[],_xlfn.XMATCH($A447,Table2[Steel Member],0),_xlfn.XMATCH(W$2,Table2[#Headers],0))=0,"",INDEX(Table2[],_xlfn.XMATCH($A447,Table2[Steel Member],0),_xlfn.XMATCH(W$2,Table2[#Headers],0)))</f>
        <v>#N/A</v>
      </c>
      <c r="X447" s="4" t="e">
        <f t="shared" si="114"/>
        <v>#N/A</v>
      </c>
      <c r="Y447" s="4" t="e" cm="1">
        <f t="array" ref="Y447">IF(INDEX(Table2[],_xlfn.XMATCH($A447,Table2[Steel Member],0),_xlfn.XMATCH(Y$2,Table2[#Headers],0))=0,"",INDEX(Table2[],_xlfn.XMATCH($A447,Table2[Steel Member],0),_xlfn.XMATCH(Y$2,Table2[#Headers],0)))</f>
        <v>#N/A</v>
      </c>
      <c r="Z447" s="4" t="e" cm="1">
        <f t="array" ref="Z447">IF(INDEX(Table2[],_xlfn.XMATCH($A447,Table2[Steel Member],0),_xlfn.XMATCH(Z$2,Table2[#Headers],0))=0,"",INDEX(Table2[],_xlfn.XMATCH($A447,Table2[Steel Member],0),_xlfn.XMATCH(Z$2,Table2[#Headers],0)))</f>
        <v>#N/A</v>
      </c>
      <c r="AA447" s="4" t="e" cm="1">
        <f t="array" ref="AA447">IF(INDEX(Table2[],_xlfn.XMATCH($A447,Table2[Steel Member],0),_xlfn.XMATCH(AA$2,Table2[#Headers],0))=0,"",INDEX(Table2[],_xlfn.XMATCH($A447,Table2[Steel Member],0),_xlfn.XMATCH(AA$2,Table2[#Headers],0)))</f>
        <v>#N/A</v>
      </c>
      <c r="AB447" s="4" t="e" cm="1">
        <f t="array" ref="AB447">IF(INDEX(Table2[],_xlfn.XMATCH($A447,Table2[Steel Member],0),_xlfn.XMATCH(AB$2,Table2[#Headers],0))=0,"",INDEX(Table2[],_xlfn.XMATCH($A447,Table2[Steel Member],0),_xlfn.XMATCH(AB$2,Table2[#Headers],0)))</f>
        <v>#N/A</v>
      </c>
      <c r="AC447" s="4" t="str" cm="1">
        <f t="array" ref="AC447">IFERROR(INDEX(Table8[],_xlfn.XMATCH($O447,Table8[Dimension Name Category],0),_xlfn.XMATCH(AC$2&amp;IF($L447," w/ tag"," w/o tag"),Table8[#Headers],0)),"")</f>
        <v/>
      </c>
      <c r="AD447" s="59" t="str">
        <f t="shared" si="117"/>
        <v/>
      </c>
      <c r="AE447" s="4" t="str">
        <f t="shared" si="118"/>
        <v/>
      </c>
      <c r="AF447" s="4" t="str">
        <f t="shared" si="119"/>
        <v/>
      </c>
      <c r="AG447" s="4" t="str" cm="1">
        <f t="array" ref="AG447">IFERROR(INDEX(Table8[],_xlfn.XMATCH($O447,Table8[Dimension Name Category],0),_xlfn.XMATCH(AG$2&amp;IF($L447," w/ tag"," w/o tag"),Table8[#Headers],0)),"")</f>
        <v/>
      </c>
      <c r="AH447" s="59" t="str">
        <f t="shared" si="120"/>
        <v/>
      </c>
      <c r="AI447" s="4"/>
      <c r="AJ447" s="4" t="str">
        <f t="shared" si="121"/>
        <v/>
      </c>
      <c r="AK447" s="4" t="str">
        <f t="shared" si="122"/>
        <v/>
      </c>
      <c r="AL447" s="4" t="e" cm="1">
        <f t="array" ref="AL447">IF(INDEX(Table2[],_xlfn.XMATCH($A447,Table2[Steel Member],0),_xlfn.XMATCH(AL$2,Table2[#Headers],0))=0,"",INDEX(Table2[],_xlfn.XMATCH($A447,Table2[Steel Member],0),_xlfn.XMATCH(AL$2,Table2[#Headers],0)))</f>
        <v>#N/A</v>
      </c>
      <c r="AM447" s="4"/>
      <c r="AN447" s="4" t="str">
        <f t="shared" si="123"/>
        <v/>
      </c>
      <c r="AO447" s="4"/>
      <c r="AP447" s="4" t="e" cm="1">
        <f t="array" ref="AP447">IF(INDEX(Table2[],_xlfn.XMATCH($A447,Table2[Steel Member],0),_xlfn.XMATCH(AP$2,Table2[#Headers],0))=0,"",INDEX(Table2[],_xlfn.XMATCH($A447,Table2[Steel Member],0),_xlfn.XMATCH(AP$2,Table2[#Headers],0)))</f>
        <v>#N/A</v>
      </c>
      <c r="AQ447" s="4"/>
      <c r="AR447" s="4"/>
      <c r="AS447" s="4"/>
      <c r="AT447" s="4"/>
    </row>
    <row r="448" spans="1:46" x14ac:dyDescent="0.25">
      <c r="A448" s="52"/>
      <c r="B448" s="52"/>
      <c r="C448" s="52"/>
      <c r="D448" s="52"/>
      <c r="E448" s="52"/>
      <c r="F448" s="64" cm="1">
        <f t="array" ref="F448">IF(COUNT(FIND(PurlinsxGirthsxBracings,$C448))&gt;0,0,ROUNDUP(IF(D448=0,0,VLOOKUP(D448,'DATA SHEET'!$B:$D,2,FALSE)),2))</f>
        <v>0</v>
      </c>
      <c r="G448" s="64" cm="1">
        <f t="array" ref="G448">IF(COUNT(FIND(PurlinsxGirthsxBracings,$C448))&gt;0,0,ROUNDUP(IF(D448=0,0,VLOOKUP(D448,'DATA SHEET'!$B:$D,3,FALSE)),2))</f>
        <v>0</v>
      </c>
      <c r="H448" s="53"/>
      <c r="I448" s="66" cm="1">
        <f t="array" ref="I448">IF(AND(ISBLANK(B448),ISBLANK(C448),ISBLANK(E448)),0,IF(COUNT(FIND(PurlinsxGirthsxBracings,$C448))&gt;0,IF(B448=0,CONCATENATE(E448," ",C448),CONCATENATE(B448," - ",E448," ",C448)),IF(B448=0,IF(ISBLANK(C448),E448,CONCATENATE(D448,", ",F448,"kg/m, ",G448,"mm surface perimeter")),IF(AND(ISBLANK(C448),ISTEXT(E448)),CONCATENATE(B448," - ",E448),IF(AND(ISBLANK(C448),ISBLANK(E448)),B448,CONCATENATE(B448," - ",D448,", ",F448,"kg/m, ",G448,"mm surface perimeter"))))&amp;IF(ISBLANK(H448),"",H448)))</f>
        <v>0</v>
      </c>
      <c r="J448" s="53"/>
      <c r="L448" s="4" t="str" cm="1">
        <f t="array" ref="L448">IF(COUNT(FIND({0,1,2,3,4,5,6,7,8,9},B448))&gt;0,COUNT(FIND({0,1,2,3,4,5,6,7,8,9},B448))&gt;0,"")</f>
        <v/>
      </c>
      <c r="M448" s="4" t="str" cm="1">
        <f t="array" aca="1" ref="M448" ca="1">IFERROR(_xlfn.IFS(R448="Count",RANDBETWEEN(1,COUNTIF($R$11:$R$653,"Count")),R448="Length",RANDBETWEEN(1,COUNTIF($R$11:$R$653,"Length"))),"")</f>
        <v/>
      </c>
      <c r="N448" s="4" t="str">
        <f ca="1">IFERROR(_xlfn.RANK.EQ(M448,$M$11:$M$653)+COUNTIF($M$11:M448,M448)-1,"")</f>
        <v/>
      </c>
      <c r="O448" s="86" t="str">
        <f>IF(A448='DATA SHEET'!$L$36,C448,IFERROR(IF(AND(ISTEXT(I448),ISBLANK(C448)),"No details",VLOOKUP(C448,DimFolder,2,FALSE)),""))</f>
        <v/>
      </c>
      <c r="P448" s="4" t="str">
        <f t="shared" si="113"/>
        <v/>
      </c>
      <c r="Q448" s="58" t="str">
        <f t="shared" si="124"/>
        <v/>
      </c>
      <c r="R448" s="4" t="e" cm="1">
        <f t="array" ref="R448">IF(INDEX(Table2[],_xlfn.XMATCH($A448,Table2[Steel Member],0),_xlfn.XMATCH(R$2,Table2[#Headers],0))=0,"",INDEX(Table2[],_xlfn.XMATCH($A448,Table2[Steel Member],0),_xlfn.XMATCH(R$2,Table2[#Headers],0)))</f>
        <v>#N/A</v>
      </c>
      <c r="S448" s="4" t="e" cm="1">
        <f t="array" ref="S448">IF(INDEX(Table2[],_xlfn.XMATCH($A448,Table2[Steel Member],0),_xlfn.XMATCH(S$2,Table2[#Headers],0))=0,"",INDEX(Table2[],_xlfn.XMATCH($A448,Table2[Steel Member],0),_xlfn.XMATCH(S$2,Table2[#Headers],0)))</f>
        <v>#N/A</v>
      </c>
      <c r="T448" s="4" t="str">
        <f t="shared" si="115"/>
        <v/>
      </c>
      <c r="U448" s="4" t="e">
        <f ca="1">VLOOKUP(N448,'COLOR CODE'!$B:$D,2,FALSE)</f>
        <v>#N/A</v>
      </c>
      <c r="V448" s="4" t="str">
        <f t="shared" si="116"/>
        <v/>
      </c>
      <c r="W448" s="4" t="e" cm="1">
        <f t="array" ref="W448">IF(INDEX(Table2[],_xlfn.XMATCH($A448,Table2[Steel Member],0),_xlfn.XMATCH(W$2,Table2[#Headers],0))=0,"",INDEX(Table2[],_xlfn.XMATCH($A448,Table2[Steel Member],0),_xlfn.XMATCH(W$2,Table2[#Headers],0)))</f>
        <v>#N/A</v>
      </c>
      <c r="X448" s="4" t="e">
        <f t="shared" si="114"/>
        <v>#N/A</v>
      </c>
      <c r="Y448" s="4" t="e" cm="1">
        <f t="array" ref="Y448">IF(INDEX(Table2[],_xlfn.XMATCH($A448,Table2[Steel Member],0),_xlfn.XMATCH(Y$2,Table2[#Headers],0))=0,"",INDEX(Table2[],_xlfn.XMATCH($A448,Table2[Steel Member],0),_xlfn.XMATCH(Y$2,Table2[#Headers],0)))</f>
        <v>#N/A</v>
      </c>
      <c r="Z448" s="4" t="e" cm="1">
        <f t="array" ref="Z448">IF(INDEX(Table2[],_xlfn.XMATCH($A448,Table2[Steel Member],0),_xlfn.XMATCH(Z$2,Table2[#Headers],0))=0,"",INDEX(Table2[],_xlfn.XMATCH($A448,Table2[Steel Member],0),_xlfn.XMATCH(Z$2,Table2[#Headers],0)))</f>
        <v>#N/A</v>
      </c>
      <c r="AA448" s="4" t="e" cm="1">
        <f t="array" ref="AA448">IF(INDEX(Table2[],_xlfn.XMATCH($A448,Table2[Steel Member],0),_xlfn.XMATCH(AA$2,Table2[#Headers],0))=0,"",INDEX(Table2[],_xlfn.XMATCH($A448,Table2[Steel Member],0),_xlfn.XMATCH(AA$2,Table2[#Headers],0)))</f>
        <v>#N/A</v>
      </c>
      <c r="AB448" s="4" t="e" cm="1">
        <f t="array" ref="AB448">IF(INDEX(Table2[],_xlfn.XMATCH($A448,Table2[Steel Member],0),_xlfn.XMATCH(AB$2,Table2[#Headers],0))=0,"",INDEX(Table2[],_xlfn.XMATCH($A448,Table2[Steel Member],0),_xlfn.XMATCH(AB$2,Table2[#Headers],0)))</f>
        <v>#N/A</v>
      </c>
      <c r="AC448" s="4" t="str" cm="1">
        <f t="array" ref="AC448">IFERROR(INDEX(Table8[],_xlfn.XMATCH($O448,Table8[Dimension Name Category],0),_xlfn.XMATCH(AC$2&amp;IF($L448," w/ tag"," w/o tag"),Table8[#Headers],0)),"")</f>
        <v/>
      </c>
      <c r="AD448" s="59" t="str">
        <f t="shared" si="117"/>
        <v/>
      </c>
      <c r="AE448" s="4" t="str">
        <f t="shared" si="118"/>
        <v/>
      </c>
      <c r="AF448" s="4" t="str">
        <f t="shared" si="119"/>
        <v/>
      </c>
      <c r="AG448" s="4" t="str" cm="1">
        <f t="array" ref="AG448">IFERROR(INDEX(Table8[],_xlfn.XMATCH($O448,Table8[Dimension Name Category],0),_xlfn.XMATCH(AG$2&amp;IF($L448," w/ tag"," w/o tag"),Table8[#Headers],0)),"")</f>
        <v/>
      </c>
      <c r="AH448" s="59" t="str">
        <f t="shared" si="120"/>
        <v/>
      </c>
      <c r="AI448" s="4"/>
      <c r="AJ448" s="4" t="str">
        <f t="shared" si="121"/>
        <v/>
      </c>
      <c r="AK448" s="4" t="str">
        <f t="shared" si="122"/>
        <v/>
      </c>
      <c r="AL448" s="4" t="e" cm="1">
        <f t="array" ref="AL448">IF(INDEX(Table2[],_xlfn.XMATCH($A448,Table2[Steel Member],0),_xlfn.XMATCH(AL$2,Table2[#Headers],0))=0,"",INDEX(Table2[],_xlfn.XMATCH($A448,Table2[Steel Member],0),_xlfn.XMATCH(AL$2,Table2[#Headers],0)))</f>
        <v>#N/A</v>
      </c>
      <c r="AM448" s="4"/>
      <c r="AN448" s="4" t="str">
        <f t="shared" si="123"/>
        <v/>
      </c>
      <c r="AO448" s="4"/>
      <c r="AP448" s="4" t="e" cm="1">
        <f t="array" ref="AP448">IF(INDEX(Table2[],_xlfn.XMATCH($A448,Table2[Steel Member],0),_xlfn.XMATCH(AP$2,Table2[#Headers],0))=0,"",INDEX(Table2[],_xlfn.XMATCH($A448,Table2[Steel Member],0),_xlfn.XMATCH(AP$2,Table2[#Headers],0)))</f>
        <v>#N/A</v>
      </c>
      <c r="AQ448" s="4"/>
      <c r="AR448" s="4"/>
      <c r="AS448" s="4"/>
      <c r="AT448" s="4"/>
    </row>
    <row r="449" spans="1:46" x14ac:dyDescent="0.25">
      <c r="A449" s="52"/>
      <c r="B449" s="52"/>
      <c r="C449" s="52"/>
      <c r="D449" s="52"/>
      <c r="E449" s="52"/>
      <c r="F449" s="64" cm="1">
        <f t="array" ref="F449">IF(COUNT(FIND(PurlinsxGirthsxBracings,$C449))&gt;0,0,ROUNDUP(IF(D449=0,0,VLOOKUP(D449,'DATA SHEET'!$B:$D,2,FALSE)),2))</f>
        <v>0</v>
      </c>
      <c r="G449" s="64" cm="1">
        <f t="array" ref="G449">IF(COUNT(FIND(PurlinsxGirthsxBracings,$C449))&gt;0,0,ROUNDUP(IF(D449=0,0,VLOOKUP(D449,'DATA SHEET'!$B:$D,3,FALSE)),2))</f>
        <v>0</v>
      </c>
      <c r="H449" s="53"/>
      <c r="I449" s="66" cm="1">
        <f t="array" ref="I449">IF(AND(ISBLANK(B449),ISBLANK(C449),ISBLANK(E449)),0,IF(COUNT(FIND(PurlinsxGirthsxBracings,$C449))&gt;0,IF(B449=0,CONCATENATE(E449," ",C449),CONCATENATE(B449," - ",E449," ",C449)),IF(B449=0,IF(ISBLANK(C449),E449,CONCATENATE(D449,", ",F449,"kg/m, ",G449,"mm surface perimeter")),IF(AND(ISBLANK(C449),ISTEXT(E449)),CONCATENATE(B449," - ",E449),IF(AND(ISBLANK(C449),ISBLANK(E449)),B449,CONCATENATE(B449," - ",D449,", ",F449,"kg/m, ",G449,"mm surface perimeter"))))&amp;IF(ISBLANK(H449),"",H449)))</f>
        <v>0</v>
      </c>
      <c r="J449" s="53"/>
      <c r="L449" s="4" t="str" cm="1">
        <f t="array" ref="L449">IF(COUNT(FIND({0,1,2,3,4,5,6,7,8,9},B449))&gt;0,COUNT(FIND({0,1,2,3,4,5,6,7,8,9},B449))&gt;0,"")</f>
        <v/>
      </c>
      <c r="M449" s="4" t="str" cm="1">
        <f t="array" aca="1" ref="M449" ca="1">IFERROR(_xlfn.IFS(R449="Count",RANDBETWEEN(1,COUNTIF($R$11:$R$653,"Count")),R449="Length",RANDBETWEEN(1,COUNTIF($R$11:$R$653,"Length"))),"")</f>
        <v/>
      </c>
      <c r="N449" s="4" t="str">
        <f ca="1">IFERROR(_xlfn.RANK.EQ(M449,$M$11:$M$653)+COUNTIF($M$11:M449,M449)-1,"")</f>
        <v/>
      </c>
      <c r="O449" s="86" t="str">
        <f>IF(A449='DATA SHEET'!$L$36,C449,IFERROR(IF(AND(ISTEXT(I449),ISBLANK(C449)),"No details",VLOOKUP(C449,DimFolder,2,FALSE)),""))</f>
        <v/>
      </c>
      <c r="P449" s="4" t="str">
        <f t="shared" si="113"/>
        <v/>
      </c>
      <c r="Q449" s="58" t="str">
        <f t="shared" si="124"/>
        <v/>
      </c>
      <c r="R449" s="4" t="e" cm="1">
        <f t="array" ref="R449">IF(INDEX(Table2[],_xlfn.XMATCH($A449,Table2[Steel Member],0),_xlfn.XMATCH(R$2,Table2[#Headers],0))=0,"",INDEX(Table2[],_xlfn.XMATCH($A449,Table2[Steel Member],0),_xlfn.XMATCH(R$2,Table2[#Headers],0)))</f>
        <v>#N/A</v>
      </c>
      <c r="S449" s="4" t="e" cm="1">
        <f t="array" ref="S449">IF(INDEX(Table2[],_xlfn.XMATCH($A449,Table2[Steel Member],0),_xlfn.XMATCH(S$2,Table2[#Headers],0))=0,"",INDEX(Table2[],_xlfn.XMATCH($A449,Table2[Steel Member],0),_xlfn.XMATCH(S$2,Table2[#Headers],0)))</f>
        <v>#N/A</v>
      </c>
      <c r="T449" s="4" t="str">
        <f t="shared" si="115"/>
        <v/>
      </c>
      <c r="U449" s="4" t="e">
        <f ca="1">VLOOKUP(N449,'COLOR CODE'!$B:$D,2,FALSE)</f>
        <v>#N/A</v>
      </c>
      <c r="V449" s="4" t="str">
        <f t="shared" si="116"/>
        <v/>
      </c>
      <c r="W449" s="4" t="e" cm="1">
        <f t="array" ref="W449">IF(INDEX(Table2[],_xlfn.XMATCH($A449,Table2[Steel Member],0),_xlfn.XMATCH(W$2,Table2[#Headers],0))=0,"",INDEX(Table2[],_xlfn.XMATCH($A449,Table2[Steel Member],0),_xlfn.XMATCH(W$2,Table2[#Headers],0)))</f>
        <v>#N/A</v>
      </c>
      <c r="X449" s="4" t="e">
        <f t="shared" si="114"/>
        <v>#N/A</v>
      </c>
      <c r="Y449" s="4" t="e" cm="1">
        <f t="array" ref="Y449">IF(INDEX(Table2[],_xlfn.XMATCH($A449,Table2[Steel Member],0),_xlfn.XMATCH(Y$2,Table2[#Headers],0))=0,"",INDEX(Table2[],_xlfn.XMATCH($A449,Table2[Steel Member],0),_xlfn.XMATCH(Y$2,Table2[#Headers],0)))</f>
        <v>#N/A</v>
      </c>
      <c r="Z449" s="4" t="e" cm="1">
        <f t="array" ref="Z449">IF(INDEX(Table2[],_xlfn.XMATCH($A449,Table2[Steel Member],0),_xlfn.XMATCH(Z$2,Table2[#Headers],0))=0,"",INDEX(Table2[],_xlfn.XMATCH($A449,Table2[Steel Member],0),_xlfn.XMATCH(Z$2,Table2[#Headers],0)))</f>
        <v>#N/A</v>
      </c>
      <c r="AA449" s="4" t="e" cm="1">
        <f t="array" ref="AA449">IF(INDEX(Table2[],_xlfn.XMATCH($A449,Table2[Steel Member],0),_xlfn.XMATCH(AA$2,Table2[#Headers],0))=0,"",INDEX(Table2[],_xlfn.XMATCH($A449,Table2[Steel Member],0),_xlfn.XMATCH(AA$2,Table2[#Headers],0)))</f>
        <v>#N/A</v>
      </c>
      <c r="AB449" s="4" t="e" cm="1">
        <f t="array" ref="AB449">IF(INDEX(Table2[],_xlfn.XMATCH($A449,Table2[Steel Member],0),_xlfn.XMATCH(AB$2,Table2[#Headers],0))=0,"",INDEX(Table2[],_xlfn.XMATCH($A449,Table2[Steel Member],0),_xlfn.XMATCH(AB$2,Table2[#Headers],0)))</f>
        <v>#N/A</v>
      </c>
      <c r="AC449" s="4" t="str" cm="1">
        <f t="array" ref="AC449">IFERROR(INDEX(Table8[],_xlfn.XMATCH($O449,Table8[Dimension Name Category],0),_xlfn.XMATCH(AC$2&amp;IF($L449," w/ tag"," w/o tag"),Table8[#Headers],0)),"")</f>
        <v/>
      </c>
      <c r="AD449" s="59" t="str">
        <f t="shared" si="117"/>
        <v/>
      </c>
      <c r="AE449" s="4" t="str">
        <f t="shared" si="118"/>
        <v/>
      </c>
      <c r="AF449" s="4" t="str">
        <f t="shared" si="119"/>
        <v/>
      </c>
      <c r="AG449" s="4" t="str" cm="1">
        <f t="array" ref="AG449">IFERROR(INDEX(Table8[],_xlfn.XMATCH($O449,Table8[Dimension Name Category],0),_xlfn.XMATCH(AG$2&amp;IF($L449," w/ tag"," w/o tag"),Table8[#Headers],0)),"")</f>
        <v/>
      </c>
      <c r="AH449" s="59" t="str">
        <f t="shared" si="120"/>
        <v/>
      </c>
      <c r="AI449" s="4"/>
      <c r="AJ449" s="4" t="str">
        <f t="shared" si="121"/>
        <v/>
      </c>
      <c r="AK449" s="4" t="str">
        <f t="shared" si="122"/>
        <v/>
      </c>
      <c r="AL449" s="4" t="e" cm="1">
        <f t="array" ref="AL449">IF(INDEX(Table2[],_xlfn.XMATCH($A449,Table2[Steel Member],0),_xlfn.XMATCH(AL$2,Table2[#Headers],0))=0,"",INDEX(Table2[],_xlfn.XMATCH($A449,Table2[Steel Member],0),_xlfn.XMATCH(AL$2,Table2[#Headers],0)))</f>
        <v>#N/A</v>
      </c>
      <c r="AM449" s="4"/>
      <c r="AN449" s="4" t="str">
        <f t="shared" si="123"/>
        <v/>
      </c>
      <c r="AO449" s="4"/>
      <c r="AP449" s="4" t="e" cm="1">
        <f t="array" ref="AP449">IF(INDEX(Table2[],_xlfn.XMATCH($A449,Table2[Steel Member],0),_xlfn.XMATCH(AP$2,Table2[#Headers],0))=0,"",INDEX(Table2[],_xlfn.XMATCH($A449,Table2[Steel Member],0),_xlfn.XMATCH(AP$2,Table2[#Headers],0)))</f>
        <v>#N/A</v>
      </c>
      <c r="AQ449" s="4"/>
      <c r="AR449" s="4"/>
      <c r="AS449" s="4"/>
      <c r="AT449" s="4"/>
    </row>
    <row r="450" spans="1:46" x14ac:dyDescent="0.25">
      <c r="A450" s="52"/>
      <c r="B450" s="52"/>
      <c r="C450" s="52"/>
      <c r="D450" s="52"/>
      <c r="E450" s="52"/>
      <c r="F450" s="64" cm="1">
        <f t="array" ref="F450">IF(COUNT(FIND(PurlinsxGirthsxBracings,$C450))&gt;0,0,ROUNDUP(IF(D450=0,0,VLOOKUP(D450,'DATA SHEET'!$B:$D,2,FALSE)),2))</f>
        <v>0</v>
      </c>
      <c r="G450" s="64" cm="1">
        <f t="array" ref="G450">IF(COUNT(FIND(PurlinsxGirthsxBracings,$C450))&gt;0,0,ROUNDUP(IF(D450=0,0,VLOOKUP(D450,'DATA SHEET'!$B:$D,3,FALSE)),2))</f>
        <v>0</v>
      </c>
      <c r="H450" s="53"/>
      <c r="I450" s="66" cm="1">
        <f t="array" ref="I450">IF(AND(ISBLANK(B450),ISBLANK(C450),ISBLANK(E450)),0,IF(COUNT(FIND(PurlinsxGirthsxBracings,$C450))&gt;0,IF(B450=0,CONCATENATE(E450," ",C450),CONCATENATE(B450," - ",E450," ",C450)),IF(B450=0,IF(ISBLANK(C450),E450,CONCATENATE(D450,", ",F450,"kg/m, ",G450,"mm surface perimeter")),IF(AND(ISBLANK(C450),ISTEXT(E450)),CONCATENATE(B450," - ",E450),IF(AND(ISBLANK(C450),ISBLANK(E450)),B450,CONCATENATE(B450," - ",D450,", ",F450,"kg/m, ",G450,"mm surface perimeter"))))&amp;IF(ISBLANK(H450),"",H450)))</f>
        <v>0</v>
      </c>
      <c r="J450" s="53"/>
      <c r="L450" s="4" t="str" cm="1">
        <f t="array" ref="L450">IF(COUNT(FIND({0,1,2,3,4,5,6,7,8,9},B450))&gt;0,COUNT(FIND({0,1,2,3,4,5,6,7,8,9},B450))&gt;0,"")</f>
        <v/>
      </c>
      <c r="M450" s="4" t="str" cm="1">
        <f t="array" aca="1" ref="M450" ca="1">IFERROR(_xlfn.IFS(R450="Count",RANDBETWEEN(1,COUNTIF($R$11:$R$653,"Count")),R450="Length",RANDBETWEEN(1,COUNTIF($R$11:$R$653,"Length"))),"")</f>
        <v/>
      </c>
      <c r="N450" s="4" t="str">
        <f ca="1">IFERROR(_xlfn.RANK.EQ(M450,$M$11:$M$653)+COUNTIF($M$11:M450,M450)-1,"")</f>
        <v/>
      </c>
      <c r="O450" s="86" t="str">
        <f>IF(A450='DATA SHEET'!$L$36,C450,IFERROR(IF(AND(ISTEXT(I450),ISBLANK(C450)),"No details",VLOOKUP(C450,DimFolder,2,FALSE)),""))</f>
        <v/>
      </c>
      <c r="P450" s="4" t="str">
        <f t="shared" si="113"/>
        <v/>
      </c>
      <c r="Q450" s="58" t="str">
        <f t="shared" si="124"/>
        <v/>
      </c>
      <c r="R450" s="4" t="e" cm="1">
        <f t="array" ref="R450">IF(INDEX(Table2[],_xlfn.XMATCH($A450,Table2[Steel Member],0),_xlfn.XMATCH(R$2,Table2[#Headers],0))=0,"",INDEX(Table2[],_xlfn.XMATCH($A450,Table2[Steel Member],0),_xlfn.XMATCH(R$2,Table2[#Headers],0)))</f>
        <v>#N/A</v>
      </c>
      <c r="S450" s="4" t="e" cm="1">
        <f t="array" ref="S450">IF(INDEX(Table2[],_xlfn.XMATCH($A450,Table2[Steel Member],0),_xlfn.XMATCH(S$2,Table2[#Headers],0))=0,"",INDEX(Table2[],_xlfn.XMATCH($A450,Table2[Steel Member],0),_xlfn.XMATCH(S$2,Table2[#Headers],0)))</f>
        <v>#N/A</v>
      </c>
      <c r="T450" s="4" t="str">
        <f t="shared" si="115"/>
        <v/>
      </c>
      <c r="U450" s="4" t="e">
        <f ca="1">VLOOKUP(N450,'COLOR CODE'!$B:$D,2,FALSE)</f>
        <v>#N/A</v>
      </c>
      <c r="V450" s="4" t="str">
        <f t="shared" si="116"/>
        <v/>
      </c>
      <c r="W450" s="4" t="e" cm="1">
        <f t="array" ref="W450">IF(INDEX(Table2[],_xlfn.XMATCH($A450,Table2[Steel Member],0),_xlfn.XMATCH(W$2,Table2[#Headers],0))=0,"",INDEX(Table2[],_xlfn.XMATCH($A450,Table2[Steel Member],0),_xlfn.XMATCH(W$2,Table2[#Headers],0)))</f>
        <v>#N/A</v>
      </c>
      <c r="X450" s="4" t="e">
        <f t="shared" si="114"/>
        <v>#N/A</v>
      </c>
      <c r="Y450" s="4" t="e" cm="1">
        <f t="array" ref="Y450">IF(INDEX(Table2[],_xlfn.XMATCH($A450,Table2[Steel Member],0),_xlfn.XMATCH(Y$2,Table2[#Headers],0))=0,"",INDEX(Table2[],_xlfn.XMATCH($A450,Table2[Steel Member],0),_xlfn.XMATCH(Y$2,Table2[#Headers],0)))</f>
        <v>#N/A</v>
      </c>
      <c r="Z450" s="4" t="e" cm="1">
        <f t="array" ref="Z450">IF(INDEX(Table2[],_xlfn.XMATCH($A450,Table2[Steel Member],0),_xlfn.XMATCH(Z$2,Table2[#Headers],0))=0,"",INDEX(Table2[],_xlfn.XMATCH($A450,Table2[Steel Member],0),_xlfn.XMATCH(Z$2,Table2[#Headers],0)))</f>
        <v>#N/A</v>
      </c>
      <c r="AA450" s="4" t="e" cm="1">
        <f t="array" ref="AA450">IF(INDEX(Table2[],_xlfn.XMATCH($A450,Table2[Steel Member],0),_xlfn.XMATCH(AA$2,Table2[#Headers],0))=0,"",INDEX(Table2[],_xlfn.XMATCH($A450,Table2[Steel Member],0),_xlfn.XMATCH(AA$2,Table2[#Headers],0)))</f>
        <v>#N/A</v>
      </c>
      <c r="AB450" s="4" t="e" cm="1">
        <f t="array" ref="AB450">IF(INDEX(Table2[],_xlfn.XMATCH($A450,Table2[Steel Member],0),_xlfn.XMATCH(AB$2,Table2[#Headers],0))=0,"",INDEX(Table2[],_xlfn.XMATCH($A450,Table2[Steel Member],0),_xlfn.XMATCH(AB$2,Table2[#Headers],0)))</f>
        <v>#N/A</v>
      </c>
      <c r="AC450" s="4" t="str" cm="1">
        <f t="array" ref="AC450">IFERROR(INDEX(Table8[],_xlfn.XMATCH($O450,Table8[Dimension Name Category],0),_xlfn.XMATCH(AC$2&amp;IF($L450," w/ tag"," w/o tag"),Table8[#Headers],0)),"")</f>
        <v/>
      </c>
      <c r="AD450" s="59" t="str">
        <f t="shared" si="117"/>
        <v/>
      </c>
      <c r="AE450" s="4" t="str">
        <f t="shared" si="118"/>
        <v/>
      </c>
      <c r="AF450" s="4" t="str">
        <f t="shared" si="119"/>
        <v/>
      </c>
      <c r="AG450" s="4" t="str" cm="1">
        <f t="array" ref="AG450">IFERROR(INDEX(Table8[],_xlfn.XMATCH($O450,Table8[Dimension Name Category],0),_xlfn.XMATCH(AG$2&amp;IF($L450," w/ tag"," w/o tag"),Table8[#Headers],0)),"")</f>
        <v/>
      </c>
      <c r="AH450" s="59" t="str">
        <f t="shared" si="120"/>
        <v/>
      </c>
      <c r="AI450" s="4"/>
      <c r="AJ450" s="4" t="str">
        <f t="shared" si="121"/>
        <v/>
      </c>
      <c r="AK450" s="4" t="str">
        <f t="shared" si="122"/>
        <v/>
      </c>
      <c r="AL450" s="4" t="e" cm="1">
        <f t="array" ref="AL450">IF(INDEX(Table2[],_xlfn.XMATCH($A450,Table2[Steel Member],0),_xlfn.XMATCH(AL$2,Table2[#Headers],0))=0,"",INDEX(Table2[],_xlfn.XMATCH($A450,Table2[Steel Member],0),_xlfn.XMATCH(AL$2,Table2[#Headers],0)))</f>
        <v>#N/A</v>
      </c>
      <c r="AM450" s="4"/>
      <c r="AN450" s="4" t="str">
        <f t="shared" si="123"/>
        <v/>
      </c>
      <c r="AO450" s="4"/>
      <c r="AP450" s="4" t="e" cm="1">
        <f t="array" ref="AP450">IF(INDEX(Table2[],_xlfn.XMATCH($A450,Table2[Steel Member],0),_xlfn.XMATCH(AP$2,Table2[#Headers],0))=0,"",INDEX(Table2[],_xlfn.XMATCH($A450,Table2[Steel Member],0),_xlfn.XMATCH(AP$2,Table2[#Headers],0)))</f>
        <v>#N/A</v>
      </c>
      <c r="AQ450" s="4"/>
      <c r="AR450" s="4"/>
      <c r="AS450" s="4"/>
      <c r="AT450" s="4"/>
    </row>
    <row r="451" spans="1:46" x14ac:dyDescent="0.25">
      <c r="A451" s="52"/>
      <c r="B451" s="52"/>
      <c r="C451" s="52"/>
      <c r="D451" s="52"/>
      <c r="E451" s="52"/>
      <c r="F451" s="64" cm="1">
        <f t="array" ref="F451">IF(COUNT(FIND(PurlinsxGirthsxBracings,$C451))&gt;0,0,ROUNDUP(IF(D451=0,0,VLOOKUP(D451,'DATA SHEET'!$B:$D,2,FALSE)),2))</f>
        <v>0</v>
      </c>
      <c r="G451" s="64" cm="1">
        <f t="array" ref="G451">IF(COUNT(FIND(PurlinsxGirthsxBracings,$C451))&gt;0,0,ROUNDUP(IF(D451=0,0,VLOOKUP(D451,'DATA SHEET'!$B:$D,3,FALSE)),2))</f>
        <v>0</v>
      </c>
      <c r="H451" s="53"/>
      <c r="I451" s="66" cm="1">
        <f t="array" ref="I451">IF(AND(ISBLANK(B451),ISBLANK(C451),ISBLANK(E451)),0,IF(COUNT(FIND(PurlinsxGirthsxBracings,$C451))&gt;0,IF(B451=0,CONCATENATE(E451," ",C451),CONCATENATE(B451," - ",E451," ",C451)),IF(B451=0,IF(ISBLANK(C451),E451,CONCATENATE(D451,", ",F451,"kg/m, ",G451,"mm surface perimeter")),IF(AND(ISBLANK(C451),ISTEXT(E451)),CONCATENATE(B451," - ",E451),IF(AND(ISBLANK(C451),ISBLANK(E451)),B451,CONCATENATE(B451," - ",D451,", ",F451,"kg/m, ",G451,"mm surface perimeter"))))&amp;IF(ISBLANK(H451),"",H451)))</f>
        <v>0</v>
      </c>
      <c r="J451" s="53"/>
      <c r="L451" s="4" t="str" cm="1">
        <f t="array" ref="L451">IF(COUNT(FIND({0,1,2,3,4,5,6,7,8,9},B451))&gt;0,COUNT(FIND({0,1,2,3,4,5,6,7,8,9},B451))&gt;0,"")</f>
        <v/>
      </c>
      <c r="M451" s="4" t="str" cm="1">
        <f t="array" aca="1" ref="M451" ca="1">IFERROR(_xlfn.IFS(R451="Count",RANDBETWEEN(1,COUNTIF($R$11:$R$653,"Count")),R451="Length",RANDBETWEEN(1,COUNTIF($R$11:$R$653,"Length"))),"")</f>
        <v/>
      </c>
      <c r="N451" s="4" t="str">
        <f ca="1">IFERROR(_xlfn.RANK.EQ(M451,$M$11:$M$653)+COUNTIF($M$11:M451,M451)-1,"")</f>
        <v/>
      </c>
      <c r="O451" s="86" t="str">
        <f>IF(A451='DATA SHEET'!$L$36,C451,IFERROR(IF(AND(ISTEXT(I451),ISBLANK(C451)),"No details",VLOOKUP(C451,DimFolder,2,FALSE)),""))</f>
        <v/>
      </c>
      <c r="P451" s="4" t="str">
        <f t="shared" si="113"/>
        <v/>
      </c>
      <c r="Q451" s="58" t="str">
        <f t="shared" si="124"/>
        <v/>
      </c>
      <c r="R451" s="4" t="e" cm="1">
        <f t="array" ref="R451">IF(INDEX(Table2[],_xlfn.XMATCH($A451,Table2[Steel Member],0),_xlfn.XMATCH(R$2,Table2[#Headers],0))=0,"",INDEX(Table2[],_xlfn.XMATCH($A451,Table2[Steel Member],0),_xlfn.XMATCH(R$2,Table2[#Headers],0)))</f>
        <v>#N/A</v>
      </c>
      <c r="S451" s="4" t="e" cm="1">
        <f t="array" ref="S451">IF(INDEX(Table2[],_xlfn.XMATCH($A451,Table2[Steel Member],0),_xlfn.XMATCH(S$2,Table2[#Headers],0))=0,"",INDEX(Table2[],_xlfn.XMATCH($A451,Table2[Steel Member],0),_xlfn.XMATCH(S$2,Table2[#Headers],0)))</f>
        <v>#N/A</v>
      </c>
      <c r="T451" s="4" t="str">
        <f t="shared" si="115"/>
        <v/>
      </c>
      <c r="U451" s="4" t="e">
        <f ca="1">VLOOKUP(N451,'COLOR CODE'!$B:$D,2,FALSE)</f>
        <v>#N/A</v>
      </c>
      <c r="V451" s="4" t="str">
        <f t="shared" si="116"/>
        <v/>
      </c>
      <c r="W451" s="4" t="e" cm="1">
        <f t="array" ref="W451">IF(INDEX(Table2[],_xlfn.XMATCH($A451,Table2[Steel Member],0),_xlfn.XMATCH(W$2,Table2[#Headers],0))=0,"",INDEX(Table2[],_xlfn.XMATCH($A451,Table2[Steel Member],0),_xlfn.XMATCH(W$2,Table2[#Headers],0)))</f>
        <v>#N/A</v>
      </c>
      <c r="X451" s="4" t="e">
        <f t="shared" si="114"/>
        <v>#N/A</v>
      </c>
      <c r="Y451" s="4" t="e" cm="1">
        <f t="array" ref="Y451">IF(INDEX(Table2[],_xlfn.XMATCH($A451,Table2[Steel Member],0),_xlfn.XMATCH(Y$2,Table2[#Headers],0))=0,"",INDEX(Table2[],_xlfn.XMATCH($A451,Table2[Steel Member],0),_xlfn.XMATCH(Y$2,Table2[#Headers],0)))</f>
        <v>#N/A</v>
      </c>
      <c r="Z451" s="4" t="e" cm="1">
        <f t="array" ref="Z451">IF(INDEX(Table2[],_xlfn.XMATCH($A451,Table2[Steel Member],0),_xlfn.XMATCH(Z$2,Table2[#Headers],0))=0,"",INDEX(Table2[],_xlfn.XMATCH($A451,Table2[Steel Member],0),_xlfn.XMATCH(Z$2,Table2[#Headers],0)))</f>
        <v>#N/A</v>
      </c>
      <c r="AA451" s="4" t="e" cm="1">
        <f t="array" ref="AA451">IF(INDEX(Table2[],_xlfn.XMATCH($A451,Table2[Steel Member],0),_xlfn.XMATCH(AA$2,Table2[#Headers],0))=0,"",INDEX(Table2[],_xlfn.XMATCH($A451,Table2[Steel Member],0),_xlfn.XMATCH(AA$2,Table2[#Headers],0)))</f>
        <v>#N/A</v>
      </c>
      <c r="AB451" s="4" t="e" cm="1">
        <f t="array" ref="AB451">IF(INDEX(Table2[],_xlfn.XMATCH($A451,Table2[Steel Member],0),_xlfn.XMATCH(AB$2,Table2[#Headers],0))=0,"",INDEX(Table2[],_xlfn.XMATCH($A451,Table2[Steel Member],0),_xlfn.XMATCH(AB$2,Table2[#Headers],0)))</f>
        <v>#N/A</v>
      </c>
      <c r="AC451" s="4" t="str" cm="1">
        <f t="array" ref="AC451">IFERROR(INDEX(Table8[],_xlfn.XMATCH($O451,Table8[Dimension Name Category],0),_xlfn.XMATCH(AC$2&amp;IF($L451," w/ tag"," w/o tag"),Table8[#Headers],0)),"")</f>
        <v/>
      </c>
      <c r="AD451" s="59" t="str">
        <f t="shared" si="117"/>
        <v/>
      </c>
      <c r="AE451" s="4" t="str">
        <f t="shared" si="118"/>
        <v/>
      </c>
      <c r="AF451" s="4" t="str">
        <f t="shared" si="119"/>
        <v/>
      </c>
      <c r="AG451" s="4" t="str" cm="1">
        <f t="array" ref="AG451">IFERROR(INDEX(Table8[],_xlfn.XMATCH($O451,Table8[Dimension Name Category],0),_xlfn.XMATCH(AG$2&amp;IF($L451," w/ tag"," w/o tag"),Table8[#Headers],0)),"")</f>
        <v/>
      </c>
      <c r="AH451" s="59" t="str">
        <f t="shared" si="120"/>
        <v/>
      </c>
      <c r="AI451" s="4"/>
      <c r="AJ451" s="4" t="str">
        <f t="shared" si="121"/>
        <v/>
      </c>
      <c r="AK451" s="4" t="str">
        <f t="shared" si="122"/>
        <v/>
      </c>
      <c r="AL451" s="4" t="e" cm="1">
        <f t="array" ref="AL451">IF(INDEX(Table2[],_xlfn.XMATCH($A451,Table2[Steel Member],0),_xlfn.XMATCH(AL$2,Table2[#Headers],0))=0,"",INDEX(Table2[],_xlfn.XMATCH($A451,Table2[Steel Member],0),_xlfn.XMATCH(AL$2,Table2[#Headers],0)))</f>
        <v>#N/A</v>
      </c>
      <c r="AM451" s="4"/>
      <c r="AN451" s="4" t="str">
        <f t="shared" si="123"/>
        <v/>
      </c>
      <c r="AO451" s="4"/>
      <c r="AP451" s="4" t="e" cm="1">
        <f t="array" ref="AP451">IF(INDEX(Table2[],_xlfn.XMATCH($A451,Table2[Steel Member],0),_xlfn.XMATCH(AP$2,Table2[#Headers],0))=0,"",INDEX(Table2[],_xlfn.XMATCH($A451,Table2[Steel Member],0),_xlfn.XMATCH(AP$2,Table2[#Headers],0)))</f>
        <v>#N/A</v>
      </c>
      <c r="AQ451" s="4"/>
      <c r="AR451" s="4"/>
      <c r="AS451" s="4"/>
      <c r="AT451" s="4"/>
    </row>
    <row r="452" spans="1:46" x14ac:dyDescent="0.25">
      <c r="A452" s="52"/>
      <c r="B452" s="52"/>
      <c r="C452" s="52"/>
      <c r="D452" s="52"/>
      <c r="E452" s="52"/>
      <c r="F452" s="64" cm="1">
        <f t="array" ref="F452">IF(COUNT(FIND(PurlinsxGirthsxBracings,$C452))&gt;0,0,ROUNDUP(IF(D452=0,0,VLOOKUP(D452,'DATA SHEET'!$B:$D,2,FALSE)),2))</f>
        <v>0</v>
      </c>
      <c r="G452" s="64" cm="1">
        <f t="array" ref="G452">IF(COUNT(FIND(PurlinsxGirthsxBracings,$C452))&gt;0,0,ROUNDUP(IF(D452=0,0,VLOOKUP(D452,'DATA SHEET'!$B:$D,3,FALSE)),2))</f>
        <v>0</v>
      </c>
      <c r="H452" s="53"/>
      <c r="I452" s="66" cm="1">
        <f t="array" ref="I452">IF(AND(ISBLANK(B452),ISBLANK(C452),ISBLANK(E452)),0,IF(COUNT(FIND(PurlinsxGirthsxBracings,$C452))&gt;0,IF(B452=0,CONCATENATE(E452," ",C452),CONCATENATE(B452," - ",E452," ",C452)),IF(B452=0,IF(ISBLANK(C452),E452,CONCATENATE(D452,", ",F452,"kg/m, ",G452,"mm surface perimeter")),IF(AND(ISBLANK(C452),ISTEXT(E452)),CONCATENATE(B452," - ",E452),IF(AND(ISBLANK(C452),ISBLANK(E452)),B452,CONCATENATE(B452," - ",D452,", ",F452,"kg/m, ",G452,"mm surface perimeter"))))&amp;IF(ISBLANK(H452),"",H452)))</f>
        <v>0</v>
      </c>
      <c r="J452" s="53"/>
      <c r="L452" s="4" t="str" cm="1">
        <f t="array" ref="L452">IF(COUNT(FIND({0,1,2,3,4,5,6,7,8,9},B452))&gt;0,COUNT(FIND({0,1,2,3,4,5,6,7,8,9},B452))&gt;0,"")</f>
        <v/>
      </c>
      <c r="M452" s="4" t="str" cm="1">
        <f t="array" aca="1" ref="M452" ca="1">IFERROR(_xlfn.IFS(R452="Count",RANDBETWEEN(1,COUNTIF($R$11:$R$653,"Count")),R452="Length",RANDBETWEEN(1,COUNTIF($R$11:$R$653,"Length"))),"")</f>
        <v/>
      </c>
      <c r="N452" s="4" t="str">
        <f ca="1">IFERROR(_xlfn.RANK.EQ(M452,$M$11:$M$653)+COUNTIF($M$11:M452,M452)-1,"")</f>
        <v/>
      </c>
      <c r="O452" s="86" t="str">
        <f>IF(A452='DATA SHEET'!$L$36,C452,IFERROR(IF(AND(ISTEXT(I452),ISBLANK(C452)),"No details",VLOOKUP(C452,DimFolder,2,FALSE)),""))</f>
        <v/>
      </c>
      <c r="P452" s="4" t="str">
        <f t="shared" si="113"/>
        <v/>
      </c>
      <c r="Q452" s="58" t="str">
        <f t="shared" si="124"/>
        <v/>
      </c>
      <c r="R452" s="4" t="e" cm="1">
        <f t="array" ref="R452">IF(INDEX(Table2[],_xlfn.XMATCH($A452,Table2[Steel Member],0),_xlfn.XMATCH(R$2,Table2[#Headers],0))=0,"",INDEX(Table2[],_xlfn.XMATCH($A452,Table2[Steel Member],0),_xlfn.XMATCH(R$2,Table2[#Headers],0)))</f>
        <v>#N/A</v>
      </c>
      <c r="S452" s="4" t="e" cm="1">
        <f t="array" ref="S452">IF(INDEX(Table2[],_xlfn.XMATCH($A452,Table2[Steel Member],0),_xlfn.XMATCH(S$2,Table2[#Headers],0))=0,"",INDEX(Table2[],_xlfn.XMATCH($A452,Table2[Steel Member],0),_xlfn.XMATCH(S$2,Table2[#Headers],0)))</f>
        <v>#N/A</v>
      </c>
      <c r="T452" s="4" t="str">
        <f t="shared" si="115"/>
        <v/>
      </c>
      <c r="U452" s="4" t="e">
        <f ca="1">VLOOKUP(N452,'COLOR CODE'!$B:$D,2,FALSE)</f>
        <v>#N/A</v>
      </c>
      <c r="V452" s="4" t="str">
        <f t="shared" si="116"/>
        <v/>
      </c>
      <c r="W452" s="4" t="e" cm="1">
        <f t="array" ref="W452">IF(INDEX(Table2[],_xlfn.XMATCH($A452,Table2[Steel Member],0),_xlfn.XMATCH(W$2,Table2[#Headers],0))=0,"",INDEX(Table2[],_xlfn.XMATCH($A452,Table2[Steel Member],0),_xlfn.XMATCH(W$2,Table2[#Headers],0)))</f>
        <v>#N/A</v>
      </c>
      <c r="X452" s="4" t="e">
        <f t="shared" si="114"/>
        <v>#N/A</v>
      </c>
      <c r="Y452" s="4" t="e" cm="1">
        <f t="array" ref="Y452">IF(INDEX(Table2[],_xlfn.XMATCH($A452,Table2[Steel Member],0),_xlfn.XMATCH(Y$2,Table2[#Headers],0))=0,"",INDEX(Table2[],_xlfn.XMATCH($A452,Table2[Steel Member],0),_xlfn.XMATCH(Y$2,Table2[#Headers],0)))</f>
        <v>#N/A</v>
      </c>
      <c r="Z452" s="4" t="e" cm="1">
        <f t="array" ref="Z452">IF(INDEX(Table2[],_xlfn.XMATCH($A452,Table2[Steel Member],0),_xlfn.XMATCH(Z$2,Table2[#Headers],0))=0,"",INDEX(Table2[],_xlfn.XMATCH($A452,Table2[Steel Member],0),_xlfn.XMATCH(Z$2,Table2[#Headers],0)))</f>
        <v>#N/A</v>
      </c>
      <c r="AA452" s="4" t="e" cm="1">
        <f t="array" ref="AA452">IF(INDEX(Table2[],_xlfn.XMATCH($A452,Table2[Steel Member],0),_xlfn.XMATCH(AA$2,Table2[#Headers],0))=0,"",INDEX(Table2[],_xlfn.XMATCH($A452,Table2[Steel Member],0),_xlfn.XMATCH(AA$2,Table2[#Headers],0)))</f>
        <v>#N/A</v>
      </c>
      <c r="AB452" s="4" t="e" cm="1">
        <f t="array" ref="AB452">IF(INDEX(Table2[],_xlfn.XMATCH($A452,Table2[Steel Member],0),_xlfn.XMATCH(AB$2,Table2[#Headers],0))=0,"",INDEX(Table2[],_xlfn.XMATCH($A452,Table2[Steel Member],0),_xlfn.XMATCH(AB$2,Table2[#Headers],0)))</f>
        <v>#N/A</v>
      </c>
      <c r="AC452" s="4" t="str" cm="1">
        <f t="array" ref="AC452">IFERROR(INDEX(Table8[],_xlfn.XMATCH($O452,Table8[Dimension Name Category],0),_xlfn.XMATCH(AC$2&amp;IF($L452," w/ tag"," w/o tag"),Table8[#Headers],0)),"")</f>
        <v/>
      </c>
      <c r="AD452" s="59" t="str">
        <f t="shared" si="117"/>
        <v/>
      </c>
      <c r="AE452" s="4" t="str">
        <f t="shared" si="118"/>
        <v/>
      </c>
      <c r="AF452" s="4" t="str">
        <f t="shared" si="119"/>
        <v/>
      </c>
      <c r="AG452" s="4" t="str" cm="1">
        <f t="array" ref="AG452">IFERROR(INDEX(Table8[],_xlfn.XMATCH($O452,Table8[Dimension Name Category],0),_xlfn.XMATCH(AG$2&amp;IF($L452," w/ tag"," w/o tag"),Table8[#Headers],0)),"")</f>
        <v/>
      </c>
      <c r="AH452" s="59" t="str">
        <f t="shared" si="120"/>
        <v/>
      </c>
      <c r="AI452" s="4"/>
      <c r="AJ452" s="4" t="str">
        <f t="shared" si="121"/>
        <v/>
      </c>
      <c r="AK452" s="4" t="str">
        <f t="shared" si="122"/>
        <v/>
      </c>
      <c r="AL452" s="4" t="e" cm="1">
        <f t="array" ref="AL452">IF(INDEX(Table2[],_xlfn.XMATCH($A452,Table2[Steel Member],0),_xlfn.XMATCH(AL$2,Table2[#Headers],0))=0,"",INDEX(Table2[],_xlfn.XMATCH($A452,Table2[Steel Member],0),_xlfn.XMATCH(AL$2,Table2[#Headers],0)))</f>
        <v>#N/A</v>
      </c>
      <c r="AM452" s="4"/>
      <c r="AN452" s="4" t="str">
        <f t="shared" si="123"/>
        <v/>
      </c>
      <c r="AO452" s="4"/>
      <c r="AP452" s="4" t="e" cm="1">
        <f t="array" ref="AP452">IF(INDEX(Table2[],_xlfn.XMATCH($A452,Table2[Steel Member],0),_xlfn.XMATCH(AP$2,Table2[#Headers],0))=0,"",INDEX(Table2[],_xlfn.XMATCH($A452,Table2[Steel Member],0),_xlfn.XMATCH(AP$2,Table2[#Headers],0)))</f>
        <v>#N/A</v>
      </c>
      <c r="AQ452" s="4"/>
      <c r="AR452" s="4"/>
      <c r="AS452" s="4"/>
      <c r="AT452" s="4"/>
    </row>
    <row r="453" spans="1:46" x14ac:dyDescent="0.25">
      <c r="A453" s="52"/>
      <c r="B453" s="52"/>
      <c r="C453" s="52"/>
      <c r="D453" s="52"/>
      <c r="E453" s="52"/>
      <c r="F453" s="64" cm="1">
        <f t="array" ref="F453">IF(COUNT(FIND(PurlinsxGirthsxBracings,$C453))&gt;0,0,ROUNDUP(IF(D453=0,0,VLOOKUP(D453,'DATA SHEET'!$B:$D,2,FALSE)),2))</f>
        <v>0</v>
      </c>
      <c r="G453" s="64" cm="1">
        <f t="array" ref="G453">IF(COUNT(FIND(PurlinsxGirthsxBracings,$C453))&gt;0,0,ROUNDUP(IF(D453=0,0,VLOOKUP(D453,'DATA SHEET'!$B:$D,3,FALSE)),2))</f>
        <v>0</v>
      </c>
      <c r="H453" s="53"/>
      <c r="I453" s="66" cm="1">
        <f t="array" ref="I453">IF(AND(ISBLANK(B453),ISBLANK(C453),ISBLANK(E453)),0,IF(COUNT(FIND(PurlinsxGirthsxBracings,$C453))&gt;0,IF(B453=0,CONCATENATE(E453," ",C453),CONCATENATE(B453," - ",E453," ",C453)),IF(B453=0,IF(ISBLANK(C453),E453,CONCATENATE(D453,", ",F453,"kg/m, ",G453,"mm surface perimeter")),IF(AND(ISBLANK(C453),ISTEXT(E453)),CONCATENATE(B453," - ",E453),IF(AND(ISBLANK(C453),ISBLANK(E453)),B453,CONCATENATE(B453," - ",D453,", ",F453,"kg/m, ",G453,"mm surface perimeter"))))&amp;IF(ISBLANK(H453),"",H453)))</f>
        <v>0</v>
      </c>
      <c r="J453" s="53"/>
      <c r="L453" s="4" t="str" cm="1">
        <f t="array" ref="L453">IF(COUNT(FIND({0,1,2,3,4,5,6,7,8,9},B453))&gt;0,COUNT(FIND({0,1,2,3,4,5,6,7,8,9},B453))&gt;0,"")</f>
        <v/>
      </c>
      <c r="M453" s="4" t="str" cm="1">
        <f t="array" aca="1" ref="M453" ca="1">IFERROR(_xlfn.IFS(R453="Count",RANDBETWEEN(1,COUNTIF($R$11:$R$653,"Count")),R453="Length",RANDBETWEEN(1,COUNTIF($R$11:$R$653,"Length"))),"")</f>
        <v/>
      </c>
      <c r="N453" s="4" t="str">
        <f ca="1">IFERROR(_xlfn.RANK.EQ(M453,$M$11:$M$653)+COUNTIF($M$11:M453,M453)-1,"")</f>
        <v/>
      </c>
      <c r="O453" s="86" t="str">
        <f>IF(A453='DATA SHEET'!$L$36,C453,IFERROR(IF(AND(ISTEXT(I453),ISBLANK(C453)),"No details",VLOOKUP(C453,DimFolder,2,FALSE)),""))</f>
        <v/>
      </c>
      <c r="P453" s="4" t="str">
        <f t="shared" si="113"/>
        <v/>
      </c>
      <c r="Q453" s="58" t="str">
        <f t="shared" si="124"/>
        <v/>
      </c>
      <c r="R453" s="4" t="e" cm="1">
        <f t="array" ref="R453">IF(INDEX(Table2[],_xlfn.XMATCH($A453,Table2[Steel Member],0),_xlfn.XMATCH(R$2,Table2[#Headers],0))=0,"",INDEX(Table2[],_xlfn.XMATCH($A453,Table2[Steel Member],0),_xlfn.XMATCH(R$2,Table2[#Headers],0)))</f>
        <v>#N/A</v>
      </c>
      <c r="S453" s="4" t="e" cm="1">
        <f t="array" ref="S453">IF(INDEX(Table2[],_xlfn.XMATCH($A453,Table2[Steel Member],0),_xlfn.XMATCH(S$2,Table2[#Headers],0))=0,"",INDEX(Table2[],_xlfn.XMATCH($A453,Table2[Steel Member],0),_xlfn.XMATCH(S$2,Table2[#Headers],0)))</f>
        <v>#N/A</v>
      </c>
      <c r="T453" s="4" t="str">
        <f t="shared" si="115"/>
        <v/>
      </c>
      <c r="U453" s="4" t="e">
        <f ca="1">VLOOKUP(N453,'COLOR CODE'!$B:$D,2,FALSE)</f>
        <v>#N/A</v>
      </c>
      <c r="V453" s="4" t="str">
        <f t="shared" si="116"/>
        <v/>
      </c>
      <c r="W453" s="4" t="e" cm="1">
        <f t="array" ref="W453">IF(INDEX(Table2[],_xlfn.XMATCH($A453,Table2[Steel Member],0),_xlfn.XMATCH(W$2,Table2[#Headers],0))=0,"",INDEX(Table2[],_xlfn.XMATCH($A453,Table2[Steel Member],0),_xlfn.XMATCH(W$2,Table2[#Headers],0)))</f>
        <v>#N/A</v>
      </c>
      <c r="X453" s="4" t="e">
        <f t="shared" si="114"/>
        <v>#N/A</v>
      </c>
      <c r="Y453" s="4" t="e" cm="1">
        <f t="array" ref="Y453">IF(INDEX(Table2[],_xlfn.XMATCH($A453,Table2[Steel Member],0),_xlfn.XMATCH(Y$2,Table2[#Headers],0))=0,"",INDEX(Table2[],_xlfn.XMATCH($A453,Table2[Steel Member],0),_xlfn.XMATCH(Y$2,Table2[#Headers],0)))</f>
        <v>#N/A</v>
      </c>
      <c r="Z453" s="4" t="e" cm="1">
        <f t="array" ref="Z453">IF(INDEX(Table2[],_xlfn.XMATCH($A453,Table2[Steel Member],0),_xlfn.XMATCH(Z$2,Table2[#Headers],0))=0,"",INDEX(Table2[],_xlfn.XMATCH($A453,Table2[Steel Member],0),_xlfn.XMATCH(Z$2,Table2[#Headers],0)))</f>
        <v>#N/A</v>
      </c>
      <c r="AA453" s="4" t="e" cm="1">
        <f t="array" ref="AA453">IF(INDEX(Table2[],_xlfn.XMATCH($A453,Table2[Steel Member],0),_xlfn.XMATCH(AA$2,Table2[#Headers],0))=0,"",INDEX(Table2[],_xlfn.XMATCH($A453,Table2[Steel Member],0),_xlfn.XMATCH(AA$2,Table2[#Headers],0)))</f>
        <v>#N/A</v>
      </c>
      <c r="AB453" s="4" t="e" cm="1">
        <f t="array" ref="AB453">IF(INDEX(Table2[],_xlfn.XMATCH($A453,Table2[Steel Member],0),_xlfn.XMATCH(AB$2,Table2[#Headers],0))=0,"",INDEX(Table2[],_xlfn.XMATCH($A453,Table2[Steel Member],0),_xlfn.XMATCH(AB$2,Table2[#Headers],0)))</f>
        <v>#N/A</v>
      </c>
      <c r="AC453" s="4" t="str" cm="1">
        <f t="array" ref="AC453">IFERROR(INDEX(Table8[],_xlfn.XMATCH($O453,Table8[Dimension Name Category],0),_xlfn.XMATCH(AC$2&amp;IF($L453," w/ tag"," w/o tag"),Table8[#Headers],0)),"")</f>
        <v/>
      </c>
      <c r="AD453" s="59" t="str">
        <f t="shared" si="117"/>
        <v/>
      </c>
      <c r="AE453" s="4" t="str">
        <f t="shared" si="118"/>
        <v/>
      </c>
      <c r="AF453" s="4" t="str">
        <f t="shared" si="119"/>
        <v/>
      </c>
      <c r="AG453" s="4" t="str" cm="1">
        <f t="array" ref="AG453">IFERROR(INDEX(Table8[],_xlfn.XMATCH($O453,Table8[Dimension Name Category],0),_xlfn.XMATCH(AG$2&amp;IF($L453," w/ tag"," w/o tag"),Table8[#Headers],0)),"")</f>
        <v/>
      </c>
      <c r="AH453" s="59" t="str">
        <f t="shared" si="120"/>
        <v/>
      </c>
      <c r="AI453" s="4"/>
      <c r="AJ453" s="4" t="str">
        <f t="shared" si="121"/>
        <v/>
      </c>
      <c r="AK453" s="4" t="str">
        <f t="shared" si="122"/>
        <v/>
      </c>
      <c r="AL453" s="4" t="e" cm="1">
        <f t="array" ref="AL453">IF(INDEX(Table2[],_xlfn.XMATCH($A453,Table2[Steel Member],0),_xlfn.XMATCH(AL$2,Table2[#Headers],0))=0,"",INDEX(Table2[],_xlfn.XMATCH($A453,Table2[Steel Member],0),_xlfn.XMATCH(AL$2,Table2[#Headers],0)))</f>
        <v>#N/A</v>
      </c>
      <c r="AM453" s="4"/>
      <c r="AN453" s="4" t="str">
        <f t="shared" si="123"/>
        <v/>
      </c>
      <c r="AO453" s="4"/>
      <c r="AP453" s="4" t="e" cm="1">
        <f t="array" ref="AP453">IF(INDEX(Table2[],_xlfn.XMATCH($A453,Table2[Steel Member],0),_xlfn.XMATCH(AP$2,Table2[#Headers],0))=0,"",INDEX(Table2[],_xlfn.XMATCH($A453,Table2[Steel Member],0),_xlfn.XMATCH(AP$2,Table2[#Headers],0)))</f>
        <v>#N/A</v>
      </c>
      <c r="AQ453" s="4"/>
      <c r="AR453" s="4"/>
      <c r="AS453" s="4"/>
      <c r="AT453" s="4"/>
    </row>
    <row r="454" spans="1:46" x14ac:dyDescent="0.25">
      <c r="A454" s="52"/>
      <c r="B454" s="52"/>
      <c r="C454" s="52"/>
      <c r="D454" s="52"/>
      <c r="E454" s="52"/>
      <c r="F454" s="64" cm="1">
        <f t="array" ref="F454">IF(COUNT(FIND(PurlinsxGirthsxBracings,$C454))&gt;0,0,ROUNDUP(IF(D454=0,0,VLOOKUP(D454,'DATA SHEET'!$B:$D,2,FALSE)),2))</f>
        <v>0</v>
      </c>
      <c r="G454" s="64" cm="1">
        <f t="array" ref="G454">IF(COUNT(FIND(PurlinsxGirthsxBracings,$C454))&gt;0,0,ROUNDUP(IF(D454=0,0,VLOOKUP(D454,'DATA SHEET'!$B:$D,3,FALSE)),2))</f>
        <v>0</v>
      </c>
      <c r="H454" s="53"/>
      <c r="I454" s="66" cm="1">
        <f t="array" ref="I454">IF(AND(ISBLANK(B454),ISBLANK(C454),ISBLANK(E454)),0,IF(COUNT(FIND(PurlinsxGirthsxBracings,$C454))&gt;0,IF(B454=0,CONCATENATE(E454," ",C454),CONCATENATE(B454," - ",E454," ",C454)),IF(B454=0,IF(ISBLANK(C454),E454,CONCATENATE(D454,", ",F454,"kg/m, ",G454,"mm surface perimeter")),IF(AND(ISBLANK(C454),ISTEXT(E454)),CONCATENATE(B454," - ",E454),IF(AND(ISBLANK(C454),ISBLANK(E454)),B454,CONCATENATE(B454," - ",D454,", ",F454,"kg/m, ",G454,"mm surface perimeter"))))&amp;IF(ISBLANK(H454),"",H454)))</f>
        <v>0</v>
      </c>
      <c r="J454" s="53"/>
      <c r="L454" s="4" t="str" cm="1">
        <f t="array" ref="L454">IF(COUNT(FIND({0,1,2,3,4,5,6,7,8,9},B454))&gt;0,COUNT(FIND({0,1,2,3,4,5,6,7,8,9},B454))&gt;0,"")</f>
        <v/>
      </c>
      <c r="M454" s="4" t="str" cm="1">
        <f t="array" aca="1" ref="M454" ca="1">IFERROR(_xlfn.IFS(R454="Count",RANDBETWEEN(1,COUNTIF($R$11:$R$653,"Count")),R454="Length",RANDBETWEEN(1,COUNTIF($R$11:$R$653,"Length"))),"")</f>
        <v/>
      </c>
      <c r="N454" s="4" t="str">
        <f ca="1">IFERROR(_xlfn.RANK.EQ(M454,$M$11:$M$653)+COUNTIF($M$11:M454,M454)-1,"")</f>
        <v/>
      </c>
      <c r="O454" s="86" t="str">
        <f>IF(A454='DATA SHEET'!$L$36,C454,IFERROR(IF(AND(ISTEXT(I454),ISBLANK(C454)),"No details",VLOOKUP(C454,DimFolder,2,FALSE)),""))</f>
        <v/>
      </c>
      <c r="P454" s="4" t="str">
        <f t="shared" si="113"/>
        <v/>
      </c>
      <c r="Q454" s="58" t="str">
        <f t="shared" si="124"/>
        <v/>
      </c>
      <c r="R454" s="4" t="e" cm="1">
        <f t="array" ref="R454">IF(INDEX(Table2[],_xlfn.XMATCH($A454,Table2[Steel Member],0),_xlfn.XMATCH(R$2,Table2[#Headers],0))=0,"",INDEX(Table2[],_xlfn.XMATCH($A454,Table2[Steel Member],0),_xlfn.XMATCH(R$2,Table2[#Headers],0)))</f>
        <v>#N/A</v>
      </c>
      <c r="S454" s="4" t="e" cm="1">
        <f t="array" ref="S454">IF(INDEX(Table2[],_xlfn.XMATCH($A454,Table2[Steel Member],0),_xlfn.XMATCH(S$2,Table2[#Headers],0))=0,"",INDEX(Table2[],_xlfn.XMATCH($A454,Table2[Steel Member],0),_xlfn.XMATCH(S$2,Table2[#Headers],0)))</f>
        <v>#N/A</v>
      </c>
      <c r="T454" s="4" t="str">
        <f t="shared" si="115"/>
        <v/>
      </c>
      <c r="U454" s="4" t="e">
        <f ca="1">VLOOKUP(N454,'COLOR CODE'!$B:$D,2,FALSE)</f>
        <v>#N/A</v>
      </c>
      <c r="V454" s="4" t="str">
        <f t="shared" si="116"/>
        <v/>
      </c>
      <c r="W454" s="4" t="e" cm="1">
        <f t="array" ref="W454">IF(INDEX(Table2[],_xlfn.XMATCH($A454,Table2[Steel Member],0),_xlfn.XMATCH(W$2,Table2[#Headers],0))=0,"",INDEX(Table2[],_xlfn.XMATCH($A454,Table2[Steel Member],0),_xlfn.XMATCH(W$2,Table2[#Headers],0)))</f>
        <v>#N/A</v>
      </c>
      <c r="X454" s="4" t="e">
        <f t="shared" si="114"/>
        <v>#N/A</v>
      </c>
      <c r="Y454" s="4" t="e" cm="1">
        <f t="array" ref="Y454">IF(INDEX(Table2[],_xlfn.XMATCH($A454,Table2[Steel Member],0),_xlfn.XMATCH(Y$2,Table2[#Headers],0))=0,"",INDEX(Table2[],_xlfn.XMATCH($A454,Table2[Steel Member],0),_xlfn.XMATCH(Y$2,Table2[#Headers],0)))</f>
        <v>#N/A</v>
      </c>
      <c r="Z454" s="4" t="e" cm="1">
        <f t="array" ref="Z454">IF(INDEX(Table2[],_xlfn.XMATCH($A454,Table2[Steel Member],0),_xlfn.XMATCH(Z$2,Table2[#Headers],0))=0,"",INDEX(Table2[],_xlfn.XMATCH($A454,Table2[Steel Member],0),_xlfn.XMATCH(Z$2,Table2[#Headers],0)))</f>
        <v>#N/A</v>
      </c>
      <c r="AA454" s="4" t="e" cm="1">
        <f t="array" ref="AA454">IF(INDEX(Table2[],_xlfn.XMATCH($A454,Table2[Steel Member],0),_xlfn.XMATCH(AA$2,Table2[#Headers],0))=0,"",INDEX(Table2[],_xlfn.XMATCH($A454,Table2[Steel Member],0),_xlfn.XMATCH(AA$2,Table2[#Headers],0)))</f>
        <v>#N/A</v>
      </c>
      <c r="AB454" s="4" t="e" cm="1">
        <f t="array" ref="AB454">IF(INDEX(Table2[],_xlfn.XMATCH($A454,Table2[Steel Member],0),_xlfn.XMATCH(AB$2,Table2[#Headers],0))=0,"",INDEX(Table2[],_xlfn.XMATCH($A454,Table2[Steel Member],0),_xlfn.XMATCH(AB$2,Table2[#Headers],0)))</f>
        <v>#N/A</v>
      </c>
      <c r="AC454" s="4" t="str" cm="1">
        <f t="array" ref="AC454">IFERROR(INDEX(Table8[],_xlfn.XMATCH($O454,Table8[Dimension Name Category],0),_xlfn.XMATCH(AC$2&amp;IF($L454," w/ tag"," w/o tag"),Table8[#Headers],0)),"")</f>
        <v/>
      </c>
      <c r="AD454" s="59" t="str">
        <f t="shared" si="117"/>
        <v/>
      </c>
      <c r="AE454" s="4" t="str">
        <f t="shared" si="118"/>
        <v/>
      </c>
      <c r="AF454" s="4" t="str">
        <f t="shared" si="119"/>
        <v/>
      </c>
      <c r="AG454" s="4" t="str" cm="1">
        <f t="array" ref="AG454">IFERROR(INDEX(Table8[],_xlfn.XMATCH($O454,Table8[Dimension Name Category],0),_xlfn.XMATCH(AG$2&amp;IF($L454," w/ tag"," w/o tag"),Table8[#Headers],0)),"")</f>
        <v/>
      </c>
      <c r="AH454" s="59" t="str">
        <f t="shared" si="120"/>
        <v/>
      </c>
      <c r="AI454" s="4"/>
      <c r="AJ454" s="4" t="str">
        <f t="shared" si="121"/>
        <v/>
      </c>
      <c r="AK454" s="4" t="str">
        <f t="shared" si="122"/>
        <v/>
      </c>
      <c r="AL454" s="4" t="e" cm="1">
        <f t="array" ref="AL454">IF(INDEX(Table2[],_xlfn.XMATCH($A454,Table2[Steel Member],0),_xlfn.XMATCH(AL$2,Table2[#Headers],0))=0,"",INDEX(Table2[],_xlfn.XMATCH($A454,Table2[Steel Member],0),_xlfn.XMATCH(AL$2,Table2[#Headers],0)))</f>
        <v>#N/A</v>
      </c>
      <c r="AM454" s="4"/>
      <c r="AN454" s="4" t="str">
        <f t="shared" si="123"/>
        <v/>
      </c>
      <c r="AO454" s="4"/>
      <c r="AP454" s="4" t="e" cm="1">
        <f t="array" ref="AP454">IF(INDEX(Table2[],_xlfn.XMATCH($A454,Table2[Steel Member],0),_xlfn.XMATCH(AP$2,Table2[#Headers],0))=0,"",INDEX(Table2[],_xlfn.XMATCH($A454,Table2[Steel Member],0),_xlfn.XMATCH(AP$2,Table2[#Headers],0)))</f>
        <v>#N/A</v>
      </c>
      <c r="AQ454" s="4"/>
      <c r="AR454" s="4"/>
      <c r="AS454" s="4"/>
      <c r="AT454" s="4"/>
    </row>
    <row r="455" spans="1:46" x14ac:dyDescent="0.25">
      <c r="A455" s="52"/>
      <c r="B455" s="52"/>
      <c r="C455" s="52"/>
      <c r="D455" s="52"/>
      <c r="E455" s="52"/>
      <c r="F455" s="64" cm="1">
        <f t="array" ref="F455">IF(COUNT(FIND(PurlinsxGirthsxBracings,$C455))&gt;0,0,ROUNDUP(IF(D455=0,0,VLOOKUP(D455,'DATA SHEET'!$B:$D,2,FALSE)),2))</f>
        <v>0</v>
      </c>
      <c r="G455" s="64" cm="1">
        <f t="array" ref="G455">IF(COUNT(FIND(PurlinsxGirthsxBracings,$C455))&gt;0,0,ROUNDUP(IF(D455=0,0,VLOOKUP(D455,'DATA SHEET'!$B:$D,3,FALSE)),2))</f>
        <v>0</v>
      </c>
      <c r="H455" s="53"/>
      <c r="I455" s="66" cm="1">
        <f t="array" ref="I455">IF(AND(ISBLANK(B455),ISBLANK(C455),ISBLANK(E455)),0,IF(COUNT(FIND(PurlinsxGirthsxBracings,$C455))&gt;0,IF(B455=0,CONCATENATE(E455," ",C455),CONCATENATE(B455," - ",E455," ",C455)),IF(B455=0,IF(ISBLANK(C455),E455,CONCATENATE(D455,", ",F455,"kg/m, ",G455,"mm surface perimeter")),IF(AND(ISBLANK(C455),ISTEXT(E455)),CONCATENATE(B455," - ",E455),IF(AND(ISBLANK(C455),ISBLANK(E455)),B455,CONCATENATE(B455," - ",D455,", ",F455,"kg/m, ",G455,"mm surface perimeter"))))&amp;IF(ISBLANK(H455),"",H455)))</f>
        <v>0</v>
      </c>
      <c r="J455" s="53"/>
      <c r="L455" s="4" t="str" cm="1">
        <f t="array" ref="L455">IF(COUNT(FIND({0,1,2,3,4,5,6,7,8,9},B455))&gt;0,COUNT(FIND({0,1,2,3,4,5,6,7,8,9},B455))&gt;0,"")</f>
        <v/>
      </c>
      <c r="M455" s="4" t="str" cm="1">
        <f t="array" aca="1" ref="M455" ca="1">IFERROR(_xlfn.IFS(R455="Count",RANDBETWEEN(1,COUNTIF($R$11:$R$653,"Count")),R455="Length",RANDBETWEEN(1,COUNTIF($R$11:$R$653,"Length"))),"")</f>
        <v/>
      </c>
      <c r="N455" s="4" t="str">
        <f ca="1">IFERROR(_xlfn.RANK.EQ(M455,$M$11:$M$653)+COUNTIF($M$11:M455,M455)-1,"")</f>
        <v/>
      </c>
      <c r="O455" s="86" t="str">
        <f>IF(A455='DATA SHEET'!$L$36,C455,IFERROR(IF(AND(ISTEXT(I455),ISBLANK(C455)),"No details",VLOOKUP(C455,DimFolder,2,FALSE)),""))</f>
        <v/>
      </c>
      <c r="P455" s="4" t="str">
        <f t="shared" si="113"/>
        <v/>
      </c>
      <c r="Q455" s="58" t="str">
        <f t="shared" si="124"/>
        <v/>
      </c>
      <c r="R455" s="4" t="e" cm="1">
        <f t="array" ref="R455">IF(INDEX(Table2[],_xlfn.XMATCH($A455,Table2[Steel Member],0),_xlfn.XMATCH(R$2,Table2[#Headers],0))=0,"",INDEX(Table2[],_xlfn.XMATCH($A455,Table2[Steel Member],0),_xlfn.XMATCH(R$2,Table2[#Headers],0)))</f>
        <v>#N/A</v>
      </c>
      <c r="S455" s="4" t="e" cm="1">
        <f t="array" ref="S455">IF(INDEX(Table2[],_xlfn.XMATCH($A455,Table2[Steel Member],0),_xlfn.XMATCH(S$2,Table2[#Headers],0))=0,"",INDEX(Table2[],_xlfn.XMATCH($A455,Table2[Steel Member],0),_xlfn.XMATCH(S$2,Table2[#Headers],0)))</f>
        <v>#N/A</v>
      </c>
      <c r="T455" s="4" t="str">
        <f t="shared" si="115"/>
        <v/>
      </c>
      <c r="U455" s="4" t="e">
        <f ca="1">VLOOKUP(N455,'COLOR CODE'!$B:$D,2,FALSE)</f>
        <v>#N/A</v>
      </c>
      <c r="V455" s="4" t="str">
        <f t="shared" si="116"/>
        <v/>
      </c>
      <c r="W455" s="4" t="e" cm="1">
        <f t="array" ref="W455">IF(INDEX(Table2[],_xlfn.XMATCH($A455,Table2[Steel Member],0),_xlfn.XMATCH(W$2,Table2[#Headers],0))=0,"",INDEX(Table2[],_xlfn.XMATCH($A455,Table2[Steel Member],0),_xlfn.XMATCH(W$2,Table2[#Headers],0)))</f>
        <v>#N/A</v>
      </c>
      <c r="X455" s="4" t="e">
        <f t="shared" si="114"/>
        <v>#N/A</v>
      </c>
      <c r="Y455" s="4" t="e" cm="1">
        <f t="array" ref="Y455">IF(INDEX(Table2[],_xlfn.XMATCH($A455,Table2[Steel Member],0),_xlfn.XMATCH(Y$2,Table2[#Headers],0))=0,"",INDEX(Table2[],_xlfn.XMATCH($A455,Table2[Steel Member],0),_xlfn.XMATCH(Y$2,Table2[#Headers],0)))</f>
        <v>#N/A</v>
      </c>
      <c r="Z455" s="4" t="e" cm="1">
        <f t="array" ref="Z455">IF(INDEX(Table2[],_xlfn.XMATCH($A455,Table2[Steel Member],0),_xlfn.XMATCH(Z$2,Table2[#Headers],0))=0,"",INDEX(Table2[],_xlfn.XMATCH($A455,Table2[Steel Member],0),_xlfn.XMATCH(Z$2,Table2[#Headers],0)))</f>
        <v>#N/A</v>
      </c>
      <c r="AA455" s="4" t="e" cm="1">
        <f t="array" ref="AA455">IF(INDEX(Table2[],_xlfn.XMATCH($A455,Table2[Steel Member],0),_xlfn.XMATCH(AA$2,Table2[#Headers],0))=0,"",INDEX(Table2[],_xlfn.XMATCH($A455,Table2[Steel Member],0),_xlfn.XMATCH(AA$2,Table2[#Headers],0)))</f>
        <v>#N/A</v>
      </c>
      <c r="AB455" s="4" t="e" cm="1">
        <f t="array" ref="AB455">IF(INDEX(Table2[],_xlfn.XMATCH($A455,Table2[Steel Member],0),_xlfn.XMATCH(AB$2,Table2[#Headers],0))=0,"",INDEX(Table2[],_xlfn.XMATCH($A455,Table2[Steel Member],0),_xlfn.XMATCH(AB$2,Table2[#Headers],0)))</f>
        <v>#N/A</v>
      </c>
      <c r="AC455" s="4" t="str" cm="1">
        <f t="array" ref="AC455">IFERROR(INDEX(Table8[],_xlfn.XMATCH($O455,Table8[Dimension Name Category],0),_xlfn.XMATCH(AC$2&amp;IF($L455," w/ tag"," w/o tag"),Table8[#Headers],0)),"")</f>
        <v/>
      </c>
      <c r="AD455" s="59" t="str">
        <f t="shared" si="117"/>
        <v/>
      </c>
      <c r="AE455" s="4" t="str">
        <f t="shared" si="118"/>
        <v/>
      </c>
      <c r="AF455" s="4" t="str">
        <f t="shared" si="119"/>
        <v/>
      </c>
      <c r="AG455" s="4" t="str" cm="1">
        <f t="array" ref="AG455">IFERROR(INDEX(Table8[],_xlfn.XMATCH($O455,Table8[Dimension Name Category],0),_xlfn.XMATCH(AG$2&amp;IF($L455," w/ tag"," w/o tag"),Table8[#Headers],0)),"")</f>
        <v/>
      </c>
      <c r="AH455" s="59" t="str">
        <f t="shared" si="120"/>
        <v/>
      </c>
      <c r="AI455" s="4"/>
      <c r="AJ455" s="4" t="str">
        <f t="shared" si="121"/>
        <v/>
      </c>
      <c r="AK455" s="4" t="str">
        <f t="shared" si="122"/>
        <v/>
      </c>
      <c r="AL455" s="4" t="e" cm="1">
        <f t="array" ref="AL455">IF(INDEX(Table2[],_xlfn.XMATCH($A455,Table2[Steel Member],0),_xlfn.XMATCH(AL$2,Table2[#Headers],0))=0,"",INDEX(Table2[],_xlfn.XMATCH($A455,Table2[Steel Member],0),_xlfn.XMATCH(AL$2,Table2[#Headers],0)))</f>
        <v>#N/A</v>
      </c>
      <c r="AM455" s="4"/>
      <c r="AN455" s="4" t="str">
        <f t="shared" si="123"/>
        <v/>
      </c>
      <c r="AO455" s="4"/>
      <c r="AP455" s="4" t="e" cm="1">
        <f t="array" ref="AP455">IF(INDEX(Table2[],_xlfn.XMATCH($A455,Table2[Steel Member],0),_xlfn.XMATCH(AP$2,Table2[#Headers],0))=0,"",INDEX(Table2[],_xlfn.XMATCH($A455,Table2[Steel Member],0),_xlfn.XMATCH(AP$2,Table2[#Headers],0)))</f>
        <v>#N/A</v>
      </c>
      <c r="AQ455" s="4"/>
      <c r="AR455" s="4"/>
      <c r="AS455" s="4"/>
      <c r="AT455" s="4"/>
    </row>
    <row r="456" spans="1:46" x14ac:dyDescent="0.25">
      <c r="A456" s="52"/>
      <c r="B456" s="52"/>
      <c r="C456" s="52"/>
      <c r="D456" s="52"/>
      <c r="E456" s="52"/>
      <c r="F456" s="64" cm="1">
        <f t="array" ref="F456">IF(COUNT(FIND(PurlinsxGirthsxBracings,$C456))&gt;0,0,ROUNDUP(IF(D456=0,0,VLOOKUP(D456,'DATA SHEET'!$B:$D,2,FALSE)),2))</f>
        <v>0</v>
      </c>
      <c r="G456" s="64" cm="1">
        <f t="array" ref="G456">IF(COUNT(FIND(PurlinsxGirthsxBracings,$C456))&gt;0,0,ROUNDUP(IF(D456=0,0,VLOOKUP(D456,'DATA SHEET'!$B:$D,3,FALSE)),2))</f>
        <v>0</v>
      </c>
      <c r="H456" s="53"/>
      <c r="I456" s="66" cm="1">
        <f t="array" ref="I456">IF(AND(ISBLANK(B456),ISBLANK(C456),ISBLANK(E456)),0,IF(COUNT(FIND(PurlinsxGirthsxBracings,$C456))&gt;0,IF(B456=0,CONCATENATE(E456," ",C456),CONCATENATE(B456," - ",E456," ",C456)),IF(B456=0,IF(ISBLANK(C456),E456,CONCATENATE(D456,", ",F456,"kg/m, ",G456,"mm surface perimeter")),IF(AND(ISBLANK(C456),ISTEXT(E456)),CONCATENATE(B456," - ",E456),IF(AND(ISBLANK(C456),ISBLANK(E456)),B456,CONCATENATE(B456," - ",D456,", ",F456,"kg/m, ",G456,"mm surface perimeter"))))&amp;IF(ISBLANK(H456),"",H456)))</f>
        <v>0</v>
      </c>
      <c r="J456" s="53"/>
      <c r="L456" s="4" t="str" cm="1">
        <f t="array" ref="L456">IF(COUNT(FIND({0,1,2,3,4,5,6,7,8,9},B456))&gt;0,COUNT(FIND({0,1,2,3,4,5,6,7,8,9},B456))&gt;0,"")</f>
        <v/>
      </c>
      <c r="M456" s="4" t="str" cm="1">
        <f t="array" aca="1" ref="M456" ca="1">IFERROR(_xlfn.IFS(R456="Count",RANDBETWEEN(1,COUNTIF($R$11:$R$653,"Count")),R456="Length",RANDBETWEEN(1,COUNTIF($R$11:$R$653,"Length"))),"")</f>
        <v/>
      </c>
      <c r="N456" s="4" t="str">
        <f ca="1">IFERROR(_xlfn.RANK.EQ(M456,$M$11:$M$653)+COUNTIF($M$11:M456,M456)-1,"")</f>
        <v/>
      </c>
      <c r="O456" s="86" t="str">
        <f>IF(A456='DATA SHEET'!$L$36,C456,IFERROR(IF(AND(ISTEXT(I456),ISBLANK(C456)),"No details",VLOOKUP(C456,DimFolder,2,FALSE)),""))</f>
        <v/>
      </c>
      <c r="P456" s="4" t="str">
        <f t="shared" si="113"/>
        <v/>
      </c>
      <c r="Q456" s="58" t="str">
        <f t="shared" si="124"/>
        <v/>
      </c>
      <c r="R456" s="4" t="e" cm="1">
        <f t="array" ref="R456">IF(INDEX(Table2[],_xlfn.XMATCH($A456,Table2[Steel Member],0),_xlfn.XMATCH(R$2,Table2[#Headers],0))=0,"",INDEX(Table2[],_xlfn.XMATCH($A456,Table2[Steel Member],0),_xlfn.XMATCH(R$2,Table2[#Headers],0)))</f>
        <v>#N/A</v>
      </c>
      <c r="S456" s="4" t="e" cm="1">
        <f t="array" ref="S456">IF(INDEX(Table2[],_xlfn.XMATCH($A456,Table2[Steel Member],0),_xlfn.XMATCH(S$2,Table2[#Headers],0))=0,"",INDEX(Table2[],_xlfn.XMATCH($A456,Table2[Steel Member],0),_xlfn.XMATCH(S$2,Table2[#Headers],0)))</f>
        <v>#N/A</v>
      </c>
      <c r="T456" s="4" t="str">
        <f t="shared" si="115"/>
        <v/>
      </c>
      <c r="U456" s="4" t="e">
        <f ca="1">VLOOKUP(N456,'COLOR CODE'!$B:$D,2,FALSE)</f>
        <v>#N/A</v>
      </c>
      <c r="V456" s="4" t="str">
        <f t="shared" si="116"/>
        <v/>
      </c>
      <c r="W456" s="4" t="e" cm="1">
        <f t="array" ref="W456">IF(INDEX(Table2[],_xlfn.XMATCH($A456,Table2[Steel Member],0),_xlfn.XMATCH(W$2,Table2[#Headers],0))=0,"",INDEX(Table2[],_xlfn.XMATCH($A456,Table2[Steel Member],0),_xlfn.XMATCH(W$2,Table2[#Headers],0)))</f>
        <v>#N/A</v>
      </c>
      <c r="X456" s="4" t="e">
        <f t="shared" si="114"/>
        <v>#N/A</v>
      </c>
      <c r="Y456" s="4" t="e" cm="1">
        <f t="array" ref="Y456">IF(INDEX(Table2[],_xlfn.XMATCH($A456,Table2[Steel Member],0),_xlfn.XMATCH(Y$2,Table2[#Headers],0))=0,"",INDEX(Table2[],_xlfn.XMATCH($A456,Table2[Steel Member],0),_xlfn.XMATCH(Y$2,Table2[#Headers],0)))</f>
        <v>#N/A</v>
      </c>
      <c r="Z456" s="4" t="e" cm="1">
        <f t="array" ref="Z456">IF(INDEX(Table2[],_xlfn.XMATCH($A456,Table2[Steel Member],0),_xlfn.XMATCH(Z$2,Table2[#Headers],0))=0,"",INDEX(Table2[],_xlfn.XMATCH($A456,Table2[Steel Member],0),_xlfn.XMATCH(Z$2,Table2[#Headers],0)))</f>
        <v>#N/A</v>
      </c>
      <c r="AA456" s="4" t="e" cm="1">
        <f t="array" ref="AA456">IF(INDEX(Table2[],_xlfn.XMATCH($A456,Table2[Steel Member],0),_xlfn.XMATCH(AA$2,Table2[#Headers],0))=0,"",INDEX(Table2[],_xlfn.XMATCH($A456,Table2[Steel Member],0),_xlfn.XMATCH(AA$2,Table2[#Headers],0)))</f>
        <v>#N/A</v>
      </c>
      <c r="AB456" s="4" t="e" cm="1">
        <f t="array" ref="AB456">IF(INDEX(Table2[],_xlfn.XMATCH($A456,Table2[Steel Member],0),_xlfn.XMATCH(AB$2,Table2[#Headers],0))=0,"",INDEX(Table2[],_xlfn.XMATCH($A456,Table2[Steel Member],0),_xlfn.XMATCH(AB$2,Table2[#Headers],0)))</f>
        <v>#N/A</v>
      </c>
      <c r="AC456" s="4" t="str" cm="1">
        <f t="array" ref="AC456">IFERROR(INDEX(Table8[],_xlfn.XMATCH($O456,Table8[Dimension Name Category],0),_xlfn.XMATCH(AC$2&amp;IF($L456," w/ tag"," w/o tag"),Table8[#Headers],0)),"")</f>
        <v/>
      </c>
      <c r="AD456" s="59" t="str">
        <f t="shared" si="117"/>
        <v/>
      </c>
      <c r="AE456" s="4" t="str">
        <f t="shared" si="118"/>
        <v/>
      </c>
      <c r="AF456" s="4" t="str">
        <f t="shared" si="119"/>
        <v/>
      </c>
      <c r="AG456" s="4" t="str" cm="1">
        <f t="array" ref="AG456">IFERROR(INDEX(Table8[],_xlfn.XMATCH($O456,Table8[Dimension Name Category],0),_xlfn.XMATCH(AG$2&amp;IF($L456," w/ tag"," w/o tag"),Table8[#Headers],0)),"")</f>
        <v/>
      </c>
      <c r="AH456" s="59" t="str">
        <f t="shared" si="120"/>
        <v/>
      </c>
      <c r="AI456" s="4"/>
      <c r="AJ456" s="4" t="str">
        <f t="shared" si="121"/>
        <v/>
      </c>
      <c r="AK456" s="4" t="str">
        <f t="shared" si="122"/>
        <v/>
      </c>
      <c r="AL456" s="4" t="e" cm="1">
        <f t="array" ref="AL456">IF(INDEX(Table2[],_xlfn.XMATCH($A456,Table2[Steel Member],0),_xlfn.XMATCH(AL$2,Table2[#Headers],0))=0,"",INDEX(Table2[],_xlfn.XMATCH($A456,Table2[Steel Member],0),_xlfn.XMATCH(AL$2,Table2[#Headers],0)))</f>
        <v>#N/A</v>
      </c>
      <c r="AM456" s="4"/>
      <c r="AN456" s="4" t="str">
        <f t="shared" si="123"/>
        <v/>
      </c>
      <c r="AO456" s="4"/>
      <c r="AP456" s="4" t="e" cm="1">
        <f t="array" ref="AP456">IF(INDEX(Table2[],_xlfn.XMATCH($A456,Table2[Steel Member],0),_xlfn.XMATCH(AP$2,Table2[#Headers],0))=0,"",INDEX(Table2[],_xlfn.XMATCH($A456,Table2[Steel Member],0),_xlfn.XMATCH(AP$2,Table2[#Headers],0)))</f>
        <v>#N/A</v>
      </c>
      <c r="AQ456" s="4"/>
      <c r="AR456" s="4"/>
      <c r="AS456" s="4"/>
      <c r="AT456" s="4"/>
    </row>
    <row r="457" spans="1:46" x14ac:dyDescent="0.25">
      <c r="A457" s="52"/>
      <c r="B457" s="52"/>
      <c r="C457" s="52"/>
      <c r="D457" s="52"/>
      <c r="E457" s="52"/>
      <c r="F457" s="64" cm="1">
        <f t="array" ref="F457">IF(COUNT(FIND(PurlinsxGirthsxBracings,$C457))&gt;0,0,ROUNDUP(IF(D457=0,0,VLOOKUP(D457,'DATA SHEET'!$B:$D,2,FALSE)),2))</f>
        <v>0</v>
      </c>
      <c r="G457" s="64" cm="1">
        <f t="array" ref="G457">IF(COUNT(FIND(PurlinsxGirthsxBracings,$C457))&gt;0,0,ROUNDUP(IF(D457=0,0,VLOOKUP(D457,'DATA SHEET'!$B:$D,3,FALSE)),2))</f>
        <v>0</v>
      </c>
      <c r="H457" s="53"/>
      <c r="I457" s="66" cm="1">
        <f t="array" ref="I457">IF(AND(ISBLANK(B457),ISBLANK(C457),ISBLANK(E457)),0,IF(COUNT(FIND(PurlinsxGirthsxBracings,$C457))&gt;0,IF(B457=0,CONCATENATE(E457," ",C457),CONCATENATE(B457," - ",E457," ",C457)),IF(B457=0,IF(ISBLANK(C457),E457,CONCATENATE(D457,", ",F457,"kg/m, ",G457,"mm surface perimeter")),IF(AND(ISBLANK(C457),ISTEXT(E457)),CONCATENATE(B457," - ",E457),IF(AND(ISBLANK(C457),ISBLANK(E457)),B457,CONCATENATE(B457," - ",D457,", ",F457,"kg/m, ",G457,"mm surface perimeter"))))&amp;IF(ISBLANK(H457),"",H457)))</f>
        <v>0</v>
      </c>
      <c r="J457" s="53"/>
      <c r="L457" s="4" t="str" cm="1">
        <f t="array" ref="L457">IF(COUNT(FIND({0,1,2,3,4,5,6,7,8,9},B457))&gt;0,COUNT(FIND({0,1,2,3,4,5,6,7,8,9},B457))&gt;0,"")</f>
        <v/>
      </c>
      <c r="M457" s="4" t="str" cm="1">
        <f t="array" aca="1" ref="M457" ca="1">IFERROR(_xlfn.IFS(R457="Count",RANDBETWEEN(1,COUNTIF($R$11:$R$653,"Count")),R457="Length",RANDBETWEEN(1,COUNTIF($R$11:$R$653,"Length"))),"")</f>
        <v/>
      </c>
      <c r="N457" s="4" t="str">
        <f ca="1">IFERROR(_xlfn.RANK.EQ(M457,$M$11:$M$653)+COUNTIF($M$11:M457,M457)-1,"")</f>
        <v/>
      </c>
      <c r="O457" s="86" t="str">
        <f>IF(A457='DATA SHEET'!$L$36,C457,IFERROR(IF(AND(ISTEXT(I457),ISBLANK(C457)),"No details",VLOOKUP(C457,DimFolder,2,FALSE)),""))</f>
        <v/>
      </c>
      <c r="P457" s="4" t="str">
        <f t="shared" si="113"/>
        <v/>
      </c>
      <c r="Q457" s="58" t="str">
        <f t="shared" si="124"/>
        <v/>
      </c>
      <c r="R457" s="4" t="e" cm="1">
        <f t="array" ref="R457">IF(INDEX(Table2[],_xlfn.XMATCH($A457,Table2[Steel Member],0),_xlfn.XMATCH(R$2,Table2[#Headers],0))=0,"",INDEX(Table2[],_xlfn.XMATCH($A457,Table2[Steel Member],0),_xlfn.XMATCH(R$2,Table2[#Headers],0)))</f>
        <v>#N/A</v>
      </c>
      <c r="S457" s="4" t="e" cm="1">
        <f t="array" ref="S457">IF(INDEX(Table2[],_xlfn.XMATCH($A457,Table2[Steel Member],0),_xlfn.XMATCH(S$2,Table2[#Headers],0))=0,"",INDEX(Table2[],_xlfn.XMATCH($A457,Table2[Steel Member],0),_xlfn.XMATCH(S$2,Table2[#Headers],0)))</f>
        <v>#N/A</v>
      </c>
      <c r="T457" s="4" t="str">
        <f t="shared" si="115"/>
        <v/>
      </c>
      <c r="U457" s="4" t="e">
        <f ca="1">VLOOKUP(N457,'COLOR CODE'!$B:$D,2,FALSE)</f>
        <v>#N/A</v>
      </c>
      <c r="V457" s="4" t="str">
        <f t="shared" si="116"/>
        <v/>
      </c>
      <c r="W457" s="4" t="e" cm="1">
        <f t="array" ref="W457">IF(INDEX(Table2[],_xlfn.XMATCH($A457,Table2[Steel Member],0),_xlfn.XMATCH(W$2,Table2[#Headers],0))=0,"",INDEX(Table2[],_xlfn.XMATCH($A457,Table2[Steel Member],0),_xlfn.XMATCH(W$2,Table2[#Headers],0)))</f>
        <v>#N/A</v>
      </c>
      <c r="X457" s="4" t="e">
        <f t="shared" si="114"/>
        <v>#N/A</v>
      </c>
      <c r="Y457" s="4" t="e" cm="1">
        <f t="array" ref="Y457">IF(INDEX(Table2[],_xlfn.XMATCH($A457,Table2[Steel Member],0),_xlfn.XMATCH(Y$2,Table2[#Headers],0))=0,"",INDEX(Table2[],_xlfn.XMATCH($A457,Table2[Steel Member],0),_xlfn.XMATCH(Y$2,Table2[#Headers],0)))</f>
        <v>#N/A</v>
      </c>
      <c r="Z457" s="4" t="e" cm="1">
        <f t="array" ref="Z457">IF(INDEX(Table2[],_xlfn.XMATCH($A457,Table2[Steel Member],0),_xlfn.XMATCH(Z$2,Table2[#Headers],0))=0,"",INDEX(Table2[],_xlfn.XMATCH($A457,Table2[Steel Member],0),_xlfn.XMATCH(Z$2,Table2[#Headers],0)))</f>
        <v>#N/A</v>
      </c>
      <c r="AA457" s="4" t="e" cm="1">
        <f t="array" ref="AA457">IF(INDEX(Table2[],_xlfn.XMATCH($A457,Table2[Steel Member],0),_xlfn.XMATCH(AA$2,Table2[#Headers],0))=0,"",INDEX(Table2[],_xlfn.XMATCH($A457,Table2[Steel Member],0),_xlfn.XMATCH(AA$2,Table2[#Headers],0)))</f>
        <v>#N/A</v>
      </c>
      <c r="AB457" s="4" t="e" cm="1">
        <f t="array" ref="AB457">IF(INDEX(Table2[],_xlfn.XMATCH($A457,Table2[Steel Member],0),_xlfn.XMATCH(AB$2,Table2[#Headers],0))=0,"",INDEX(Table2[],_xlfn.XMATCH($A457,Table2[Steel Member],0),_xlfn.XMATCH(AB$2,Table2[#Headers],0)))</f>
        <v>#N/A</v>
      </c>
      <c r="AC457" s="4" t="str" cm="1">
        <f t="array" ref="AC457">IFERROR(INDEX(Table8[],_xlfn.XMATCH($O457,Table8[Dimension Name Category],0),_xlfn.XMATCH(AC$2&amp;IF($L457," w/ tag"," w/o tag"),Table8[#Headers],0)),"")</f>
        <v/>
      </c>
      <c r="AD457" s="59" t="str">
        <f t="shared" si="117"/>
        <v/>
      </c>
      <c r="AE457" s="4" t="str">
        <f t="shared" si="118"/>
        <v/>
      </c>
      <c r="AF457" s="4" t="str">
        <f t="shared" si="119"/>
        <v/>
      </c>
      <c r="AG457" s="4" t="str" cm="1">
        <f t="array" ref="AG457">IFERROR(INDEX(Table8[],_xlfn.XMATCH($O457,Table8[Dimension Name Category],0),_xlfn.XMATCH(AG$2&amp;IF($L457," w/ tag"," w/o tag"),Table8[#Headers],0)),"")</f>
        <v/>
      </c>
      <c r="AH457" s="59" t="str">
        <f t="shared" si="120"/>
        <v/>
      </c>
      <c r="AI457" s="4"/>
      <c r="AJ457" s="4" t="str">
        <f t="shared" si="121"/>
        <v/>
      </c>
      <c r="AK457" s="4" t="str">
        <f t="shared" si="122"/>
        <v/>
      </c>
      <c r="AL457" s="4" t="e" cm="1">
        <f t="array" ref="AL457">IF(INDEX(Table2[],_xlfn.XMATCH($A457,Table2[Steel Member],0),_xlfn.XMATCH(AL$2,Table2[#Headers],0))=0,"",INDEX(Table2[],_xlfn.XMATCH($A457,Table2[Steel Member],0),_xlfn.XMATCH(AL$2,Table2[#Headers],0)))</f>
        <v>#N/A</v>
      </c>
      <c r="AM457" s="4"/>
      <c r="AN457" s="4" t="str">
        <f t="shared" si="123"/>
        <v/>
      </c>
      <c r="AO457" s="4"/>
      <c r="AP457" s="4" t="e" cm="1">
        <f t="array" ref="AP457">IF(INDEX(Table2[],_xlfn.XMATCH($A457,Table2[Steel Member],0),_xlfn.XMATCH(AP$2,Table2[#Headers],0))=0,"",INDEX(Table2[],_xlfn.XMATCH($A457,Table2[Steel Member],0),_xlfn.XMATCH(AP$2,Table2[#Headers],0)))</f>
        <v>#N/A</v>
      </c>
      <c r="AQ457" s="4"/>
      <c r="AR457" s="4"/>
      <c r="AS457" s="4"/>
      <c r="AT457" s="4"/>
    </row>
    <row r="458" spans="1:46" x14ac:dyDescent="0.25">
      <c r="A458" s="52"/>
      <c r="B458" s="52"/>
      <c r="C458" s="52"/>
      <c r="D458" s="52"/>
      <c r="E458" s="52"/>
      <c r="F458" s="64" cm="1">
        <f t="array" ref="F458">IF(COUNT(FIND(PurlinsxGirthsxBracings,$C458))&gt;0,0,ROUNDUP(IF(D458=0,0,VLOOKUP(D458,'DATA SHEET'!$B:$D,2,FALSE)),2))</f>
        <v>0</v>
      </c>
      <c r="G458" s="64" cm="1">
        <f t="array" ref="G458">IF(COUNT(FIND(PurlinsxGirthsxBracings,$C458))&gt;0,0,ROUNDUP(IF(D458=0,0,VLOOKUP(D458,'DATA SHEET'!$B:$D,3,FALSE)),2))</f>
        <v>0</v>
      </c>
      <c r="H458" s="53"/>
      <c r="I458" s="66" cm="1">
        <f t="array" ref="I458">IF(AND(ISBLANK(B458),ISBLANK(C458),ISBLANK(E458)),0,IF(COUNT(FIND(PurlinsxGirthsxBracings,$C458))&gt;0,IF(B458=0,CONCATENATE(E458," ",C458),CONCATENATE(B458," - ",E458," ",C458)),IF(B458=0,IF(ISBLANK(C458),E458,CONCATENATE(D458,", ",F458,"kg/m, ",G458,"mm surface perimeter")),IF(AND(ISBLANK(C458),ISTEXT(E458)),CONCATENATE(B458," - ",E458),IF(AND(ISBLANK(C458),ISBLANK(E458)),B458,CONCATENATE(B458," - ",D458,", ",F458,"kg/m, ",G458,"mm surface perimeter"))))&amp;IF(ISBLANK(H458),"",H458)))</f>
        <v>0</v>
      </c>
      <c r="J458" s="53"/>
      <c r="L458" s="4" t="str" cm="1">
        <f t="array" ref="L458">IF(COUNT(FIND({0,1,2,3,4,5,6,7,8,9},B458))&gt;0,COUNT(FIND({0,1,2,3,4,5,6,7,8,9},B458))&gt;0,"")</f>
        <v/>
      </c>
      <c r="M458" s="4" t="str" cm="1">
        <f t="array" aca="1" ref="M458" ca="1">IFERROR(_xlfn.IFS(R458="Count",RANDBETWEEN(1,COUNTIF($R$11:$R$653,"Count")),R458="Length",RANDBETWEEN(1,COUNTIF($R$11:$R$653,"Length"))),"")</f>
        <v/>
      </c>
      <c r="N458" s="4" t="str">
        <f ca="1">IFERROR(_xlfn.RANK.EQ(M458,$M$11:$M$653)+COUNTIF($M$11:M458,M458)-1,"")</f>
        <v/>
      </c>
      <c r="O458" s="86" t="str">
        <f>IF(A458='DATA SHEET'!$L$36,C458,IFERROR(IF(AND(ISTEXT(I458),ISBLANK(C458)),"No details",VLOOKUP(C458,DimFolder,2,FALSE)),""))</f>
        <v/>
      </c>
      <c r="P458" s="4" t="str">
        <f t="shared" si="113"/>
        <v/>
      </c>
      <c r="Q458" s="58" t="str">
        <f t="shared" si="124"/>
        <v/>
      </c>
      <c r="R458" s="4" t="e" cm="1">
        <f t="array" ref="R458">IF(INDEX(Table2[],_xlfn.XMATCH($A458,Table2[Steel Member],0),_xlfn.XMATCH(R$2,Table2[#Headers],0))=0,"",INDEX(Table2[],_xlfn.XMATCH($A458,Table2[Steel Member],0),_xlfn.XMATCH(R$2,Table2[#Headers],0)))</f>
        <v>#N/A</v>
      </c>
      <c r="S458" s="4" t="e" cm="1">
        <f t="array" ref="S458">IF(INDEX(Table2[],_xlfn.XMATCH($A458,Table2[Steel Member],0),_xlfn.XMATCH(S$2,Table2[#Headers],0))=0,"",INDEX(Table2[],_xlfn.XMATCH($A458,Table2[Steel Member],0),_xlfn.XMATCH(S$2,Table2[#Headers],0)))</f>
        <v>#N/A</v>
      </c>
      <c r="T458" s="4" t="str">
        <f t="shared" si="115"/>
        <v/>
      </c>
      <c r="U458" s="4" t="e">
        <f ca="1">VLOOKUP(N458,'COLOR CODE'!$B:$D,2,FALSE)</f>
        <v>#N/A</v>
      </c>
      <c r="V458" s="4" t="str">
        <f t="shared" si="116"/>
        <v/>
      </c>
      <c r="W458" s="4" t="e" cm="1">
        <f t="array" ref="W458">IF(INDEX(Table2[],_xlfn.XMATCH($A458,Table2[Steel Member],0),_xlfn.XMATCH(W$2,Table2[#Headers],0))=0,"",INDEX(Table2[],_xlfn.XMATCH($A458,Table2[Steel Member],0),_xlfn.XMATCH(W$2,Table2[#Headers],0)))</f>
        <v>#N/A</v>
      </c>
      <c r="X458" s="4" t="e">
        <f t="shared" si="114"/>
        <v>#N/A</v>
      </c>
      <c r="Y458" s="4" t="e" cm="1">
        <f t="array" ref="Y458">IF(INDEX(Table2[],_xlfn.XMATCH($A458,Table2[Steel Member],0),_xlfn.XMATCH(Y$2,Table2[#Headers],0))=0,"",INDEX(Table2[],_xlfn.XMATCH($A458,Table2[Steel Member],0),_xlfn.XMATCH(Y$2,Table2[#Headers],0)))</f>
        <v>#N/A</v>
      </c>
      <c r="Z458" s="4" t="e" cm="1">
        <f t="array" ref="Z458">IF(INDEX(Table2[],_xlfn.XMATCH($A458,Table2[Steel Member],0),_xlfn.XMATCH(Z$2,Table2[#Headers],0))=0,"",INDEX(Table2[],_xlfn.XMATCH($A458,Table2[Steel Member],0),_xlfn.XMATCH(Z$2,Table2[#Headers],0)))</f>
        <v>#N/A</v>
      </c>
      <c r="AA458" s="4" t="e" cm="1">
        <f t="array" ref="AA458">IF(INDEX(Table2[],_xlfn.XMATCH($A458,Table2[Steel Member],0),_xlfn.XMATCH(AA$2,Table2[#Headers],0))=0,"",INDEX(Table2[],_xlfn.XMATCH($A458,Table2[Steel Member],0),_xlfn.XMATCH(AA$2,Table2[#Headers],0)))</f>
        <v>#N/A</v>
      </c>
      <c r="AB458" s="4" t="e" cm="1">
        <f t="array" ref="AB458">IF(INDEX(Table2[],_xlfn.XMATCH($A458,Table2[Steel Member],0),_xlfn.XMATCH(AB$2,Table2[#Headers],0))=0,"",INDEX(Table2[],_xlfn.XMATCH($A458,Table2[Steel Member],0),_xlfn.XMATCH(AB$2,Table2[#Headers],0)))</f>
        <v>#N/A</v>
      </c>
      <c r="AC458" s="4" t="str" cm="1">
        <f t="array" ref="AC458">IFERROR(INDEX(Table8[],_xlfn.XMATCH($O458,Table8[Dimension Name Category],0),_xlfn.XMATCH(AC$2&amp;IF($L458," w/ tag"," w/o tag"),Table8[#Headers],0)),"")</f>
        <v/>
      </c>
      <c r="AD458" s="59" t="str">
        <f t="shared" si="117"/>
        <v/>
      </c>
      <c r="AE458" s="4" t="str">
        <f t="shared" si="118"/>
        <v/>
      </c>
      <c r="AF458" s="4" t="str">
        <f t="shared" si="119"/>
        <v/>
      </c>
      <c r="AG458" s="4" t="str" cm="1">
        <f t="array" ref="AG458">IFERROR(INDEX(Table8[],_xlfn.XMATCH($O458,Table8[Dimension Name Category],0),_xlfn.XMATCH(AG$2&amp;IF($L458," w/ tag"," w/o tag"),Table8[#Headers],0)),"")</f>
        <v/>
      </c>
      <c r="AH458" s="59" t="str">
        <f t="shared" si="120"/>
        <v/>
      </c>
      <c r="AI458" s="4"/>
      <c r="AJ458" s="4" t="str">
        <f t="shared" si="121"/>
        <v/>
      </c>
      <c r="AK458" s="4" t="str">
        <f t="shared" si="122"/>
        <v/>
      </c>
      <c r="AL458" s="4" t="e" cm="1">
        <f t="array" ref="AL458">IF(INDEX(Table2[],_xlfn.XMATCH($A458,Table2[Steel Member],0),_xlfn.XMATCH(AL$2,Table2[#Headers],0))=0,"",INDEX(Table2[],_xlfn.XMATCH($A458,Table2[Steel Member],0),_xlfn.XMATCH(AL$2,Table2[#Headers],0)))</f>
        <v>#N/A</v>
      </c>
      <c r="AM458" s="4"/>
      <c r="AN458" s="4" t="str">
        <f t="shared" si="123"/>
        <v/>
      </c>
      <c r="AO458" s="4"/>
      <c r="AP458" s="4" t="e" cm="1">
        <f t="array" ref="AP458">IF(INDEX(Table2[],_xlfn.XMATCH($A458,Table2[Steel Member],0),_xlfn.XMATCH(AP$2,Table2[#Headers],0))=0,"",INDEX(Table2[],_xlfn.XMATCH($A458,Table2[Steel Member],0),_xlfn.XMATCH(AP$2,Table2[#Headers],0)))</f>
        <v>#N/A</v>
      </c>
      <c r="AQ458" s="4"/>
      <c r="AR458" s="4"/>
      <c r="AS458" s="4"/>
      <c r="AT458" s="4"/>
    </row>
    <row r="459" spans="1:46" x14ac:dyDescent="0.25">
      <c r="A459" s="52"/>
      <c r="B459" s="52"/>
      <c r="C459" s="52"/>
      <c r="D459" s="52"/>
      <c r="E459" s="52"/>
      <c r="F459" s="64" cm="1">
        <f t="array" ref="F459">IF(COUNT(FIND(PurlinsxGirthsxBracings,$C459))&gt;0,0,ROUNDUP(IF(D459=0,0,VLOOKUP(D459,'DATA SHEET'!$B:$D,2,FALSE)),2))</f>
        <v>0</v>
      </c>
      <c r="G459" s="64" cm="1">
        <f t="array" ref="G459">IF(COUNT(FIND(PurlinsxGirthsxBracings,$C459))&gt;0,0,ROUNDUP(IF(D459=0,0,VLOOKUP(D459,'DATA SHEET'!$B:$D,3,FALSE)),2))</f>
        <v>0</v>
      </c>
      <c r="H459" s="53"/>
      <c r="I459" s="66" cm="1">
        <f t="array" ref="I459">IF(AND(ISBLANK(B459),ISBLANK(C459),ISBLANK(E459)),0,IF(COUNT(FIND(PurlinsxGirthsxBracings,$C459))&gt;0,IF(B459=0,CONCATENATE(E459," ",C459),CONCATENATE(B459," - ",E459," ",C459)),IF(B459=0,IF(ISBLANK(C459),E459,CONCATENATE(D459,", ",F459,"kg/m, ",G459,"mm surface perimeter")),IF(AND(ISBLANK(C459),ISTEXT(E459)),CONCATENATE(B459," - ",E459),IF(AND(ISBLANK(C459),ISBLANK(E459)),B459,CONCATENATE(B459," - ",D459,", ",F459,"kg/m, ",G459,"mm surface perimeter"))))&amp;IF(ISBLANK(H459),"",H459)))</f>
        <v>0</v>
      </c>
      <c r="J459" s="53"/>
      <c r="L459" s="4" t="str" cm="1">
        <f t="array" ref="L459">IF(COUNT(FIND({0,1,2,3,4,5,6,7,8,9},B459))&gt;0,COUNT(FIND({0,1,2,3,4,5,6,7,8,9},B459))&gt;0,"")</f>
        <v/>
      </c>
      <c r="M459" s="4" t="str" cm="1">
        <f t="array" aca="1" ref="M459" ca="1">IFERROR(_xlfn.IFS(R459="Count",RANDBETWEEN(1,COUNTIF($R$11:$R$653,"Count")),R459="Length",RANDBETWEEN(1,COUNTIF($R$11:$R$653,"Length"))),"")</f>
        <v/>
      </c>
      <c r="N459" s="4" t="str">
        <f ca="1">IFERROR(_xlfn.RANK.EQ(M459,$M$11:$M$653)+COUNTIF($M$11:M459,M459)-1,"")</f>
        <v/>
      </c>
      <c r="O459" s="86" t="str">
        <f>IF(A459='DATA SHEET'!$L$36,C459,IFERROR(IF(AND(ISTEXT(I459),ISBLANK(C459)),"No details",VLOOKUP(C459,DimFolder,2,FALSE)),""))</f>
        <v/>
      </c>
      <c r="P459" s="4" t="str">
        <f t="shared" ref="P459:P522" si="125">IF(AND(ISBLANK(B459),ISBLANK(C459)),"",CONCATENATE("Structural\Structural Steel\",A459,"\",O459))</f>
        <v/>
      </c>
      <c r="Q459" s="58" t="str">
        <f t="shared" si="124"/>
        <v/>
      </c>
      <c r="R459" s="4" t="e" cm="1">
        <f t="array" ref="R459">IF(INDEX(Table2[],_xlfn.XMATCH($A459,Table2[Steel Member],0),_xlfn.XMATCH(R$2,Table2[#Headers],0))=0,"",INDEX(Table2[],_xlfn.XMATCH($A459,Table2[Steel Member],0),_xlfn.XMATCH(R$2,Table2[#Headers],0)))</f>
        <v>#N/A</v>
      </c>
      <c r="S459" s="4" t="e" cm="1">
        <f t="array" ref="S459">IF(INDEX(Table2[],_xlfn.XMATCH($A459,Table2[Steel Member],0),_xlfn.XMATCH(S$2,Table2[#Headers],0))=0,"",INDEX(Table2[],_xlfn.XMATCH($A459,Table2[Steel Member],0),_xlfn.XMATCH(S$2,Table2[#Headers],0)))</f>
        <v>#N/A</v>
      </c>
      <c r="T459" s="4" t="str">
        <f t="shared" si="115"/>
        <v/>
      </c>
      <c r="U459" s="4" t="e">
        <f ca="1">VLOOKUP(N459,'COLOR CODE'!$B:$D,2,FALSE)</f>
        <v>#N/A</v>
      </c>
      <c r="V459" s="4" t="str">
        <f t="shared" si="116"/>
        <v/>
      </c>
      <c r="W459" s="4" t="e" cm="1">
        <f t="array" ref="W459">IF(INDEX(Table2[],_xlfn.XMATCH($A459,Table2[Steel Member],0),_xlfn.XMATCH(W$2,Table2[#Headers],0))=0,"",INDEX(Table2[],_xlfn.XMATCH($A459,Table2[Steel Member],0),_xlfn.XMATCH(W$2,Table2[#Headers],0)))</f>
        <v>#N/A</v>
      </c>
      <c r="X459" s="4" t="e">
        <f t="shared" si="114"/>
        <v>#N/A</v>
      </c>
      <c r="Y459" s="4" t="e" cm="1">
        <f t="array" ref="Y459">IF(INDEX(Table2[],_xlfn.XMATCH($A459,Table2[Steel Member],0),_xlfn.XMATCH(Y$2,Table2[#Headers],0))=0,"",INDEX(Table2[],_xlfn.XMATCH($A459,Table2[Steel Member],0),_xlfn.XMATCH(Y$2,Table2[#Headers],0)))</f>
        <v>#N/A</v>
      </c>
      <c r="Z459" s="4" t="e" cm="1">
        <f t="array" ref="Z459">IF(INDEX(Table2[],_xlfn.XMATCH($A459,Table2[Steel Member],0),_xlfn.XMATCH(Z$2,Table2[#Headers],0))=0,"",INDEX(Table2[],_xlfn.XMATCH($A459,Table2[Steel Member],0),_xlfn.XMATCH(Z$2,Table2[#Headers],0)))</f>
        <v>#N/A</v>
      </c>
      <c r="AA459" s="4" t="e" cm="1">
        <f t="array" ref="AA459">IF(INDEX(Table2[],_xlfn.XMATCH($A459,Table2[Steel Member],0),_xlfn.XMATCH(AA$2,Table2[#Headers],0))=0,"",INDEX(Table2[],_xlfn.XMATCH($A459,Table2[Steel Member],0),_xlfn.XMATCH(AA$2,Table2[#Headers],0)))</f>
        <v>#N/A</v>
      </c>
      <c r="AB459" s="4" t="e" cm="1">
        <f t="array" ref="AB459">IF(INDEX(Table2[],_xlfn.XMATCH($A459,Table2[Steel Member],0),_xlfn.XMATCH(AB$2,Table2[#Headers],0))=0,"",INDEX(Table2[],_xlfn.XMATCH($A459,Table2[Steel Member],0),_xlfn.XMATCH(AB$2,Table2[#Headers],0)))</f>
        <v>#N/A</v>
      </c>
      <c r="AC459" s="4" t="str" cm="1">
        <f t="array" ref="AC459">IFERROR(INDEX(Table8[],_xlfn.XMATCH($O459,Table8[Dimension Name Category],0),_xlfn.XMATCH(AC$2&amp;IF($L459," w/ tag"," w/o tag"),Table8[#Headers],0)),"")</f>
        <v/>
      </c>
      <c r="AD459" s="59" t="str">
        <f t="shared" si="117"/>
        <v/>
      </c>
      <c r="AE459" s="4" t="str">
        <f t="shared" si="118"/>
        <v/>
      </c>
      <c r="AF459" s="4" t="str">
        <f t="shared" si="119"/>
        <v/>
      </c>
      <c r="AG459" s="4" t="str" cm="1">
        <f t="array" ref="AG459">IFERROR(INDEX(Table8[],_xlfn.XMATCH($O459,Table8[Dimension Name Category],0),_xlfn.XMATCH(AG$2&amp;IF($L459," w/ tag"," w/o tag"),Table8[#Headers],0)),"")</f>
        <v/>
      </c>
      <c r="AH459" s="59" t="str">
        <f t="shared" si="120"/>
        <v/>
      </c>
      <c r="AI459" s="4"/>
      <c r="AJ459" s="4" t="str">
        <f t="shared" si="121"/>
        <v/>
      </c>
      <c r="AK459" s="4" t="str">
        <f t="shared" si="122"/>
        <v/>
      </c>
      <c r="AL459" s="4" t="e" cm="1">
        <f t="array" ref="AL459">IF(INDEX(Table2[],_xlfn.XMATCH($A459,Table2[Steel Member],0),_xlfn.XMATCH(AL$2,Table2[#Headers],0))=0,"",INDEX(Table2[],_xlfn.XMATCH($A459,Table2[Steel Member],0),_xlfn.XMATCH(AL$2,Table2[#Headers],0)))</f>
        <v>#N/A</v>
      </c>
      <c r="AM459" s="4"/>
      <c r="AN459" s="4" t="str">
        <f t="shared" si="123"/>
        <v/>
      </c>
      <c r="AO459" s="4"/>
      <c r="AP459" s="4" t="e" cm="1">
        <f t="array" ref="AP459">IF(INDEX(Table2[],_xlfn.XMATCH($A459,Table2[Steel Member],0),_xlfn.XMATCH(AP$2,Table2[#Headers],0))=0,"",INDEX(Table2[],_xlfn.XMATCH($A459,Table2[Steel Member],0),_xlfn.XMATCH(AP$2,Table2[#Headers],0)))</f>
        <v>#N/A</v>
      </c>
      <c r="AQ459" s="4"/>
      <c r="AR459" s="4"/>
      <c r="AS459" s="4"/>
      <c r="AT459" s="4"/>
    </row>
    <row r="460" spans="1:46" x14ac:dyDescent="0.25">
      <c r="A460" s="52"/>
      <c r="B460" s="52"/>
      <c r="C460" s="52"/>
      <c r="D460" s="52"/>
      <c r="E460" s="52"/>
      <c r="F460" s="64" cm="1">
        <f t="array" ref="F460">IF(COUNT(FIND(PurlinsxGirthsxBracings,$C460))&gt;0,0,ROUNDUP(IF(D460=0,0,VLOOKUP(D460,'DATA SHEET'!$B:$D,2,FALSE)),2))</f>
        <v>0</v>
      </c>
      <c r="G460" s="64" cm="1">
        <f t="array" ref="G460">IF(COUNT(FIND(PurlinsxGirthsxBracings,$C460))&gt;0,0,ROUNDUP(IF(D460=0,0,VLOOKUP(D460,'DATA SHEET'!$B:$D,3,FALSE)),2))</f>
        <v>0</v>
      </c>
      <c r="H460" s="53"/>
      <c r="I460" s="66" cm="1">
        <f t="array" ref="I460">IF(AND(ISBLANK(B460),ISBLANK(C460),ISBLANK(E460)),0,IF(COUNT(FIND(PurlinsxGirthsxBracings,$C460))&gt;0,IF(B460=0,CONCATENATE(E460," ",C460),CONCATENATE(B460," - ",E460," ",C460)),IF(B460=0,IF(ISBLANK(C460),E460,CONCATENATE(D460,", ",F460,"kg/m, ",G460,"mm surface perimeter")),IF(AND(ISBLANK(C460),ISTEXT(E460)),CONCATENATE(B460," - ",E460),IF(AND(ISBLANK(C460),ISBLANK(E460)),B460,CONCATENATE(B460," - ",D460,", ",F460,"kg/m, ",G460,"mm surface perimeter"))))&amp;IF(ISBLANK(H460),"",H460)))</f>
        <v>0</v>
      </c>
      <c r="J460" s="53"/>
      <c r="L460" s="4" t="str" cm="1">
        <f t="array" ref="L460">IF(COUNT(FIND({0,1,2,3,4,5,6,7,8,9},B460))&gt;0,COUNT(FIND({0,1,2,3,4,5,6,7,8,9},B460))&gt;0,"")</f>
        <v/>
      </c>
      <c r="M460" s="4" t="str" cm="1">
        <f t="array" aca="1" ref="M460" ca="1">IFERROR(_xlfn.IFS(R460="Count",RANDBETWEEN(1,COUNTIF($R$11:$R$653,"Count")),R460="Length",RANDBETWEEN(1,COUNTIF($R$11:$R$653,"Length"))),"")</f>
        <v/>
      </c>
      <c r="N460" s="4" t="str">
        <f ca="1">IFERROR(_xlfn.RANK.EQ(M460,$M$11:$M$653)+COUNTIF($M$11:M460,M460)-1,"")</f>
        <v/>
      </c>
      <c r="O460" s="86" t="str">
        <f>IF(A460='DATA SHEET'!$L$36,C460,IFERROR(IF(AND(ISTEXT(I460),ISBLANK(C460)),"No details",VLOOKUP(C460,DimFolder,2,FALSE)),""))</f>
        <v/>
      </c>
      <c r="P460" s="4" t="str">
        <f t="shared" si="125"/>
        <v/>
      </c>
      <c r="Q460" s="58" t="str">
        <f t="shared" si="124"/>
        <v/>
      </c>
      <c r="R460" s="4" t="e" cm="1">
        <f t="array" ref="R460">IF(INDEX(Table2[],_xlfn.XMATCH($A460,Table2[Steel Member],0),_xlfn.XMATCH(R$2,Table2[#Headers],0))=0,"",INDEX(Table2[],_xlfn.XMATCH($A460,Table2[Steel Member],0),_xlfn.XMATCH(R$2,Table2[#Headers],0)))</f>
        <v>#N/A</v>
      </c>
      <c r="S460" s="4" t="e" cm="1">
        <f t="array" ref="S460">IF(INDEX(Table2[],_xlfn.XMATCH($A460,Table2[Steel Member],0),_xlfn.XMATCH(S$2,Table2[#Headers],0))=0,"",INDEX(Table2[],_xlfn.XMATCH($A460,Table2[Steel Member],0),_xlfn.XMATCH(S$2,Table2[#Headers],0)))</f>
        <v>#N/A</v>
      </c>
      <c r="T460" s="4" t="str">
        <f t="shared" si="115"/>
        <v/>
      </c>
      <c r="U460" s="4" t="e">
        <f ca="1">VLOOKUP(N460,'COLOR CODE'!$B:$D,2,FALSE)</f>
        <v>#N/A</v>
      </c>
      <c r="V460" s="4" t="str">
        <f t="shared" si="116"/>
        <v/>
      </c>
      <c r="W460" s="4" t="e" cm="1">
        <f t="array" ref="W460">IF(INDEX(Table2[],_xlfn.XMATCH($A460,Table2[Steel Member],0),_xlfn.XMATCH(W$2,Table2[#Headers],0))=0,"",INDEX(Table2[],_xlfn.XMATCH($A460,Table2[Steel Member],0),_xlfn.XMATCH(W$2,Table2[#Headers],0)))</f>
        <v>#N/A</v>
      </c>
      <c r="X460" s="4" t="e">
        <f t="shared" si="114"/>
        <v>#N/A</v>
      </c>
      <c r="Y460" s="4" t="e" cm="1">
        <f t="array" ref="Y460">IF(INDEX(Table2[],_xlfn.XMATCH($A460,Table2[Steel Member],0),_xlfn.XMATCH(Y$2,Table2[#Headers],0))=0,"",INDEX(Table2[],_xlfn.XMATCH($A460,Table2[Steel Member],0),_xlfn.XMATCH(Y$2,Table2[#Headers],0)))</f>
        <v>#N/A</v>
      </c>
      <c r="Z460" s="4" t="e" cm="1">
        <f t="array" ref="Z460">IF(INDEX(Table2[],_xlfn.XMATCH($A460,Table2[Steel Member],0),_xlfn.XMATCH(Z$2,Table2[#Headers],0))=0,"",INDEX(Table2[],_xlfn.XMATCH($A460,Table2[Steel Member],0),_xlfn.XMATCH(Z$2,Table2[#Headers],0)))</f>
        <v>#N/A</v>
      </c>
      <c r="AA460" s="4" t="e" cm="1">
        <f t="array" ref="AA460">IF(INDEX(Table2[],_xlfn.XMATCH($A460,Table2[Steel Member],0),_xlfn.XMATCH(AA$2,Table2[#Headers],0))=0,"",INDEX(Table2[],_xlfn.XMATCH($A460,Table2[Steel Member],0),_xlfn.XMATCH(AA$2,Table2[#Headers],0)))</f>
        <v>#N/A</v>
      </c>
      <c r="AB460" s="4" t="e" cm="1">
        <f t="array" ref="AB460">IF(INDEX(Table2[],_xlfn.XMATCH($A460,Table2[Steel Member],0),_xlfn.XMATCH(AB$2,Table2[#Headers],0))=0,"",INDEX(Table2[],_xlfn.XMATCH($A460,Table2[Steel Member],0),_xlfn.XMATCH(AB$2,Table2[#Headers],0)))</f>
        <v>#N/A</v>
      </c>
      <c r="AC460" s="4" t="str" cm="1">
        <f t="array" ref="AC460">IFERROR(INDEX(Table8[],_xlfn.XMATCH($O460,Table8[Dimension Name Category],0),_xlfn.XMATCH(AC$2&amp;IF($L460," w/ tag"," w/o tag"),Table8[#Headers],0)),"")</f>
        <v/>
      </c>
      <c r="AD460" s="59" t="str">
        <f t="shared" si="117"/>
        <v/>
      </c>
      <c r="AE460" s="4" t="str">
        <f t="shared" si="118"/>
        <v/>
      </c>
      <c r="AF460" s="4" t="str">
        <f t="shared" si="119"/>
        <v/>
      </c>
      <c r="AG460" s="4" t="str" cm="1">
        <f t="array" ref="AG460">IFERROR(INDEX(Table8[],_xlfn.XMATCH($O460,Table8[Dimension Name Category],0),_xlfn.XMATCH(AG$2&amp;IF($L460," w/ tag"," w/o tag"),Table8[#Headers],0)),"")</f>
        <v/>
      </c>
      <c r="AH460" s="59" t="str">
        <f t="shared" si="120"/>
        <v/>
      </c>
      <c r="AI460" s="4"/>
      <c r="AJ460" s="4" t="str">
        <f t="shared" si="121"/>
        <v/>
      </c>
      <c r="AK460" s="4" t="str">
        <f t="shared" si="122"/>
        <v/>
      </c>
      <c r="AL460" s="4" t="e" cm="1">
        <f t="array" ref="AL460">IF(INDEX(Table2[],_xlfn.XMATCH($A460,Table2[Steel Member],0),_xlfn.XMATCH(AL$2,Table2[#Headers],0))=0,"",INDEX(Table2[],_xlfn.XMATCH($A460,Table2[Steel Member],0),_xlfn.XMATCH(AL$2,Table2[#Headers],0)))</f>
        <v>#N/A</v>
      </c>
      <c r="AM460" s="4"/>
      <c r="AN460" s="4" t="str">
        <f t="shared" si="123"/>
        <v/>
      </c>
      <c r="AO460" s="4"/>
      <c r="AP460" s="4" t="e" cm="1">
        <f t="array" ref="AP460">IF(INDEX(Table2[],_xlfn.XMATCH($A460,Table2[Steel Member],0),_xlfn.XMATCH(AP$2,Table2[#Headers],0))=0,"",INDEX(Table2[],_xlfn.XMATCH($A460,Table2[Steel Member],0),_xlfn.XMATCH(AP$2,Table2[#Headers],0)))</f>
        <v>#N/A</v>
      </c>
      <c r="AQ460" s="4"/>
      <c r="AR460" s="4"/>
      <c r="AS460" s="4"/>
      <c r="AT460" s="4"/>
    </row>
    <row r="461" spans="1:46" x14ac:dyDescent="0.25">
      <c r="A461" s="52"/>
      <c r="B461" s="52"/>
      <c r="C461" s="52"/>
      <c r="D461" s="52"/>
      <c r="E461" s="52"/>
      <c r="F461" s="64" cm="1">
        <f t="array" ref="F461">IF(COUNT(FIND(PurlinsxGirthsxBracings,$C461))&gt;0,0,ROUNDUP(IF(D461=0,0,VLOOKUP(D461,'DATA SHEET'!$B:$D,2,FALSE)),2))</f>
        <v>0</v>
      </c>
      <c r="G461" s="64" cm="1">
        <f t="array" ref="G461">IF(COUNT(FIND(PurlinsxGirthsxBracings,$C461))&gt;0,0,ROUNDUP(IF(D461=0,0,VLOOKUP(D461,'DATA SHEET'!$B:$D,3,FALSE)),2))</f>
        <v>0</v>
      </c>
      <c r="H461" s="53"/>
      <c r="I461" s="66" cm="1">
        <f t="array" ref="I461">IF(AND(ISBLANK(B461),ISBLANK(C461),ISBLANK(E461)),0,IF(COUNT(FIND(PurlinsxGirthsxBracings,$C461))&gt;0,IF(B461=0,CONCATENATE(E461," ",C461),CONCATENATE(B461," - ",E461," ",C461)),IF(B461=0,IF(ISBLANK(C461),E461,CONCATENATE(D461,", ",F461,"kg/m, ",G461,"mm surface perimeter")),IF(AND(ISBLANK(C461),ISTEXT(E461)),CONCATENATE(B461," - ",E461),IF(AND(ISBLANK(C461),ISBLANK(E461)),B461,CONCATENATE(B461," - ",D461,", ",F461,"kg/m, ",G461,"mm surface perimeter"))))&amp;IF(ISBLANK(H461),"",H461)))</f>
        <v>0</v>
      </c>
      <c r="J461" s="53"/>
      <c r="L461" s="4" t="str" cm="1">
        <f t="array" ref="L461">IF(COUNT(FIND({0,1,2,3,4,5,6,7,8,9},B461))&gt;0,COUNT(FIND({0,1,2,3,4,5,6,7,8,9},B461))&gt;0,"")</f>
        <v/>
      </c>
      <c r="M461" s="4" t="str" cm="1">
        <f t="array" aca="1" ref="M461" ca="1">IFERROR(_xlfn.IFS(R461="Count",RANDBETWEEN(1,COUNTIF($R$11:$R$653,"Count")),R461="Length",RANDBETWEEN(1,COUNTIF($R$11:$R$653,"Length"))),"")</f>
        <v/>
      </c>
      <c r="N461" s="4" t="str">
        <f ca="1">IFERROR(_xlfn.RANK.EQ(M461,$M$11:$M$653)+COUNTIF($M$11:M461,M461)-1,"")</f>
        <v/>
      </c>
      <c r="O461" s="86" t="str">
        <f>IF(A461='DATA SHEET'!$L$36,C461,IFERROR(IF(AND(ISTEXT(I461),ISBLANK(C461)),"No details",VLOOKUP(C461,DimFolder,2,FALSE)),""))</f>
        <v/>
      </c>
      <c r="P461" s="4" t="str">
        <f t="shared" si="125"/>
        <v/>
      </c>
      <c r="Q461" s="58" t="str">
        <f t="shared" si="124"/>
        <v/>
      </c>
      <c r="R461" s="4" t="e" cm="1">
        <f t="array" ref="R461">IF(INDEX(Table2[],_xlfn.XMATCH($A461,Table2[Steel Member],0),_xlfn.XMATCH(R$2,Table2[#Headers],0))=0,"",INDEX(Table2[],_xlfn.XMATCH($A461,Table2[Steel Member],0),_xlfn.XMATCH(R$2,Table2[#Headers],0)))</f>
        <v>#N/A</v>
      </c>
      <c r="S461" s="4" t="e" cm="1">
        <f t="array" ref="S461">IF(INDEX(Table2[],_xlfn.XMATCH($A461,Table2[Steel Member],0),_xlfn.XMATCH(S$2,Table2[#Headers],0))=0,"",INDEX(Table2[],_xlfn.XMATCH($A461,Table2[Steel Member],0),_xlfn.XMATCH(S$2,Table2[#Headers],0)))</f>
        <v>#N/A</v>
      </c>
      <c r="T461" s="4" t="str">
        <f t="shared" si="115"/>
        <v/>
      </c>
      <c r="U461" s="4" t="e">
        <f ca="1">VLOOKUP(N461,'COLOR CODE'!$B:$D,2,FALSE)</f>
        <v>#N/A</v>
      </c>
      <c r="V461" s="4" t="str">
        <f t="shared" si="116"/>
        <v/>
      </c>
      <c r="W461" s="4" t="e" cm="1">
        <f t="array" ref="W461">IF(INDEX(Table2[],_xlfn.XMATCH($A461,Table2[Steel Member],0),_xlfn.XMATCH(W$2,Table2[#Headers],0))=0,"",INDEX(Table2[],_xlfn.XMATCH($A461,Table2[Steel Member],0),_xlfn.XMATCH(W$2,Table2[#Headers],0)))</f>
        <v>#N/A</v>
      </c>
      <c r="X461" s="4" t="e">
        <f t="shared" si="114"/>
        <v>#N/A</v>
      </c>
      <c r="Y461" s="4" t="e" cm="1">
        <f t="array" ref="Y461">IF(INDEX(Table2[],_xlfn.XMATCH($A461,Table2[Steel Member],0),_xlfn.XMATCH(Y$2,Table2[#Headers],0))=0,"",INDEX(Table2[],_xlfn.XMATCH($A461,Table2[Steel Member],0),_xlfn.XMATCH(Y$2,Table2[#Headers],0)))</f>
        <v>#N/A</v>
      </c>
      <c r="Z461" s="4" t="e" cm="1">
        <f t="array" ref="Z461">IF(INDEX(Table2[],_xlfn.XMATCH($A461,Table2[Steel Member],0),_xlfn.XMATCH(Z$2,Table2[#Headers],0))=0,"",INDEX(Table2[],_xlfn.XMATCH($A461,Table2[Steel Member],0),_xlfn.XMATCH(Z$2,Table2[#Headers],0)))</f>
        <v>#N/A</v>
      </c>
      <c r="AA461" s="4" t="e" cm="1">
        <f t="array" ref="AA461">IF(INDEX(Table2[],_xlfn.XMATCH($A461,Table2[Steel Member],0),_xlfn.XMATCH(AA$2,Table2[#Headers],0))=0,"",INDEX(Table2[],_xlfn.XMATCH($A461,Table2[Steel Member],0),_xlfn.XMATCH(AA$2,Table2[#Headers],0)))</f>
        <v>#N/A</v>
      </c>
      <c r="AB461" s="4" t="e" cm="1">
        <f t="array" ref="AB461">IF(INDEX(Table2[],_xlfn.XMATCH($A461,Table2[Steel Member],0),_xlfn.XMATCH(AB$2,Table2[#Headers],0))=0,"",INDEX(Table2[],_xlfn.XMATCH($A461,Table2[Steel Member],0),_xlfn.XMATCH(AB$2,Table2[#Headers],0)))</f>
        <v>#N/A</v>
      </c>
      <c r="AC461" s="4" t="str" cm="1">
        <f t="array" ref="AC461">IFERROR(INDEX(Table8[],_xlfn.XMATCH($O461,Table8[Dimension Name Category],0),_xlfn.XMATCH(AC$2&amp;IF($L461," w/ tag"," w/o tag"),Table8[#Headers],0)),"")</f>
        <v/>
      </c>
      <c r="AD461" s="59" t="str">
        <f t="shared" si="117"/>
        <v/>
      </c>
      <c r="AE461" s="4" t="str">
        <f t="shared" si="118"/>
        <v/>
      </c>
      <c r="AF461" s="4" t="str">
        <f t="shared" si="119"/>
        <v/>
      </c>
      <c r="AG461" s="4" t="str" cm="1">
        <f t="array" ref="AG461">IFERROR(INDEX(Table8[],_xlfn.XMATCH($O461,Table8[Dimension Name Category],0),_xlfn.XMATCH(AG$2&amp;IF($L461," w/ tag"," w/o tag"),Table8[#Headers],0)),"")</f>
        <v/>
      </c>
      <c r="AH461" s="59" t="str">
        <f t="shared" si="120"/>
        <v/>
      </c>
      <c r="AI461" s="4"/>
      <c r="AJ461" s="4" t="str">
        <f t="shared" si="121"/>
        <v/>
      </c>
      <c r="AK461" s="4" t="str">
        <f t="shared" si="122"/>
        <v/>
      </c>
      <c r="AL461" s="4" t="e" cm="1">
        <f t="array" ref="AL461">IF(INDEX(Table2[],_xlfn.XMATCH($A461,Table2[Steel Member],0),_xlfn.XMATCH(AL$2,Table2[#Headers],0))=0,"",INDEX(Table2[],_xlfn.XMATCH($A461,Table2[Steel Member],0),_xlfn.XMATCH(AL$2,Table2[#Headers],0)))</f>
        <v>#N/A</v>
      </c>
      <c r="AM461" s="4"/>
      <c r="AN461" s="4" t="str">
        <f t="shared" si="123"/>
        <v/>
      </c>
      <c r="AO461" s="4"/>
      <c r="AP461" s="4" t="e" cm="1">
        <f t="array" ref="AP461">IF(INDEX(Table2[],_xlfn.XMATCH($A461,Table2[Steel Member],0),_xlfn.XMATCH(AP$2,Table2[#Headers],0))=0,"",INDEX(Table2[],_xlfn.XMATCH($A461,Table2[Steel Member],0),_xlfn.XMATCH(AP$2,Table2[#Headers],0)))</f>
        <v>#N/A</v>
      </c>
      <c r="AQ461" s="4"/>
      <c r="AR461" s="4"/>
      <c r="AS461" s="4"/>
      <c r="AT461" s="4"/>
    </row>
    <row r="462" spans="1:46" x14ac:dyDescent="0.25">
      <c r="A462" s="52"/>
      <c r="B462" s="52"/>
      <c r="C462" s="52"/>
      <c r="D462" s="52"/>
      <c r="E462" s="52"/>
      <c r="F462" s="64" cm="1">
        <f t="array" ref="F462">IF(COUNT(FIND(PurlinsxGirthsxBracings,$C462))&gt;0,0,ROUNDUP(IF(D462=0,0,VLOOKUP(D462,'DATA SHEET'!$B:$D,2,FALSE)),2))</f>
        <v>0</v>
      </c>
      <c r="G462" s="64" cm="1">
        <f t="array" ref="G462">IF(COUNT(FIND(PurlinsxGirthsxBracings,$C462))&gt;0,0,ROUNDUP(IF(D462=0,0,VLOOKUP(D462,'DATA SHEET'!$B:$D,3,FALSE)),2))</f>
        <v>0</v>
      </c>
      <c r="H462" s="53"/>
      <c r="I462" s="66" cm="1">
        <f t="array" ref="I462">IF(AND(ISBLANK(B462),ISBLANK(C462),ISBLANK(E462)),0,IF(COUNT(FIND(PurlinsxGirthsxBracings,$C462))&gt;0,IF(B462=0,CONCATENATE(E462," ",C462),CONCATENATE(B462," - ",E462," ",C462)),IF(B462=0,IF(ISBLANK(C462),E462,CONCATENATE(D462,", ",F462,"kg/m, ",G462,"mm surface perimeter")),IF(AND(ISBLANK(C462),ISTEXT(E462)),CONCATENATE(B462," - ",E462),IF(AND(ISBLANK(C462),ISBLANK(E462)),B462,CONCATENATE(B462," - ",D462,", ",F462,"kg/m, ",G462,"mm surface perimeter"))))&amp;IF(ISBLANK(H462),"",H462)))</f>
        <v>0</v>
      </c>
      <c r="J462" s="53"/>
      <c r="L462" s="4" t="str" cm="1">
        <f t="array" ref="L462">IF(COUNT(FIND({0,1,2,3,4,5,6,7,8,9},B462))&gt;0,COUNT(FIND({0,1,2,3,4,5,6,7,8,9},B462))&gt;0,"")</f>
        <v/>
      </c>
      <c r="M462" s="4" t="str" cm="1">
        <f t="array" aca="1" ref="M462" ca="1">IFERROR(_xlfn.IFS(R462="Count",RANDBETWEEN(1,COUNTIF($R$11:$R$653,"Count")),R462="Length",RANDBETWEEN(1,COUNTIF($R$11:$R$653,"Length"))),"")</f>
        <v/>
      </c>
      <c r="N462" s="4" t="str">
        <f ca="1">IFERROR(_xlfn.RANK.EQ(M462,$M$11:$M$653)+COUNTIF($M$11:M462,M462)-1,"")</f>
        <v/>
      </c>
      <c r="O462" s="86" t="str">
        <f>IF(A462='DATA SHEET'!$L$36,C462,IFERROR(IF(AND(ISTEXT(I462),ISBLANK(C462)),"No details",VLOOKUP(C462,DimFolder,2,FALSE)),""))</f>
        <v/>
      </c>
      <c r="P462" s="4" t="str">
        <f t="shared" si="125"/>
        <v/>
      </c>
      <c r="Q462" s="58" t="str">
        <f t="shared" si="124"/>
        <v/>
      </c>
      <c r="R462" s="4" t="e" cm="1">
        <f t="array" ref="R462">IF(INDEX(Table2[],_xlfn.XMATCH($A462,Table2[Steel Member],0),_xlfn.XMATCH(R$2,Table2[#Headers],0))=0,"",INDEX(Table2[],_xlfn.XMATCH($A462,Table2[Steel Member],0),_xlfn.XMATCH(R$2,Table2[#Headers],0)))</f>
        <v>#N/A</v>
      </c>
      <c r="S462" s="4" t="e" cm="1">
        <f t="array" ref="S462">IF(INDEX(Table2[],_xlfn.XMATCH($A462,Table2[Steel Member],0),_xlfn.XMATCH(S$2,Table2[#Headers],0))=0,"",INDEX(Table2[],_xlfn.XMATCH($A462,Table2[Steel Member],0),_xlfn.XMATCH(S$2,Table2[#Headers],0)))</f>
        <v>#N/A</v>
      </c>
      <c r="T462" s="4" t="str">
        <f t="shared" si="115"/>
        <v/>
      </c>
      <c r="U462" s="4" t="e">
        <f ca="1">VLOOKUP(N462,'COLOR CODE'!$B:$D,2,FALSE)</f>
        <v>#N/A</v>
      </c>
      <c r="V462" s="4" t="str">
        <f t="shared" si="116"/>
        <v/>
      </c>
      <c r="W462" s="4" t="e" cm="1">
        <f t="array" ref="W462">IF(INDEX(Table2[],_xlfn.XMATCH($A462,Table2[Steel Member],0),_xlfn.XMATCH(W$2,Table2[#Headers],0))=0,"",INDEX(Table2[],_xlfn.XMATCH($A462,Table2[Steel Member],0),_xlfn.XMATCH(W$2,Table2[#Headers],0)))</f>
        <v>#N/A</v>
      </c>
      <c r="X462" s="4" t="e">
        <f t="shared" si="114"/>
        <v>#N/A</v>
      </c>
      <c r="Y462" s="4" t="e" cm="1">
        <f t="array" ref="Y462">IF(INDEX(Table2[],_xlfn.XMATCH($A462,Table2[Steel Member],0),_xlfn.XMATCH(Y$2,Table2[#Headers],0))=0,"",INDEX(Table2[],_xlfn.XMATCH($A462,Table2[Steel Member],0),_xlfn.XMATCH(Y$2,Table2[#Headers],0)))</f>
        <v>#N/A</v>
      </c>
      <c r="Z462" s="4" t="e" cm="1">
        <f t="array" ref="Z462">IF(INDEX(Table2[],_xlfn.XMATCH($A462,Table2[Steel Member],0),_xlfn.XMATCH(Z$2,Table2[#Headers],0))=0,"",INDEX(Table2[],_xlfn.XMATCH($A462,Table2[Steel Member],0),_xlfn.XMATCH(Z$2,Table2[#Headers],0)))</f>
        <v>#N/A</v>
      </c>
      <c r="AA462" s="4" t="e" cm="1">
        <f t="array" ref="AA462">IF(INDEX(Table2[],_xlfn.XMATCH($A462,Table2[Steel Member],0),_xlfn.XMATCH(AA$2,Table2[#Headers],0))=0,"",INDEX(Table2[],_xlfn.XMATCH($A462,Table2[Steel Member],0),_xlfn.XMATCH(AA$2,Table2[#Headers],0)))</f>
        <v>#N/A</v>
      </c>
      <c r="AB462" s="4" t="e" cm="1">
        <f t="array" ref="AB462">IF(INDEX(Table2[],_xlfn.XMATCH($A462,Table2[Steel Member],0),_xlfn.XMATCH(AB$2,Table2[#Headers],0))=0,"",INDEX(Table2[],_xlfn.XMATCH($A462,Table2[Steel Member],0),_xlfn.XMATCH(AB$2,Table2[#Headers],0)))</f>
        <v>#N/A</v>
      </c>
      <c r="AC462" s="4" t="str" cm="1">
        <f t="array" ref="AC462">IFERROR(INDEX(Table8[],_xlfn.XMATCH($O462,Table8[Dimension Name Category],0),_xlfn.XMATCH(AC$2&amp;IF($L462," w/ tag"," w/o tag"),Table8[#Headers],0)),"")</f>
        <v/>
      </c>
      <c r="AD462" s="59" t="str">
        <f t="shared" si="117"/>
        <v/>
      </c>
      <c r="AE462" s="4" t="str">
        <f t="shared" si="118"/>
        <v/>
      </c>
      <c r="AF462" s="4" t="str">
        <f t="shared" si="119"/>
        <v/>
      </c>
      <c r="AG462" s="4" t="str" cm="1">
        <f t="array" ref="AG462">IFERROR(INDEX(Table8[],_xlfn.XMATCH($O462,Table8[Dimension Name Category],0),_xlfn.XMATCH(AG$2&amp;IF($L462," w/ tag"," w/o tag"),Table8[#Headers],0)),"")</f>
        <v/>
      </c>
      <c r="AH462" s="59" t="str">
        <f t="shared" si="120"/>
        <v/>
      </c>
      <c r="AI462" s="4"/>
      <c r="AJ462" s="4" t="str">
        <f t="shared" si="121"/>
        <v/>
      </c>
      <c r="AK462" s="4" t="str">
        <f t="shared" si="122"/>
        <v/>
      </c>
      <c r="AL462" s="4" t="e" cm="1">
        <f t="array" ref="AL462">IF(INDEX(Table2[],_xlfn.XMATCH($A462,Table2[Steel Member],0),_xlfn.XMATCH(AL$2,Table2[#Headers],0))=0,"",INDEX(Table2[],_xlfn.XMATCH($A462,Table2[Steel Member],0),_xlfn.XMATCH(AL$2,Table2[#Headers],0)))</f>
        <v>#N/A</v>
      </c>
      <c r="AM462" s="4"/>
      <c r="AN462" s="4" t="str">
        <f t="shared" si="123"/>
        <v/>
      </c>
      <c r="AO462" s="4"/>
      <c r="AP462" s="4" t="e" cm="1">
        <f t="array" ref="AP462">IF(INDEX(Table2[],_xlfn.XMATCH($A462,Table2[Steel Member],0),_xlfn.XMATCH(AP$2,Table2[#Headers],0))=0,"",INDEX(Table2[],_xlfn.XMATCH($A462,Table2[Steel Member],0),_xlfn.XMATCH(AP$2,Table2[#Headers],0)))</f>
        <v>#N/A</v>
      </c>
      <c r="AQ462" s="4"/>
      <c r="AR462" s="4"/>
      <c r="AS462" s="4"/>
      <c r="AT462" s="4"/>
    </row>
    <row r="463" spans="1:46" x14ac:dyDescent="0.25">
      <c r="A463" s="52"/>
      <c r="B463" s="52"/>
      <c r="C463" s="52"/>
      <c r="D463" s="52"/>
      <c r="E463" s="52"/>
      <c r="F463" s="64" cm="1">
        <f t="array" ref="F463">IF(COUNT(FIND(PurlinsxGirthsxBracings,$C463))&gt;0,0,ROUNDUP(IF(D463=0,0,VLOOKUP(D463,'DATA SHEET'!$B:$D,2,FALSE)),2))</f>
        <v>0</v>
      </c>
      <c r="G463" s="64" cm="1">
        <f t="array" ref="G463">IF(COUNT(FIND(PurlinsxGirthsxBracings,$C463))&gt;0,0,ROUNDUP(IF(D463=0,0,VLOOKUP(D463,'DATA SHEET'!$B:$D,3,FALSE)),2))</f>
        <v>0</v>
      </c>
      <c r="H463" s="53"/>
      <c r="I463" s="66" cm="1">
        <f t="array" ref="I463">IF(AND(ISBLANK(B463),ISBLANK(C463),ISBLANK(E463)),0,IF(COUNT(FIND(PurlinsxGirthsxBracings,$C463))&gt;0,IF(B463=0,CONCATENATE(E463," ",C463),CONCATENATE(B463," - ",E463," ",C463)),IF(B463=0,IF(ISBLANK(C463),E463,CONCATENATE(D463,", ",F463,"kg/m, ",G463,"mm surface perimeter")),IF(AND(ISBLANK(C463),ISTEXT(E463)),CONCATENATE(B463," - ",E463),IF(AND(ISBLANK(C463),ISBLANK(E463)),B463,CONCATENATE(B463," - ",D463,", ",F463,"kg/m, ",G463,"mm surface perimeter"))))&amp;IF(ISBLANK(H463),"",H463)))</f>
        <v>0</v>
      </c>
      <c r="J463" s="53"/>
      <c r="L463" s="4" t="str" cm="1">
        <f t="array" ref="L463">IF(COUNT(FIND({0,1,2,3,4,5,6,7,8,9},B463))&gt;0,COUNT(FIND({0,1,2,3,4,5,6,7,8,9},B463))&gt;0,"")</f>
        <v/>
      </c>
      <c r="M463" s="4" t="str" cm="1">
        <f t="array" aca="1" ref="M463" ca="1">IFERROR(_xlfn.IFS(R463="Count",RANDBETWEEN(1,COUNTIF($R$11:$R$653,"Count")),R463="Length",RANDBETWEEN(1,COUNTIF($R$11:$R$653,"Length"))),"")</f>
        <v/>
      </c>
      <c r="N463" s="4" t="str">
        <f ca="1">IFERROR(_xlfn.RANK.EQ(M463,$M$11:$M$653)+COUNTIF($M$11:M463,M463)-1,"")</f>
        <v/>
      </c>
      <c r="O463" s="86" t="str">
        <f>IF(A463='DATA SHEET'!$L$36,C463,IFERROR(IF(AND(ISTEXT(I463),ISBLANK(C463)),"No details",VLOOKUP(C463,DimFolder,2,FALSE)),""))</f>
        <v/>
      </c>
      <c r="P463" s="4" t="str">
        <f t="shared" si="125"/>
        <v/>
      </c>
      <c r="Q463" s="58" t="str">
        <f t="shared" si="124"/>
        <v/>
      </c>
      <c r="R463" s="4" t="e" cm="1">
        <f t="array" ref="R463">IF(INDEX(Table2[],_xlfn.XMATCH($A463,Table2[Steel Member],0),_xlfn.XMATCH(R$2,Table2[#Headers],0))=0,"",INDEX(Table2[],_xlfn.XMATCH($A463,Table2[Steel Member],0),_xlfn.XMATCH(R$2,Table2[#Headers],0)))</f>
        <v>#N/A</v>
      </c>
      <c r="S463" s="4" t="e" cm="1">
        <f t="array" ref="S463">IF(INDEX(Table2[],_xlfn.XMATCH($A463,Table2[Steel Member],0),_xlfn.XMATCH(S$2,Table2[#Headers],0))=0,"",INDEX(Table2[],_xlfn.XMATCH($A463,Table2[Steel Member],0),_xlfn.XMATCH(S$2,Table2[#Headers],0)))</f>
        <v>#N/A</v>
      </c>
      <c r="T463" s="4" t="str">
        <f t="shared" si="115"/>
        <v/>
      </c>
      <c r="U463" s="4" t="e">
        <f ca="1">VLOOKUP(N463,'COLOR CODE'!$B:$D,2,FALSE)</f>
        <v>#N/A</v>
      </c>
      <c r="V463" s="4" t="str">
        <f t="shared" si="116"/>
        <v/>
      </c>
      <c r="W463" s="4" t="e" cm="1">
        <f t="array" ref="W463">IF(INDEX(Table2[],_xlfn.XMATCH($A463,Table2[Steel Member],0),_xlfn.XMATCH(W$2,Table2[#Headers],0))=0,"",INDEX(Table2[],_xlfn.XMATCH($A463,Table2[Steel Member],0),_xlfn.XMATCH(W$2,Table2[#Headers],0)))</f>
        <v>#N/A</v>
      </c>
      <c r="X463" s="4" t="e">
        <f t="shared" ref="X463:X526" si="126">W463</f>
        <v>#N/A</v>
      </c>
      <c r="Y463" s="4" t="e" cm="1">
        <f t="array" ref="Y463">IF(INDEX(Table2[],_xlfn.XMATCH($A463,Table2[Steel Member],0),_xlfn.XMATCH(Y$2,Table2[#Headers],0))=0,"",INDEX(Table2[],_xlfn.XMATCH($A463,Table2[Steel Member],0),_xlfn.XMATCH(Y$2,Table2[#Headers],0)))</f>
        <v>#N/A</v>
      </c>
      <c r="Z463" s="4" t="e" cm="1">
        <f t="array" ref="Z463">IF(INDEX(Table2[],_xlfn.XMATCH($A463,Table2[Steel Member],0),_xlfn.XMATCH(Z$2,Table2[#Headers],0))=0,"",INDEX(Table2[],_xlfn.XMATCH($A463,Table2[Steel Member],0),_xlfn.XMATCH(Z$2,Table2[#Headers],0)))</f>
        <v>#N/A</v>
      </c>
      <c r="AA463" s="4" t="e" cm="1">
        <f t="array" ref="AA463">IF(INDEX(Table2[],_xlfn.XMATCH($A463,Table2[Steel Member],0),_xlfn.XMATCH(AA$2,Table2[#Headers],0))=0,"",INDEX(Table2[],_xlfn.XMATCH($A463,Table2[Steel Member],0),_xlfn.XMATCH(AA$2,Table2[#Headers],0)))</f>
        <v>#N/A</v>
      </c>
      <c r="AB463" s="4" t="e" cm="1">
        <f t="array" ref="AB463">IF(INDEX(Table2[],_xlfn.XMATCH($A463,Table2[Steel Member],0),_xlfn.XMATCH(AB$2,Table2[#Headers],0))=0,"",INDEX(Table2[],_xlfn.XMATCH($A463,Table2[Steel Member],0),_xlfn.XMATCH(AB$2,Table2[#Headers],0)))</f>
        <v>#N/A</v>
      </c>
      <c r="AC463" s="4" t="str" cm="1">
        <f t="array" ref="AC463">IFERROR(INDEX(Table8[],_xlfn.XMATCH($O463,Table8[Dimension Name Category],0),_xlfn.XMATCH(AC$2&amp;IF($L463," w/ tag"," w/o tag"),Table8[#Headers],0)),"")</f>
        <v/>
      </c>
      <c r="AD463" s="59" t="str">
        <f t="shared" si="117"/>
        <v/>
      </c>
      <c r="AE463" s="4" t="str">
        <f t="shared" si="118"/>
        <v/>
      </c>
      <c r="AF463" s="4" t="str">
        <f t="shared" si="119"/>
        <v/>
      </c>
      <c r="AG463" s="4" t="str" cm="1">
        <f t="array" ref="AG463">IFERROR(INDEX(Table8[],_xlfn.XMATCH($O463,Table8[Dimension Name Category],0),_xlfn.XMATCH(AG$2&amp;IF($L463," w/ tag"," w/o tag"),Table8[#Headers],0)),"")</f>
        <v/>
      </c>
      <c r="AH463" s="59" t="str">
        <f t="shared" si="120"/>
        <v/>
      </c>
      <c r="AI463" s="4"/>
      <c r="AJ463" s="4" t="str">
        <f t="shared" si="121"/>
        <v/>
      </c>
      <c r="AK463" s="4" t="str">
        <f t="shared" si="122"/>
        <v/>
      </c>
      <c r="AL463" s="4" t="e" cm="1">
        <f t="array" ref="AL463">IF(INDEX(Table2[],_xlfn.XMATCH($A463,Table2[Steel Member],0),_xlfn.XMATCH(AL$2,Table2[#Headers],0))=0,"",INDEX(Table2[],_xlfn.XMATCH($A463,Table2[Steel Member],0),_xlfn.XMATCH(AL$2,Table2[#Headers],0)))</f>
        <v>#N/A</v>
      </c>
      <c r="AM463" s="4"/>
      <c r="AN463" s="4" t="str">
        <f t="shared" si="123"/>
        <v/>
      </c>
      <c r="AO463" s="4"/>
      <c r="AP463" s="4" t="e" cm="1">
        <f t="array" ref="AP463">IF(INDEX(Table2[],_xlfn.XMATCH($A463,Table2[Steel Member],0),_xlfn.XMATCH(AP$2,Table2[#Headers],0))=0,"",INDEX(Table2[],_xlfn.XMATCH($A463,Table2[Steel Member],0),_xlfn.XMATCH(AP$2,Table2[#Headers],0)))</f>
        <v>#N/A</v>
      </c>
      <c r="AQ463" s="4"/>
      <c r="AR463" s="4"/>
      <c r="AS463" s="4"/>
      <c r="AT463" s="4"/>
    </row>
    <row r="464" spans="1:46" x14ac:dyDescent="0.25">
      <c r="A464" s="52"/>
      <c r="B464" s="52"/>
      <c r="C464" s="52"/>
      <c r="D464" s="52"/>
      <c r="E464" s="52"/>
      <c r="F464" s="64" cm="1">
        <f t="array" ref="F464">IF(COUNT(FIND(PurlinsxGirthsxBracings,$C464))&gt;0,0,ROUNDUP(IF(D464=0,0,VLOOKUP(D464,'DATA SHEET'!$B:$D,2,FALSE)),2))</f>
        <v>0</v>
      </c>
      <c r="G464" s="64" cm="1">
        <f t="array" ref="G464">IF(COUNT(FIND(PurlinsxGirthsxBracings,$C464))&gt;0,0,ROUNDUP(IF(D464=0,0,VLOOKUP(D464,'DATA SHEET'!$B:$D,3,FALSE)),2))</f>
        <v>0</v>
      </c>
      <c r="H464" s="53"/>
      <c r="I464" s="66" cm="1">
        <f t="array" ref="I464">IF(AND(ISBLANK(B464),ISBLANK(C464),ISBLANK(E464)),0,IF(COUNT(FIND(PurlinsxGirthsxBracings,$C464))&gt;0,IF(B464=0,CONCATENATE(E464," ",C464),CONCATENATE(B464," - ",E464," ",C464)),IF(B464=0,IF(ISBLANK(C464),E464,CONCATENATE(D464,", ",F464,"kg/m, ",G464,"mm surface perimeter")),IF(AND(ISBLANK(C464),ISTEXT(E464)),CONCATENATE(B464," - ",E464),IF(AND(ISBLANK(C464),ISBLANK(E464)),B464,CONCATENATE(B464," - ",D464,", ",F464,"kg/m, ",G464,"mm surface perimeter"))))&amp;IF(ISBLANK(H464),"",H464)))</f>
        <v>0</v>
      </c>
      <c r="J464" s="53"/>
      <c r="L464" s="4" t="str" cm="1">
        <f t="array" ref="L464">IF(COUNT(FIND({0,1,2,3,4,5,6,7,8,9},B464))&gt;0,COUNT(FIND({0,1,2,3,4,5,6,7,8,9},B464))&gt;0,"")</f>
        <v/>
      </c>
      <c r="M464" s="4" t="str" cm="1">
        <f t="array" aca="1" ref="M464" ca="1">IFERROR(_xlfn.IFS(R464="Count",RANDBETWEEN(1,COUNTIF($R$11:$R$653,"Count")),R464="Length",RANDBETWEEN(1,COUNTIF($R$11:$R$653,"Length"))),"")</f>
        <v/>
      </c>
      <c r="N464" s="4" t="str">
        <f ca="1">IFERROR(_xlfn.RANK.EQ(M464,$M$11:$M$653)+COUNTIF($M$11:M464,M464)-1,"")</f>
        <v/>
      </c>
      <c r="O464" s="86" t="str">
        <f>IF(A464='DATA SHEET'!$L$36,C464,IFERROR(IF(AND(ISTEXT(I464),ISBLANK(C464)),"No details",VLOOKUP(C464,DimFolder,2,FALSE)),""))</f>
        <v/>
      </c>
      <c r="P464" s="4" t="str">
        <f t="shared" si="125"/>
        <v/>
      </c>
      <c r="Q464" s="58" t="str">
        <f t="shared" si="124"/>
        <v/>
      </c>
      <c r="R464" s="4" t="e" cm="1">
        <f t="array" ref="R464">IF(INDEX(Table2[],_xlfn.XMATCH($A464,Table2[Steel Member],0),_xlfn.XMATCH(R$2,Table2[#Headers],0))=0,"",INDEX(Table2[],_xlfn.XMATCH($A464,Table2[Steel Member],0),_xlfn.XMATCH(R$2,Table2[#Headers],0)))</f>
        <v>#N/A</v>
      </c>
      <c r="S464" s="4" t="e" cm="1">
        <f t="array" ref="S464">IF(INDEX(Table2[],_xlfn.XMATCH($A464,Table2[Steel Member],0),_xlfn.XMATCH(S$2,Table2[#Headers],0))=0,"",INDEX(Table2[],_xlfn.XMATCH($A464,Table2[Steel Member],0),_xlfn.XMATCH(S$2,Table2[#Headers],0)))</f>
        <v>#N/A</v>
      </c>
      <c r="T464" s="4" t="str">
        <f t="shared" si="115"/>
        <v/>
      </c>
      <c r="U464" s="4" t="e">
        <f ca="1">VLOOKUP(N464,'COLOR CODE'!$B:$D,2,FALSE)</f>
        <v>#N/A</v>
      </c>
      <c r="V464" s="4" t="str">
        <f t="shared" si="116"/>
        <v/>
      </c>
      <c r="W464" s="4" t="e" cm="1">
        <f t="array" ref="W464">IF(INDEX(Table2[],_xlfn.XMATCH($A464,Table2[Steel Member],0),_xlfn.XMATCH(W$2,Table2[#Headers],0))=0,"",INDEX(Table2[],_xlfn.XMATCH($A464,Table2[Steel Member],0),_xlfn.XMATCH(W$2,Table2[#Headers],0)))</f>
        <v>#N/A</v>
      </c>
      <c r="X464" s="4" t="e">
        <f t="shared" si="126"/>
        <v>#N/A</v>
      </c>
      <c r="Y464" s="4" t="e" cm="1">
        <f t="array" ref="Y464">IF(INDEX(Table2[],_xlfn.XMATCH($A464,Table2[Steel Member],0),_xlfn.XMATCH(Y$2,Table2[#Headers],0))=0,"",INDEX(Table2[],_xlfn.XMATCH($A464,Table2[Steel Member],0),_xlfn.XMATCH(Y$2,Table2[#Headers],0)))</f>
        <v>#N/A</v>
      </c>
      <c r="Z464" s="4" t="e" cm="1">
        <f t="array" ref="Z464">IF(INDEX(Table2[],_xlfn.XMATCH($A464,Table2[Steel Member],0),_xlfn.XMATCH(Z$2,Table2[#Headers],0))=0,"",INDEX(Table2[],_xlfn.XMATCH($A464,Table2[Steel Member],0),_xlfn.XMATCH(Z$2,Table2[#Headers],0)))</f>
        <v>#N/A</v>
      </c>
      <c r="AA464" s="4" t="e" cm="1">
        <f t="array" ref="AA464">IF(INDEX(Table2[],_xlfn.XMATCH($A464,Table2[Steel Member],0),_xlfn.XMATCH(AA$2,Table2[#Headers],0))=0,"",INDEX(Table2[],_xlfn.XMATCH($A464,Table2[Steel Member],0),_xlfn.XMATCH(AA$2,Table2[#Headers],0)))</f>
        <v>#N/A</v>
      </c>
      <c r="AB464" s="4" t="e" cm="1">
        <f t="array" ref="AB464">IF(INDEX(Table2[],_xlfn.XMATCH($A464,Table2[Steel Member],0),_xlfn.XMATCH(AB$2,Table2[#Headers],0))=0,"",INDEX(Table2[],_xlfn.XMATCH($A464,Table2[Steel Member],0),_xlfn.XMATCH(AB$2,Table2[#Headers],0)))</f>
        <v>#N/A</v>
      </c>
      <c r="AC464" s="4" t="str" cm="1">
        <f t="array" ref="AC464">IFERROR(INDEX(Table8[],_xlfn.XMATCH($O464,Table8[Dimension Name Category],0),_xlfn.XMATCH(AC$2&amp;IF($L464," w/ tag"," w/o tag"),Table8[#Headers],0)),"")</f>
        <v/>
      </c>
      <c r="AD464" s="59" t="str">
        <f t="shared" si="117"/>
        <v/>
      </c>
      <c r="AE464" s="4" t="str">
        <f t="shared" si="118"/>
        <v/>
      </c>
      <c r="AF464" s="4" t="str">
        <f t="shared" si="119"/>
        <v/>
      </c>
      <c r="AG464" s="4" t="str" cm="1">
        <f t="array" ref="AG464">IFERROR(INDEX(Table8[],_xlfn.XMATCH($O464,Table8[Dimension Name Category],0),_xlfn.XMATCH(AG$2&amp;IF($L464," w/ tag"," w/o tag"),Table8[#Headers],0)),"")</f>
        <v/>
      </c>
      <c r="AH464" s="59" t="str">
        <f t="shared" si="120"/>
        <v/>
      </c>
      <c r="AI464" s="4"/>
      <c r="AJ464" s="4" t="str">
        <f t="shared" si="121"/>
        <v/>
      </c>
      <c r="AK464" s="4" t="str">
        <f t="shared" si="122"/>
        <v/>
      </c>
      <c r="AL464" s="4" t="e" cm="1">
        <f t="array" ref="AL464">IF(INDEX(Table2[],_xlfn.XMATCH($A464,Table2[Steel Member],0),_xlfn.XMATCH(AL$2,Table2[#Headers],0))=0,"",INDEX(Table2[],_xlfn.XMATCH($A464,Table2[Steel Member],0),_xlfn.XMATCH(AL$2,Table2[#Headers],0)))</f>
        <v>#N/A</v>
      </c>
      <c r="AM464" s="4"/>
      <c r="AN464" s="4" t="str">
        <f t="shared" si="123"/>
        <v/>
      </c>
      <c r="AO464" s="4"/>
      <c r="AP464" s="4" t="e" cm="1">
        <f t="array" ref="AP464">IF(INDEX(Table2[],_xlfn.XMATCH($A464,Table2[Steel Member],0),_xlfn.XMATCH(AP$2,Table2[#Headers],0))=0,"",INDEX(Table2[],_xlfn.XMATCH($A464,Table2[Steel Member],0),_xlfn.XMATCH(AP$2,Table2[#Headers],0)))</f>
        <v>#N/A</v>
      </c>
      <c r="AQ464" s="4"/>
      <c r="AR464" s="4"/>
      <c r="AS464" s="4"/>
      <c r="AT464" s="4"/>
    </row>
    <row r="465" spans="1:46" x14ac:dyDescent="0.25">
      <c r="A465" s="52"/>
      <c r="B465" s="52"/>
      <c r="C465" s="52"/>
      <c r="D465" s="52"/>
      <c r="E465" s="52"/>
      <c r="F465" s="64" cm="1">
        <f t="array" ref="F465">IF(COUNT(FIND(PurlinsxGirthsxBracings,$C465))&gt;0,0,ROUNDUP(IF(D465=0,0,VLOOKUP(D465,'DATA SHEET'!$B:$D,2,FALSE)),2))</f>
        <v>0</v>
      </c>
      <c r="G465" s="64" cm="1">
        <f t="array" ref="G465">IF(COUNT(FIND(PurlinsxGirthsxBracings,$C465))&gt;0,0,ROUNDUP(IF(D465=0,0,VLOOKUP(D465,'DATA SHEET'!$B:$D,3,FALSE)),2))</f>
        <v>0</v>
      </c>
      <c r="H465" s="53"/>
      <c r="I465" s="66" cm="1">
        <f t="array" ref="I465">IF(AND(ISBLANK(B465),ISBLANK(C465),ISBLANK(E465)),0,IF(COUNT(FIND(PurlinsxGirthsxBracings,$C465))&gt;0,IF(B465=0,CONCATENATE(E465," ",C465),CONCATENATE(B465," - ",E465," ",C465)),IF(B465=0,IF(ISBLANK(C465),E465,CONCATENATE(D465,", ",F465,"kg/m, ",G465,"mm surface perimeter")),IF(AND(ISBLANK(C465),ISTEXT(E465)),CONCATENATE(B465," - ",E465),IF(AND(ISBLANK(C465),ISBLANK(E465)),B465,CONCATENATE(B465," - ",D465,", ",F465,"kg/m, ",G465,"mm surface perimeter"))))&amp;IF(ISBLANK(H465),"",H465)))</f>
        <v>0</v>
      </c>
      <c r="J465" s="53"/>
      <c r="L465" s="4" t="str" cm="1">
        <f t="array" ref="L465">IF(COUNT(FIND({0,1,2,3,4,5,6,7,8,9},B465))&gt;0,COUNT(FIND({0,1,2,3,4,5,6,7,8,9},B465))&gt;0,"")</f>
        <v/>
      </c>
      <c r="M465" s="4" t="str" cm="1">
        <f t="array" aca="1" ref="M465" ca="1">IFERROR(_xlfn.IFS(R465="Count",RANDBETWEEN(1,COUNTIF($R$11:$R$653,"Count")),R465="Length",RANDBETWEEN(1,COUNTIF($R$11:$R$653,"Length"))),"")</f>
        <v/>
      </c>
      <c r="N465" s="4" t="str">
        <f ca="1">IFERROR(_xlfn.RANK.EQ(M465,$M$11:$M$653)+COUNTIF($M$11:M465,M465)-1,"")</f>
        <v/>
      </c>
      <c r="O465" s="86" t="str">
        <f>IF(A465='DATA SHEET'!$L$36,C465,IFERROR(IF(AND(ISTEXT(I465),ISBLANK(C465)),"No details",VLOOKUP(C465,DimFolder,2,FALSE)),""))</f>
        <v/>
      </c>
      <c r="P465" s="4" t="str">
        <f t="shared" si="125"/>
        <v/>
      </c>
      <c r="Q465" s="58" t="str">
        <f t="shared" si="124"/>
        <v/>
      </c>
      <c r="R465" s="4" t="e" cm="1">
        <f t="array" ref="R465">IF(INDEX(Table2[],_xlfn.XMATCH($A465,Table2[Steel Member],0),_xlfn.XMATCH(R$2,Table2[#Headers],0))=0,"",INDEX(Table2[],_xlfn.XMATCH($A465,Table2[Steel Member],0),_xlfn.XMATCH(R$2,Table2[#Headers],0)))</f>
        <v>#N/A</v>
      </c>
      <c r="S465" s="4" t="e" cm="1">
        <f t="array" ref="S465">IF(INDEX(Table2[],_xlfn.XMATCH($A465,Table2[Steel Member],0),_xlfn.XMATCH(S$2,Table2[#Headers],0))=0,"",INDEX(Table2[],_xlfn.XMATCH($A465,Table2[Steel Member],0),_xlfn.XMATCH(S$2,Table2[#Headers],0)))</f>
        <v>#N/A</v>
      </c>
      <c r="T465" s="4" t="str">
        <f t="shared" si="115"/>
        <v/>
      </c>
      <c r="U465" s="4" t="e">
        <f ca="1">VLOOKUP(N465,'COLOR CODE'!$B:$D,2,FALSE)</f>
        <v>#N/A</v>
      </c>
      <c r="V465" s="4" t="str">
        <f t="shared" si="116"/>
        <v/>
      </c>
      <c r="W465" s="4" t="e" cm="1">
        <f t="array" ref="W465">IF(INDEX(Table2[],_xlfn.XMATCH($A465,Table2[Steel Member],0),_xlfn.XMATCH(W$2,Table2[#Headers],0))=0,"",INDEX(Table2[],_xlfn.XMATCH($A465,Table2[Steel Member],0),_xlfn.XMATCH(W$2,Table2[#Headers],0)))</f>
        <v>#N/A</v>
      </c>
      <c r="X465" s="4" t="e">
        <f t="shared" si="126"/>
        <v>#N/A</v>
      </c>
      <c r="Y465" s="4" t="e" cm="1">
        <f t="array" ref="Y465">IF(INDEX(Table2[],_xlfn.XMATCH($A465,Table2[Steel Member],0),_xlfn.XMATCH(Y$2,Table2[#Headers],0))=0,"",INDEX(Table2[],_xlfn.XMATCH($A465,Table2[Steel Member],0),_xlfn.XMATCH(Y$2,Table2[#Headers],0)))</f>
        <v>#N/A</v>
      </c>
      <c r="Z465" s="4" t="e" cm="1">
        <f t="array" ref="Z465">IF(INDEX(Table2[],_xlfn.XMATCH($A465,Table2[Steel Member],0),_xlfn.XMATCH(Z$2,Table2[#Headers],0))=0,"",INDEX(Table2[],_xlfn.XMATCH($A465,Table2[Steel Member],0),_xlfn.XMATCH(Z$2,Table2[#Headers],0)))</f>
        <v>#N/A</v>
      </c>
      <c r="AA465" s="4" t="e" cm="1">
        <f t="array" ref="AA465">IF(INDEX(Table2[],_xlfn.XMATCH($A465,Table2[Steel Member],0),_xlfn.XMATCH(AA$2,Table2[#Headers],0))=0,"",INDEX(Table2[],_xlfn.XMATCH($A465,Table2[Steel Member],0),_xlfn.XMATCH(AA$2,Table2[#Headers],0)))</f>
        <v>#N/A</v>
      </c>
      <c r="AB465" s="4" t="e" cm="1">
        <f t="array" ref="AB465">IF(INDEX(Table2[],_xlfn.XMATCH($A465,Table2[Steel Member],0),_xlfn.XMATCH(AB$2,Table2[#Headers],0))=0,"",INDEX(Table2[],_xlfn.XMATCH($A465,Table2[Steel Member],0),_xlfn.XMATCH(AB$2,Table2[#Headers],0)))</f>
        <v>#N/A</v>
      </c>
      <c r="AC465" s="4" t="str" cm="1">
        <f t="array" ref="AC465">IFERROR(INDEX(Table8[],_xlfn.XMATCH($O465,Table8[Dimension Name Category],0),_xlfn.XMATCH(AC$2&amp;IF($L465," w/ tag"," w/o tag"),Table8[#Headers],0)),"")</f>
        <v/>
      </c>
      <c r="AD465" s="59" t="str">
        <f t="shared" si="117"/>
        <v/>
      </c>
      <c r="AE465" s="4" t="str">
        <f t="shared" si="118"/>
        <v/>
      </c>
      <c r="AF465" s="4" t="str">
        <f t="shared" si="119"/>
        <v/>
      </c>
      <c r="AG465" s="4" t="str" cm="1">
        <f t="array" ref="AG465">IFERROR(INDEX(Table8[],_xlfn.XMATCH($O465,Table8[Dimension Name Category],0),_xlfn.XMATCH(AG$2&amp;IF($L465," w/ tag"," w/o tag"),Table8[#Headers],0)),"")</f>
        <v/>
      </c>
      <c r="AH465" s="59" t="str">
        <f t="shared" si="120"/>
        <v/>
      </c>
      <c r="AI465" s="4"/>
      <c r="AJ465" s="4" t="str">
        <f t="shared" si="121"/>
        <v/>
      </c>
      <c r="AK465" s="4" t="str">
        <f t="shared" si="122"/>
        <v/>
      </c>
      <c r="AL465" s="4" t="e" cm="1">
        <f t="array" ref="AL465">IF(INDEX(Table2[],_xlfn.XMATCH($A465,Table2[Steel Member],0),_xlfn.XMATCH(AL$2,Table2[#Headers],0))=0,"",INDEX(Table2[],_xlfn.XMATCH($A465,Table2[Steel Member],0),_xlfn.XMATCH(AL$2,Table2[#Headers],0)))</f>
        <v>#N/A</v>
      </c>
      <c r="AM465" s="4"/>
      <c r="AN465" s="4" t="str">
        <f t="shared" si="123"/>
        <v/>
      </c>
      <c r="AO465" s="4"/>
      <c r="AP465" s="4" t="e" cm="1">
        <f t="array" ref="AP465">IF(INDEX(Table2[],_xlfn.XMATCH($A465,Table2[Steel Member],0),_xlfn.XMATCH(AP$2,Table2[#Headers],0))=0,"",INDEX(Table2[],_xlfn.XMATCH($A465,Table2[Steel Member],0),_xlfn.XMATCH(AP$2,Table2[#Headers],0)))</f>
        <v>#N/A</v>
      </c>
      <c r="AQ465" s="4"/>
      <c r="AR465" s="4"/>
      <c r="AS465" s="4"/>
      <c r="AT465" s="4"/>
    </row>
    <row r="466" spans="1:46" x14ac:dyDescent="0.25">
      <c r="A466" s="52"/>
      <c r="B466" s="52"/>
      <c r="C466" s="52"/>
      <c r="D466" s="52"/>
      <c r="E466" s="52"/>
      <c r="F466" s="64" cm="1">
        <f t="array" ref="F466">IF(COUNT(FIND(PurlinsxGirthsxBracings,$C466))&gt;0,0,ROUNDUP(IF(D466=0,0,VLOOKUP(D466,'DATA SHEET'!$B:$D,2,FALSE)),2))</f>
        <v>0</v>
      </c>
      <c r="G466" s="64" cm="1">
        <f t="array" ref="G466">IF(COUNT(FIND(PurlinsxGirthsxBracings,$C466))&gt;0,0,ROUNDUP(IF(D466=0,0,VLOOKUP(D466,'DATA SHEET'!$B:$D,3,FALSE)),2))</f>
        <v>0</v>
      </c>
      <c r="H466" s="53"/>
      <c r="I466" s="66" cm="1">
        <f t="array" ref="I466">IF(AND(ISBLANK(B466),ISBLANK(C466),ISBLANK(E466)),0,IF(COUNT(FIND(PurlinsxGirthsxBracings,$C466))&gt;0,IF(B466=0,CONCATENATE(E466," ",C466),CONCATENATE(B466," - ",E466," ",C466)),IF(B466=0,IF(ISBLANK(C466),E466,CONCATENATE(D466,", ",F466,"kg/m, ",G466,"mm surface perimeter")),IF(AND(ISBLANK(C466),ISTEXT(E466)),CONCATENATE(B466," - ",E466),IF(AND(ISBLANK(C466),ISBLANK(E466)),B466,CONCATENATE(B466," - ",D466,", ",F466,"kg/m, ",G466,"mm surface perimeter"))))&amp;IF(ISBLANK(H466),"",H466)))</f>
        <v>0</v>
      </c>
      <c r="J466" s="53"/>
      <c r="L466" s="4" t="str" cm="1">
        <f t="array" ref="L466">IF(COUNT(FIND({0,1,2,3,4,5,6,7,8,9},B466))&gt;0,COUNT(FIND({0,1,2,3,4,5,6,7,8,9},B466))&gt;0,"")</f>
        <v/>
      </c>
      <c r="M466" s="4" t="str" cm="1">
        <f t="array" aca="1" ref="M466" ca="1">IFERROR(_xlfn.IFS(R466="Count",RANDBETWEEN(1,COUNTIF($R$11:$R$653,"Count")),R466="Length",RANDBETWEEN(1,COUNTIF($R$11:$R$653,"Length"))),"")</f>
        <v/>
      </c>
      <c r="N466" s="4" t="str">
        <f ca="1">IFERROR(_xlfn.RANK.EQ(M466,$M$11:$M$653)+COUNTIF($M$11:M466,M466)-1,"")</f>
        <v/>
      </c>
      <c r="O466" s="86" t="str">
        <f>IF(A466='DATA SHEET'!$L$36,C466,IFERROR(IF(AND(ISTEXT(I466),ISBLANK(C466)),"No details",VLOOKUP(C466,DimFolder,2,FALSE)),""))</f>
        <v/>
      </c>
      <c r="P466" s="4" t="str">
        <f t="shared" si="125"/>
        <v/>
      </c>
      <c r="Q466" s="58" t="str">
        <f t="shared" si="124"/>
        <v/>
      </c>
      <c r="R466" s="4" t="e" cm="1">
        <f t="array" ref="R466">IF(INDEX(Table2[],_xlfn.XMATCH($A466,Table2[Steel Member],0),_xlfn.XMATCH(R$2,Table2[#Headers],0))=0,"",INDEX(Table2[],_xlfn.XMATCH($A466,Table2[Steel Member],0),_xlfn.XMATCH(R$2,Table2[#Headers],0)))</f>
        <v>#N/A</v>
      </c>
      <c r="S466" s="4" t="e" cm="1">
        <f t="array" ref="S466">IF(INDEX(Table2[],_xlfn.XMATCH($A466,Table2[Steel Member],0),_xlfn.XMATCH(S$2,Table2[#Headers],0))=0,"",INDEX(Table2[],_xlfn.XMATCH($A466,Table2[Steel Member],0),_xlfn.XMATCH(S$2,Table2[#Headers],0)))</f>
        <v>#N/A</v>
      </c>
      <c r="T466" s="4" t="str">
        <f t="shared" si="115"/>
        <v/>
      </c>
      <c r="U466" s="4" t="e">
        <f ca="1">VLOOKUP(N466,'COLOR CODE'!$B:$D,2,FALSE)</f>
        <v>#N/A</v>
      </c>
      <c r="V466" s="4" t="str">
        <f t="shared" si="116"/>
        <v/>
      </c>
      <c r="W466" s="4" t="e" cm="1">
        <f t="array" ref="W466">IF(INDEX(Table2[],_xlfn.XMATCH($A466,Table2[Steel Member],0),_xlfn.XMATCH(W$2,Table2[#Headers],0))=0,"",INDEX(Table2[],_xlfn.XMATCH($A466,Table2[Steel Member],0),_xlfn.XMATCH(W$2,Table2[#Headers],0)))</f>
        <v>#N/A</v>
      </c>
      <c r="X466" s="4" t="e">
        <f t="shared" si="126"/>
        <v>#N/A</v>
      </c>
      <c r="Y466" s="4" t="e" cm="1">
        <f t="array" ref="Y466">IF(INDEX(Table2[],_xlfn.XMATCH($A466,Table2[Steel Member],0),_xlfn.XMATCH(Y$2,Table2[#Headers],0))=0,"",INDEX(Table2[],_xlfn.XMATCH($A466,Table2[Steel Member],0),_xlfn.XMATCH(Y$2,Table2[#Headers],0)))</f>
        <v>#N/A</v>
      </c>
      <c r="Z466" s="4" t="e" cm="1">
        <f t="array" ref="Z466">IF(INDEX(Table2[],_xlfn.XMATCH($A466,Table2[Steel Member],0),_xlfn.XMATCH(Z$2,Table2[#Headers],0))=0,"",INDEX(Table2[],_xlfn.XMATCH($A466,Table2[Steel Member],0),_xlfn.XMATCH(Z$2,Table2[#Headers],0)))</f>
        <v>#N/A</v>
      </c>
      <c r="AA466" s="4" t="e" cm="1">
        <f t="array" ref="AA466">IF(INDEX(Table2[],_xlfn.XMATCH($A466,Table2[Steel Member],0),_xlfn.XMATCH(AA$2,Table2[#Headers],0))=0,"",INDEX(Table2[],_xlfn.XMATCH($A466,Table2[Steel Member],0),_xlfn.XMATCH(AA$2,Table2[#Headers],0)))</f>
        <v>#N/A</v>
      </c>
      <c r="AB466" s="4" t="e" cm="1">
        <f t="array" ref="AB466">IF(INDEX(Table2[],_xlfn.XMATCH($A466,Table2[Steel Member],0),_xlfn.XMATCH(AB$2,Table2[#Headers],0))=0,"",INDEX(Table2[],_xlfn.XMATCH($A466,Table2[Steel Member],0),_xlfn.XMATCH(AB$2,Table2[#Headers],0)))</f>
        <v>#N/A</v>
      </c>
      <c r="AC466" s="4" t="str" cm="1">
        <f t="array" ref="AC466">IFERROR(INDEX(Table8[],_xlfn.XMATCH($O466,Table8[Dimension Name Category],0),_xlfn.XMATCH(AC$2&amp;IF($L466," w/ tag"," w/o tag"),Table8[#Headers],0)),"")</f>
        <v/>
      </c>
      <c r="AD466" s="59" t="str">
        <f t="shared" si="117"/>
        <v/>
      </c>
      <c r="AE466" s="4" t="str">
        <f t="shared" si="118"/>
        <v/>
      </c>
      <c r="AF466" s="4" t="str">
        <f t="shared" si="119"/>
        <v/>
      </c>
      <c r="AG466" s="4" t="str" cm="1">
        <f t="array" ref="AG466">IFERROR(INDEX(Table8[],_xlfn.XMATCH($O466,Table8[Dimension Name Category],0),_xlfn.XMATCH(AG$2&amp;IF($L466," w/ tag"," w/o tag"),Table8[#Headers],0)),"")</f>
        <v/>
      </c>
      <c r="AH466" s="59" t="str">
        <f t="shared" si="120"/>
        <v/>
      </c>
      <c r="AI466" s="4"/>
      <c r="AJ466" s="4" t="str">
        <f t="shared" si="121"/>
        <v/>
      </c>
      <c r="AK466" s="4" t="str">
        <f t="shared" si="122"/>
        <v/>
      </c>
      <c r="AL466" s="4" t="e" cm="1">
        <f t="array" ref="AL466">IF(INDEX(Table2[],_xlfn.XMATCH($A466,Table2[Steel Member],0),_xlfn.XMATCH(AL$2,Table2[#Headers],0))=0,"",INDEX(Table2[],_xlfn.XMATCH($A466,Table2[Steel Member],0),_xlfn.XMATCH(AL$2,Table2[#Headers],0)))</f>
        <v>#N/A</v>
      </c>
      <c r="AM466" s="4"/>
      <c r="AN466" s="4" t="str">
        <f t="shared" si="123"/>
        <v/>
      </c>
      <c r="AO466" s="4"/>
      <c r="AP466" s="4" t="e" cm="1">
        <f t="array" ref="AP466">IF(INDEX(Table2[],_xlfn.XMATCH($A466,Table2[Steel Member],0),_xlfn.XMATCH(AP$2,Table2[#Headers],0))=0,"",INDEX(Table2[],_xlfn.XMATCH($A466,Table2[Steel Member],0),_xlfn.XMATCH(AP$2,Table2[#Headers],0)))</f>
        <v>#N/A</v>
      </c>
      <c r="AQ466" s="4"/>
      <c r="AR466" s="4"/>
      <c r="AS466" s="4"/>
      <c r="AT466" s="4"/>
    </row>
    <row r="467" spans="1:46" x14ac:dyDescent="0.25">
      <c r="A467" s="52"/>
      <c r="B467" s="52"/>
      <c r="C467" s="52"/>
      <c r="D467" s="52"/>
      <c r="E467" s="52"/>
      <c r="F467" s="64" cm="1">
        <f t="array" ref="F467">IF(COUNT(FIND(PurlinsxGirthsxBracings,$C467))&gt;0,0,ROUNDUP(IF(D467=0,0,VLOOKUP(D467,'DATA SHEET'!$B:$D,2,FALSE)),2))</f>
        <v>0</v>
      </c>
      <c r="G467" s="64" cm="1">
        <f t="array" ref="G467">IF(COUNT(FIND(PurlinsxGirthsxBracings,$C467))&gt;0,0,ROUNDUP(IF(D467=0,0,VLOOKUP(D467,'DATA SHEET'!$B:$D,3,FALSE)),2))</f>
        <v>0</v>
      </c>
      <c r="H467" s="53"/>
      <c r="I467" s="66" cm="1">
        <f t="array" ref="I467">IF(AND(ISBLANK(B467),ISBLANK(C467),ISBLANK(E467)),0,IF(COUNT(FIND(PurlinsxGirthsxBracings,$C467))&gt;0,IF(B467=0,CONCATENATE(E467," ",C467),CONCATENATE(B467," - ",E467," ",C467)),IF(B467=0,IF(ISBLANK(C467),E467,CONCATENATE(D467,", ",F467,"kg/m, ",G467,"mm surface perimeter")),IF(AND(ISBLANK(C467),ISTEXT(E467)),CONCATENATE(B467," - ",E467),IF(AND(ISBLANK(C467),ISBLANK(E467)),B467,CONCATENATE(B467," - ",D467,", ",F467,"kg/m, ",G467,"mm surface perimeter"))))&amp;IF(ISBLANK(H467),"",H467)))</f>
        <v>0</v>
      </c>
      <c r="J467" s="53"/>
      <c r="L467" s="4" t="str" cm="1">
        <f t="array" ref="L467">IF(COUNT(FIND({0,1,2,3,4,5,6,7,8,9},B467))&gt;0,COUNT(FIND({0,1,2,3,4,5,6,7,8,9},B467))&gt;0,"")</f>
        <v/>
      </c>
      <c r="M467" s="4" t="str" cm="1">
        <f t="array" aca="1" ref="M467" ca="1">IFERROR(_xlfn.IFS(R467="Count",RANDBETWEEN(1,COUNTIF($R$11:$R$653,"Count")),R467="Length",RANDBETWEEN(1,COUNTIF($R$11:$R$653,"Length"))),"")</f>
        <v/>
      </c>
      <c r="N467" s="4" t="str">
        <f ca="1">IFERROR(_xlfn.RANK.EQ(M467,$M$11:$M$653)+COUNTIF($M$11:M467,M467)-1,"")</f>
        <v/>
      </c>
      <c r="O467" s="86" t="str">
        <f>IF(A467='DATA SHEET'!$L$36,C467,IFERROR(IF(AND(ISTEXT(I467),ISBLANK(C467)),"No details",VLOOKUP(C467,DimFolder,2,FALSE)),""))</f>
        <v/>
      </c>
      <c r="P467" s="4" t="str">
        <f t="shared" si="125"/>
        <v/>
      </c>
      <c r="Q467" s="58" t="str">
        <f t="shared" si="124"/>
        <v/>
      </c>
      <c r="R467" s="4" t="e" cm="1">
        <f t="array" ref="R467">IF(INDEX(Table2[],_xlfn.XMATCH($A467,Table2[Steel Member],0),_xlfn.XMATCH(R$2,Table2[#Headers],0))=0,"",INDEX(Table2[],_xlfn.XMATCH($A467,Table2[Steel Member],0),_xlfn.XMATCH(R$2,Table2[#Headers],0)))</f>
        <v>#N/A</v>
      </c>
      <c r="S467" s="4" t="e" cm="1">
        <f t="array" ref="S467">IF(INDEX(Table2[],_xlfn.XMATCH($A467,Table2[Steel Member],0),_xlfn.XMATCH(S$2,Table2[#Headers],0))=0,"",INDEX(Table2[],_xlfn.XMATCH($A467,Table2[Steel Member],0),_xlfn.XMATCH(S$2,Table2[#Headers],0)))</f>
        <v>#N/A</v>
      </c>
      <c r="T467" s="4" t="str">
        <f t="shared" si="115"/>
        <v/>
      </c>
      <c r="U467" s="4" t="e">
        <f ca="1">VLOOKUP(N467,'COLOR CODE'!$B:$D,2,FALSE)</f>
        <v>#N/A</v>
      </c>
      <c r="V467" s="4" t="str">
        <f t="shared" si="116"/>
        <v/>
      </c>
      <c r="W467" s="4" t="e" cm="1">
        <f t="array" ref="W467">IF(INDEX(Table2[],_xlfn.XMATCH($A467,Table2[Steel Member],0),_xlfn.XMATCH(W$2,Table2[#Headers],0))=0,"",INDEX(Table2[],_xlfn.XMATCH($A467,Table2[Steel Member],0),_xlfn.XMATCH(W$2,Table2[#Headers],0)))</f>
        <v>#N/A</v>
      </c>
      <c r="X467" s="4" t="e">
        <f t="shared" si="126"/>
        <v>#N/A</v>
      </c>
      <c r="Y467" s="4" t="e" cm="1">
        <f t="array" ref="Y467">IF(INDEX(Table2[],_xlfn.XMATCH($A467,Table2[Steel Member],0),_xlfn.XMATCH(Y$2,Table2[#Headers],0))=0,"",INDEX(Table2[],_xlfn.XMATCH($A467,Table2[Steel Member],0),_xlfn.XMATCH(Y$2,Table2[#Headers],0)))</f>
        <v>#N/A</v>
      </c>
      <c r="Z467" s="4" t="e" cm="1">
        <f t="array" ref="Z467">IF(INDEX(Table2[],_xlfn.XMATCH($A467,Table2[Steel Member],0),_xlfn.XMATCH(Z$2,Table2[#Headers],0))=0,"",INDEX(Table2[],_xlfn.XMATCH($A467,Table2[Steel Member],0),_xlfn.XMATCH(Z$2,Table2[#Headers],0)))</f>
        <v>#N/A</v>
      </c>
      <c r="AA467" s="4" t="e" cm="1">
        <f t="array" ref="AA467">IF(INDEX(Table2[],_xlfn.XMATCH($A467,Table2[Steel Member],0),_xlfn.XMATCH(AA$2,Table2[#Headers],0))=0,"",INDEX(Table2[],_xlfn.XMATCH($A467,Table2[Steel Member],0),_xlfn.XMATCH(AA$2,Table2[#Headers],0)))</f>
        <v>#N/A</v>
      </c>
      <c r="AB467" s="4" t="e" cm="1">
        <f t="array" ref="AB467">IF(INDEX(Table2[],_xlfn.XMATCH($A467,Table2[Steel Member],0),_xlfn.XMATCH(AB$2,Table2[#Headers],0))=0,"",INDEX(Table2[],_xlfn.XMATCH($A467,Table2[Steel Member],0),_xlfn.XMATCH(AB$2,Table2[#Headers],0)))</f>
        <v>#N/A</v>
      </c>
      <c r="AC467" s="4" t="str" cm="1">
        <f t="array" ref="AC467">IFERROR(INDEX(Table8[],_xlfn.XMATCH($O467,Table8[Dimension Name Category],0),_xlfn.XMATCH(AC$2&amp;IF($L467," w/ tag"," w/o tag"),Table8[#Headers],0)),"")</f>
        <v/>
      </c>
      <c r="AD467" s="59" t="str">
        <f t="shared" si="117"/>
        <v/>
      </c>
      <c r="AE467" s="4" t="str">
        <f t="shared" si="118"/>
        <v/>
      </c>
      <c r="AF467" s="4" t="str">
        <f t="shared" si="119"/>
        <v/>
      </c>
      <c r="AG467" s="4" t="str" cm="1">
        <f t="array" ref="AG467">IFERROR(INDEX(Table8[],_xlfn.XMATCH($O467,Table8[Dimension Name Category],0),_xlfn.XMATCH(AG$2&amp;IF($L467," w/ tag"," w/o tag"),Table8[#Headers],0)),"")</f>
        <v/>
      </c>
      <c r="AH467" s="59" t="str">
        <f t="shared" si="120"/>
        <v/>
      </c>
      <c r="AI467" s="4"/>
      <c r="AJ467" s="4" t="str">
        <f t="shared" si="121"/>
        <v/>
      </c>
      <c r="AK467" s="4" t="str">
        <f t="shared" si="122"/>
        <v/>
      </c>
      <c r="AL467" s="4" t="e" cm="1">
        <f t="array" ref="AL467">IF(INDEX(Table2[],_xlfn.XMATCH($A467,Table2[Steel Member],0),_xlfn.XMATCH(AL$2,Table2[#Headers],0))=0,"",INDEX(Table2[],_xlfn.XMATCH($A467,Table2[Steel Member],0),_xlfn.XMATCH(AL$2,Table2[#Headers],0)))</f>
        <v>#N/A</v>
      </c>
      <c r="AM467" s="4"/>
      <c r="AN467" s="4" t="str">
        <f t="shared" si="123"/>
        <v/>
      </c>
      <c r="AO467" s="4"/>
      <c r="AP467" s="4" t="e" cm="1">
        <f t="array" ref="AP467">IF(INDEX(Table2[],_xlfn.XMATCH($A467,Table2[Steel Member],0),_xlfn.XMATCH(AP$2,Table2[#Headers],0))=0,"",INDEX(Table2[],_xlfn.XMATCH($A467,Table2[Steel Member],0),_xlfn.XMATCH(AP$2,Table2[#Headers],0)))</f>
        <v>#N/A</v>
      </c>
      <c r="AQ467" s="4"/>
      <c r="AR467" s="4"/>
      <c r="AS467" s="4"/>
      <c r="AT467" s="4"/>
    </row>
    <row r="468" spans="1:46" x14ac:dyDescent="0.25">
      <c r="A468" s="52"/>
      <c r="B468" s="52"/>
      <c r="C468" s="52"/>
      <c r="D468" s="52"/>
      <c r="E468" s="52"/>
      <c r="F468" s="64" cm="1">
        <f t="array" ref="F468">IF(COUNT(FIND(PurlinsxGirthsxBracings,$C468))&gt;0,0,ROUNDUP(IF(D468=0,0,VLOOKUP(D468,'DATA SHEET'!$B:$D,2,FALSE)),2))</f>
        <v>0</v>
      </c>
      <c r="G468" s="64" cm="1">
        <f t="array" ref="G468">IF(COUNT(FIND(PurlinsxGirthsxBracings,$C468))&gt;0,0,ROUNDUP(IF(D468=0,0,VLOOKUP(D468,'DATA SHEET'!$B:$D,3,FALSE)),2))</f>
        <v>0</v>
      </c>
      <c r="H468" s="53"/>
      <c r="I468" s="66" cm="1">
        <f t="array" ref="I468">IF(AND(ISBLANK(B468),ISBLANK(C468),ISBLANK(E468)),0,IF(COUNT(FIND(PurlinsxGirthsxBracings,$C468))&gt;0,IF(B468=0,CONCATENATE(E468," ",C468),CONCATENATE(B468," - ",E468," ",C468)),IF(B468=0,IF(ISBLANK(C468),E468,CONCATENATE(D468,", ",F468,"kg/m, ",G468,"mm surface perimeter")),IF(AND(ISBLANK(C468),ISTEXT(E468)),CONCATENATE(B468," - ",E468),IF(AND(ISBLANK(C468),ISBLANK(E468)),B468,CONCATENATE(B468," - ",D468,", ",F468,"kg/m, ",G468,"mm surface perimeter"))))&amp;IF(ISBLANK(H468),"",H468)))</f>
        <v>0</v>
      </c>
      <c r="J468" s="53"/>
      <c r="L468" s="4" t="str" cm="1">
        <f t="array" ref="L468">IF(COUNT(FIND({0,1,2,3,4,5,6,7,8,9},B468))&gt;0,COUNT(FIND({0,1,2,3,4,5,6,7,8,9},B468))&gt;0,"")</f>
        <v/>
      </c>
      <c r="M468" s="4" t="str" cm="1">
        <f t="array" aca="1" ref="M468" ca="1">IFERROR(_xlfn.IFS(R468="Count",RANDBETWEEN(1,COUNTIF($R$11:$R$653,"Count")),R468="Length",RANDBETWEEN(1,COUNTIF($R$11:$R$653,"Length"))),"")</f>
        <v/>
      </c>
      <c r="N468" s="4" t="str">
        <f ca="1">IFERROR(_xlfn.RANK.EQ(M468,$M$11:$M$653)+COUNTIF($M$11:M468,M468)-1,"")</f>
        <v/>
      </c>
      <c r="O468" s="86" t="str">
        <f>IF(A468='DATA SHEET'!$L$36,C468,IFERROR(IF(AND(ISTEXT(I468),ISBLANK(C468)),"No details",VLOOKUP(C468,DimFolder,2,FALSE)),""))</f>
        <v/>
      </c>
      <c r="P468" s="4" t="str">
        <f t="shared" si="125"/>
        <v/>
      </c>
      <c r="Q468" s="58" t="str">
        <f t="shared" si="124"/>
        <v/>
      </c>
      <c r="R468" s="4" t="e" cm="1">
        <f t="array" ref="R468">IF(INDEX(Table2[],_xlfn.XMATCH($A468,Table2[Steel Member],0),_xlfn.XMATCH(R$2,Table2[#Headers],0))=0,"",INDEX(Table2[],_xlfn.XMATCH($A468,Table2[Steel Member],0),_xlfn.XMATCH(R$2,Table2[#Headers],0)))</f>
        <v>#N/A</v>
      </c>
      <c r="S468" s="4" t="e" cm="1">
        <f t="array" ref="S468">IF(INDEX(Table2[],_xlfn.XMATCH($A468,Table2[Steel Member],0),_xlfn.XMATCH(S$2,Table2[#Headers],0))=0,"",INDEX(Table2[],_xlfn.XMATCH($A468,Table2[Steel Member],0),_xlfn.XMATCH(S$2,Table2[#Headers],0)))</f>
        <v>#N/A</v>
      </c>
      <c r="T468" s="4" t="str">
        <f t="shared" si="115"/>
        <v/>
      </c>
      <c r="U468" s="4" t="e">
        <f ca="1">VLOOKUP(N468,'COLOR CODE'!$B:$D,2,FALSE)</f>
        <v>#N/A</v>
      </c>
      <c r="V468" s="4" t="str">
        <f t="shared" si="116"/>
        <v/>
      </c>
      <c r="W468" s="4" t="e" cm="1">
        <f t="array" ref="W468">IF(INDEX(Table2[],_xlfn.XMATCH($A468,Table2[Steel Member],0),_xlfn.XMATCH(W$2,Table2[#Headers],0))=0,"",INDEX(Table2[],_xlfn.XMATCH($A468,Table2[Steel Member],0),_xlfn.XMATCH(W$2,Table2[#Headers],0)))</f>
        <v>#N/A</v>
      </c>
      <c r="X468" s="4" t="e">
        <f t="shared" si="126"/>
        <v>#N/A</v>
      </c>
      <c r="Y468" s="4" t="e" cm="1">
        <f t="array" ref="Y468">IF(INDEX(Table2[],_xlfn.XMATCH($A468,Table2[Steel Member],0),_xlfn.XMATCH(Y$2,Table2[#Headers],0))=0,"",INDEX(Table2[],_xlfn.XMATCH($A468,Table2[Steel Member],0),_xlfn.XMATCH(Y$2,Table2[#Headers],0)))</f>
        <v>#N/A</v>
      </c>
      <c r="Z468" s="4" t="e" cm="1">
        <f t="array" ref="Z468">IF(INDEX(Table2[],_xlfn.XMATCH($A468,Table2[Steel Member],0),_xlfn.XMATCH(Z$2,Table2[#Headers],0))=0,"",INDEX(Table2[],_xlfn.XMATCH($A468,Table2[Steel Member],0),_xlfn.XMATCH(Z$2,Table2[#Headers],0)))</f>
        <v>#N/A</v>
      </c>
      <c r="AA468" s="4" t="e" cm="1">
        <f t="array" ref="AA468">IF(INDEX(Table2[],_xlfn.XMATCH($A468,Table2[Steel Member],0),_xlfn.XMATCH(AA$2,Table2[#Headers],0))=0,"",INDEX(Table2[],_xlfn.XMATCH($A468,Table2[Steel Member],0),_xlfn.XMATCH(AA$2,Table2[#Headers],0)))</f>
        <v>#N/A</v>
      </c>
      <c r="AB468" s="4" t="e" cm="1">
        <f t="array" ref="AB468">IF(INDEX(Table2[],_xlfn.XMATCH($A468,Table2[Steel Member],0),_xlfn.XMATCH(AB$2,Table2[#Headers],0))=0,"",INDEX(Table2[],_xlfn.XMATCH($A468,Table2[Steel Member],0),_xlfn.XMATCH(AB$2,Table2[#Headers],0)))</f>
        <v>#N/A</v>
      </c>
      <c r="AC468" s="4" t="str" cm="1">
        <f t="array" ref="AC468">IFERROR(INDEX(Table8[],_xlfn.XMATCH($O468,Table8[Dimension Name Category],0),_xlfn.XMATCH(AC$2&amp;IF($L468," w/ tag"," w/o tag"),Table8[#Headers],0)),"")</f>
        <v/>
      </c>
      <c r="AD468" s="59" t="str">
        <f t="shared" si="117"/>
        <v/>
      </c>
      <c r="AE468" s="4" t="str">
        <f t="shared" si="118"/>
        <v/>
      </c>
      <c r="AF468" s="4" t="str">
        <f t="shared" si="119"/>
        <v/>
      </c>
      <c r="AG468" s="4" t="str" cm="1">
        <f t="array" ref="AG468">IFERROR(INDEX(Table8[],_xlfn.XMATCH($O468,Table8[Dimension Name Category],0),_xlfn.XMATCH(AG$2&amp;IF($L468," w/ tag"," w/o tag"),Table8[#Headers],0)),"")</f>
        <v/>
      </c>
      <c r="AH468" s="59" t="str">
        <f t="shared" si="120"/>
        <v/>
      </c>
      <c r="AI468" s="4"/>
      <c r="AJ468" s="4" t="str">
        <f t="shared" si="121"/>
        <v/>
      </c>
      <c r="AK468" s="4" t="str">
        <f t="shared" si="122"/>
        <v/>
      </c>
      <c r="AL468" s="4" t="e" cm="1">
        <f t="array" ref="AL468">IF(INDEX(Table2[],_xlfn.XMATCH($A468,Table2[Steel Member],0),_xlfn.XMATCH(AL$2,Table2[#Headers],0))=0,"",INDEX(Table2[],_xlfn.XMATCH($A468,Table2[Steel Member],0),_xlfn.XMATCH(AL$2,Table2[#Headers],0)))</f>
        <v>#N/A</v>
      </c>
      <c r="AM468" s="4"/>
      <c r="AN468" s="4" t="str">
        <f t="shared" si="123"/>
        <v/>
      </c>
      <c r="AO468" s="4"/>
      <c r="AP468" s="4" t="e" cm="1">
        <f t="array" ref="AP468">IF(INDEX(Table2[],_xlfn.XMATCH($A468,Table2[Steel Member],0),_xlfn.XMATCH(AP$2,Table2[#Headers],0))=0,"",INDEX(Table2[],_xlfn.XMATCH($A468,Table2[Steel Member],0),_xlfn.XMATCH(AP$2,Table2[#Headers],0)))</f>
        <v>#N/A</v>
      </c>
      <c r="AQ468" s="4"/>
      <c r="AR468" s="4"/>
      <c r="AS468" s="4"/>
      <c r="AT468" s="4"/>
    </row>
    <row r="469" spans="1:46" x14ac:dyDescent="0.25">
      <c r="A469" s="52"/>
      <c r="B469" s="52"/>
      <c r="C469" s="52"/>
      <c r="D469" s="52"/>
      <c r="E469" s="52"/>
      <c r="F469" s="64" cm="1">
        <f t="array" ref="F469">IF(COUNT(FIND(PurlinsxGirthsxBracings,$C469))&gt;0,0,ROUNDUP(IF(D469=0,0,VLOOKUP(D469,'DATA SHEET'!$B:$D,2,FALSE)),2))</f>
        <v>0</v>
      </c>
      <c r="G469" s="64" cm="1">
        <f t="array" ref="G469">IF(COUNT(FIND(PurlinsxGirthsxBracings,$C469))&gt;0,0,ROUNDUP(IF(D469=0,0,VLOOKUP(D469,'DATA SHEET'!$B:$D,3,FALSE)),2))</f>
        <v>0</v>
      </c>
      <c r="H469" s="53"/>
      <c r="I469" s="66" cm="1">
        <f t="array" ref="I469">IF(AND(ISBLANK(B469),ISBLANK(C469),ISBLANK(E469)),0,IF(COUNT(FIND(PurlinsxGirthsxBracings,$C469))&gt;0,IF(B469=0,CONCATENATE(E469," ",C469),CONCATENATE(B469," - ",E469," ",C469)),IF(B469=0,IF(ISBLANK(C469),E469,CONCATENATE(D469,", ",F469,"kg/m, ",G469,"mm surface perimeter")),IF(AND(ISBLANK(C469),ISTEXT(E469)),CONCATENATE(B469," - ",E469),IF(AND(ISBLANK(C469),ISBLANK(E469)),B469,CONCATENATE(B469," - ",D469,", ",F469,"kg/m, ",G469,"mm surface perimeter"))))&amp;IF(ISBLANK(H469),"",H469)))</f>
        <v>0</v>
      </c>
      <c r="J469" s="53"/>
      <c r="L469" s="4" t="str" cm="1">
        <f t="array" ref="L469">IF(COUNT(FIND({0,1,2,3,4,5,6,7,8,9},B469))&gt;0,COUNT(FIND({0,1,2,3,4,5,6,7,8,9},B469))&gt;0,"")</f>
        <v/>
      </c>
      <c r="M469" s="4" t="str" cm="1">
        <f t="array" aca="1" ref="M469" ca="1">IFERROR(_xlfn.IFS(R469="Count",RANDBETWEEN(1,COUNTIF($R$11:$R$653,"Count")),R469="Length",RANDBETWEEN(1,COUNTIF($R$11:$R$653,"Length"))),"")</f>
        <v/>
      </c>
      <c r="N469" s="4" t="str">
        <f ca="1">IFERROR(_xlfn.RANK.EQ(M469,$M$11:$M$653)+COUNTIF($M$11:M469,M469)-1,"")</f>
        <v/>
      </c>
      <c r="O469" s="86" t="str">
        <f>IF(A469='DATA SHEET'!$L$36,C469,IFERROR(IF(AND(ISTEXT(I469),ISBLANK(C469)),"No details",VLOOKUP(C469,DimFolder,2,FALSE)),""))</f>
        <v/>
      </c>
      <c r="P469" s="4" t="str">
        <f t="shared" si="125"/>
        <v/>
      </c>
      <c r="Q469" s="58" t="str">
        <f t="shared" si="124"/>
        <v/>
      </c>
      <c r="R469" s="4" t="e" cm="1">
        <f t="array" ref="R469">IF(INDEX(Table2[],_xlfn.XMATCH($A469,Table2[Steel Member],0),_xlfn.XMATCH(R$2,Table2[#Headers],0))=0,"",INDEX(Table2[],_xlfn.XMATCH($A469,Table2[Steel Member],0),_xlfn.XMATCH(R$2,Table2[#Headers],0)))</f>
        <v>#N/A</v>
      </c>
      <c r="S469" s="4" t="e" cm="1">
        <f t="array" ref="S469">IF(INDEX(Table2[],_xlfn.XMATCH($A469,Table2[Steel Member],0),_xlfn.XMATCH(S$2,Table2[#Headers],0))=0,"",INDEX(Table2[],_xlfn.XMATCH($A469,Table2[Steel Member],0),_xlfn.XMATCH(S$2,Table2[#Headers],0)))</f>
        <v>#N/A</v>
      </c>
      <c r="T469" s="4" t="str">
        <f t="shared" si="115"/>
        <v/>
      </c>
      <c r="U469" s="4" t="e">
        <f ca="1">VLOOKUP(N469,'COLOR CODE'!$B:$D,2,FALSE)</f>
        <v>#N/A</v>
      </c>
      <c r="V469" s="4" t="str">
        <f t="shared" si="116"/>
        <v/>
      </c>
      <c r="W469" s="4" t="e" cm="1">
        <f t="array" ref="W469">IF(INDEX(Table2[],_xlfn.XMATCH($A469,Table2[Steel Member],0),_xlfn.XMATCH(W$2,Table2[#Headers],0))=0,"",INDEX(Table2[],_xlfn.XMATCH($A469,Table2[Steel Member],0),_xlfn.XMATCH(W$2,Table2[#Headers],0)))</f>
        <v>#N/A</v>
      </c>
      <c r="X469" s="4" t="e">
        <f t="shared" si="126"/>
        <v>#N/A</v>
      </c>
      <c r="Y469" s="4" t="e" cm="1">
        <f t="array" ref="Y469">IF(INDEX(Table2[],_xlfn.XMATCH($A469,Table2[Steel Member],0),_xlfn.XMATCH(Y$2,Table2[#Headers],0))=0,"",INDEX(Table2[],_xlfn.XMATCH($A469,Table2[Steel Member],0),_xlfn.XMATCH(Y$2,Table2[#Headers],0)))</f>
        <v>#N/A</v>
      </c>
      <c r="Z469" s="4" t="e" cm="1">
        <f t="array" ref="Z469">IF(INDEX(Table2[],_xlfn.XMATCH($A469,Table2[Steel Member],0),_xlfn.XMATCH(Z$2,Table2[#Headers],0))=0,"",INDEX(Table2[],_xlfn.XMATCH($A469,Table2[Steel Member],0),_xlfn.XMATCH(Z$2,Table2[#Headers],0)))</f>
        <v>#N/A</v>
      </c>
      <c r="AA469" s="4" t="e" cm="1">
        <f t="array" ref="AA469">IF(INDEX(Table2[],_xlfn.XMATCH($A469,Table2[Steel Member],0),_xlfn.XMATCH(AA$2,Table2[#Headers],0))=0,"",INDEX(Table2[],_xlfn.XMATCH($A469,Table2[Steel Member],0),_xlfn.XMATCH(AA$2,Table2[#Headers],0)))</f>
        <v>#N/A</v>
      </c>
      <c r="AB469" s="4" t="e" cm="1">
        <f t="array" ref="AB469">IF(INDEX(Table2[],_xlfn.XMATCH($A469,Table2[Steel Member],0),_xlfn.XMATCH(AB$2,Table2[#Headers],0))=0,"",INDEX(Table2[],_xlfn.XMATCH($A469,Table2[Steel Member],0),_xlfn.XMATCH(AB$2,Table2[#Headers],0)))</f>
        <v>#N/A</v>
      </c>
      <c r="AC469" s="4" t="str" cm="1">
        <f t="array" ref="AC469">IFERROR(INDEX(Table8[],_xlfn.XMATCH($O469,Table8[Dimension Name Category],0),_xlfn.XMATCH(AC$2&amp;IF($L469," w/ tag"," w/o tag"),Table8[#Headers],0)),"")</f>
        <v/>
      </c>
      <c r="AD469" s="59" t="str">
        <f t="shared" si="117"/>
        <v/>
      </c>
      <c r="AE469" s="4" t="str">
        <f t="shared" si="118"/>
        <v/>
      </c>
      <c r="AF469" s="4" t="str">
        <f t="shared" si="119"/>
        <v/>
      </c>
      <c r="AG469" s="4" t="str" cm="1">
        <f t="array" ref="AG469">IFERROR(INDEX(Table8[],_xlfn.XMATCH($O469,Table8[Dimension Name Category],0),_xlfn.XMATCH(AG$2&amp;IF($L469," w/ tag"," w/o tag"),Table8[#Headers],0)),"")</f>
        <v/>
      </c>
      <c r="AH469" s="59" t="str">
        <f t="shared" si="120"/>
        <v/>
      </c>
      <c r="AI469" s="4"/>
      <c r="AJ469" s="4" t="str">
        <f t="shared" si="121"/>
        <v/>
      </c>
      <c r="AK469" s="4" t="str">
        <f t="shared" si="122"/>
        <v/>
      </c>
      <c r="AL469" s="4" t="e" cm="1">
        <f t="array" ref="AL469">IF(INDEX(Table2[],_xlfn.XMATCH($A469,Table2[Steel Member],0),_xlfn.XMATCH(AL$2,Table2[#Headers],0))=0,"",INDEX(Table2[],_xlfn.XMATCH($A469,Table2[Steel Member],0),_xlfn.XMATCH(AL$2,Table2[#Headers],0)))</f>
        <v>#N/A</v>
      </c>
      <c r="AM469" s="4"/>
      <c r="AN469" s="4" t="str">
        <f t="shared" si="123"/>
        <v/>
      </c>
      <c r="AO469" s="4"/>
      <c r="AP469" s="4" t="e" cm="1">
        <f t="array" ref="AP469">IF(INDEX(Table2[],_xlfn.XMATCH($A469,Table2[Steel Member],0),_xlfn.XMATCH(AP$2,Table2[#Headers],0))=0,"",INDEX(Table2[],_xlfn.XMATCH($A469,Table2[Steel Member],0),_xlfn.XMATCH(AP$2,Table2[#Headers],0)))</f>
        <v>#N/A</v>
      </c>
      <c r="AQ469" s="4"/>
      <c r="AR469" s="4"/>
      <c r="AS469" s="4"/>
      <c r="AT469" s="4"/>
    </row>
    <row r="470" spans="1:46" x14ac:dyDescent="0.25">
      <c r="A470" s="52"/>
      <c r="B470" s="52"/>
      <c r="C470" s="52"/>
      <c r="D470" s="52"/>
      <c r="E470" s="52"/>
      <c r="F470" s="64" cm="1">
        <f t="array" ref="F470">IF(COUNT(FIND(PurlinsxGirthsxBracings,$C470))&gt;0,0,ROUNDUP(IF(D470=0,0,VLOOKUP(D470,'DATA SHEET'!$B:$D,2,FALSE)),2))</f>
        <v>0</v>
      </c>
      <c r="G470" s="64" cm="1">
        <f t="array" ref="G470">IF(COUNT(FIND(PurlinsxGirthsxBracings,$C470))&gt;0,0,ROUNDUP(IF(D470=0,0,VLOOKUP(D470,'DATA SHEET'!$B:$D,3,FALSE)),2))</f>
        <v>0</v>
      </c>
      <c r="H470" s="53"/>
      <c r="I470" s="66" cm="1">
        <f t="array" ref="I470">IF(AND(ISBLANK(B470),ISBLANK(C470),ISBLANK(E470)),0,IF(COUNT(FIND(PurlinsxGirthsxBracings,$C470))&gt;0,IF(B470=0,CONCATENATE(E470," ",C470),CONCATENATE(B470," - ",E470," ",C470)),IF(B470=0,IF(ISBLANK(C470),E470,CONCATENATE(D470,", ",F470,"kg/m, ",G470,"mm surface perimeter")),IF(AND(ISBLANK(C470),ISTEXT(E470)),CONCATENATE(B470," - ",E470),IF(AND(ISBLANK(C470),ISBLANK(E470)),B470,CONCATENATE(B470," - ",D470,", ",F470,"kg/m, ",G470,"mm surface perimeter"))))&amp;IF(ISBLANK(H470),"",H470)))</f>
        <v>0</v>
      </c>
      <c r="J470" s="53"/>
      <c r="L470" s="4" t="str" cm="1">
        <f t="array" ref="L470">IF(COUNT(FIND({0,1,2,3,4,5,6,7,8,9},B470))&gt;0,COUNT(FIND({0,1,2,3,4,5,6,7,8,9},B470))&gt;0,"")</f>
        <v/>
      </c>
      <c r="M470" s="4" t="str" cm="1">
        <f t="array" aca="1" ref="M470" ca="1">IFERROR(_xlfn.IFS(R470="Count",RANDBETWEEN(1,COUNTIF($R$11:$R$653,"Count")),R470="Length",RANDBETWEEN(1,COUNTIF($R$11:$R$653,"Length"))),"")</f>
        <v/>
      </c>
      <c r="N470" s="4" t="str">
        <f ca="1">IFERROR(_xlfn.RANK.EQ(M470,$M$11:$M$653)+COUNTIF($M$11:M470,M470)-1,"")</f>
        <v/>
      </c>
      <c r="O470" s="86" t="str">
        <f>IF(A470='DATA SHEET'!$L$36,C470,IFERROR(IF(AND(ISTEXT(I470),ISBLANK(C470)),"No details",VLOOKUP(C470,DimFolder,2,FALSE)),""))</f>
        <v/>
      </c>
      <c r="P470" s="4" t="str">
        <f t="shared" si="125"/>
        <v/>
      </c>
      <c r="Q470" s="58" t="str">
        <f t="shared" si="124"/>
        <v/>
      </c>
      <c r="R470" s="4" t="e" cm="1">
        <f t="array" ref="R470">IF(INDEX(Table2[],_xlfn.XMATCH($A470,Table2[Steel Member],0),_xlfn.XMATCH(R$2,Table2[#Headers],0))=0,"",INDEX(Table2[],_xlfn.XMATCH($A470,Table2[Steel Member],0),_xlfn.XMATCH(R$2,Table2[#Headers],0)))</f>
        <v>#N/A</v>
      </c>
      <c r="S470" s="4" t="e" cm="1">
        <f t="array" ref="S470">IF(INDEX(Table2[],_xlfn.XMATCH($A470,Table2[Steel Member],0),_xlfn.XMATCH(S$2,Table2[#Headers],0))=0,"",INDEX(Table2[],_xlfn.XMATCH($A470,Table2[Steel Member],0),_xlfn.XMATCH(S$2,Table2[#Headers],0)))</f>
        <v>#N/A</v>
      </c>
      <c r="T470" s="4" t="str">
        <f t="shared" si="115"/>
        <v/>
      </c>
      <c r="U470" s="4" t="e">
        <f ca="1">VLOOKUP(N470,'COLOR CODE'!$B:$D,2,FALSE)</f>
        <v>#N/A</v>
      </c>
      <c r="V470" s="4" t="str">
        <f t="shared" si="116"/>
        <v/>
      </c>
      <c r="W470" s="4" t="e" cm="1">
        <f t="array" ref="W470">IF(INDEX(Table2[],_xlfn.XMATCH($A470,Table2[Steel Member],0),_xlfn.XMATCH(W$2,Table2[#Headers],0))=0,"",INDEX(Table2[],_xlfn.XMATCH($A470,Table2[Steel Member],0),_xlfn.XMATCH(W$2,Table2[#Headers],0)))</f>
        <v>#N/A</v>
      </c>
      <c r="X470" s="4" t="e">
        <f t="shared" si="126"/>
        <v>#N/A</v>
      </c>
      <c r="Y470" s="4" t="e" cm="1">
        <f t="array" ref="Y470">IF(INDEX(Table2[],_xlfn.XMATCH($A470,Table2[Steel Member],0),_xlfn.XMATCH(Y$2,Table2[#Headers],0))=0,"",INDEX(Table2[],_xlfn.XMATCH($A470,Table2[Steel Member],0),_xlfn.XMATCH(Y$2,Table2[#Headers],0)))</f>
        <v>#N/A</v>
      </c>
      <c r="Z470" s="4" t="e" cm="1">
        <f t="array" ref="Z470">IF(INDEX(Table2[],_xlfn.XMATCH($A470,Table2[Steel Member],0),_xlfn.XMATCH(Z$2,Table2[#Headers],0))=0,"",INDEX(Table2[],_xlfn.XMATCH($A470,Table2[Steel Member],0),_xlfn.XMATCH(Z$2,Table2[#Headers],0)))</f>
        <v>#N/A</v>
      </c>
      <c r="AA470" s="4" t="e" cm="1">
        <f t="array" ref="AA470">IF(INDEX(Table2[],_xlfn.XMATCH($A470,Table2[Steel Member],0),_xlfn.XMATCH(AA$2,Table2[#Headers],0))=0,"",INDEX(Table2[],_xlfn.XMATCH($A470,Table2[Steel Member],0),_xlfn.XMATCH(AA$2,Table2[#Headers],0)))</f>
        <v>#N/A</v>
      </c>
      <c r="AB470" s="4" t="e" cm="1">
        <f t="array" ref="AB470">IF(INDEX(Table2[],_xlfn.XMATCH($A470,Table2[Steel Member],0),_xlfn.XMATCH(AB$2,Table2[#Headers],0))=0,"",INDEX(Table2[],_xlfn.XMATCH($A470,Table2[Steel Member],0),_xlfn.XMATCH(AB$2,Table2[#Headers],0)))</f>
        <v>#N/A</v>
      </c>
      <c r="AC470" s="4" t="str" cm="1">
        <f t="array" ref="AC470">IFERROR(INDEX(Table8[],_xlfn.XMATCH($O470,Table8[Dimension Name Category],0),_xlfn.XMATCH(AC$2&amp;IF($L470," w/ tag"," w/o tag"),Table8[#Headers],0)),"")</f>
        <v/>
      </c>
      <c r="AD470" s="59" t="str">
        <f t="shared" si="117"/>
        <v/>
      </c>
      <c r="AE470" s="4" t="str">
        <f t="shared" si="118"/>
        <v/>
      </c>
      <c r="AF470" s="4" t="str">
        <f t="shared" si="119"/>
        <v/>
      </c>
      <c r="AG470" s="4" t="str" cm="1">
        <f t="array" ref="AG470">IFERROR(INDEX(Table8[],_xlfn.XMATCH($O470,Table8[Dimension Name Category],0),_xlfn.XMATCH(AG$2&amp;IF($L470," w/ tag"," w/o tag"),Table8[#Headers],0)),"")</f>
        <v/>
      </c>
      <c r="AH470" s="59" t="str">
        <f t="shared" si="120"/>
        <v/>
      </c>
      <c r="AI470" s="4"/>
      <c r="AJ470" s="4" t="str">
        <f t="shared" si="121"/>
        <v/>
      </c>
      <c r="AK470" s="4" t="str">
        <f t="shared" si="122"/>
        <v/>
      </c>
      <c r="AL470" s="4" t="e" cm="1">
        <f t="array" ref="AL470">IF(INDEX(Table2[],_xlfn.XMATCH($A470,Table2[Steel Member],0),_xlfn.XMATCH(AL$2,Table2[#Headers],0))=0,"",INDEX(Table2[],_xlfn.XMATCH($A470,Table2[Steel Member],0),_xlfn.XMATCH(AL$2,Table2[#Headers],0)))</f>
        <v>#N/A</v>
      </c>
      <c r="AM470" s="4"/>
      <c r="AN470" s="4" t="str">
        <f t="shared" si="123"/>
        <v/>
      </c>
      <c r="AO470" s="4"/>
      <c r="AP470" s="4" t="e" cm="1">
        <f t="array" ref="AP470">IF(INDEX(Table2[],_xlfn.XMATCH($A470,Table2[Steel Member],0),_xlfn.XMATCH(AP$2,Table2[#Headers],0))=0,"",INDEX(Table2[],_xlfn.XMATCH($A470,Table2[Steel Member],0),_xlfn.XMATCH(AP$2,Table2[#Headers],0)))</f>
        <v>#N/A</v>
      </c>
      <c r="AQ470" s="4"/>
      <c r="AR470" s="4"/>
      <c r="AS470" s="4"/>
      <c r="AT470" s="4"/>
    </row>
    <row r="471" spans="1:46" x14ac:dyDescent="0.25">
      <c r="A471" s="52"/>
      <c r="B471" s="52"/>
      <c r="C471" s="52"/>
      <c r="D471" s="52"/>
      <c r="E471" s="52"/>
      <c r="F471" s="64" cm="1">
        <f t="array" ref="F471">IF(COUNT(FIND(PurlinsxGirthsxBracings,$C471))&gt;0,0,ROUNDUP(IF(D471=0,0,VLOOKUP(D471,'DATA SHEET'!$B:$D,2,FALSE)),2))</f>
        <v>0</v>
      </c>
      <c r="G471" s="64" cm="1">
        <f t="array" ref="G471">IF(COUNT(FIND(PurlinsxGirthsxBracings,$C471))&gt;0,0,ROUNDUP(IF(D471=0,0,VLOOKUP(D471,'DATA SHEET'!$B:$D,3,FALSE)),2))</f>
        <v>0</v>
      </c>
      <c r="H471" s="53"/>
      <c r="I471" s="66" cm="1">
        <f t="array" ref="I471">IF(AND(ISBLANK(B471),ISBLANK(C471),ISBLANK(E471)),0,IF(COUNT(FIND(PurlinsxGirthsxBracings,$C471))&gt;0,IF(B471=0,CONCATENATE(E471," ",C471),CONCATENATE(B471," - ",E471," ",C471)),IF(B471=0,IF(ISBLANK(C471),E471,CONCATENATE(D471,", ",F471,"kg/m, ",G471,"mm surface perimeter")),IF(AND(ISBLANK(C471),ISTEXT(E471)),CONCATENATE(B471," - ",E471),IF(AND(ISBLANK(C471),ISBLANK(E471)),B471,CONCATENATE(B471," - ",D471,", ",F471,"kg/m, ",G471,"mm surface perimeter"))))&amp;IF(ISBLANK(H471),"",H471)))</f>
        <v>0</v>
      </c>
      <c r="J471" s="53"/>
      <c r="L471" s="4" t="str" cm="1">
        <f t="array" ref="L471">IF(COUNT(FIND({0,1,2,3,4,5,6,7,8,9},B471))&gt;0,COUNT(FIND({0,1,2,3,4,5,6,7,8,9},B471))&gt;0,"")</f>
        <v/>
      </c>
      <c r="M471" s="4" t="str" cm="1">
        <f t="array" aca="1" ref="M471" ca="1">IFERROR(_xlfn.IFS(R471="Count",RANDBETWEEN(1,COUNTIF($R$11:$R$653,"Count")),R471="Length",RANDBETWEEN(1,COUNTIF($R$11:$R$653,"Length"))),"")</f>
        <v/>
      </c>
      <c r="N471" s="4" t="str">
        <f ca="1">IFERROR(_xlfn.RANK.EQ(M471,$M$11:$M$653)+COUNTIF($M$11:M471,M471)-1,"")</f>
        <v/>
      </c>
      <c r="O471" s="86" t="str">
        <f>IF(A471='DATA SHEET'!$L$36,C471,IFERROR(IF(AND(ISTEXT(I471),ISBLANK(C471)),"No details",VLOOKUP(C471,DimFolder,2,FALSE)),""))</f>
        <v/>
      </c>
      <c r="P471" s="4" t="str">
        <f t="shared" si="125"/>
        <v/>
      </c>
      <c r="Q471" s="58" t="str">
        <f t="shared" si="124"/>
        <v/>
      </c>
      <c r="R471" s="4" t="e" cm="1">
        <f t="array" ref="R471">IF(INDEX(Table2[],_xlfn.XMATCH($A471,Table2[Steel Member],0),_xlfn.XMATCH(R$2,Table2[#Headers],0))=0,"",INDEX(Table2[],_xlfn.XMATCH($A471,Table2[Steel Member],0),_xlfn.XMATCH(R$2,Table2[#Headers],0)))</f>
        <v>#N/A</v>
      </c>
      <c r="S471" s="4" t="e" cm="1">
        <f t="array" ref="S471">IF(INDEX(Table2[],_xlfn.XMATCH($A471,Table2[Steel Member],0),_xlfn.XMATCH(S$2,Table2[#Headers],0))=0,"",INDEX(Table2[],_xlfn.XMATCH($A471,Table2[Steel Member],0),_xlfn.XMATCH(S$2,Table2[#Headers],0)))</f>
        <v>#N/A</v>
      </c>
      <c r="T471" s="4" t="str">
        <f t="shared" si="115"/>
        <v/>
      </c>
      <c r="U471" s="4" t="e">
        <f ca="1">VLOOKUP(N471,'COLOR CODE'!$B:$D,2,FALSE)</f>
        <v>#N/A</v>
      </c>
      <c r="V471" s="4" t="str">
        <f t="shared" si="116"/>
        <v/>
      </c>
      <c r="W471" s="4" t="e" cm="1">
        <f t="array" ref="W471">IF(INDEX(Table2[],_xlfn.XMATCH($A471,Table2[Steel Member],0),_xlfn.XMATCH(W$2,Table2[#Headers],0))=0,"",INDEX(Table2[],_xlfn.XMATCH($A471,Table2[Steel Member],0),_xlfn.XMATCH(W$2,Table2[#Headers],0)))</f>
        <v>#N/A</v>
      </c>
      <c r="X471" s="4" t="e">
        <f t="shared" si="126"/>
        <v>#N/A</v>
      </c>
      <c r="Y471" s="4" t="e" cm="1">
        <f t="array" ref="Y471">IF(INDEX(Table2[],_xlfn.XMATCH($A471,Table2[Steel Member],0),_xlfn.XMATCH(Y$2,Table2[#Headers],0))=0,"",INDEX(Table2[],_xlfn.XMATCH($A471,Table2[Steel Member],0),_xlfn.XMATCH(Y$2,Table2[#Headers],0)))</f>
        <v>#N/A</v>
      </c>
      <c r="Z471" s="4" t="e" cm="1">
        <f t="array" ref="Z471">IF(INDEX(Table2[],_xlfn.XMATCH($A471,Table2[Steel Member],0),_xlfn.XMATCH(Z$2,Table2[#Headers],0))=0,"",INDEX(Table2[],_xlfn.XMATCH($A471,Table2[Steel Member],0),_xlfn.XMATCH(Z$2,Table2[#Headers],0)))</f>
        <v>#N/A</v>
      </c>
      <c r="AA471" s="4" t="e" cm="1">
        <f t="array" ref="AA471">IF(INDEX(Table2[],_xlfn.XMATCH($A471,Table2[Steel Member],0),_xlfn.XMATCH(AA$2,Table2[#Headers],0))=0,"",INDEX(Table2[],_xlfn.XMATCH($A471,Table2[Steel Member],0),_xlfn.XMATCH(AA$2,Table2[#Headers],0)))</f>
        <v>#N/A</v>
      </c>
      <c r="AB471" s="4" t="e" cm="1">
        <f t="array" ref="AB471">IF(INDEX(Table2[],_xlfn.XMATCH($A471,Table2[Steel Member],0),_xlfn.XMATCH(AB$2,Table2[#Headers],0))=0,"",INDEX(Table2[],_xlfn.XMATCH($A471,Table2[Steel Member],0),_xlfn.XMATCH(AB$2,Table2[#Headers],0)))</f>
        <v>#N/A</v>
      </c>
      <c r="AC471" s="4" t="str" cm="1">
        <f t="array" ref="AC471">IFERROR(INDEX(Table8[],_xlfn.XMATCH($O471,Table8[Dimension Name Category],0),_xlfn.XMATCH(AC$2&amp;IF($L471," w/ tag"," w/o tag"),Table8[#Headers],0)),"")</f>
        <v/>
      </c>
      <c r="AD471" s="59" t="str">
        <f t="shared" si="117"/>
        <v/>
      </c>
      <c r="AE471" s="4" t="str">
        <f t="shared" si="118"/>
        <v/>
      </c>
      <c r="AF471" s="4" t="str">
        <f t="shared" si="119"/>
        <v/>
      </c>
      <c r="AG471" s="4" t="str" cm="1">
        <f t="array" ref="AG471">IFERROR(INDEX(Table8[],_xlfn.XMATCH($O471,Table8[Dimension Name Category],0),_xlfn.XMATCH(AG$2&amp;IF($L471," w/ tag"," w/o tag"),Table8[#Headers],0)),"")</f>
        <v/>
      </c>
      <c r="AH471" s="59" t="str">
        <f t="shared" si="120"/>
        <v/>
      </c>
      <c r="AI471" s="4"/>
      <c r="AJ471" s="4" t="str">
        <f t="shared" si="121"/>
        <v/>
      </c>
      <c r="AK471" s="4" t="str">
        <f t="shared" si="122"/>
        <v/>
      </c>
      <c r="AL471" s="4" t="e" cm="1">
        <f t="array" ref="AL471">IF(INDEX(Table2[],_xlfn.XMATCH($A471,Table2[Steel Member],0),_xlfn.XMATCH(AL$2,Table2[#Headers],0))=0,"",INDEX(Table2[],_xlfn.XMATCH($A471,Table2[Steel Member],0),_xlfn.XMATCH(AL$2,Table2[#Headers],0)))</f>
        <v>#N/A</v>
      </c>
      <c r="AM471" s="4"/>
      <c r="AN471" s="4" t="str">
        <f t="shared" si="123"/>
        <v/>
      </c>
      <c r="AO471" s="4"/>
      <c r="AP471" s="4" t="e" cm="1">
        <f t="array" ref="AP471">IF(INDEX(Table2[],_xlfn.XMATCH($A471,Table2[Steel Member],0),_xlfn.XMATCH(AP$2,Table2[#Headers],0))=0,"",INDEX(Table2[],_xlfn.XMATCH($A471,Table2[Steel Member],0),_xlfn.XMATCH(AP$2,Table2[#Headers],0)))</f>
        <v>#N/A</v>
      </c>
      <c r="AQ471" s="4"/>
      <c r="AR471" s="4"/>
      <c r="AS471" s="4"/>
      <c r="AT471" s="4"/>
    </row>
    <row r="472" spans="1:46" x14ac:dyDescent="0.25">
      <c r="A472" s="52"/>
      <c r="B472" s="52"/>
      <c r="C472" s="52"/>
      <c r="D472" s="52"/>
      <c r="E472" s="52"/>
      <c r="F472" s="64" cm="1">
        <f t="array" ref="F472">IF(COUNT(FIND(PurlinsxGirthsxBracings,$C472))&gt;0,0,ROUNDUP(IF(D472=0,0,VLOOKUP(D472,'DATA SHEET'!$B:$D,2,FALSE)),2))</f>
        <v>0</v>
      </c>
      <c r="G472" s="64" cm="1">
        <f t="array" ref="G472">IF(COUNT(FIND(PurlinsxGirthsxBracings,$C472))&gt;0,0,ROUNDUP(IF(D472=0,0,VLOOKUP(D472,'DATA SHEET'!$B:$D,3,FALSE)),2))</f>
        <v>0</v>
      </c>
      <c r="H472" s="53"/>
      <c r="I472" s="66" cm="1">
        <f t="array" ref="I472">IF(AND(ISBLANK(B472),ISBLANK(C472),ISBLANK(E472)),0,IF(COUNT(FIND(PurlinsxGirthsxBracings,$C472))&gt;0,IF(B472=0,CONCATENATE(E472," ",C472),CONCATENATE(B472," - ",E472," ",C472)),IF(B472=0,IF(ISBLANK(C472),E472,CONCATENATE(D472,", ",F472,"kg/m, ",G472,"mm surface perimeter")),IF(AND(ISBLANK(C472),ISTEXT(E472)),CONCATENATE(B472," - ",E472),IF(AND(ISBLANK(C472),ISBLANK(E472)),B472,CONCATENATE(B472," - ",D472,", ",F472,"kg/m, ",G472,"mm surface perimeter"))))&amp;IF(ISBLANK(H472),"",H472)))</f>
        <v>0</v>
      </c>
      <c r="J472" s="53"/>
      <c r="L472" s="4" t="str" cm="1">
        <f t="array" ref="L472">IF(COUNT(FIND({0,1,2,3,4,5,6,7,8,9},B472))&gt;0,COUNT(FIND({0,1,2,3,4,5,6,7,8,9},B472))&gt;0,"")</f>
        <v/>
      </c>
      <c r="M472" s="4" t="str" cm="1">
        <f t="array" aca="1" ref="M472" ca="1">IFERROR(_xlfn.IFS(R472="Count",RANDBETWEEN(1,COUNTIF($R$11:$R$653,"Count")),R472="Length",RANDBETWEEN(1,COUNTIF($R$11:$R$653,"Length"))),"")</f>
        <v/>
      </c>
      <c r="N472" s="4" t="str">
        <f ca="1">IFERROR(_xlfn.RANK.EQ(M472,$M$11:$M$653)+COUNTIF($M$11:M472,M472)-1,"")</f>
        <v/>
      </c>
      <c r="O472" s="86" t="str">
        <f>IF(A472='DATA SHEET'!$L$36,C472,IFERROR(IF(AND(ISTEXT(I472),ISBLANK(C472)),"No details",VLOOKUP(C472,DimFolder,2,FALSE)),""))</f>
        <v/>
      </c>
      <c r="P472" s="4" t="str">
        <f t="shared" si="125"/>
        <v/>
      </c>
      <c r="Q472" s="58" t="str">
        <f t="shared" si="124"/>
        <v/>
      </c>
      <c r="R472" s="4" t="e" cm="1">
        <f t="array" ref="R472">IF(INDEX(Table2[],_xlfn.XMATCH($A472,Table2[Steel Member],0),_xlfn.XMATCH(R$2,Table2[#Headers],0))=0,"",INDEX(Table2[],_xlfn.XMATCH($A472,Table2[Steel Member],0),_xlfn.XMATCH(R$2,Table2[#Headers],0)))</f>
        <v>#N/A</v>
      </c>
      <c r="S472" s="4" t="e" cm="1">
        <f t="array" ref="S472">IF(INDEX(Table2[],_xlfn.XMATCH($A472,Table2[Steel Member],0),_xlfn.XMATCH(S$2,Table2[#Headers],0))=0,"",INDEX(Table2[],_xlfn.XMATCH($A472,Table2[Steel Member],0),_xlfn.XMATCH(S$2,Table2[#Headers],0)))</f>
        <v>#N/A</v>
      </c>
      <c r="T472" s="4" t="str">
        <f t="shared" si="115"/>
        <v/>
      </c>
      <c r="U472" s="4" t="e">
        <f ca="1">VLOOKUP(N472,'COLOR CODE'!$B:$D,2,FALSE)</f>
        <v>#N/A</v>
      </c>
      <c r="V472" s="4" t="str">
        <f t="shared" si="116"/>
        <v/>
      </c>
      <c r="W472" s="4" t="e" cm="1">
        <f t="array" ref="W472">IF(INDEX(Table2[],_xlfn.XMATCH($A472,Table2[Steel Member],0),_xlfn.XMATCH(W$2,Table2[#Headers],0))=0,"",INDEX(Table2[],_xlfn.XMATCH($A472,Table2[Steel Member],0),_xlfn.XMATCH(W$2,Table2[#Headers],0)))</f>
        <v>#N/A</v>
      </c>
      <c r="X472" s="4" t="e">
        <f t="shared" si="126"/>
        <v>#N/A</v>
      </c>
      <c r="Y472" s="4" t="e" cm="1">
        <f t="array" ref="Y472">IF(INDEX(Table2[],_xlfn.XMATCH($A472,Table2[Steel Member],0),_xlfn.XMATCH(Y$2,Table2[#Headers],0))=0,"",INDEX(Table2[],_xlfn.XMATCH($A472,Table2[Steel Member],0),_xlfn.XMATCH(Y$2,Table2[#Headers],0)))</f>
        <v>#N/A</v>
      </c>
      <c r="Z472" s="4" t="e" cm="1">
        <f t="array" ref="Z472">IF(INDEX(Table2[],_xlfn.XMATCH($A472,Table2[Steel Member],0),_xlfn.XMATCH(Z$2,Table2[#Headers],0))=0,"",INDEX(Table2[],_xlfn.XMATCH($A472,Table2[Steel Member],0),_xlfn.XMATCH(Z$2,Table2[#Headers],0)))</f>
        <v>#N/A</v>
      </c>
      <c r="AA472" s="4" t="e" cm="1">
        <f t="array" ref="AA472">IF(INDEX(Table2[],_xlfn.XMATCH($A472,Table2[Steel Member],0),_xlfn.XMATCH(AA$2,Table2[#Headers],0))=0,"",INDEX(Table2[],_xlfn.XMATCH($A472,Table2[Steel Member],0),_xlfn.XMATCH(AA$2,Table2[#Headers],0)))</f>
        <v>#N/A</v>
      </c>
      <c r="AB472" s="4" t="e" cm="1">
        <f t="array" ref="AB472">IF(INDEX(Table2[],_xlfn.XMATCH($A472,Table2[Steel Member],0),_xlfn.XMATCH(AB$2,Table2[#Headers],0))=0,"",INDEX(Table2[],_xlfn.XMATCH($A472,Table2[Steel Member],0),_xlfn.XMATCH(AB$2,Table2[#Headers],0)))</f>
        <v>#N/A</v>
      </c>
      <c r="AC472" s="4" t="str" cm="1">
        <f t="array" ref="AC472">IFERROR(INDEX(Table8[],_xlfn.XMATCH($O472,Table8[Dimension Name Category],0),_xlfn.XMATCH(AC$2&amp;IF($L472," w/ tag"," w/o tag"),Table8[#Headers],0)),"")</f>
        <v/>
      </c>
      <c r="AD472" s="59" t="str">
        <f t="shared" si="117"/>
        <v/>
      </c>
      <c r="AE472" s="4" t="str">
        <f t="shared" si="118"/>
        <v/>
      </c>
      <c r="AF472" s="4" t="str">
        <f t="shared" si="119"/>
        <v/>
      </c>
      <c r="AG472" s="4" t="str" cm="1">
        <f t="array" ref="AG472">IFERROR(INDEX(Table8[],_xlfn.XMATCH($O472,Table8[Dimension Name Category],0),_xlfn.XMATCH(AG$2&amp;IF($L472," w/ tag"," w/o tag"),Table8[#Headers],0)),"")</f>
        <v/>
      </c>
      <c r="AH472" s="59" t="str">
        <f t="shared" si="120"/>
        <v/>
      </c>
      <c r="AI472" s="4"/>
      <c r="AJ472" s="4" t="str">
        <f t="shared" si="121"/>
        <v/>
      </c>
      <c r="AK472" s="4" t="str">
        <f t="shared" si="122"/>
        <v/>
      </c>
      <c r="AL472" s="4" t="e" cm="1">
        <f t="array" ref="AL472">IF(INDEX(Table2[],_xlfn.XMATCH($A472,Table2[Steel Member],0),_xlfn.XMATCH(AL$2,Table2[#Headers],0))=0,"",INDEX(Table2[],_xlfn.XMATCH($A472,Table2[Steel Member],0),_xlfn.XMATCH(AL$2,Table2[#Headers],0)))</f>
        <v>#N/A</v>
      </c>
      <c r="AM472" s="4"/>
      <c r="AN472" s="4" t="str">
        <f t="shared" si="123"/>
        <v/>
      </c>
      <c r="AO472" s="4"/>
      <c r="AP472" s="4" t="e" cm="1">
        <f t="array" ref="AP472">IF(INDEX(Table2[],_xlfn.XMATCH($A472,Table2[Steel Member],0),_xlfn.XMATCH(AP$2,Table2[#Headers],0))=0,"",INDEX(Table2[],_xlfn.XMATCH($A472,Table2[Steel Member],0),_xlfn.XMATCH(AP$2,Table2[#Headers],0)))</f>
        <v>#N/A</v>
      </c>
      <c r="AQ472" s="4"/>
      <c r="AR472" s="4"/>
      <c r="AS472" s="4"/>
      <c r="AT472" s="4"/>
    </row>
    <row r="473" spans="1:46" x14ac:dyDescent="0.25">
      <c r="A473" s="52"/>
      <c r="B473" s="52"/>
      <c r="C473" s="52"/>
      <c r="D473" s="52"/>
      <c r="E473" s="52"/>
      <c r="F473" s="64" cm="1">
        <f t="array" ref="F473">IF(COUNT(FIND(PurlinsxGirthsxBracings,$C473))&gt;0,0,ROUNDUP(IF(D473=0,0,VLOOKUP(D473,'DATA SHEET'!$B:$D,2,FALSE)),2))</f>
        <v>0</v>
      </c>
      <c r="G473" s="64" cm="1">
        <f t="array" ref="G473">IF(COUNT(FIND(PurlinsxGirthsxBracings,$C473))&gt;0,0,ROUNDUP(IF(D473=0,0,VLOOKUP(D473,'DATA SHEET'!$B:$D,3,FALSE)),2))</f>
        <v>0</v>
      </c>
      <c r="H473" s="53"/>
      <c r="I473" s="66" cm="1">
        <f t="array" ref="I473">IF(AND(ISBLANK(B473),ISBLANK(C473),ISBLANK(E473)),0,IF(COUNT(FIND(PurlinsxGirthsxBracings,$C473))&gt;0,IF(B473=0,CONCATENATE(E473," ",C473),CONCATENATE(B473," - ",E473," ",C473)),IF(B473=0,IF(ISBLANK(C473),E473,CONCATENATE(D473,", ",F473,"kg/m, ",G473,"mm surface perimeter")),IF(AND(ISBLANK(C473),ISTEXT(E473)),CONCATENATE(B473," - ",E473),IF(AND(ISBLANK(C473),ISBLANK(E473)),B473,CONCATENATE(B473," - ",D473,", ",F473,"kg/m, ",G473,"mm surface perimeter"))))&amp;IF(ISBLANK(H473),"",H473)))</f>
        <v>0</v>
      </c>
      <c r="J473" s="53"/>
      <c r="L473" s="4" t="str" cm="1">
        <f t="array" ref="L473">IF(COUNT(FIND({0,1,2,3,4,5,6,7,8,9},B473))&gt;0,COUNT(FIND({0,1,2,3,4,5,6,7,8,9},B473))&gt;0,"")</f>
        <v/>
      </c>
      <c r="M473" s="4" t="str" cm="1">
        <f t="array" aca="1" ref="M473" ca="1">IFERROR(_xlfn.IFS(R473="Count",RANDBETWEEN(1,COUNTIF($R$11:$R$653,"Count")),R473="Length",RANDBETWEEN(1,COUNTIF($R$11:$R$653,"Length"))),"")</f>
        <v/>
      </c>
      <c r="N473" s="4" t="str">
        <f ca="1">IFERROR(_xlfn.RANK.EQ(M473,$M$11:$M$653)+COUNTIF($M$11:M473,M473)-1,"")</f>
        <v/>
      </c>
      <c r="O473" s="86" t="str">
        <f>IF(A473='DATA SHEET'!$L$36,C473,IFERROR(IF(AND(ISTEXT(I473),ISBLANK(C473)),"No details",VLOOKUP(C473,DimFolder,2,FALSE)),""))</f>
        <v/>
      </c>
      <c r="P473" s="4" t="str">
        <f t="shared" si="125"/>
        <v/>
      </c>
      <c r="Q473" s="58" t="str">
        <f t="shared" si="124"/>
        <v/>
      </c>
      <c r="R473" s="4" t="e" cm="1">
        <f t="array" ref="R473">IF(INDEX(Table2[],_xlfn.XMATCH($A473,Table2[Steel Member],0),_xlfn.XMATCH(R$2,Table2[#Headers],0))=0,"",INDEX(Table2[],_xlfn.XMATCH($A473,Table2[Steel Member],0),_xlfn.XMATCH(R$2,Table2[#Headers],0)))</f>
        <v>#N/A</v>
      </c>
      <c r="S473" s="4" t="e" cm="1">
        <f t="array" ref="S473">IF(INDEX(Table2[],_xlfn.XMATCH($A473,Table2[Steel Member],0),_xlfn.XMATCH(S$2,Table2[#Headers],0))=0,"",INDEX(Table2[],_xlfn.XMATCH($A473,Table2[Steel Member],0),_xlfn.XMATCH(S$2,Table2[#Headers],0)))</f>
        <v>#N/A</v>
      </c>
      <c r="T473" s="4" t="str">
        <f t="shared" si="115"/>
        <v/>
      </c>
      <c r="U473" s="4" t="e">
        <f ca="1">VLOOKUP(N473,'COLOR CODE'!$B:$D,2,FALSE)</f>
        <v>#N/A</v>
      </c>
      <c r="V473" s="4" t="str">
        <f t="shared" si="116"/>
        <v/>
      </c>
      <c r="W473" s="4" t="e" cm="1">
        <f t="array" ref="W473">IF(INDEX(Table2[],_xlfn.XMATCH($A473,Table2[Steel Member],0),_xlfn.XMATCH(W$2,Table2[#Headers],0))=0,"",INDEX(Table2[],_xlfn.XMATCH($A473,Table2[Steel Member],0),_xlfn.XMATCH(W$2,Table2[#Headers],0)))</f>
        <v>#N/A</v>
      </c>
      <c r="X473" s="4" t="e">
        <f t="shared" si="126"/>
        <v>#N/A</v>
      </c>
      <c r="Y473" s="4" t="e" cm="1">
        <f t="array" ref="Y473">IF(INDEX(Table2[],_xlfn.XMATCH($A473,Table2[Steel Member],0),_xlfn.XMATCH(Y$2,Table2[#Headers],0))=0,"",INDEX(Table2[],_xlfn.XMATCH($A473,Table2[Steel Member],0),_xlfn.XMATCH(Y$2,Table2[#Headers],0)))</f>
        <v>#N/A</v>
      </c>
      <c r="Z473" s="4" t="e" cm="1">
        <f t="array" ref="Z473">IF(INDEX(Table2[],_xlfn.XMATCH($A473,Table2[Steel Member],0),_xlfn.XMATCH(Z$2,Table2[#Headers],0))=0,"",INDEX(Table2[],_xlfn.XMATCH($A473,Table2[Steel Member],0),_xlfn.XMATCH(Z$2,Table2[#Headers],0)))</f>
        <v>#N/A</v>
      </c>
      <c r="AA473" s="4" t="e" cm="1">
        <f t="array" ref="AA473">IF(INDEX(Table2[],_xlfn.XMATCH($A473,Table2[Steel Member],0),_xlfn.XMATCH(AA$2,Table2[#Headers],0))=0,"",INDEX(Table2[],_xlfn.XMATCH($A473,Table2[Steel Member],0),_xlfn.XMATCH(AA$2,Table2[#Headers],0)))</f>
        <v>#N/A</v>
      </c>
      <c r="AB473" s="4" t="e" cm="1">
        <f t="array" ref="AB473">IF(INDEX(Table2[],_xlfn.XMATCH($A473,Table2[Steel Member],0),_xlfn.XMATCH(AB$2,Table2[#Headers],0))=0,"",INDEX(Table2[],_xlfn.XMATCH($A473,Table2[Steel Member],0),_xlfn.XMATCH(AB$2,Table2[#Headers],0)))</f>
        <v>#N/A</v>
      </c>
      <c r="AC473" s="4" t="str" cm="1">
        <f t="array" ref="AC473">IFERROR(INDEX(Table8[],_xlfn.XMATCH($O473,Table8[Dimension Name Category],0),_xlfn.XMATCH(AC$2&amp;IF($L473," w/ tag"," w/o tag"),Table8[#Headers],0)),"")</f>
        <v/>
      </c>
      <c r="AD473" s="59" t="str">
        <f t="shared" si="117"/>
        <v/>
      </c>
      <c r="AE473" s="4" t="str">
        <f t="shared" si="118"/>
        <v/>
      </c>
      <c r="AF473" s="4" t="str">
        <f t="shared" si="119"/>
        <v/>
      </c>
      <c r="AG473" s="4" t="str" cm="1">
        <f t="array" ref="AG473">IFERROR(INDEX(Table8[],_xlfn.XMATCH($O473,Table8[Dimension Name Category],0),_xlfn.XMATCH(AG$2&amp;IF($L473," w/ tag"," w/o tag"),Table8[#Headers],0)),"")</f>
        <v/>
      </c>
      <c r="AH473" s="59" t="str">
        <f t="shared" si="120"/>
        <v/>
      </c>
      <c r="AI473" s="4"/>
      <c r="AJ473" s="4" t="str">
        <f t="shared" si="121"/>
        <v/>
      </c>
      <c r="AK473" s="4" t="str">
        <f t="shared" si="122"/>
        <v/>
      </c>
      <c r="AL473" s="4" t="e" cm="1">
        <f t="array" ref="AL473">IF(INDEX(Table2[],_xlfn.XMATCH($A473,Table2[Steel Member],0),_xlfn.XMATCH(AL$2,Table2[#Headers],0))=0,"",INDEX(Table2[],_xlfn.XMATCH($A473,Table2[Steel Member],0),_xlfn.XMATCH(AL$2,Table2[#Headers],0)))</f>
        <v>#N/A</v>
      </c>
      <c r="AM473" s="4"/>
      <c r="AN473" s="4" t="str">
        <f t="shared" si="123"/>
        <v/>
      </c>
      <c r="AO473" s="4"/>
      <c r="AP473" s="4" t="e" cm="1">
        <f t="array" ref="AP473">IF(INDEX(Table2[],_xlfn.XMATCH($A473,Table2[Steel Member],0),_xlfn.XMATCH(AP$2,Table2[#Headers],0))=0,"",INDEX(Table2[],_xlfn.XMATCH($A473,Table2[Steel Member],0),_xlfn.XMATCH(AP$2,Table2[#Headers],0)))</f>
        <v>#N/A</v>
      </c>
      <c r="AQ473" s="4"/>
      <c r="AR473" s="4"/>
      <c r="AS473" s="4"/>
      <c r="AT473" s="4"/>
    </row>
    <row r="474" spans="1:46" x14ac:dyDescent="0.25">
      <c r="A474" s="52"/>
      <c r="B474" s="52"/>
      <c r="C474" s="52"/>
      <c r="D474" s="52"/>
      <c r="E474" s="52"/>
      <c r="F474" s="64" cm="1">
        <f t="array" ref="F474">IF(COUNT(FIND(PurlinsxGirthsxBracings,$C474))&gt;0,0,ROUNDUP(IF(D474=0,0,VLOOKUP(D474,'DATA SHEET'!$B:$D,2,FALSE)),2))</f>
        <v>0</v>
      </c>
      <c r="G474" s="64" cm="1">
        <f t="array" ref="G474">IF(COUNT(FIND(PurlinsxGirthsxBracings,$C474))&gt;0,0,ROUNDUP(IF(D474=0,0,VLOOKUP(D474,'DATA SHEET'!$B:$D,3,FALSE)),2))</f>
        <v>0</v>
      </c>
      <c r="H474" s="53"/>
      <c r="I474" s="66" cm="1">
        <f t="array" ref="I474">IF(AND(ISBLANK(B474),ISBLANK(C474),ISBLANK(E474)),0,IF(COUNT(FIND(PurlinsxGirthsxBracings,$C474))&gt;0,IF(B474=0,CONCATENATE(E474," ",C474),CONCATENATE(B474," - ",E474," ",C474)),IF(B474=0,IF(ISBLANK(C474),E474,CONCATENATE(D474,", ",F474,"kg/m, ",G474,"mm surface perimeter")),IF(AND(ISBLANK(C474),ISTEXT(E474)),CONCATENATE(B474," - ",E474),IF(AND(ISBLANK(C474),ISBLANK(E474)),B474,CONCATENATE(B474," - ",D474,", ",F474,"kg/m, ",G474,"mm surface perimeter"))))&amp;IF(ISBLANK(H474),"",H474)))</f>
        <v>0</v>
      </c>
      <c r="J474" s="53"/>
      <c r="L474" s="4" t="str" cm="1">
        <f t="array" ref="L474">IF(COUNT(FIND({0,1,2,3,4,5,6,7,8,9},B474))&gt;0,COUNT(FIND({0,1,2,3,4,5,6,7,8,9},B474))&gt;0,"")</f>
        <v/>
      </c>
      <c r="M474" s="4" t="str" cm="1">
        <f t="array" aca="1" ref="M474" ca="1">IFERROR(_xlfn.IFS(R474="Count",RANDBETWEEN(1,COUNTIF($R$11:$R$653,"Count")),R474="Length",RANDBETWEEN(1,COUNTIF($R$11:$R$653,"Length"))),"")</f>
        <v/>
      </c>
      <c r="N474" s="4" t="str">
        <f ca="1">IFERROR(_xlfn.RANK.EQ(M474,$M$11:$M$653)+COUNTIF($M$11:M474,M474)-1,"")</f>
        <v/>
      </c>
      <c r="O474" s="86" t="str">
        <f>IF(A474='DATA SHEET'!$L$36,C474,IFERROR(IF(AND(ISTEXT(I474),ISBLANK(C474)),"No details",VLOOKUP(C474,DimFolder,2,FALSE)),""))</f>
        <v/>
      </c>
      <c r="P474" s="4" t="str">
        <f t="shared" si="125"/>
        <v/>
      </c>
      <c r="Q474" s="58" t="str">
        <f t="shared" si="124"/>
        <v/>
      </c>
      <c r="R474" s="4" t="e" cm="1">
        <f t="array" ref="R474">IF(INDEX(Table2[],_xlfn.XMATCH($A474,Table2[Steel Member],0),_xlfn.XMATCH(R$2,Table2[#Headers],0))=0,"",INDEX(Table2[],_xlfn.XMATCH($A474,Table2[Steel Member],0),_xlfn.XMATCH(R$2,Table2[#Headers],0)))</f>
        <v>#N/A</v>
      </c>
      <c r="S474" s="4" t="e" cm="1">
        <f t="array" ref="S474">IF(INDEX(Table2[],_xlfn.XMATCH($A474,Table2[Steel Member],0),_xlfn.XMATCH(S$2,Table2[#Headers],0))=0,"",INDEX(Table2[],_xlfn.XMATCH($A474,Table2[Steel Member],0),_xlfn.XMATCH(S$2,Table2[#Headers],0)))</f>
        <v>#N/A</v>
      </c>
      <c r="T474" s="4" t="str">
        <f t="shared" si="115"/>
        <v/>
      </c>
      <c r="U474" s="4" t="e">
        <f ca="1">VLOOKUP(N474,'COLOR CODE'!$B:$D,2,FALSE)</f>
        <v>#N/A</v>
      </c>
      <c r="V474" s="4" t="str">
        <f t="shared" si="116"/>
        <v/>
      </c>
      <c r="W474" s="4" t="e" cm="1">
        <f t="array" ref="W474">IF(INDEX(Table2[],_xlfn.XMATCH($A474,Table2[Steel Member],0),_xlfn.XMATCH(W$2,Table2[#Headers],0))=0,"",INDEX(Table2[],_xlfn.XMATCH($A474,Table2[Steel Member],0),_xlfn.XMATCH(W$2,Table2[#Headers],0)))</f>
        <v>#N/A</v>
      </c>
      <c r="X474" s="4" t="e">
        <f t="shared" si="126"/>
        <v>#N/A</v>
      </c>
      <c r="Y474" s="4" t="e" cm="1">
        <f t="array" ref="Y474">IF(INDEX(Table2[],_xlfn.XMATCH($A474,Table2[Steel Member],0),_xlfn.XMATCH(Y$2,Table2[#Headers],0))=0,"",INDEX(Table2[],_xlfn.XMATCH($A474,Table2[Steel Member],0),_xlfn.XMATCH(Y$2,Table2[#Headers],0)))</f>
        <v>#N/A</v>
      </c>
      <c r="Z474" s="4" t="e" cm="1">
        <f t="array" ref="Z474">IF(INDEX(Table2[],_xlfn.XMATCH($A474,Table2[Steel Member],0),_xlfn.XMATCH(Z$2,Table2[#Headers],0))=0,"",INDEX(Table2[],_xlfn.XMATCH($A474,Table2[Steel Member],0),_xlfn.XMATCH(Z$2,Table2[#Headers],0)))</f>
        <v>#N/A</v>
      </c>
      <c r="AA474" s="4" t="e" cm="1">
        <f t="array" ref="AA474">IF(INDEX(Table2[],_xlfn.XMATCH($A474,Table2[Steel Member],0),_xlfn.XMATCH(AA$2,Table2[#Headers],0))=0,"",INDEX(Table2[],_xlfn.XMATCH($A474,Table2[Steel Member],0),_xlfn.XMATCH(AA$2,Table2[#Headers],0)))</f>
        <v>#N/A</v>
      </c>
      <c r="AB474" s="4" t="e" cm="1">
        <f t="array" ref="AB474">IF(INDEX(Table2[],_xlfn.XMATCH($A474,Table2[Steel Member],0),_xlfn.XMATCH(AB$2,Table2[#Headers],0))=0,"",INDEX(Table2[],_xlfn.XMATCH($A474,Table2[Steel Member],0),_xlfn.XMATCH(AB$2,Table2[#Headers],0)))</f>
        <v>#N/A</v>
      </c>
      <c r="AC474" s="4" t="str" cm="1">
        <f t="array" ref="AC474">IFERROR(INDEX(Table8[],_xlfn.XMATCH($O474,Table8[Dimension Name Category],0),_xlfn.XMATCH(AC$2&amp;IF($L474," w/ tag"," w/o tag"),Table8[#Headers],0)),"")</f>
        <v/>
      </c>
      <c r="AD474" s="59" t="str">
        <f t="shared" si="117"/>
        <v/>
      </c>
      <c r="AE474" s="4" t="str">
        <f t="shared" si="118"/>
        <v/>
      </c>
      <c r="AF474" s="4" t="str">
        <f t="shared" si="119"/>
        <v/>
      </c>
      <c r="AG474" s="4" t="str" cm="1">
        <f t="array" ref="AG474">IFERROR(INDEX(Table8[],_xlfn.XMATCH($O474,Table8[Dimension Name Category],0),_xlfn.XMATCH(AG$2&amp;IF($L474," w/ tag"," w/o tag"),Table8[#Headers],0)),"")</f>
        <v/>
      </c>
      <c r="AH474" s="59" t="str">
        <f t="shared" si="120"/>
        <v/>
      </c>
      <c r="AI474" s="4"/>
      <c r="AJ474" s="4" t="str">
        <f t="shared" si="121"/>
        <v/>
      </c>
      <c r="AK474" s="4" t="str">
        <f t="shared" si="122"/>
        <v/>
      </c>
      <c r="AL474" s="4" t="e" cm="1">
        <f t="array" ref="AL474">IF(INDEX(Table2[],_xlfn.XMATCH($A474,Table2[Steel Member],0),_xlfn.XMATCH(AL$2,Table2[#Headers],0))=0,"",INDEX(Table2[],_xlfn.XMATCH($A474,Table2[Steel Member],0),_xlfn.XMATCH(AL$2,Table2[#Headers],0)))</f>
        <v>#N/A</v>
      </c>
      <c r="AM474" s="4"/>
      <c r="AN474" s="4" t="str">
        <f t="shared" si="123"/>
        <v/>
      </c>
      <c r="AO474" s="4"/>
      <c r="AP474" s="4" t="e" cm="1">
        <f t="array" ref="AP474">IF(INDEX(Table2[],_xlfn.XMATCH($A474,Table2[Steel Member],0),_xlfn.XMATCH(AP$2,Table2[#Headers],0))=0,"",INDEX(Table2[],_xlfn.XMATCH($A474,Table2[Steel Member],0),_xlfn.XMATCH(AP$2,Table2[#Headers],0)))</f>
        <v>#N/A</v>
      </c>
      <c r="AQ474" s="4"/>
      <c r="AR474" s="4"/>
      <c r="AS474" s="4"/>
      <c r="AT474" s="4"/>
    </row>
    <row r="475" spans="1:46" x14ac:dyDescent="0.25">
      <c r="A475" s="52"/>
      <c r="B475" s="52"/>
      <c r="C475" s="52"/>
      <c r="D475" s="52"/>
      <c r="E475" s="52"/>
      <c r="F475" s="64" cm="1">
        <f t="array" ref="F475">IF(COUNT(FIND(PurlinsxGirthsxBracings,$C475))&gt;0,0,ROUNDUP(IF(D475=0,0,VLOOKUP(D475,'DATA SHEET'!$B:$D,2,FALSE)),2))</f>
        <v>0</v>
      </c>
      <c r="G475" s="64" cm="1">
        <f t="array" ref="G475">IF(COUNT(FIND(PurlinsxGirthsxBracings,$C475))&gt;0,0,ROUNDUP(IF(D475=0,0,VLOOKUP(D475,'DATA SHEET'!$B:$D,3,FALSE)),2))</f>
        <v>0</v>
      </c>
      <c r="H475" s="53"/>
      <c r="I475" s="66" cm="1">
        <f t="array" ref="I475">IF(AND(ISBLANK(B475),ISBLANK(C475),ISBLANK(E475)),0,IF(COUNT(FIND(PurlinsxGirthsxBracings,$C475))&gt;0,IF(B475=0,CONCATENATE(E475," ",C475),CONCATENATE(B475," - ",E475," ",C475)),IF(B475=0,IF(ISBLANK(C475),E475,CONCATENATE(D475,", ",F475,"kg/m, ",G475,"mm surface perimeter")),IF(AND(ISBLANK(C475),ISTEXT(E475)),CONCATENATE(B475," - ",E475),IF(AND(ISBLANK(C475),ISBLANK(E475)),B475,CONCATENATE(B475," - ",D475,", ",F475,"kg/m, ",G475,"mm surface perimeter"))))&amp;IF(ISBLANK(H475),"",H475)))</f>
        <v>0</v>
      </c>
      <c r="J475" s="53"/>
      <c r="L475" s="4" t="str" cm="1">
        <f t="array" ref="L475">IF(COUNT(FIND({0,1,2,3,4,5,6,7,8,9},B475))&gt;0,COUNT(FIND({0,1,2,3,4,5,6,7,8,9},B475))&gt;0,"")</f>
        <v/>
      </c>
      <c r="M475" s="4" t="str" cm="1">
        <f t="array" aca="1" ref="M475" ca="1">IFERROR(_xlfn.IFS(R475="Count",RANDBETWEEN(1,COUNTIF($R$11:$R$653,"Count")),R475="Length",RANDBETWEEN(1,COUNTIF($R$11:$R$653,"Length"))),"")</f>
        <v/>
      </c>
      <c r="N475" s="4" t="str">
        <f ca="1">IFERROR(_xlfn.RANK.EQ(M475,$M$11:$M$653)+COUNTIF($M$11:M475,M475)-1,"")</f>
        <v/>
      </c>
      <c r="O475" s="86" t="str">
        <f>IF(A475='DATA SHEET'!$L$36,C475,IFERROR(IF(AND(ISTEXT(I475),ISBLANK(C475)),"No details",VLOOKUP(C475,DimFolder,2,FALSE)),""))</f>
        <v/>
      </c>
      <c r="P475" s="4" t="str">
        <f t="shared" si="125"/>
        <v/>
      </c>
      <c r="Q475" s="58" t="str">
        <f t="shared" si="124"/>
        <v/>
      </c>
      <c r="R475" s="4" t="e" cm="1">
        <f t="array" ref="R475">IF(INDEX(Table2[],_xlfn.XMATCH($A475,Table2[Steel Member],0),_xlfn.XMATCH(R$2,Table2[#Headers],0))=0,"",INDEX(Table2[],_xlfn.XMATCH($A475,Table2[Steel Member],0),_xlfn.XMATCH(R$2,Table2[#Headers],0)))</f>
        <v>#N/A</v>
      </c>
      <c r="S475" s="4" t="e" cm="1">
        <f t="array" ref="S475">IF(INDEX(Table2[],_xlfn.XMATCH($A475,Table2[Steel Member],0),_xlfn.XMATCH(S$2,Table2[#Headers],0))=0,"",INDEX(Table2[],_xlfn.XMATCH($A475,Table2[Steel Member],0),_xlfn.XMATCH(S$2,Table2[#Headers],0)))</f>
        <v>#N/A</v>
      </c>
      <c r="T475" s="4" t="str">
        <f t="shared" si="115"/>
        <v/>
      </c>
      <c r="U475" s="4" t="e">
        <f ca="1">VLOOKUP(N475,'COLOR CODE'!$B:$D,2,FALSE)</f>
        <v>#N/A</v>
      </c>
      <c r="V475" s="4" t="str">
        <f t="shared" si="116"/>
        <v/>
      </c>
      <c r="W475" s="4" t="e" cm="1">
        <f t="array" ref="W475">IF(INDEX(Table2[],_xlfn.XMATCH($A475,Table2[Steel Member],0),_xlfn.XMATCH(W$2,Table2[#Headers],0))=0,"",INDEX(Table2[],_xlfn.XMATCH($A475,Table2[Steel Member],0),_xlfn.XMATCH(W$2,Table2[#Headers],0)))</f>
        <v>#N/A</v>
      </c>
      <c r="X475" s="4" t="e">
        <f t="shared" si="126"/>
        <v>#N/A</v>
      </c>
      <c r="Y475" s="4" t="e" cm="1">
        <f t="array" ref="Y475">IF(INDEX(Table2[],_xlfn.XMATCH($A475,Table2[Steel Member],0),_xlfn.XMATCH(Y$2,Table2[#Headers],0))=0,"",INDEX(Table2[],_xlfn.XMATCH($A475,Table2[Steel Member],0),_xlfn.XMATCH(Y$2,Table2[#Headers],0)))</f>
        <v>#N/A</v>
      </c>
      <c r="Z475" s="4" t="e" cm="1">
        <f t="array" ref="Z475">IF(INDEX(Table2[],_xlfn.XMATCH($A475,Table2[Steel Member],0),_xlfn.XMATCH(Z$2,Table2[#Headers],0))=0,"",INDEX(Table2[],_xlfn.XMATCH($A475,Table2[Steel Member],0),_xlfn.XMATCH(Z$2,Table2[#Headers],0)))</f>
        <v>#N/A</v>
      </c>
      <c r="AA475" s="4" t="e" cm="1">
        <f t="array" ref="AA475">IF(INDEX(Table2[],_xlfn.XMATCH($A475,Table2[Steel Member],0),_xlfn.XMATCH(AA$2,Table2[#Headers],0))=0,"",INDEX(Table2[],_xlfn.XMATCH($A475,Table2[Steel Member],0),_xlfn.XMATCH(AA$2,Table2[#Headers],0)))</f>
        <v>#N/A</v>
      </c>
      <c r="AB475" s="4" t="e" cm="1">
        <f t="array" ref="AB475">IF(INDEX(Table2[],_xlfn.XMATCH($A475,Table2[Steel Member],0),_xlfn.XMATCH(AB$2,Table2[#Headers],0))=0,"",INDEX(Table2[],_xlfn.XMATCH($A475,Table2[Steel Member],0),_xlfn.XMATCH(AB$2,Table2[#Headers],0)))</f>
        <v>#N/A</v>
      </c>
      <c r="AC475" s="4" t="str" cm="1">
        <f t="array" ref="AC475">IFERROR(INDEX(Table8[],_xlfn.XMATCH($O475,Table8[Dimension Name Category],0),_xlfn.XMATCH(AC$2&amp;IF($L475," w/ tag"," w/o tag"),Table8[#Headers],0)),"")</f>
        <v/>
      </c>
      <c r="AD475" s="59" t="str">
        <f t="shared" si="117"/>
        <v/>
      </c>
      <c r="AE475" s="4" t="str">
        <f t="shared" si="118"/>
        <v/>
      </c>
      <c r="AF475" s="4" t="str">
        <f t="shared" si="119"/>
        <v/>
      </c>
      <c r="AG475" s="4" t="str" cm="1">
        <f t="array" ref="AG475">IFERROR(INDEX(Table8[],_xlfn.XMATCH($O475,Table8[Dimension Name Category],0),_xlfn.XMATCH(AG$2&amp;IF($L475," w/ tag"," w/o tag"),Table8[#Headers],0)),"")</f>
        <v/>
      </c>
      <c r="AH475" s="59" t="str">
        <f t="shared" si="120"/>
        <v/>
      </c>
      <c r="AI475" s="4"/>
      <c r="AJ475" s="4" t="str">
        <f t="shared" si="121"/>
        <v/>
      </c>
      <c r="AK475" s="4" t="str">
        <f t="shared" si="122"/>
        <v/>
      </c>
      <c r="AL475" s="4" t="e" cm="1">
        <f t="array" ref="AL475">IF(INDEX(Table2[],_xlfn.XMATCH($A475,Table2[Steel Member],0),_xlfn.XMATCH(AL$2,Table2[#Headers],0))=0,"",INDEX(Table2[],_xlfn.XMATCH($A475,Table2[Steel Member],0),_xlfn.XMATCH(AL$2,Table2[#Headers],0)))</f>
        <v>#N/A</v>
      </c>
      <c r="AM475" s="4"/>
      <c r="AN475" s="4" t="str">
        <f t="shared" si="123"/>
        <v/>
      </c>
      <c r="AO475" s="4"/>
      <c r="AP475" s="4" t="e" cm="1">
        <f t="array" ref="AP475">IF(INDEX(Table2[],_xlfn.XMATCH($A475,Table2[Steel Member],0),_xlfn.XMATCH(AP$2,Table2[#Headers],0))=0,"",INDEX(Table2[],_xlfn.XMATCH($A475,Table2[Steel Member],0),_xlfn.XMATCH(AP$2,Table2[#Headers],0)))</f>
        <v>#N/A</v>
      </c>
      <c r="AQ475" s="4"/>
      <c r="AR475" s="4"/>
      <c r="AS475" s="4"/>
      <c r="AT475" s="4"/>
    </row>
    <row r="476" spans="1:46" x14ac:dyDescent="0.25">
      <c r="A476" s="52"/>
      <c r="B476" s="52"/>
      <c r="C476" s="52"/>
      <c r="D476" s="52"/>
      <c r="E476" s="52"/>
      <c r="F476" s="64" cm="1">
        <f t="array" ref="F476">IF(COUNT(FIND(PurlinsxGirthsxBracings,$C476))&gt;0,0,ROUNDUP(IF(D476=0,0,VLOOKUP(D476,'DATA SHEET'!$B:$D,2,FALSE)),2))</f>
        <v>0</v>
      </c>
      <c r="G476" s="64" cm="1">
        <f t="array" ref="G476">IF(COUNT(FIND(PurlinsxGirthsxBracings,$C476))&gt;0,0,ROUNDUP(IF(D476=0,0,VLOOKUP(D476,'DATA SHEET'!$B:$D,3,FALSE)),2))</f>
        <v>0</v>
      </c>
      <c r="H476" s="53"/>
      <c r="I476" s="66" cm="1">
        <f t="array" ref="I476">IF(AND(ISBLANK(B476),ISBLANK(C476),ISBLANK(E476)),0,IF(COUNT(FIND(PurlinsxGirthsxBracings,$C476))&gt;0,IF(B476=0,CONCATENATE(E476," ",C476),CONCATENATE(B476," - ",E476," ",C476)),IF(B476=0,IF(ISBLANK(C476),E476,CONCATENATE(D476,", ",F476,"kg/m, ",G476,"mm surface perimeter")),IF(AND(ISBLANK(C476),ISTEXT(E476)),CONCATENATE(B476," - ",E476),IF(AND(ISBLANK(C476),ISBLANK(E476)),B476,CONCATENATE(B476," - ",D476,", ",F476,"kg/m, ",G476,"mm surface perimeter"))))&amp;IF(ISBLANK(H476),"",H476)))</f>
        <v>0</v>
      </c>
      <c r="J476" s="53"/>
      <c r="L476" s="4" t="str" cm="1">
        <f t="array" ref="L476">IF(COUNT(FIND({0,1,2,3,4,5,6,7,8,9},B476))&gt;0,COUNT(FIND({0,1,2,3,4,5,6,7,8,9},B476))&gt;0,"")</f>
        <v/>
      </c>
      <c r="M476" s="4" t="str" cm="1">
        <f t="array" aca="1" ref="M476" ca="1">IFERROR(_xlfn.IFS(R476="Count",RANDBETWEEN(1,COUNTIF($R$11:$R$653,"Count")),R476="Length",RANDBETWEEN(1,COUNTIF($R$11:$R$653,"Length"))),"")</f>
        <v/>
      </c>
      <c r="N476" s="4" t="str">
        <f ca="1">IFERROR(_xlfn.RANK.EQ(M476,$M$11:$M$653)+COUNTIF($M$11:M476,M476)-1,"")</f>
        <v/>
      </c>
      <c r="O476" s="86" t="str">
        <f>IF(A476='DATA SHEET'!$L$36,C476,IFERROR(IF(AND(ISTEXT(I476),ISBLANK(C476)),"No details",VLOOKUP(C476,DimFolder,2,FALSE)),""))</f>
        <v/>
      </c>
      <c r="P476" s="4" t="str">
        <f t="shared" si="125"/>
        <v/>
      </c>
      <c r="Q476" s="58" t="str">
        <f t="shared" si="124"/>
        <v/>
      </c>
      <c r="R476" s="4" t="e" cm="1">
        <f t="array" ref="R476">IF(INDEX(Table2[],_xlfn.XMATCH($A476,Table2[Steel Member],0),_xlfn.XMATCH(R$2,Table2[#Headers],0))=0,"",INDEX(Table2[],_xlfn.XMATCH($A476,Table2[Steel Member],0),_xlfn.XMATCH(R$2,Table2[#Headers],0)))</f>
        <v>#N/A</v>
      </c>
      <c r="S476" s="4" t="e" cm="1">
        <f t="array" ref="S476">IF(INDEX(Table2[],_xlfn.XMATCH($A476,Table2[Steel Member],0),_xlfn.XMATCH(S$2,Table2[#Headers],0))=0,"",INDEX(Table2[],_xlfn.XMATCH($A476,Table2[Steel Member],0),_xlfn.XMATCH(S$2,Table2[#Headers],0)))</f>
        <v>#N/A</v>
      </c>
      <c r="T476" s="4" t="str">
        <f t="shared" si="115"/>
        <v/>
      </c>
      <c r="U476" s="4" t="e">
        <f ca="1">VLOOKUP(N476,'COLOR CODE'!$B:$D,2,FALSE)</f>
        <v>#N/A</v>
      </c>
      <c r="V476" s="4" t="str">
        <f t="shared" si="116"/>
        <v/>
      </c>
      <c r="W476" s="4" t="e" cm="1">
        <f t="array" ref="W476">IF(INDEX(Table2[],_xlfn.XMATCH($A476,Table2[Steel Member],0),_xlfn.XMATCH(W$2,Table2[#Headers],0))=0,"",INDEX(Table2[],_xlfn.XMATCH($A476,Table2[Steel Member],0),_xlfn.XMATCH(W$2,Table2[#Headers],0)))</f>
        <v>#N/A</v>
      </c>
      <c r="X476" s="4" t="e">
        <f t="shared" si="126"/>
        <v>#N/A</v>
      </c>
      <c r="Y476" s="4" t="e" cm="1">
        <f t="array" ref="Y476">IF(INDEX(Table2[],_xlfn.XMATCH($A476,Table2[Steel Member],0),_xlfn.XMATCH(Y$2,Table2[#Headers],0))=0,"",INDEX(Table2[],_xlfn.XMATCH($A476,Table2[Steel Member],0),_xlfn.XMATCH(Y$2,Table2[#Headers],0)))</f>
        <v>#N/A</v>
      </c>
      <c r="Z476" s="4" t="e" cm="1">
        <f t="array" ref="Z476">IF(INDEX(Table2[],_xlfn.XMATCH($A476,Table2[Steel Member],0),_xlfn.XMATCH(Z$2,Table2[#Headers],0))=0,"",INDEX(Table2[],_xlfn.XMATCH($A476,Table2[Steel Member],0),_xlfn.XMATCH(Z$2,Table2[#Headers],0)))</f>
        <v>#N/A</v>
      </c>
      <c r="AA476" s="4" t="e" cm="1">
        <f t="array" ref="AA476">IF(INDEX(Table2[],_xlfn.XMATCH($A476,Table2[Steel Member],0),_xlfn.XMATCH(AA$2,Table2[#Headers],0))=0,"",INDEX(Table2[],_xlfn.XMATCH($A476,Table2[Steel Member],0),_xlfn.XMATCH(AA$2,Table2[#Headers],0)))</f>
        <v>#N/A</v>
      </c>
      <c r="AB476" s="4" t="e" cm="1">
        <f t="array" ref="AB476">IF(INDEX(Table2[],_xlfn.XMATCH($A476,Table2[Steel Member],0),_xlfn.XMATCH(AB$2,Table2[#Headers],0))=0,"",INDEX(Table2[],_xlfn.XMATCH($A476,Table2[Steel Member],0),_xlfn.XMATCH(AB$2,Table2[#Headers],0)))</f>
        <v>#N/A</v>
      </c>
      <c r="AC476" s="4" t="str" cm="1">
        <f t="array" ref="AC476">IFERROR(INDEX(Table8[],_xlfn.XMATCH($O476,Table8[Dimension Name Category],0),_xlfn.XMATCH(AC$2&amp;IF($L476," w/ tag"," w/o tag"),Table8[#Headers],0)),"")</f>
        <v/>
      </c>
      <c r="AD476" s="59" t="str">
        <f t="shared" si="117"/>
        <v/>
      </c>
      <c r="AE476" s="4" t="str">
        <f t="shared" si="118"/>
        <v/>
      </c>
      <c r="AF476" s="4" t="str">
        <f t="shared" si="119"/>
        <v/>
      </c>
      <c r="AG476" s="4" t="str" cm="1">
        <f t="array" ref="AG476">IFERROR(INDEX(Table8[],_xlfn.XMATCH($O476,Table8[Dimension Name Category],0),_xlfn.XMATCH(AG$2&amp;IF($L476," w/ tag"," w/o tag"),Table8[#Headers],0)),"")</f>
        <v/>
      </c>
      <c r="AH476" s="59" t="str">
        <f t="shared" si="120"/>
        <v/>
      </c>
      <c r="AI476" s="4"/>
      <c r="AJ476" s="4" t="str">
        <f t="shared" si="121"/>
        <v/>
      </c>
      <c r="AK476" s="4" t="str">
        <f t="shared" si="122"/>
        <v/>
      </c>
      <c r="AL476" s="4" t="e" cm="1">
        <f t="array" ref="AL476">IF(INDEX(Table2[],_xlfn.XMATCH($A476,Table2[Steel Member],0),_xlfn.XMATCH(AL$2,Table2[#Headers],0))=0,"",INDEX(Table2[],_xlfn.XMATCH($A476,Table2[Steel Member],0),_xlfn.XMATCH(AL$2,Table2[#Headers],0)))</f>
        <v>#N/A</v>
      </c>
      <c r="AM476" s="4"/>
      <c r="AN476" s="4" t="str">
        <f t="shared" si="123"/>
        <v/>
      </c>
      <c r="AO476" s="4"/>
      <c r="AP476" s="4" t="e" cm="1">
        <f t="array" ref="AP476">IF(INDEX(Table2[],_xlfn.XMATCH($A476,Table2[Steel Member],0),_xlfn.XMATCH(AP$2,Table2[#Headers],0))=0,"",INDEX(Table2[],_xlfn.XMATCH($A476,Table2[Steel Member],0),_xlfn.XMATCH(AP$2,Table2[#Headers],0)))</f>
        <v>#N/A</v>
      </c>
      <c r="AQ476" s="4"/>
      <c r="AR476" s="4"/>
      <c r="AS476" s="4"/>
      <c r="AT476" s="4"/>
    </row>
    <row r="477" spans="1:46" x14ac:dyDescent="0.25">
      <c r="A477" s="52"/>
      <c r="B477" s="52"/>
      <c r="C477" s="52"/>
      <c r="D477" s="52"/>
      <c r="E477" s="52"/>
      <c r="F477" s="64" cm="1">
        <f t="array" ref="F477">IF(COUNT(FIND(PurlinsxGirthsxBracings,$C477))&gt;0,0,ROUNDUP(IF(D477=0,0,VLOOKUP(D477,'DATA SHEET'!$B:$D,2,FALSE)),2))</f>
        <v>0</v>
      </c>
      <c r="G477" s="64" cm="1">
        <f t="array" ref="G477">IF(COUNT(FIND(PurlinsxGirthsxBracings,$C477))&gt;0,0,ROUNDUP(IF(D477=0,0,VLOOKUP(D477,'DATA SHEET'!$B:$D,3,FALSE)),2))</f>
        <v>0</v>
      </c>
      <c r="H477" s="53"/>
      <c r="I477" s="66" cm="1">
        <f t="array" ref="I477">IF(AND(ISBLANK(B477),ISBLANK(C477),ISBLANK(E477)),0,IF(COUNT(FIND(PurlinsxGirthsxBracings,$C477))&gt;0,IF(B477=0,CONCATENATE(E477," ",C477),CONCATENATE(B477," - ",E477," ",C477)),IF(B477=0,IF(ISBLANK(C477),E477,CONCATENATE(D477,", ",F477,"kg/m, ",G477,"mm surface perimeter")),IF(AND(ISBLANK(C477),ISTEXT(E477)),CONCATENATE(B477," - ",E477),IF(AND(ISBLANK(C477),ISBLANK(E477)),B477,CONCATENATE(B477," - ",D477,", ",F477,"kg/m, ",G477,"mm surface perimeter"))))&amp;IF(ISBLANK(H477),"",H477)))</f>
        <v>0</v>
      </c>
      <c r="J477" s="53"/>
      <c r="L477" s="4" t="str" cm="1">
        <f t="array" ref="L477">IF(COUNT(FIND({0,1,2,3,4,5,6,7,8,9},B477))&gt;0,COUNT(FIND({0,1,2,3,4,5,6,7,8,9},B477))&gt;0,"")</f>
        <v/>
      </c>
      <c r="M477" s="4" t="str" cm="1">
        <f t="array" aca="1" ref="M477" ca="1">IFERROR(_xlfn.IFS(R477="Count",RANDBETWEEN(1,COUNTIF($R$11:$R$653,"Count")),R477="Length",RANDBETWEEN(1,COUNTIF($R$11:$R$653,"Length"))),"")</f>
        <v/>
      </c>
      <c r="N477" s="4" t="str">
        <f ca="1">IFERROR(_xlfn.RANK.EQ(M477,$M$11:$M$653)+COUNTIF($M$11:M477,M477)-1,"")</f>
        <v/>
      </c>
      <c r="O477" s="86" t="str">
        <f>IF(A477='DATA SHEET'!$L$36,C477,IFERROR(IF(AND(ISTEXT(I477),ISBLANK(C477)),"No details",VLOOKUP(C477,DimFolder,2,FALSE)),""))</f>
        <v/>
      </c>
      <c r="P477" s="4" t="str">
        <f t="shared" si="125"/>
        <v/>
      </c>
      <c r="Q477" s="58" t="str">
        <f t="shared" si="124"/>
        <v/>
      </c>
      <c r="R477" s="4" t="e" cm="1">
        <f t="array" ref="R477">IF(INDEX(Table2[],_xlfn.XMATCH($A477,Table2[Steel Member],0),_xlfn.XMATCH(R$2,Table2[#Headers],0))=0,"",INDEX(Table2[],_xlfn.XMATCH($A477,Table2[Steel Member],0),_xlfn.XMATCH(R$2,Table2[#Headers],0)))</f>
        <v>#N/A</v>
      </c>
      <c r="S477" s="4" t="e" cm="1">
        <f t="array" ref="S477">IF(INDEX(Table2[],_xlfn.XMATCH($A477,Table2[Steel Member],0),_xlfn.XMATCH(S$2,Table2[#Headers],0))=0,"",INDEX(Table2[],_xlfn.XMATCH($A477,Table2[Steel Member],0),_xlfn.XMATCH(S$2,Table2[#Headers],0)))</f>
        <v>#N/A</v>
      </c>
      <c r="T477" s="4" t="str">
        <f t="shared" si="115"/>
        <v/>
      </c>
      <c r="U477" s="4" t="e">
        <f ca="1">VLOOKUP(N477,'COLOR CODE'!$B:$D,2,FALSE)</f>
        <v>#N/A</v>
      </c>
      <c r="V477" s="4" t="str">
        <f t="shared" si="116"/>
        <v/>
      </c>
      <c r="W477" s="4" t="e" cm="1">
        <f t="array" ref="W477">IF(INDEX(Table2[],_xlfn.XMATCH($A477,Table2[Steel Member],0),_xlfn.XMATCH(W$2,Table2[#Headers],0))=0,"",INDEX(Table2[],_xlfn.XMATCH($A477,Table2[Steel Member],0),_xlfn.XMATCH(W$2,Table2[#Headers],0)))</f>
        <v>#N/A</v>
      </c>
      <c r="X477" s="4" t="e">
        <f t="shared" si="126"/>
        <v>#N/A</v>
      </c>
      <c r="Y477" s="4" t="e" cm="1">
        <f t="array" ref="Y477">IF(INDEX(Table2[],_xlfn.XMATCH($A477,Table2[Steel Member],0),_xlfn.XMATCH(Y$2,Table2[#Headers],0))=0,"",INDEX(Table2[],_xlfn.XMATCH($A477,Table2[Steel Member],0),_xlfn.XMATCH(Y$2,Table2[#Headers],0)))</f>
        <v>#N/A</v>
      </c>
      <c r="Z477" s="4" t="e" cm="1">
        <f t="array" ref="Z477">IF(INDEX(Table2[],_xlfn.XMATCH($A477,Table2[Steel Member],0),_xlfn.XMATCH(Z$2,Table2[#Headers],0))=0,"",INDEX(Table2[],_xlfn.XMATCH($A477,Table2[Steel Member],0),_xlfn.XMATCH(Z$2,Table2[#Headers],0)))</f>
        <v>#N/A</v>
      </c>
      <c r="AA477" s="4" t="e" cm="1">
        <f t="array" ref="AA477">IF(INDEX(Table2[],_xlfn.XMATCH($A477,Table2[Steel Member],0),_xlfn.XMATCH(AA$2,Table2[#Headers],0))=0,"",INDEX(Table2[],_xlfn.XMATCH($A477,Table2[Steel Member],0),_xlfn.XMATCH(AA$2,Table2[#Headers],0)))</f>
        <v>#N/A</v>
      </c>
      <c r="AB477" s="4" t="e" cm="1">
        <f t="array" ref="AB477">IF(INDEX(Table2[],_xlfn.XMATCH($A477,Table2[Steel Member],0),_xlfn.XMATCH(AB$2,Table2[#Headers],0))=0,"",INDEX(Table2[],_xlfn.XMATCH($A477,Table2[Steel Member],0),_xlfn.XMATCH(AB$2,Table2[#Headers],0)))</f>
        <v>#N/A</v>
      </c>
      <c r="AC477" s="4" t="str" cm="1">
        <f t="array" ref="AC477">IFERROR(INDEX(Table8[],_xlfn.XMATCH($O477,Table8[Dimension Name Category],0),_xlfn.XMATCH(AC$2&amp;IF($L477," w/ tag"," w/o tag"),Table8[#Headers],0)),"")</f>
        <v/>
      </c>
      <c r="AD477" s="59" t="str">
        <f t="shared" si="117"/>
        <v/>
      </c>
      <c r="AE477" s="4" t="str">
        <f t="shared" si="118"/>
        <v/>
      </c>
      <c r="AF477" s="4" t="str">
        <f t="shared" si="119"/>
        <v/>
      </c>
      <c r="AG477" s="4" t="str" cm="1">
        <f t="array" ref="AG477">IFERROR(INDEX(Table8[],_xlfn.XMATCH($O477,Table8[Dimension Name Category],0),_xlfn.XMATCH(AG$2&amp;IF($L477," w/ tag"," w/o tag"),Table8[#Headers],0)),"")</f>
        <v/>
      </c>
      <c r="AH477" s="59" t="str">
        <f t="shared" si="120"/>
        <v/>
      </c>
      <c r="AI477" s="4"/>
      <c r="AJ477" s="4" t="str">
        <f t="shared" si="121"/>
        <v/>
      </c>
      <c r="AK477" s="4" t="str">
        <f t="shared" si="122"/>
        <v/>
      </c>
      <c r="AL477" s="4" t="e" cm="1">
        <f t="array" ref="AL477">IF(INDEX(Table2[],_xlfn.XMATCH($A477,Table2[Steel Member],0),_xlfn.XMATCH(AL$2,Table2[#Headers],0))=0,"",INDEX(Table2[],_xlfn.XMATCH($A477,Table2[Steel Member],0),_xlfn.XMATCH(AL$2,Table2[#Headers],0)))</f>
        <v>#N/A</v>
      </c>
      <c r="AM477" s="4"/>
      <c r="AN477" s="4" t="str">
        <f t="shared" si="123"/>
        <v/>
      </c>
      <c r="AO477" s="4"/>
      <c r="AP477" s="4" t="e" cm="1">
        <f t="array" ref="AP477">IF(INDEX(Table2[],_xlfn.XMATCH($A477,Table2[Steel Member],0),_xlfn.XMATCH(AP$2,Table2[#Headers],0))=0,"",INDEX(Table2[],_xlfn.XMATCH($A477,Table2[Steel Member],0),_xlfn.XMATCH(AP$2,Table2[#Headers],0)))</f>
        <v>#N/A</v>
      </c>
      <c r="AQ477" s="4"/>
      <c r="AR477" s="4"/>
      <c r="AS477" s="4"/>
      <c r="AT477" s="4"/>
    </row>
    <row r="478" spans="1:46" x14ac:dyDescent="0.25">
      <c r="A478" s="52"/>
      <c r="B478" s="52"/>
      <c r="C478" s="52"/>
      <c r="D478" s="52"/>
      <c r="E478" s="52"/>
      <c r="F478" s="64" cm="1">
        <f t="array" ref="F478">IF(COUNT(FIND(PurlinsxGirthsxBracings,$C478))&gt;0,0,ROUNDUP(IF(D478=0,0,VLOOKUP(D478,'DATA SHEET'!$B:$D,2,FALSE)),2))</f>
        <v>0</v>
      </c>
      <c r="G478" s="64" cm="1">
        <f t="array" ref="G478">IF(COUNT(FIND(PurlinsxGirthsxBracings,$C478))&gt;0,0,ROUNDUP(IF(D478=0,0,VLOOKUP(D478,'DATA SHEET'!$B:$D,3,FALSE)),2))</f>
        <v>0</v>
      </c>
      <c r="H478" s="53"/>
      <c r="I478" s="66" cm="1">
        <f t="array" ref="I478">IF(AND(ISBLANK(B478),ISBLANK(C478),ISBLANK(E478)),0,IF(COUNT(FIND(PurlinsxGirthsxBracings,$C478))&gt;0,IF(B478=0,CONCATENATE(E478," ",C478),CONCATENATE(B478," - ",E478," ",C478)),IF(B478=0,IF(ISBLANK(C478),E478,CONCATENATE(D478,", ",F478,"kg/m, ",G478,"mm surface perimeter")),IF(AND(ISBLANK(C478),ISTEXT(E478)),CONCATENATE(B478," - ",E478),IF(AND(ISBLANK(C478),ISBLANK(E478)),B478,CONCATENATE(B478," - ",D478,", ",F478,"kg/m, ",G478,"mm surface perimeter"))))&amp;IF(ISBLANK(H478),"",H478)))</f>
        <v>0</v>
      </c>
      <c r="J478" s="53"/>
      <c r="L478" s="4" t="str" cm="1">
        <f t="array" ref="L478">IF(COUNT(FIND({0,1,2,3,4,5,6,7,8,9},B478))&gt;0,COUNT(FIND({0,1,2,3,4,5,6,7,8,9},B478))&gt;0,"")</f>
        <v/>
      </c>
      <c r="M478" s="4" t="str" cm="1">
        <f t="array" aca="1" ref="M478" ca="1">IFERROR(_xlfn.IFS(R478="Count",RANDBETWEEN(1,COUNTIF($R$11:$R$653,"Count")),R478="Length",RANDBETWEEN(1,COUNTIF($R$11:$R$653,"Length"))),"")</f>
        <v/>
      </c>
      <c r="N478" s="4" t="str">
        <f ca="1">IFERROR(_xlfn.RANK.EQ(M478,$M$11:$M$653)+COUNTIF($M$11:M478,M478)-1,"")</f>
        <v/>
      </c>
      <c r="O478" s="86" t="str">
        <f>IF(A478='DATA SHEET'!$L$36,C478,IFERROR(IF(AND(ISTEXT(I478),ISBLANK(C478)),"No details",VLOOKUP(C478,DimFolder,2,FALSE)),""))</f>
        <v/>
      </c>
      <c r="P478" s="4" t="str">
        <f t="shared" si="125"/>
        <v/>
      </c>
      <c r="Q478" s="58" t="str">
        <f t="shared" si="124"/>
        <v/>
      </c>
      <c r="R478" s="4" t="e" cm="1">
        <f t="array" ref="R478">IF(INDEX(Table2[],_xlfn.XMATCH($A478,Table2[Steel Member],0),_xlfn.XMATCH(R$2,Table2[#Headers],0))=0,"",INDEX(Table2[],_xlfn.XMATCH($A478,Table2[Steel Member],0),_xlfn.XMATCH(R$2,Table2[#Headers],0)))</f>
        <v>#N/A</v>
      </c>
      <c r="S478" s="4" t="e" cm="1">
        <f t="array" ref="S478">IF(INDEX(Table2[],_xlfn.XMATCH($A478,Table2[Steel Member],0),_xlfn.XMATCH(S$2,Table2[#Headers],0))=0,"",INDEX(Table2[],_xlfn.XMATCH($A478,Table2[Steel Member],0),_xlfn.XMATCH(S$2,Table2[#Headers],0)))</f>
        <v>#N/A</v>
      </c>
      <c r="T478" s="4" t="str">
        <f t="shared" si="115"/>
        <v/>
      </c>
      <c r="U478" s="4" t="e">
        <f ca="1">VLOOKUP(N478,'COLOR CODE'!$B:$D,2,FALSE)</f>
        <v>#N/A</v>
      </c>
      <c r="V478" s="4" t="str">
        <f t="shared" si="116"/>
        <v/>
      </c>
      <c r="W478" s="4" t="e" cm="1">
        <f t="array" ref="W478">IF(INDEX(Table2[],_xlfn.XMATCH($A478,Table2[Steel Member],0),_xlfn.XMATCH(W$2,Table2[#Headers],0))=0,"",INDEX(Table2[],_xlfn.XMATCH($A478,Table2[Steel Member],0),_xlfn.XMATCH(W$2,Table2[#Headers],0)))</f>
        <v>#N/A</v>
      </c>
      <c r="X478" s="4" t="e">
        <f t="shared" si="126"/>
        <v>#N/A</v>
      </c>
      <c r="Y478" s="4" t="e" cm="1">
        <f t="array" ref="Y478">IF(INDEX(Table2[],_xlfn.XMATCH($A478,Table2[Steel Member],0),_xlfn.XMATCH(Y$2,Table2[#Headers],0))=0,"",INDEX(Table2[],_xlfn.XMATCH($A478,Table2[Steel Member],0),_xlfn.XMATCH(Y$2,Table2[#Headers],0)))</f>
        <v>#N/A</v>
      </c>
      <c r="Z478" s="4" t="e" cm="1">
        <f t="array" ref="Z478">IF(INDEX(Table2[],_xlfn.XMATCH($A478,Table2[Steel Member],0),_xlfn.XMATCH(Z$2,Table2[#Headers],0))=0,"",INDEX(Table2[],_xlfn.XMATCH($A478,Table2[Steel Member],0),_xlfn.XMATCH(Z$2,Table2[#Headers],0)))</f>
        <v>#N/A</v>
      </c>
      <c r="AA478" s="4" t="e" cm="1">
        <f t="array" ref="AA478">IF(INDEX(Table2[],_xlfn.XMATCH($A478,Table2[Steel Member],0),_xlfn.XMATCH(AA$2,Table2[#Headers],0))=0,"",INDEX(Table2[],_xlfn.XMATCH($A478,Table2[Steel Member],0),_xlfn.XMATCH(AA$2,Table2[#Headers],0)))</f>
        <v>#N/A</v>
      </c>
      <c r="AB478" s="4" t="e" cm="1">
        <f t="array" ref="AB478">IF(INDEX(Table2[],_xlfn.XMATCH($A478,Table2[Steel Member],0),_xlfn.XMATCH(AB$2,Table2[#Headers],0))=0,"",INDEX(Table2[],_xlfn.XMATCH($A478,Table2[Steel Member],0),_xlfn.XMATCH(AB$2,Table2[#Headers],0)))</f>
        <v>#N/A</v>
      </c>
      <c r="AC478" s="4" t="str" cm="1">
        <f t="array" ref="AC478">IFERROR(INDEX(Table8[],_xlfn.XMATCH($O478,Table8[Dimension Name Category],0),_xlfn.XMATCH(AC$2&amp;IF($L478," w/ tag"," w/o tag"),Table8[#Headers],0)),"")</f>
        <v/>
      </c>
      <c r="AD478" s="59" t="str">
        <f t="shared" si="117"/>
        <v/>
      </c>
      <c r="AE478" s="4" t="str">
        <f t="shared" si="118"/>
        <v/>
      </c>
      <c r="AF478" s="4" t="str">
        <f t="shared" si="119"/>
        <v/>
      </c>
      <c r="AG478" s="4" t="str" cm="1">
        <f t="array" ref="AG478">IFERROR(INDEX(Table8[],_xlfn.XMATCH($O478,Table8[Dimension Name Category],0),_xlfn.XMATCH(AG$2&amp;IF($L478," w/ tag"," w/o tag"),Table8[#Headers],0)),"")</f>
        <v/>
      </c>
      <c r="AH478" s="59" t="str">
        <f t="shared" si="120"/>
        <v/>
      </c>
      <c r="AI478" s="4"/>
      <c r="AJ478" s="4" t="str">
        <f t="shared" si="121"/>
        <v/>
      </c>
      <c r="AK478" s="4" t="str">
        <f t="shared" si="122"/>
        <v/>
      </c>
      <c r="AL478" s="4" t="e" cm="1">
        <f t="array" ref="AL478">IF(INDEX(Table2[],_xlfn.XMATCH($A478,Table2[Steel Member],0),_xlfn.XMATCH(AL$2,Table2[#Headers],0))=0,"",INDEX(Table2[],_xlfn.XMATCH($A478,Table2[Steel Member],0),_xlfn.XMATCH(AL$2,Table2[#Headers],0)))</f>
        <v>#N/A</v>
      </c>
      <c r="AM478" s="4"/>
      <c r="AN478" s="4" t="str">
        <f t="shared" si="123"/>
        <v/>
      </c>
      <c r="AO478" s="4"/>
      <c r="AP478" s="4" t="e" cm="1">
        <f t="array" ref="AP478">IF(INDEX(Table2[],_xlfn.XMATCH($A478,Table2[Steel Member],0),_xlfn.XMATCH(AP$2,Table2[#Headers],0))=0,"",INDEX(Table2[],_xlfn.XMATCH($A478,Table2[Steel Member],0),_xlfn.XMATCH(AP$2,Table2[#Headers],0)))</f>
        <v>#N/A</v>
      </c>
      <c r="AQ478" s="4"/>
      <c r="AR478" s="4"/>
      <c r="AS478" s="4"/>
      <c r="AT478" s="4"/>
    </row>
    <row r="479" spans="1:46" x14ac:dyDescent="0.25">
      <c r="A479" s="52"/>
      <c r="B479" s="52"/>
      <c r="C479" s="52"/>
      <c r="D479" s="52"/>
      <c r="E479" s="52"/>
      <c r="F479" s="64" cm="1">
        <f t="array" ref="F479">IF(COUNT(FIND(PurlinsxGirthsxBracings,$C479))&gt;0,0,ROUNDUP(IF(D479=0,0,VLOOKUP(D479,'DATA SHEET'!$B:$D,2,FALSE)),2))</f>
        <v>0</v>
      </c>
      <c r="G479" s="64" cm="1">
        <f t="array" ref="G479">IF(COUNT(FIND(PurlinsxGirthsxBracings,$C479))&gt;0,0,ROUNDUP(IF(D479=0,0,VLOOKUP(D479,'DATA SHEET'!$B:$D,3,FALSE)),2))</f>
        <v>0</v>
      </c>
      <c r="H479" s="53"/>
      <c r="I479" s="66" cm="1">
        <f t="array" ref="I479">IF(AND(ISBLANK(B479),ISBLANK(C479),ISBLANK(E479)),0,IF(COUNT(FIND(PurlinsxGirthsxBracings,$C479))&gt;0,IF(B479=0,CONCATENATE(E479," ",C479),CONCATENATE(B479," - ",E479," ",C479)),IF(B479=0,IF(ISBLANK(C479),E479,CONCATENATE(D479,", ",F479,"kg/m, ",G479,"mm surface perimeter")),IF(AND(ISBLANK(C479),ISTEXT(E479)),CONCATENATE(B479," - ",E479),IF(AND(ISBLANK(C479),ISBLANK(E479)),B479,CONCATENATE(B479," - ",D479,", ",F479,"kg/m, ",G479,"mm surface perimeter"))))&amp;IF(ISBLANK(H479),"",H479)))</f>
        <v>0</v>
      </c>
      <c r="J479" s="53"/>
      <c r="L479" s="4" t="str" cm="1">
        <f t="array" ref="L479">IF(COUNT(FIND({0,1,2,3,4,5,6,7,8,9},B479))&gt;0,COUNT(FIND({0,1,2,3,4,5,6,7,8,9},B479))&gt;0,"")</f>
        <v/>
      </c>
      <c r="M479" s="4" t="str" cm="1">
        <f t="array" aca="1" ref="M479" ca="1">IFERROR(_xlfn.IFS(R479="Count",RANDBETWEEN(1,COUNTIF($R$11:$R$653,"Count")),R479="Length",RANDBETWEEN(1,COUNTIF($R$11:$R$653,"Length"))),"")</f>
        <v/>
      </c>
      <c r="N479" s="4" t="str">
        <f ca="1">IFERROR(_xlfn.RANK.EQ(M479,$M$11:$M$653)+COUNTIF($M$11:M479,M479)-1,"")</f>
        <v/>
      </c>
      <c r="O479" s="86" t="str">
        <f>IF(A479='DATA SHEET'!$L$36,C479,IFERROR(IF(AND(ISTEXT(I479),ISBLANK(C479)),"No details",VLOOKUP(C479,DimFolder,2,FALSE)),""))</f>
        <v/>
      </c>
      <c r="P479" s="4" t="str">
        <f t="shared" si="125"/>
        <v/>
      </c>
      <c r="Q479" s="58" t="str">
        <f t="shared" si="124"/>
        <v/>
      </c>
      <c r="R479" s="4" t="e" cm="1">
        <f t="array" ref="R479">IF(INDEX(Table2[],_xlfn.XMATCH($A479,Table2[Steel Member],0),_xlfn.XMATCH(R$2,Table2[#Headers],0))=0,"",INDEX(Table2[],_xlfn.XMATCH($A479,Table2[Steel Member],0),_xlfn.XMATCH(R$2,Table2[#Headers],0)))</f>
        <v>#N/A</v>
      </c>
      <c r="S479" s="4" t="e" cm="1">
        <f t="array" ref="S479">IF(INDEX(Table2[],_xlfn.XMATCH($A479,Table2[Steel Member],0),_xlfn.XMATCH(S$2,Table2[#Headers],0))=0,"",INDEX(Table2[],_xlfn.XMATCH($A479,Table2[Steel Member],0),_xlfn.XMATCH(S$2,Table2[#Headers],0)))</f>
        <v>#N/A</v>
      </c>
      <c r="T479" s="4" t="str">
        <f t="shared" si="115"/>
        <v/>
      </c>
      <c r="U479" s="4" t="e">
        <f ca="1">VLOOKUP(N479,'COLOR CODE'!$B:$D,2,FALSE)</f>
        <v>#N/A</v>
      </c>
      <c r="V479" s="4" t="str">
        <f t="shared" si="116"/>
        <v/>
      </c>
      <c r="W479" s="4" t="e" cm="1">
        <f t="array" ref="W479">IF(INDEX(Table2[],_xlfn.XMATCH($A479,Table2[Steel Member],0),_xlfn.XMATCH(W$2,Table2[#Headers],0))=0,"",INDEX(Table2[],_xlfn.XMATCH($A479,Table2[Steel Member],0),_xlfn.XMATCH(W$2,Table2[#Headers],0)))</f>
        <v>#N/A</v>
      </c>
      <c r="X479" s="4" t="e">
        <f t="shared" si="126"/>
        <v>#N/A</v>
      </c>
      <c r="Y479" s="4" t="e" cm="1">
        <f t="array" ref="Y479">IF(INDEX(Table2[],_xlfn.XMATCH($A479,Table2[Steel Member],0),_xlfn.XMATCH(Y$2,Table2[#Headers],0))=0,"",INDEX(Table2[],_xlfn.XMATCH($A479,Table2[Steel Member],0),_xlfn.XMATCH(Y$2,Table2[#Headers],0)))</f>
        <v>#N/A</v>
      </c>
      <c r="Z479" s="4" t="e" cm="1">
        <f t="array" ref="Z479">IF(INDEX(Table2[],_xlfn.XMATCH($A479,Table2[Steel Member],0),_xlfn.XMATCH(Z$2,Table2[#Headers],0))=0,"",INDEX(Table2[],_xlfn.XMATCH($A479,Table2[Steel Member],0),_xlfn.XMATCH(Z$2,Table2[#Headers],0)))</f>
        <v>#N/A</v>
      </c>
      <c r="AA479" s="4" t="e" cm="1">
        <f t="array" ref="AA479">IF(INDEX(Table2[],_xlfn.XMATCH($A479,Table2[Steel Member],0),_xlfn.XMATCH(AA$2,Table2[#Headers],0))=0,"",INDEX(Table2[],_xlfn.XMATCH($A479,Table2[Steel Member],0),_xlfn.XMATCH(AA$2,Table2[#Headers],0)))</f>
        <v>#N/A</v>
      </c>
      <c r="AB479" s="4" t="e" cm="1">
        <f t="array" ref="AB479">IF(INDEX(Table2[],_xlfn.XMATCH($A479,Table2[Steel Member],0),_xlfn.XMATCH(AB$2,Table2[#Headers],0))=0,"",INDEX(Table2[],_xlfn.XMATCH($A479,Table2[Steel Member],0),_xlfn.XMATCH(AB$2,Table2[#Headers],0)))</f>
        <v>#N/A</v>
      </c>
      <c r="AC479" s="4" t="str" cm="1">
        <f t="array" ref="AC479">IFERROR(INDEX(Table8[],_xlfn.XMATCH($O479,Table8[Dimension Name Category],0),_xlfn.XMATCH(AC$2&amp;IF($L479," w/ tag"," w/o tag"),Table8[#Headers],0)),"")</f>
        <v/>
      </c>
      <c r="AD479" s="59" t="str">
        <f t="shared" si="117"/>
        <v/>
      </c>
      <c r="AE479" s="4" t="str">
        <f t="shared" si="118"/>
        <v/>
      </c>
      <c r="AF479" s="4" t="str">
        <f t="shared" si="119"/>
        <v/>
      </c>
      <c r="AG479" s="4" t="str" cm="1">
        <f t="array" ref="AG479">IFERROR(INDEX(Table8[],_xlfn.XMATCH($O479,Table8[Dimension Name Category],0),_xlfn.XMATCH(AG$2&amp;IF($L479," w/ tag"," w/o tag"),Table8[#Headers],0)),"")</f>
        <v/>
      </c>
      <c r="AH479" s="59" t="str">
        <f t="shared" si="120"/>
        <v/>
      </c>
      <c r="AI479" s="4"/>
      <c r="AJ479" s="4" t="str">
        <f t="shared" si="121"/>
        <v/>
      </c>
      <c r="AK479" s="4" t="str">
        <f t="shared" si="122"/>
        <v/>
      </c>
      <c r="AL479" s="4" t="e" cm="1">
        <f t="array" ref="AL479">IF(INDEX(Table2[],_xlfn.XMATCH($A479,Table2[Steel Member],0),_xlfn.XMATCH(AL$2,Table2[#Headers],0))=0,"",INDEX(Table2[],_xlfn.XMATCH($A479,Table2[Steel Member],0),_xlfn.XMATCH(AL$2,Table2[#Headers],0)))</f>
        <v>#N/A</v>
      </c>
      <c r="AM479" s="4"/>
      <c r="AN479" s="4" t="str">
        <f t="shared" si="123"/>
        <v/>
      </c>
      <c r="AO479" s="4"/>
      <c r="AP479" s="4" t="e" cm="1">
        <f t="array" ref="AP479">IF(INDEX(Table2[],_xlfn.XMATCH($A479,Table2[Steel Member],0),_xlfn.XMATCH(AP$2,Table2[#Headers],0))=0,"",INDEX(Table2[],_xlfn.XMATCH($A479,Table2[Steel Member],0),_xlfn.XMATCH(AP$2,Table2[#Headers],0)))</f>
        <v>#N/A</v>
      </c>
      <c r="AQ479" s="4"/>
      <c r="AR479" s="4"/>
      <c r="AS479" s="4"/>
      <c r="AT479" s="4"/>
    </row>
    <row r="480" spans="1:46" x14ac:dyDescent="0.25">
      <c r="A480" s="52"/>
      <c r="B480" s="52"/>
      <c r="C480" s="52"/>
      <c r="D480" s="52"/>
      <c r="E480" s="52"/>
      <c r="F480" s="64" cm="1">
        <f t="array" ref="F480">IF(COUNT(FIND(PurlinsxGirthsxBracings,$C480))&gt;0,0,ROUNDUP(IF(D480=0,0,VLOOKUP(D480,'DATA SHEET'!$B:$D,2,FALSE)),2))</f>
        <v>0</v>
      </c>
      <c r="G480" s="64" cm="1">
        <f t="array" ref="G480">IF(COUNT(FIND(PurlinsxGirthsxBracings,$C480))&gt;0,0,ROUNDUP(IF(D480=0,0,VLOOKUP(D480,'DATA SHEET'!$B:$D,3,FALSE)),2))</f>
        <v>0</v>
      </c>
      <c r="H480" s="53"/>
      <c r="I480" s="66" cm="1">
        <f t="array" ref="I480">IF(AND(ISBLANK(B480),ISBLANK(C480),ISBLANK(E480)),0,IF(COUNT(FIND(PurlinsxGirthsxBracings,$C480))&gt;0,IF(B480=0,CONCATENATE(E480," ",C480),CONCATENATE(B480," - ",E480," ",C480)),IF(B480=0,IF(ISBLANK(C480),E480,CONCATENATE(D480,", ",F480,"kg/m, ",G480,"mm surface perimeter")),IF(AND(ISBLANK(C480),ISTEXT(E480)),CONCATENATE(B480," - ",E480),IF(AND(ISBLANK(C480),ISBLANK(E480)),B480,CONCATENATE(B480," - ",D480,", ",F480,"kg/m, ",G480,"mm surface perimeter"))))&amp;IF(ISBLANK(H480),"",H480)))</f>
        <v>0</v>
      </c>
      <c r="J480" s="53"/>
      <c r="L480" s="4" t="str" cm="1">
        <f t="array" ref="L480">IF(COUNT(FIND({0,1,2,3,4,5,6,7,8,9},B480))&gt;0,COUNT(FIND({0,1,2,3,4,5,6,7,8,9},B480))&gt;0,"")</f>
        <v/>
      </c>
      <c r="M480" s="4" t="str" cm="1">
        <f t="array" aca="1" ref="M480" ca="1">IFERROR(_xlfn.IFS(R480="Count",RANDBETWEEN(1,COUNTIF($R$11:$R$653,"Count")),R480="Length",RANDBETWEEN(1,COUNTIF($R$11:$R$653,"Length"))),"")</f>
        <v/>
      </c>
      <c r="N480" s="4" t="str">
        <f ca="1">IFERROR(_xlfn.RANK.EQ(M480,$M$11:$M$653)+COUNTIF($M$11:M480,M480)-1,"")</f>
        <v/>
      </c>
      <c r="O480" s="86" t="str">
        <f>IF(A480='DATA SHEET'!$L$36,C480,IFERROR(IF(AND(ISTEXT(I480),ISBLANK(C480)),"No details",VLOOKUP(C480,DimFolder,2,FALSE)),""))</f>
        <v/>
      </c>
      <c r="P480" s="4" t="str">
        <f t="shared" si="125"/>
        <v/>
      </c>
      <c r="Q480" s="58" t="str">
        <f t="shared" si="124"/>
        <v/>
      </c>
      <c r="R480" s="4" t="e" cm="1">
        <f t="array" ref="R480">IF(INDEX(Table2[],_xlfn.XMATCH($A480,Table2[Steel Member],0),_xlfn.XMATCH(R$2,Table2[#Headers],0))=0,"",INDEX(Table2[],_xlfn.XMATCH($A480,Table2[Steel Member],0),_xlfn.XMATCH(R$2,Table2[#Headers],0)))</f>
        <v>#N/A</v>
      </c>
      <c r="S480" s="4" t="e" cm="1">
        <f t="array" ref="S480">IF(INDEX(Table2[],_xlfn.XMATCH($A480,Table2[Steel Member],0),_xlfn.XMATCH(S$2,Table2[#Headers],0))=0,"",INDEX(Table2[],_xlfn.XMATCH($A480,Table2[Steel Member],0),_xlfn.XMATCH(S$2,Table2[#Headers],0)))</f>
        <v>#N/A</v>
      </c>
      <c r="T480" s="4" t="str">
        <f t="shared" si="115"/>
        <v/>
      </c>
      <c r="U480" s="4" t="e">
        <f ca="1">VLOOKUP(N480,'COLOR CODE'!$B:$D,2,FALSE)</f>
        <v>#N/A</v>
      </c>
      <c r="V480" s="4" t="str">
        <f t="shared" si="116"/>
        <v/>
      </c>
      <c r="W480" s="4" t="e" cm="1">
        <f t="array" ref="W480">IF(INDEX(Table2[],_xlfn.XMATCH($A480,Table2[Steel Member],0),_xlfn.XMATCH(W$2,Table2[#Headers],0))=0,"",INDEX(Table2[],_xlfn.XMATCH($A480,Table2[Steel Member],0),_xlfn.XMATCH(W$2,Table2[#Headers],0)))</f>
        <v>#N/A</v>
      </c>
      <c r="X480" s="4" t="e">
        <f t="shared" si="126"/>
        <v>#N/A</v>
      </c>
      <c r="Y480" s="4" t="e" cm="1">
        <f t="array" ref="Y480">IF(INDEX(Table2[],_xlfn.XMATCH($A480,Table2[Steel Member],0),_xlfn.XMATCH(Y$2,Table2[#Headers],0))=0,"",INDEX(Table2[],_xlfn.XMATCH($A480,Table2[Steel Member],0),_xlfn.XMATCH(Y$2,Table2[#Headers],0)))</f>
        <v>#N/A</v>
      </c>
      <c r="Z480" s="4" t="e" cm="1">
        <f t="array" ref="Z480">IF(INDEX(Table2[],_xlfn.XMATCH($A480,Table2[Steel Member],0),_xlfn.XMATCH(Z$2,Table2[#Headers],0))=0,"",INDEX(Table2[],_xlfn.XMATCH($A480,Table2[Steel Member],0),_xlfn.XMATCH(Z$2,Table2[#Headers],0)))</f>
        <v>#N/A</v>
      </c>
      <c r="AA480" s="4" t="e" cm="1">
        <f t="array" ref="AA480">IF(INDEX(Table2[],_xlfn.XMATCH($A480,Table2[Steel Member],0),_xlfn.XMATCH(AA$2,Table2[#Headers],0))=0,"",INDEX(Table2[],_xlfn.XMATCH($A480,Table2[Steel Member],0),_xlfn.XMATCH(AA$2,Table2[#Headers],0)))</f>
        <v>#N/A</v>
      </c>
      <c r="AB480" s="4" t="e" cm="1">
        <f t="array" ref="AB480">IF(INDEX(Table2[],_xlfn.XMATCH($A480,Table2[Steel Member],0),_xlfn.XMATCH(AB$2,Table2[#Headers],0))=0,"",INDEX(Table2[],_xlfn.XMATCH($A480,Table2[Steel Member],0),_xlfn.XMATCH(AB$2,Table2[#Headers],0)))</f>
        <v>#N/A</v>
      </c>
      <c r="AC480" s="4" t="str" cm="1">
        <f t="array" ref="AC480">IFERROR(INDEX(Table8[],_xlfn.XMATCH($O480,Table8[Dimension Name Category],0),_xlfn.XMATCH(AC$2&amp;IF($L480," w/ tag"," w/o tag"),Table8[#Headers],0)),"")</f>
        <v/>
      </c>
      <c r="AD480" s="59" t="str">
        <f t="shared" si="117"/>
        <v/>
      </c>
      <c r="AE480" s="4" t="str">
        <f t="shared" si="118"/>
        <v/>
      </c>
      <c r="AF480" s="4" t="str">
        <f t="shared" si="119"/>
        <v/>
      </c>
      <c r="AG480" s="4" t="str" cm="1">
        <f t="array" ref="AG480">IFERROR(INDEX(Table8[],_xlfn.XMATCH($O480,Table8[Dimension Name Category],0),_xlfn.XMATCH(AG$2&amp;IF($L480," w/ tag"," w/o tag"),Table8[#Headers],0)),"")</f>
        <v/>
      </c>
      <c r="AH480" s="59" t="str">
        <f t="shared" si="120"/>
        <v/>
      </c>
      <c r="AI480" s="4"/>
      <c r="AJ480" s="4" t="str">
        <f t="shared" si="121"/>
        <v/>
      </c>
      <c r="AK480" s="4" t="str">
        <f t="shared" si="122"/>
        <v/>
      </c>
      <c r="AL480" s="4" t="e" cm="1">
        <f t="array" ref="AL480">IF(INDEX(Table2[],_xlfn.XMATCH($A480,Table2[Steel Member],0),_xlfn.XMATCH(AL$2,Table2[#Headers],0))=0,"",INDEX(Table2[],_xlfn.XMATCH($A480,Table2[Steel Member],0),_xlfn.XMATCH(AL$2,Table2[#Headers],0)))</f>
        <v>#N/A</v>
      </c>
      <c r="AM480" s="4"/>
      <c r="AN480" s="4" t="str">
        <f t="shared" si="123"/>
        <v/>
      </c>
      <c r="AO480" s="4"/>
      <c r="AP480" s="4" t="e" cm="1">
        <f t="array" ref="AP480">IF(INDEX(Table2[],_xlfn.XMATCH($A480,Table2[Steel Member],0),_xlfn.XMATCH(AP$2,Table2[#Headers],0))=0,"",INDEX(Table2[],_xlfn.XMATCH($A480,Table2[Steel Member],0),_xlfn.XMATCH(AP$2,Table2[#Headers],0)))</f>
        <v>#N/A</v>
      </c>
      <c r="AQ480" s="4"/>
      <c r="AR480" s="4"/>
      <c r="AS480" s="4"/>
      <c r="AT480" s="4"/>
    </row>
    <row r="481" spans="1:46" x14ac:dyDescent="0.25">
      <c r="A481" s="52"/>
      <c r="B481" s="52"/>
      <c r="C481" s="52"/>
      <c r="D481" s="52"/>
      <c r="E481" s="52"/>
      <c r="F481" s="64" cm="1">
        <f t="array" ref="F481">IF(COUNT(FIND(PurlinsxGirthsxBracings,$C481))&gt;0,0,ROUNDUP(IF(D481=0,0,VLOOKUP(D481,'DATA SHEET'!$B:$D,2,FALSE)),2))</f>
        <v>0</v>
      </c>
      <c r="G481" s="64" cm="1">
        <f t="array" ref="G481">IF(COUNT(FIND(PurlinsxGirthsxBracings,$C481))&gt;0,0,ROUNDUP(IF(D481=0,0,VLOOKUP(D481,'DATA SHEET'!$B:$D,3,FALSE)),2))</f>
        <v>0</v>
      </c>
      <c r="H481" s="53"/>
      <c r="I481" s="66" cm="1">
        <f t="array" ref="I481">IF(AND(ISBLANK(B481),ISBLANK(C481),ISBLANK(E481)),0,IF(COUNT(FIND(PurlinsxGirthsxBracings,$C481))&gt;0,IF(B481=0,CONCATENATE(E481," ",C481),CONCATENATE(B481," - ",E481," ",C481)),IF(B481=0,IF(ISBLANK(C481),E481,CONCATENATE(D481,", ",F481,"kg/m, ",G481,"mm surface perimeter")),IF(AND(ISBLANK(C481),ISTEXT(E481)),CONCATENATE(B481," - ",E481),IF(AND(ISBLANK(C481),ISBLANK(E481)),B481,CONCATENATE(B481," - ",D481,", ",F481,"kg/m, ",G481,"mm surface perimeter"))))&amp;IF(ISBLANK(H481),"",H481)))</f>
        <v>0</v>
      </c>
      <c r="J481" s="53"/>
      <c r="L481" s="4" t="str" cm="1">
        <f t="array" ref="L481">IF(COUNT(FIND({0,1,2,3,4,5,6,7,8,9},B481))&gt;0,COUNT(FIND({0,1,2,3,4,5,6,7,8,9},B481))&gt;0,"")</f>
        <v/>
      </c>
      <c r="M481" s="4" t="str" cm="1">
        <f t="array" aca="1" ref="M481" ca="1">IFERROR(_xlfn.IFS(R481="Count",RANDBETWEEN(1,COUNTIF($R$11:$R$653,"Count")),R481="Length",RANDBETWEEN(1,COUNTIF($R$11:$R$653,"Length"))),"")</f>
        <v/>
      </c>
      <c r="N481" s="4" t="str">
        <f ca="1">IFERROR(_xlfn.RANK.EQ(M481,$M$11:$M$653)+COUNTIF($M$11:M481,M481)-1,"")</f>
        <v/>
      </c>
      <c r="O481" s="86" t="str">
        <f>IF(A481='DATA SHEET'!$L$36,C481,IFERROR(IF(AND(ISTEXT(I481),ISBLANK(C481)),"No details",VLOOKUP(C481,DimFolder,2,FALSE)),""))</f>
        <v/>
      </c>
      <c r="P481" s="4" t="str">
        <f t="shared" si="125"/>
        <v/>
      </c>
      <c r="Q481" s="58" t="str">
        <f t="shared" si="124"/>
        <v/>
      </c>
      <c r="R481" s="4" t="e" cm="1">
        <f t="array" ref="R481">IF(INDEX(Table2[],_xlfn.XMATCH($A481,Table2[Steel Member],0),_xlfn.XMATCH(R$2,Table2[#Headers],0))=0,"",INDEX(Table2[],_xlfn.XMATCH($A481,Table2[Steel Member],0),_xlfn.XMATCH(R$2,Table2[#Headers],0)))</f>
        <v>#N/A</v>
      </c>
      <c r="S481" s="4" t="e" cm="1">
        <f t="array" ref="S481">IF(INDEX(Table2[],_xlfn.XMATCH($A481,Table2[Steel Member],0),_xlfn.XMATCH(S$2,Table2[#Headers],0))=0,"",INDEX(Table2[],_xlfn.XMATCH($A481,Table2[Steel Member],0),_xlfn.XMATCH(S$2,Table2[#Headers],0)))</f>
        <v>#N/A</v>
      </c>
      <c r="T481" s="4" t="str">
        <f t="shared" si="115"/>
        <v/>
      </c>
      <c r="U481" s="4" t="e">
        <f ca="1">VLOOKUP(N481,'COLOR CODE'!$B:$D,2,FALSE)</f>
        <v>#N/A</v>
      </c>
      <c r="V481" s="4" t="str">
        <f t="shared" si="116"/>
        <v/>
      </c>
      <c r="W481" s="4" t="e" cm="1">
        <f t="array" ref="W481">IF(INDEX(Table2[],_xlfn.XMATCH($A481,Table2[Steel Member],0),_xlfn.XMATCH(W$2,Table2[#Headers],0))=0,"",INDEX(Table2[],_xlfn.XMATCH($A481,Table2[Steel Member],0),_xlfn.XMATCH(W$2,Table2[#Headers],0)))</f>
        <v>#N/A</v>
      </c>
      <c r="X481" s="4" t="e">
        <f t="shared" si="126"/>
        <v>#N/A</v>
      </c>
      <c r="Y481" s="4" t="e" cm="1">
        <f t="array" ref="Y481">IF(INDEX(Table2[],_xlfn.XMATCH($A481,Table2[Steel Member],0),_xlfn.XMATCH(Y$2,Table2[#Headers],0))=0,"",INDEX(Table2[],_xlfn.XMATCH($A481,Table2[Steel Member],0),_xlfn.XMATCH(Y$2,Table2[#Headers],0)))</f>
        <v>#N/A</v>
      </c>
      <c r="Z481" s="4" t="e" cm="1">
        <f t="array" ref="Z481">IF(INDEX(Table2[],_xlfn.XMATCH($A481,Table2[Steel Member],0),_xlfn.XMATCH(Z$2,Table2[#Headers],0))=0,"",INDEX(Table2[],_xlfn.XMATCH($A481,Table2[Steel Member],0),_xlfn.XMATCH(Z$2,Table2[#Headers],0)))</f>
        <v>#N/A</v>
      </c>
      <c r="AA481" s="4" t="e" cm="1">
        <f t="array" ref="AA481">IF(INDEX(Table2[],_xlfn.XMATCH($A481,Table2[Steel Member],0),_xlfn.XMATCH(AA$2,Table2[#Headers],0))=0,"",INDEX(Table2[],_xlfn.XMATCH($A481,Table2[Steel Member],0),_xlfn.XMATCH(AA$2,Table2[#Headers],0)))</f>
        <v>#N/A</v>
      </c>
      <c r="AB481" s="4" t="e" cm="1">
        <f t="array" ref="AB481">IF(INDEX(Table2[],_xlfn.XMATCH($A481,Table2[Steel Member],0),_xlfn.XMATCH(AB$2,Table2[#Headers],0))=0,"",INDEX(Table2[],_xlfn.XMATCH($A481,Table2[Steel Member],0),_xlfn.XMATCH(AB$2,Table2[#Headers],0)))</f>
        <v>#N/A</v>
      </c>
      <c r="AC481" s="4" t="str" cm="1">
        <f t="array" ref="AC481">IFERROR(INDEX(Table8[],_xlfn.XMATCH($O481,Table8[Dimension Name Category],0),_xlfn.XMATCH(AC$2&amp;IF($L481," w/ tag"," w/o tag"),Table8[#Headers],0)),"")</f>
        <v/>
      </c>
      <c r="AD481" s="59" t="str">
        <f t="shared" si="117"/>
        <v/>
      </c>
      <c r="AE481" s="4" t="str">
        <f t="shared" si="118"/>
        <v/>
      </c>
      <c r="AF481" s="4" t="str">
        <f t="shared" si="119"/>
        <v/>
      </c>
      <c r="AG481" s="4" t="str" cm="1">
        <f t="array" ref="AG481">IFERROR(INDEX(Table8[],_xlfn.XMATCH($O481,Table8[Dimension Name Category],0),_xlfn.XMATCH(AG$2&amp;IF($L481," w/ tag"," w/o tag"),Table8[#Headers],0)),"")</f>
        <v/>
      </c>
      <c r="AH481" s="59" t="str">
        <f t="shared" si="120"/>
        <v/>
      </c>
      <c r="AI481" s="4"/>
      <c r="AJ481" s="4" t="str">
        <f t="shared" si="121"/>
        <v/>
      </c>
      <c r="AK481" s="4" t="str">
        <f t="shared" si="122"/>
        <v/>
      </c>
      <c r="AL481" s="4" t="e" cm="1">
        <f t="array" ref="AL481">IF(INDEX(Table2[],_xlfn.XMATCH($A481,Table2[Steel Member],0),_xlfn.XMATCH(AL$2,Table2[#Headers],0))=0,"",INDEX(Table2[],_xlfn.XMATCH($A481,Table2[Steel Member],0),_xlfn.XMATCH(AL$2,Table2[#Headers],0)))</f>
        <v>#N/A</v>
      </c>
      <c r="AM481" s="4"/>
      <c r="AN481" s="4" t="str">
        <f t="shared" si="123"/>
        <v/>
      </c>
      <c r="AO481" s="4"/>
      <c r="AP481" s="4" t="e" cm="1">
        <f t="array" ref="AP481">IF(INDEX(Table2[],_xlfn.XMATCH($A481,Table2[Steel Member],0),_xlfn.XMATCH(AP$2,Table2[#Headers],0))=0,"",INDEX(Table2[],_xlfn.XMATCH($A481,Table2[Steel Member],0),_xlfn.XMATCH(AP$2,Table2[#Headers],0)))</f>
        <v>#N/A</v>
      </c>
      <c r="AQ481" s="4"/>
      <c r="AR481" s="4"/>
      <c r="AS481" s="4"/>
      <c r="AT481" s="4"/>
    </row>
    <row r="482" spans="1:46" x14ac:dyDescent="0.25">
      <c r="A482" s="52"/>
      <c r="B482" s="52"/>
      <c r="C482" s="52"/>
      <c r="D482" s="52"/>
      <c r="E482" s="52"/>
      <c r="F482" s="64" cm="1">
        <f t="array" ref="F482">IF(COUNT(FIND(PurlinsxGirthsxBracings,$C482))&gt;0,0,ROUNDUP(IF(D482=0,0,VLOOKUP(D482,'DATA SHEET'!$B:$D,2,FALSE)),2))</f>
        <v>0</v>
      </c>
      <c r="G482" s="64" cm="1">
        <f t="array" ref="G482">IF(COUNT(FIND(PurlinsxGirthsxBracings,$C482))&gt;0,0,ROUNDUP(IF(D482=0,0,VLOOKUP(D482,'DATA SHEET'!$B:$D,3,FALSE)),2))</f>
        <v>0</v>
      </c>
      <c r="H482" s="53"/>
      <c r="I482" s="66" cm="1">
        <f t="array" ref="I482">IF(AND(ISBLANK(B482),ISBLANK(C482),ISBLANK(E482)),0,IF(COUNT(FIND(PurlinsxGirthsxBracings,$C482))&gt;0,IF(B482=0,CONCATENATE(E482," ",C482),CONCATENATE(B482," - ",E482," ",C482)),IF(B482=0,IF(ISBLANK(C482),E482,CONCATENATE(D482,", ",F482,"kg/m, ",G482,"mm surface perimeter")),IF(AND(ISBLANK(C482),ISTEXT(E482)),CONCATENATE(B482," - ",E482),IF(AND(ISBLANK(C482),ISBLANK(E482)),B482,CONCATENATE(B482," - ",D482,", ",F482,"kg/m, ",G482,"mm surface perimeter"))))&amp;IF(ISBLANK(H482),"",H482)))</f>
        <v>0</v>
      </c>
      <c r="J482" s="53"/>
      <c r="L482" s="4" t="str" cm="1">
        <f t="array" ref="L482">IF(COUNT(FIND({0,1,2,3,4,5,6,7,8,9},B482))&gt;0,COUNT(FIND({0,1,2,3,4,5,6,7,8,9},B482))&gt;0,"")</f>
        <v/>
      </c>
      <c r="M482" s="4" t="str" cm="1">
        <f t="array" aca="1" ref="M482" ca="1">IFERROR(_xlfn.IFS(R482="Count",RANDBETWEEN(1,COUNTIF($R$11:$R$653,"Count")),R482="Length",RANDBETWEEN(1,COUNTIF($R$11:$R$653,"Length"))),"")</f>
        <v/>
      </c>
      <c r="N482" s="4" t="str">
        <f ca="1">IFERROR(_xlfn.RANK.EQ(M482,$M$11:$M$653)+COUNTIF($M$11:M482,M482)-1,"")</f>
        <v/>
      </c>
      <c r="O482" s="86" t="str">
        <f>IF(A482='DATA SHEET'!$L$36,C482,IFERROR(IF(AND(ISTEXT(I482),ISBLANK(C482)),"No details",VLOOKUP(C482,DimFolder,2,FALSE)),""))</f>
        <v/>
      </c>
      <c r="P482" s="4" t="str">
        <f t="shared" si="125"/>
        <v/>
      </c>
      <c r="Q482" s="58" t="str">
        <f t="shared" si="124"/>
        <v/>
      </c>
      <c r="R482" s="4" t="e" cm="1">
        <f t="array" ref="R482">IF(INDEX(Table2[],_xlfn.XMATCH($A482,Table2[Steel Member],0),_xlfn.XMATCH(R$2,Table2[#Headers],0))=0,"",INDEX(Table2[],_xlfn.XMATCH($A482,Table2[Steel Member],0),_xlfn.XMATCH(R$2,Table2[#Headers],0)))</f>
        <v>#N/A</v>
      </c>
      <c r="S482" s="4" t="e" cm="1">
        <f t="array" ref="S482">IF(INDEX(Table2[],_xlfn.XMATCH($A482,Table2[Steel Member],0),_xlfn.XMATCH(S$2,Table2[#Headers],0))=0,"",INDEX(Table2[],_xlfn.XMATCH($A482,Table2[Steel Member],0),_xlfn.XMATCH(S$2,Table2[#Headers],0)))</f>
        <v>#N/A</v>
      </c>
      <c r="T482" s="4" t="str">
        <f t="shared" si="115"/>
        <v/>
      </c>
      <c r="U482" s="4" t="e">
        <f ca="1">VLOOKUP(N482,'COLOR CODE'!$B:$D,2,FALSE)</f>
        <v>#N/A</v>
      </c>
      <c r="V482" s="4" t="str">
        <f t="shared" si="116"/>
        <v/>
      </c>
      <c r="W482" s="4" t="e" cm="1">
        <f t="array" ref="W482">IF(INDEX(Table2[],_xlfn.XMATCH($A482,Table2[Steel Member],0),_xlfn.XMATCH(W$2,Table2[#Headers],0))=0,"",INDEX(Table2[],_xlfn.XMATCH($A482,Table2[Steel Member],0),_xlfn.XMATCH(W$2,Table2[#Headers],0)))</f>
        <v>#N/A</v>
      </c>
      <c r="X482" s="4" t="e">
        <f t="shared" si="126"/>
        <v>#N/A</v>
      </c>
      <c r="Y482" s="4" t="e" cm="1">
        <f t="array" ref="Y482">IF(INDEX(Table2[],_xlfn.XMATCH($A482,Table2[Steel Member],0),_xlfn.XMATCH(Y$2,Table2[#Headers],0))=0,"",INDEX(Table2[],_xlfn.XMATCH($A482,Table2[Steel Member],0),_xlfn.XMATCH(Y$2,Table2[#Headers],0)))</f>
        <v>#N/A</v>
      </c>
      <c r="Z482" s="4" t="e" cm="1">
        <f t="array" ref="Z482">IF(INDEX(Table2[],_xlfn.XMATCH($A482,Table2[Steel Member],0),_xlfn.XMATCH(Z$2,Table2[#Headers],0))=0,"",INDEX(Table2[],_xlfn.XMATCH($A482,Table2[Steel Member],0),_xlfn.XMATCH(Z$2,Table2[#Headers],0)))</f>
        <v>#N/A</v>
      </c>
      <c r="AA482" s="4" t="e" cm="1">
        <f t="array" ref="AA482">IF(INDEX(Table2[],_xlfn.XMATCH($A482,Table2[Steel Member],0),_xlfn.XMATCH(AA$2,Table2[#Headers],0))=0,"",INDEX(Table2[],_xlfn.XMATCH($A482,Table2[Steel Member],0),_xlfn.XMATCH(AA$2,Table2[#Headers],0)))</f>
        <v>#N/A</v>
      </c>
      <c r="AB482" s="4" t="e" cm="1">
        <f t="array" ref="AB482">IF(INDEX(Table2[],_xlfn.XMATCH($A482,Table2[Steel Member],0),_xlfn.XMATCH(AB$2,Table2[#Headers],0))=0,"",INDEX(Table2[],_xlfn.XMATCH($A482,Table2[Steel Member],0),_xlfn.XMATCH(AB$2,Table2[#Headers],0)))</f>
        <v>#N/A</v>
      </c>
      <c r="AC482" s="4" t="str" cm="1">
        <f t="array" ref="AC482">IFERROR(INDEX(Table8[],_xlfn.XMATCH($O482,Table8[Dimension Name Category],0),_xlfn.XMATCH(AC$2&amp;IF($L482," w/ tag"," w/o tag"),Table8[#Headers],0)),"")</f>
        <v/>
      </c>
      <c r="AD482" s="59" t="str">
        <f t="shared" si="117"/>
        <v/>
      </c>
      <c r="AE482" s="4" t="str">
        <f t="shared" si="118"/>
        <v/>
      </c>
      <c r="AF482" s="4" t="str">
        <f t="shared" si="119"/>
        <v/>
      </c>
      <c r="AG482" s="4" t="str" cm="1">
        <f t="array" ref="AG482">IFERROR(INDEX(Table8[],_xlfn.XMATCH($O482,Table8[Dimension Name Category],0),_xlfn.XMATCH(AG$2&amp;IF($L482," w/ tag"," w/o tag"),Table8[#Headers],0)),"")</f>
        <v/>
      </c>
      <c r="AH482" s="59" t="str">
        <f t="shared" si="120"/>
        <v/>
      </c>
      <c r="AI482" s="4"/>
      <c r="AJ482" s="4" t="str">
        <f t="shared" si="121"/>
        <v/>
      </c>
      <c r="AK482" s="4" t="str">
        <f t="shared" si="122"/>
        <v/>
      </c>
      <c r="AL482" s="4" t="e" cm="1">
        <f t="array" ref="AL482">IF(INDEX(Table2[],_xlfn.XMATCH($A482,Table2[Steel Member],0),_xlfn.XMATCH(AL$2,Table2[#Headers],0))=0,"",INDEX(Table2[],_xlfn.XMATCH($A482,Table2[Steel Member],0),_xlfn.XMATCH(AL$2,Table2[#Headers],0)))</f>
        <v>#N/A</v>
      </c>
      <c r="AM482" s="4"/>
      <c r="AN482" s="4" t="str">
        <f t="shared" si="123"/>
        <v/>
      </c>
      <c r="AO482" s="4"/>
      <c r="AP482" s="4" t="e" cm="1">
        <f t="array" ref="AP482">IF(INDEX(Table2[],_xlfn.XMATCH($A482,Table2[Steel Member],0),_xlfn.XMATCH(AP$2,Table2[#Headers],0))=0,"",INDEX(Table2[],_xlfn.XMATCH($A482,Table2[Steel Member],0),_xlfn.XMATCH(AP$2,Table2[#Headers],0)))</f>
        <v>#N/A</v>
      </c>
      <c r="AQ482" s="4"/>
      <c r="AR482" s="4"/>
      <c r="AS482" s="4"/>
      <c r="AT482" s="4"/>
    </row>
    <row r="483" spans="1:46" x14ac:dyDescent="0.25">
      <c r="A483" s="52"/>
      <c r="B483" s="52"/>
      <c r="C483" s="52"/>
      <c r="D483" s="52"/>
      <c r="E483" s="52"/>
      <c r="F483" s="64" cm="1">
        <f t="array" ref="F483">IF(COUNT(FIND(PurlinsxGirthsxBracings,$C483))&gt;0,0,ROUNDUP(IF(D483=0,0,VLOOKUP(D483,'DATA SHEET'!$B:$D,2,FALSE)),2))</f>
        <v>0</v>
      </c>
      <c r="G483" s="64" cm="1">
        <f t="array" ref="G483">IF(COUNT(FIND(PurlinsxGirthsxBracings,$C483))&gt;0,0,ROUNDUP(IF(D483=0,0,VLOOKUP(D483,'DATA SHEET'!$B:$D,3,FALSE)),2))</f>
        <v>0</v>
      </c>
      <c r="H483" s="53"/>
      <c r="I483" s="66" cm="1">
        <f t="array" ref="I483">IF(AND(ISBLANK(B483),ISBLANK(C483),ISBLANK(E483)),0,IF(COUNT(FIND(PurlinsxGirthsxBracings,$C483))&gt;0,IF(B483=0,CONCATENATE(E483," ",C483),CONCATENATE(B483," - ",E483," ",C483)),IF(B483=0,IF(ISBLANK(C483),E483,CONCATENATE(D483,", ",F483,"kg/m, ",G483,"mm surface perimeter")),IF(AND(ISBLANK(C483),ISTEXT(E483)),CONCATENATE(B483," - ",E483),IF(AND(ISBLANK(C483),ISBLANK(E483)),B483,CONCATENATE(B483," - ",D483,", ",F483,"kg/m, ",G483,"mm surface perimeter"))))&amp;IF(ISBLANK(H483),"",H483)))</f>
        <v>0</v>
      </c>
      <c r="J483" s="53"/>
      <c r="L483" s="4" t="str" cm="1">
        <f t="array" ref="L483">IF(COUNT(FIND({0,1,2,3,4,5,6,7,8,9},B483))&gt;0,COUNT(FIND({0,1,2,3,4,5,6,7,8,9},B483))&gt;0,"")</f>
        <v/>
      </c>
      <c r="M483" s="4" t="str" cm="1">
        <f t="array" aca="1" ref="M483" ca="1">IFERROR(_xlfn.IFS(R483="Count",RANDBETWEEN(1,COUNTIF($R$11:$R$653,"Count")),R483="Length",RANDBETWEEN(1,COUNTIF($R$11:$R$653,"Length"))),"")</f>
        <v/>
      </c>
      <c r="N483" s="4" t="str">
        <f ca="1">IFERROR(_xlfn.RANK.EQ(M483,$M$11:$M$653)+COUNTIF($M$11:M483,M483)-1,"")</f>
        <v/>
      </c>
      <c r="O483" s="86" t="str">
        <f>IF(A483='DATA SHEET'!$L$36,C483,IFERROR(IF(AND(ISTEXT(I483),ISBLANK(C483)),"No details",VLOOKUP(C483,DimFolder,2,FALSE)),""))</f>
        <v/>
      </c>
      <c r="P483" s="4" t="str">
        <f t="shared" si="125"/>
        <v/>
      </c>
      <c r="Q483" s="58" t="str">
        <f t="shared" si="124"/>
        <v/>
      </c>
      <c r="R483" s="4" t="e" cm="1">
        <f t="array" ref="R483">IF(INDEX(Table2[],_xlfn.XMATCH($A483,Table2[Steel Member],0),_xlfn.XMATCH(R$2,Table2[#Headers],0))=0,"",INDEX(Table2[],_xlfn.XMATCH($A483,Table2[Steel Member],0),_xlfn.XMATCH(R$2,Table2[#Headers],0)))</f>
        <v>#N/A</v>
      </c>
      <c r="S483" s="4" t="e" cm="1">
        <f t="array" ref="S483">IF(INDEX(Table2[],_xlfn.XMATCH($A483,Table2[Steel Member],0),_xlfn.XMATCH(S$2,Table2[#Headers],0))=0,"",INDEX(Table2[],_xlfn.XMATCH($A483,Table2[Steel Member],0),_xlfn.XMATCH(S$2,Table2[#Headers],0)))</f>
        <v>#N/A</v>
      </c>
      <c r="T483" s="4" t="str">
        <f t="shared" si="115"/>
        <v/>
      </c>
      <c r="U483" s="4" t="e">
        <f ca="1">VLOOKUP(N483,'COLOR CODE'!$B:$D,2,FALSE)</f>
        <v>#N/A</v>
      </c>
      <c r="V483" s="4" t="str">
        <f t="shared" si="116"/>
        <v/>
      </c>
      <c r="W483" s="4" t="e" cm="1">
        <f t="array" ref="W483">IF(INDEX(Table2[],_xlfn.XMATCH($A483,Table2[Steel Member],0),_xlfn.XMATCH(W$2,Table2[#Headers],0))=0,"",INDEX(Table2[],_xlfn.XMATCH($A483,Table2[Steel Member],0),_xlfn.XMATCH(W$2,Table2[#Headers],0)))</f>
        <v>#N/A</v>
      </c>
      <c r="X483" s="4" t="e">
        <f t="shared" si="126"/>
        <v>#N/A</v>
      </c>
      <c r="Y483" s="4" t="e" cm="1">
        <f t="array" ref="Y483">IF(INDEX(Table2[],_xlfn.XMATCH($A483,Table2[Steel Member],0),_xlfn.XMATCH(Y$2,Table2[#Headers],0))=0,"",INDEX(Table2[],_xlfn.XMATCH($A483,Table2[Steel Member],0),_xlfn.XMATCH(Y$2,Table2[#Headers],0)))</f>
        <v>#N/A</v>
      </c>
      <c r="Z483" s="4" t="e" cm="1">
        <f t="array" ref="Z483">IF(INDEX(Table2[],_xlfn.XMATCH($A483,Table2[Steel Member],0),_xlfn.XMATCH(Z$2,Table2[#Headers],0))=0,"",INDEX(Table2[],_xlfn.XMATCH($A483,Table2[Steel Member],0),_xlfn.XMATCH(Z$2,Table2[#Headers],0)))</f>
        <v>#N/A</v>
      </c>
      <c r="AA483" s="4" t="e" cm="1">
        <f t="array" ref="AA483">IF(INDEX(Table2[],_xlfn.XMATCH($A483,Table2[Steel Member],0),_xlfn.XMATCH(AA$2,Table2[#Headers],0))=0,"",INDEX(Table2[],_xlfn.XMATCH($A483,Table2[Steel Member],0),_xlfn.XMATCH(AA$2,Table2[#Headers],0)))</f>
        <v>#N/A</v>
      </c>
      <c r="AB483" s="4" t="e" cm="1">
        <f t="array" ref="AB483">IF(INDEX(Table2[],_xlfn.XMATCH($A483,Table2[Steel Member],0),_xlfn.XMATCH(AB$2,Table2[#Headers],0))=0,"",INDEX(Table2[],_xlfn.XMATCH($A483,Table2[Steel Member],0),_xlfn.XMATCH(AB$2,Table2[#Headers],0)))</f>
        <v>#N/A</v>
      </c>
      <c r="AC483" s="4" t="str" cm="1">
        <f t="array" ref="AC483">IFERROR(INDEX(Table8[],_xlfn.XMATCH($O483,Table8[Dimension Name Category],0),_xlfn.XMATCH(AC$2&amp;IF($L483," w/ tag"," w/o tag"),Table8[#Headers],0)),"")</f>
        <v/>
      </c>
      <c r="AD483" s="59" t="str">
        <f t="shared" si="117"/>
        <v/>
      </c>
      <c r="AE483" s="4" t="str">
        <f t="shared" si="118"/>
        <v/>
      </c>
      <c r="AF483" s="4" t="str">
        <f t="shared" si="119"/>
        <v/>
      </c>
      <c r="AG483" s="4" t="str" cm="1">
        <f t="array" ref="AG483">IFERROR(INDEX(Table8[],_xlfn.XMATCH($O483,Table8[Dimension Name Category],0),_xlfn.XMATCH(AG$2&amp;IF($L483," w/ tag"," w/o tag"),Table8[#Headers],0)),"")</f>
        <v/>
      </c>
      <c r="AH483" s="59" t="str">
        <f t="shared" si="120"/>
        <v/>
      </c>
      <c r="AI483" s="4"/>
      <c r="AJ483" s="4" t="str">
        <f t="shared" si="121"/>
        <v/>
      </c>
      <c r="AK483" s="4" t="str">
        <f t="shared" si="122"/>
        <v/>
      </c>
      <c r="AL483" s="4" t="e" cm="1">
        <f t="array" ref="AL483">IF(INDEX(Table2[],_xlfn.XMATCH($A483,Table2[Steel Member],0),_xlfn.XMATCH(AL$2,Table2[#Headers],0))=0,"",INDEX(Table2[],_xlfn.XMATCH($A483,Table2[Steel Member],0),_xlfn.XMATCH(AL$2,Table2[#Headers],0)))</f>
        <v>#N/A</v>
      </c>
      <c r="AM483" s="4"/>
      <c r="AN483" s="4" t="str">
        <f t="shared" si="123"/>
        <v/>
      </c>
      <c r="AO483" s="4"/>
      <c r="AP483" s="4" t="e" cm="1">
        <f t="array" ref="AP483">IF(INDEX(Table2[],_xlfn.XMATCH($A483,Table2[Steel Member],0),_xlfn.XMATCH(AP$2,Table2[#Headers],0))=0,"",INDEX(Table2[],_xlfn.XMATCH($A483,Table2[Steel Member],0),_xlfn.XMATCH(AP$2,Table2[#Headers],0)))</f>
        <v>#N/A</v>
      </c>
      <c r="AQ483" s="4"/>
      <c r="AR483" s="4"/>
      <c r="AS483" s="4"/>
      <c r="AT483" s="4"/>
    </row>
    <row r="484" spans="1:46" x14ac:dyDescent="0.25">
      <c r="A484" s="52"/>
      <c r="B484" s="52"/>
      <c r="C484" s="52"/>
      <c r="D484" s="52"/>
      <c r="E484" s="52"/>
      <c r="F484" s="64" cm="1">
        <f t="array" ref="F484">IF(COUNT(FIND(PurlinsxGirthsxBracings,$C484))&gt;0,0,ROUNDUP(IF(D484=0,0,VLOOKUP(D484,'DATA SHEET'!$B:$D,2,FALSE)),2))</f>
        <v>0</v>
      </c>
      <c r="G484" s="64" cm="1">
        <f t="array" ref="G484">IF(COUNT(FIND(PurlinsxGirthsxBracings,$C484))&gt;0,0,ROUNDUP(IF(D484=0,0,VLOOKUP(D484,'DATA SHEET'!$B:$D,3,FALSE)),2))</f>
        <v>0</v>
      </c>
      <c r="H484" s="53"/>
      <c r="I484" s="66" cm="1">
        <f t="array" ref="I484">IF(AND(ISBLANK(B484),ISBLANK(C484),ISBLANK(E484)),0,IF(COUNT(FIND(PurlinsxGirthsxBracings,$C484))&gt;0,IF(B484=0,CONCATENATE(E484," ",C484),CONCATENATE(B484," - ",E484," ",C484)),IF(B484=0,IF(ISBLANK(C484),E484,CONCATENATE(D484,", ",F484,"kg/m, ",G484,"mm surface perimeter")),IF(AND(ISBLANK(C484),ISTEXT(E484)),CONCATENATE(B484," - ",E484),IF(AND(ISBLANK(C484),ISBLANK(E484)),B484,CONCATENATE(B484," - ",D484,", ",F484,"kg/m, ",G484,"mm surface perimeter"))))&amp;IF(ISBLANK(H484),"",H484)))</f>
        <v>0</v>
      </c>
      <c r="J484" s="53"/>
      <c r="L484" s="4" t="str" cm="1">
        <f t="array" ref="L484">IF(COUNT(FIND({0,1,2,3,4,5,6,7,8,9},B484))&gt;0,COUNT(FIND({0,1,2,3,4,5,6,7,8,9},B484))&gt;0,"")</f>
        <v/>
      </c>
      <c r="M484" s="4" t="str" cm="1">
        <f t="array" aca="1" ref="M484" ca="1">IFERROR(_xlfn.IFS(R484="Count",RANDBETWEEN(1,COUNTIF($R$11:$R$653,"Count")),R484="Length",RANDBETWEEN(1,COUNTIF($R$11:$R$653,"Length"))),"")</f>
        <v/>
      </c>
      <c r="N484" s="4" t="str">
        <f ca="1">IFERROR(_xlfn.RANK.EQ(M484,$M$11:$M$653)+COUNTIF($M$11:M484,M484)-1,"")</f>
        <v/>
      </c>
      <c r="O484" s="86" t="str">
        <f>IF(A484='DATA SHEET'!$L$36,C484,IFERROR(IF(AND(ISTEXT(I484),ISBLANK(C484)),"No details",VLOOKUP(C484,DimFolder,2,FALSE)),""))</f>
        <v/>
      </c>
      <c r="P484" s="4" t="str">
        <f t="shared" si="125"/>
        <v/>
      </c>
      <c r="Q484" s="58" t="str">
        <f t="shared" si="124"/>
        <v/>
      </c>
      <c r="R484" s="4" t="e" cm="1">
        <f t="array" ref="R484">IF(INDEX(Table2[],_xlfn.XMATCH($A484,Table2[Steel Member],0),_xlfn.XMATCH(R$2,Table2[#Headers],0))=0,"",INDEX(Table2[],_xlfn.XMATCH($A484,Table2[Steel Member],0),_xlfn.XMATCH(R$2,Table2[#Headers],0)))</f>
        <v>#N/A</v>
      </c>
      <c r="S484" s="4" t="e" cm="1">
        <f t="array" ref="S484">IF(INDEX(Table2[],_xlfn.XMATCH($A484,Table2[Steel Member],0),_xlfn.XMATCH(S$2,Table2[#Headers],0))=0,"",INDEX(Table2[],_xlfn.XMATCH($A484,Table2[Steel Member],0),_xlfn.XMATCH(S$2,Table2[#Headers],0)))</f>
        <v>#N/A</v>
      </c>
      <c r="T484" s="4" t="str">
        <f t="shared" si="115"/>
        <v/>
      </c>
      <c r="U484" s="4" t="e">
        <f ca="1">VLOOKUP(N484,'COLOR CODE'!$B:$D,2,FALSE)</f>
        <v>#N/A</v>
      </c>
      <c r="V484" s="4" t="str">
        <f t="shared" si="116"/>
        <v/>
      </c>
      <c r="W484" s="4" t="e" cm="1">
        <f t="array" ref="W484">IF(INDEX(Table2[],_xlfn.XMATCH($A484,Table2[Steel Member],0),_xlfn.XMATCH(W$2,Table2[#Headers],0))=0,"",INDEX(Table2[],_xlfn.XMATCH($A484,Table2[Steel Member],0),_xlfn.XMATCH(W$2,Table2[#Headers],0)))</f>
        <v>#N/A</v>
      </c>
      <c r="X484" s="4" t="e">
        <f t="shared" si="126"/>
        <v>#N/A</v>
      </c>
      <c r="Y484" s="4" t="e" cm="1">
        <f t="array" ref="Y484">IF(INDEX(Table2[],_xlfn.XMATCH($A484,Table2[Steel Member],0),_xlfn.XMATCH(Y$2,Table2[#Headers],0))=0,"",INDEX(Table2[],_xlfn.XMATCH($A484,Table2[Steel Member],0),_xlfn.XMATCH(Y$2,Table2[#Headers],0)))</f>
        <v>#N/A</v>
      </c>
      <c r="Z484" s="4" t="e" cm="1">
        <f t="array" ref="Z484">IF(INDEX(Table2[],_xlfn.XMATCH($A484,Table2[Steel Member],0),_xlfn.XMATCH(Z$2,Table2[#Headers],0))=0,"",INDEX(Table2[],_xlfn.XMATCH($A484,Table2[Steel Member],0),_xlfn.XMATCH(Z$2,Table2[#Headers],0)))</f>
        <v>#N/A</v>
      </c>
      <c r="AA484" s="4" t="e" cm="1">
        <f t="array" ref="AA484">IF(INDEX(Table2[],_xlfn.XMATCH($A484,Table2[Steel Member],0),_xlfn.XMATCH(AA$2,Table2[#Headers],0))=0,"",INDEX(Table2[],_xlfn.XMATCH($A484,Table2[Steel Member],0),_xlfn.XMATCH(AA$2,Table2[#Headers],0)))</f>
        <v>#N/A</v>
      </c>
      <c r="AB484" s="4" t="e" cm="1">
        <f t="array" ref="AB484">IF(INDEX(Table2[],_xlfn.XMATCH($A484,Table2[Steel Member],0),_xlfn.XMATCH(AB$2,Table2[#Headers],0))=0,"",INDEX(Table2[],_xlfn.XMATCH($A484,Table2[Steel Member],0),_xlfn.XMATCH(AB$2,Table2[#Headers],0)))</f>
        <v>#N/A</v>
      </c>
      <c r="AC484" s="4" t="str" cm="1">
        <f t="array" ref="AC484">IFERROR(INDEX(Table8[],_xlfn.XMATCH($O484,Table8[Dimension Name Category],0),_xlfn.XMATCH(AC$2&amp;IF($L484," w/ tag"," w/o tag"),Table8[#Headers],0)),"")</f>
        <v/>
      </c>
      <c r="AD484" s="59" t="str">
        <f t="shared" si="117"/>
        <v/>
      </c>
      <c r="AE484" s="4" t="str">
        <f t="shared" si="118"/>
        <v/>
      </c>
      <c r="AF484" s="4" t="str">
        <f t="shared" si="119"/>
        <v/>
      </c>
      <c r="AG484" s="4" t="str" cm="1">
        <f t="array" ref="AG484">IFERROR(INDEX(Table8[],_xlfn.XMATCH($O484,Table8[Dimension Name Category],0),_xlfn.XMATCH(AG$2&amp;IF($L484," w/ tag"," w/o tag"),Table8[#Headers],0)),"")</f>
        <v/>
      </c>
      <c r="AH484" s="59" t="str">
        <f t="shared" si="120"/>
        <v/>
      </c>
      <c r="AI484" s="4"/>
      <c r="AJ484" s="4" t="str">
        <f t="shared" si="121"/>
        <v/>
      </c>
      <c r="AK484" s="4" t="str">
        <f t="shared" si="122"/>
        <v/>
      </c>
      <c r="AL484" s="4" t="e" cm="1">
        <f t="array" ref="AL484">IF(INDEX(Table2[],_xlfn.XMATCH($A484,Table2[Steel Member],0),_xlfn.XMATCH(AL$2,Table2[#Headers],0))=0,"",INDEX(Table2[],_xlfn.XMATCH($A484,Table2[Steel Member],0),_xlfn.XMATCH(AL$2,Table2[#Headers],0)))</f>
        <v>#N/A</v>
      </c>
      <c r="AM484" s="4"/>
      <c r="AN484" s="4" t="str">
        <f t="shared" si="123"/>
        <v/>
      </c>
      <c r="AO484" s="4"/>
      <c r="AP484" s="4" t="e" cm="1">
        <f t="array" ref="AP484">IF(INDEX(Table2[],_xlfn.XMATCH($A484,Table2[Steel Member],0),_xlfn.XMATCH(AP$2,Table2[#Headers],0))=0,"",INDEX(Table2[],_xlfn.XMATCH($A484,Table2[Steel Member],0),_xlfn.XMATCH(AP$2,Table2[#Headers],0)))</f>
        <v>#N/A</v>
      </c>
      <c r="AQ484" s="4"/>
      <c r="AR484" s="4"/>
      <c r="AS484" s="4"/>
      <c r="AT484" s="4"/>
    </row>
    <row r="485" spans="1:46" x14ac:dyDescent="0.25">
      <c r="A485" s="52"/>
      <c r="B485" s="52"/>
      <c r="C485" s="52"/>
      <c r="D485" s="52"/>
      <c r="E485" s="52"/>
      <c r="F485" s="64" cm="1">
        <f t="array" ref="F485">IF(COUNT(FIND(PurlinsxGirthsxBracings,$C485))&gt;0,0,ROUNDUP(IF(D485=0,0,VLOOKUP(D485,'DATA SHEET'!$B:$D,2,FALSE)),2))</f>
        <v>0</v>
      </c>
      <c r="G485" s="64" cm="1">
        <f t="array" ref="G485">IF(COUNT(FIND(PurlinsxGirthsxBracings,$C485))&gt;0,0,ROUNDUP(IF(D485=0,0,VLOOKUP(D485,'DATA SHEET'!$B:$D,3,FALSE)),2))</f>
        <v>0</v>
      </c>
      <c r="H485" s="53"/>
      <c r="I485" s="66" cm="1">
        <f t="array" ref="I485">IF(AND(ISBLANK(B485),ISBLANK(C485),ISBLANK(E485)),0,IF(COUNT(FIND(PurlinsxGirthsxBracings,$C485))&gt;0,IF(B485=0,CONCATENATE(E485," ",C485),CONCATENATE(B485," - ",E485," ",C485)),IF(B485=0,IF(ISBLANK(C485),E485,CONCATENATE(D485,", ",F485,"kg/m, ",G485,"mm surface perimeter")),IF(AND(ISBLANK(C485),ISTEXT(E485)),CONCATENATE(B485," - ",E485),IF(AND(ISBLANK(C485),ISBLANK(E485)),B485,CONCATENATE(B485," - ",D485,", ",F485,"kg/m, ",G485,"mm surface perimeter"))))&amp;IF(ISBLANK(H485),"",H485)))</f>
        <v>0</v>
      </c>
      <c r="J485" s="53"/>
      <c r="L485" s="4" t="str" cm="1">
        <f t="array" ref="L485">IF(COUNT(FIND({0,1,2,3,4,5,6,7,8,9},B485))&gt;0,COUNT(FIND({0,1,2,3,4,5,6,7,8,9},B485))&gt;0,"")</f>
        <v/>
      </c>
      <c r="M485" s="4" t="str" cm="1">
        <f t="array" aca="1" ref="M485" ca="1">IFERROR(_xlfn.IFS(R485="Count",RANDBETWEEN(1,COUNTIF($R$11:$R$653,"Count")),R485="Length",RANDBETWEEN(1,COUNTIF($R$11:$R$653,"Length"))),"")</f>
        <v/>
      </c>
      <c r="N485" s="4" t="str">
        <f ca="1">IFERROR(_xlfn.RANK.EQ(M485,$M$11:$M$653)+COUNTIF($M$11:M485,M485)-1,"")</f>
        <v/>
      </c>
      <c r="O485" s="86" t="str">
        <f>IF(A485='DATA SHEET'!$L$36,C485,IFERROR(IF(AND(ISTEXT(I485),ISBLANK(C485)),"No details",VLOOKUP(C485,DimFolder,2,FALSE)),""))</f>
        <v/>
      </c>
      <c r="P485" s="4" t="str">
        <f t="shared" si="125"/>
        <v/>
      </c>
      <c r="Q485" s="58" t="str">
        <f t="shared" si="124"/>
        <v/>
      </c>
      <c r="R485" s="4" t="e" cm="1">
        <f t="array" ref="R485">IF(INDEX(Table2[],_xlfn.XMATCH($A485,Table2[Steel Member],0),_xlfn.XMATCH(R$2,Table2[#Headers],0))=0,"",INDEX(Table2[],_xlfn.XMATCH($A485,Table2[Steel Member],0),_xlfn.XMATCH(R$2,Table2[#Headers],0)))</f>
        <v>#N/A</v>
      </c>
      <c r="S485" s="4" t="e" cm="1">
        <f t="array" ref="S485">IF(INDEX(Table2[],_xlfn.XMATCH($A485,Table2[Steel Member],0),_xlfn.XMATCH(S$2,Table2[#Headers],0))=0,"",INDEX(Table2[],_xlfn.XMATCH($A485,Table2[Steel Member],0),_xlfn.XMATCH(S$2,Table2[#Headers],0)))</f>
        <v>#N/A</v>
      </c>
      <c r="T485" s="4" t="str">
        <f t="shared" si="115"/>
        <v/>
      </c>
      <c r="U485" s="4" t="e">
        <f ca="1">VLOOKUP(N485,'COLOR CODE'!$B:$D,2,FALSE)</f>
        <v>#N/A</v>
      </c>
      <c r="V485" s="4" t="str">
        <f t="shared" si="116"/>
        <v/>
      </c>
      <c r="W485" s="4" t="e" cm="1">
        <f t="array" ref="W485">IF(INDEX(Table2[],_xlfn.XMATCH($A485,Table2[Steel Member],0),_xlfn.XMATCH(W$2,Table2[#Headers],0))=0,"",INDEX(Table2[],_xlfn.XMATCH($A485,Table2[Steel Member],0),_xlfn.XMATCH(W$2,Table2[#Headers],0)))</f>
        <v>#N/A</v>
      </c>
      <c r="X485" s="4" t="e">
        <f t="shared" si="126"/>
        <v>#N/A</v>
      </c>
      <c r="Y485" s="4" t="e" cm="1">
        <f t="array" ref="Y485">IF(INDEX(Table2[],_xlfn.XMATCH($A485,Table2[Steel Member],0),_xlfn.XMATCH(Y$2,Table2[#Headers],0))=0,"",INDEX(Table2[],_xlfn.XMATCH($A485,Table2[Steel Member],0),_xlfn.XMATCH(Y$2,Table2[#Headers],0)))</f>
        <v>#N/A</v>
      </c>
      <c r="Z485" s="4" t="e" cm="1">
        <f t="array" ref="Z485">IF(INDEX(Table2[],_xlfn.XMATCH($A485,Table2[Steel Member],0),_xlfn.XMATCH(Z$2,Table2[#Headers],0))=0,"",INDEX(Table2[],_xlfn.XMATCH($A485,Table2[Steel Member],0),_xlfn.XMATCH(Z$2,Table2[#Headers],0)))</f>
        <v>#N/A</v>
      </c>
      <c r="AA485" s="4" t="e" cm="1">
        <f t="array" ref="AA485">IF(INDEX(Table2[],_xlfn.XMATCH($A485,Table2[Steel Member],0),_xlfn.XMATCH(AA$2,Table2[#Headers],0))=0,"",INDEX(Table2[],_xlfn.XMATCH($A485,Table2[Steel Member],0),_xlfn.XMATCH(AA$2,Table2[#Headers],0)))</f>
        <v>#N/A</v>
      </c>
      <c r="AB485" s="4" t="e" cm="1">
        <f t="array" ref="AB485">IF(INDEX(Table2[],_xlfn.XMATCH($A485,Table2[Steel Member],0),_xlfn.XMATCH(AB$2,Table2[#Headers],0))=0,"",INDEX(Table2[],_xlfn.XMATCH($A485,Table2[Steel Member],0),_xlfn.XMATCH(AB$2,Table2[#Headers],0)))</f>
        <v>#N/A</v>
      </c>
      <c r="AC485" s="4" t="str" cm="1">
        <f t="array" ref="AC485">IFERROR(INDEX(Table8[],_xlfn.XMATCH($O485,Table8[Dimension Name Category],0),_xlfn.XMATCH(AC$2&amp;IF($L485," w/ tag"," w/o tag"),Table8[#Headers],0)),"")</f>
        <v/>
      </c>
      <c r="AD485" s="59" t="str">
        <f t="shared" si="117"/>
        <v/>
      </c>
      <c r="AE485" s="4" t="str">
        <f t="shared" si="118"/>
        <v/>
      </c>
      <c r="AF485" s="4" t="str">
        <f t="shared" si="119"/>
        <v/>
      </c>
      <c r="AG485" s="4" t="str" cm="1">
        <f t="array" ref="AG485">IFERROR(INDEX(Table8[],_xlfn.XMATCH($O485,Table8[Dimension Name Category],0),_xlfn.XMATCH(AG$2&amp;IF($L485," w/ tag"," w/o tag"),Table8[#Headers],0)),"")</f>
        <v/>
      </c>
      <c r="AH485" s="59" t="str">
        <f t="shared" si="120"/>
        <v/>
      </c>
      <c r="AI485" s="4"/>
      <c r="AJ485" s="4" t="str">
        <f t="shared" si="121"/>
        <v/>
      </c>
      <c r="AK485" s="4" t="str">
        <f t="shared" si="122"/>
        <v/>
      </c>
      <c r="AL485" s="4" t="e" cm="1">
        <f t="array" ref="AL485">IF(INDEX(Table2[],_xlfn.XMATCH($A485,Table2[Steel Member],0),_xlfn.XMATCH(AL$2,Table2[#Headers],0))=0,"",INDEX(Table2[],_xlfn.XMATCH($A485,Table2[Steel Member],0),_xlfn.XMATCH(AL$2,Table2[#Headers],0)))</f>
        <v>#N/A</v>
      </c>
      <c r="AM485" s="4"/>
      <c r="AN485" s="4" t="str">
        <f t="shared" si="123"/>
        <v/>
      </c>
      <c r="AO485" s="4"/>
      <c r="AP485" s="4" t="e" cm="1">
        <f t="array" ref="AP485">IF(INDEX(Table2[],_xlfn.XMATCH($A485,Table2[Steel Member],0),_xlfn.XMATCH(AP$2,Table2[#Headers],0))=0,"",INDEX(Table2[],_xlfn.XMATCH($A485,Table2[Steel Member],0),_xlfn.XMATCH(AP$2,Table2[#Headers],0)))</f>
        <v>#N/A</v>
      </c>
      <c r="AQ485" s="4"/>
      <c r="AR485" s="4"/>
      <c r="AS485" s="4"/>
      <c r="AT485" s="4"/>
    </row>
    <row r="486" spans="1:46" x14ac:dyDescent="0.25">
      <c r="A486" s="52"/>
      <c r="B486" s="52"/>
      <c r="C486" s="52"/>
      <c r="D486" s="52"/>
      <c r="E486" s="52"/>
      <c r="F486" s="64" cm="1">
        <f t="array" ref="F486">IF(COUNT(FIND(PurlinsxGirthsxBracings,$C486))&gt;0,0,ROUNDUP(IF(D486=0,0,VLOOKUP(D486,'DATA SHEET'!$B:$D,2,FALSE)),2))</f>
        <v>0</v>
      </c>
      <c r="G486" s="64" cm="1">
        <f t="array" ref="G486">IF(COUNT(FIND(PurlinsxGirthsxBracings,$C486))&gt;0,0,ROUNDUP(IF(D486=0,0,VLOOKUP(D486,'DATA SHEET'!$B:$D,3,FALSE)),2))</f>
        <v>0</v>
      </c>
      <c r="H486" s="53"/>
      <c r="I486" s="66" cm="1">
        <f t="array" ref="I486">IF(AND(ISBLANK(B486),ISBLANK(C486),ISBLANK(E486)),0,IF(COUNT(FIND(PurlinsxGirthsxBracings,$C486))&gt;0,IF(B486=0,CONCATENATE(E486," ",C486),CONCATENATE(B486," - ",E486," ",C486)),IF(B486=0,IF(ISBLANK(C486),E486,CONCATENATE(D486,", ",F486,"kg/m, ",G486,"mm surface perimeter")),IF(AND(ISBLANK(C486),ISTEXT(E486)),CONCATENATE(B486," - ",E486),IF(AND(ISBLANK(C486),ISBLANK(E486)),B486,CONCATENATE(B486," - ",D486,", ",F486,"kg/m, ",G486,"mm surface perimeter"))))&amp;IF(ISBLANK(H486),"",H486)))</f>
        <v>0</v>
      </c>
      <c r="J486" s="53"/>
      <c r="L486" s="4" t="str" cm="1">
        <f t="array" ref="L486">IF(COUNT(FIND({0,1,2,3,4,5,6,7,8,9},B486))&gt;0,COUNT(FIND({0,1,2,3,4,5,6,7,8,9},B486))&gt;0,"")</f>
        <v/>
      </c>
      <c r="M486" s="4" t="str" cm="1">
        <f t="array" aca="1" ref="M486" ca="1">IFERROR(_xlfn.IFS(R486="Count",RANDBETWEEN(1,COUNTIF($R$11:$R$653,"Count")),R486="Length",RANDBETWEEN(1,COUNTIF($R$11:$R$653,"Length"))),"")</f>
        <v/>
      </c>
      <c r="N486" s="4" t="str">
        <f ca="1">IFERROR(_xlfn.RANK.EQ(M486,$M$11:$M$653)+COUNTIF($M$11:M486,M486)-1,"")</f>
        <v/>
      </c>
      <c r="O486" s="86" t="str">
        <f>IF(A486='DATA SHEET'!$L$36,C486,IFERROR(IF(AND(ISTEXT(I486),ISBLANK(C486)),"No details",VLOOKUP(C486,DimFolder,2,FALSE)),""))</f>
        <v/>
      </c>
      <c r="P486" s="4" t="str">
        <f t="shared" si="125"/>
        <v/>
      </c>
      <c r="Q486" s="58" t="str">
        <f t="shared" si="124"/>
        <v/>
      </c>
      <c r="R486" s="4" t="e" cm="1">
        <f t="array" ref="R486">IF(INDEX(Table2[],_xlfn.XMATCH($A486,Table2[Steel Member],0),_xlfn.XMATCH(R$2,Table2[#Headers],0))=0,"",INDEX(Table2[],_xlfn.XMATCH($A486,Table2[Steel Member],0),_xlfn.XMATCH(R$2,Table2[#Headers],0)))</f>
        <v>#N/A</v>
      </c>
      <c r="S486" s="4" t="e" cm="1">
        <f t="array" ref="S486">IF(INDEX(Table2[],_xlfn.XMATCH($A486,Table2[Steel Member],0),_xlfn.XMATCH(S$2,Table2[#Headers],0))=0,"",INDEX(Table2[],_xlfn.XMATCH($A486,Table2[Steel Member],0),_xlfn.XMATCH(S$2,Table2[#Headers],0)))</f>
        <v>#N/A</v>
      </c>
      <c r="T486" s="4" t="str">
        <f t="shared" si="115"/>
        <v/>
      </c>
      <c r="U486" s="4" t="e">
        <f ca="1">VLOOKUP(N486,'COLOR CODE'!$B:$D,2,FALSE)</f>
        <v>#N/A</v>
      </c>
      <c r="V486" s="4" t="str">
        <f t="shared" si="116"/>
        <v/>
      </c>
      <c r="W486" s="4" t="e" cm="1">
        <f t="array" ref="W486">IF(INDEX(Table2[],_xlfn.XMATCH($A486,Table2[Steel Member],0),_xlfn.XMATCH(W$2,Table2[#Headers],0))=0,"",INDEX(Table2[],_xlfn.XMATCH($A486,Table2[Steel Member],0),_xlfn.XMATCH(W$2,Table2[#Headers],0)))</f>
        <v>#N/A</v>
      </c>
      <c r="X486" s="4" t="e">
        <f t="shared" si="126"/>
        <v>#N/A</v>
      </c>
      <c r="Y486" s="4" t="e" cm="1">
        <f t="array" ref="Y486">IF(INDEX(Table2[],_xlfn.XMATCH($A486,Table2[Steel Member],0),_xlfn.XMATCH(Y$2,Table2[#Headers],0))=0,"",INDEX(Table2[],_xlfn.XMATCH($A486,Table2[Steel Member],0),_xlfn.XMATCH(Y$2,Table2[#Headers],0)))</f>
        <v>#N/A</v>
      </c>
      <c r="Z486" s="4" t="e" cm="1">
        <f t="array" ref="Z486">IF(INDEX(Table2[],_xlfn.XMATCH($A486,Table2[Steel Member],0),_xlfn.XMATCH(Z$2,Table2[#Headers],0))=0,"",INDEX(Table2[],_xlfn.XMATCH($A486,Table2[Steel Member],0),_xlfn.XMATCH(Z$2,Table2[#Headers],0)))</f>
        <v>#N/A</v>
      </c>
      <c r="AA486" s="4" t="e" cm="1">
        <f t="array" ref="AA486">IF(INDEX(Table2[],_xlfn.XMATCH($A486,Table2[Steel Member],0),_xlfn.XMATCH(AA$2,Table2[#Headers],0))=0,"",INDEX(Table2[],_xlfn.XMATCH($A486,Table2[Steel Member],0),_xlfn.XMATCH(AA$2,Table2[#Headers],0)))</f>
        <v>#N/A</v>
      </c>
      <c r="AB486" s="4" t="e" cm="1">
        <f t="array" ref="AB486">IF(INDEX(Table2[],_xlfn.XMATCH($A486,Table2[Steel Member],0),_xlfn.XMATCH(AB$2,Table2[#Headers],0))=0,"",INDEX(Table2[],_xlfn.XMATCH($A486,Table2[Steel Member],0),_xlfn.XMATCH(AB$2,Table2[#Headers],0)))</f>
        <v>#N/A</v>
      </c>
      <c r="AC486" s="4" t="str" cm="1">
        <f t="array" ref="AC486">IFERROR(INDEX(Table8[],_xlfn.XMATCH($O486,Table8[Dimension Name Category],0),_xlfn.XMATCH(AC$2&amp;IF($L486," w/ tag"," w/o tag"),Table8[#Headers],0)),"")</f>
        <v/>
      </c>
      <c r="AD486" s="59" t="str">
        <f t="shared" si="117"/>
        <v/>
      </c>
      <c r="AE486" s="4" t="str">
        <f t="shared" si="118"/>
        <v/>
      </c>
      <c r="AF486" s="4" t="str">
        <f t="shared" si="119"/>
        <v/>
      </c>
      <c r="AG486" s="4" t="str" cm="1">
        <f t="array" ref="AG486">IFERROR(INDEX(Table8[],_xlfn.XMATCH($O486,Table8[Dimension Name Category],0),_xlfn.XMATCH(AG$2&amp;IF($L486," w/ tag"," w/o tag"),Table8[#Headers],0)),"")</f>
        <v/>
      </c>
      <c r="AH486" s="59" t="str">
        <f t="shared" si="120"/>
        <v/>
      </c>
      <c r="AI486" s="4"/>
      <c r="AJ486" s="4" t="str">
        <f t="shared" si="121"/>
        <v/>
      </c>
      <c r="AK486" s="4" t="str">
        <f t="shared" si="122"/>
        <v/>
      </c>
      <c r="AL486" s="4" t="e" cm="1">
        <f t="array" ref="AL486">IF(INDEX(Table2[],_xlfn.XMATCH($A486,Table2[Steel Member],0),_xlfn.XMATCH(AL$2,Table2[#Headers],0))=0,"",INDEX(Table2[],_xlfn.XMATCH($A486,Table2[Steel Member],0),_xlfn.XMATCH(AL$2,Table2[#Headers],0)))</f>
        <v>#N/A</v>
      </c>
      <c r="AM486" s="4"/>
      <c r="AN486" s="4" t="str">
        <f t="shared" si="123"/>
        <v/>
      </c>
      <c r="AO486" s="4"/>
      <c r="AP486" s="4" t="e" cm="1">
        <f t="array" ref="AP486">IF(INDEX(Table2[],_xlfn.XMATCH($A486,Table2[Steel Member],0),_xlfn.XMATCH(AP$2,Table2[#Headers],0))=0,"",INDEX(Table2[],_xlfn.XMATCH($A486,Table2[Steel Member],0),_xlfn.XMATCH(AP$2,Table2[#Headers],0)))</f>
        <v>#N/A</v>
      </c>
      <c r="AQ486" s="4"/>
      <c r="AR486" s="4"/>
      <c r="AS486" s="4"/>
      <c r="AT486" s="4"/>
    </row>
    <row r="487" spans="1:46" x14ac:dyDescent="0.25">
      <c r="A487" s="52"/>
      <c r="B487" s="52"/>
      <c r="C487" s="52"/>
      <c r="D487" s="52"/>
      <c r="E487" s="52"/>
      <c r="F487" s="64" cm="1">
        <f t="array" ref="F487">IF(COUNT(FIND(PurlinsxGirthsxBracings,$C487))&gt;0,0,ROUNDUP(IF(D487=0,0,VLOOKUP(D487,'DATA SHEET'!$B:$D,2,FALSE)),2))</f>
        <v>0</v>
      </c>
      <c r="G487" s="64" cm="1">
        <f t="array" ref="G487">IF(COUNT(FIND(PurlinsxGirthsxBracings,$C487))&gt;0,0,ROUNDUP(IF(D487=0,0,VLOOKUP(D487,'DATA SHEET'!$B:$D,3,FALSE)),2))</f>
        <v>0</v>
      </c>
      <c r="H487" s="53"/>
      <c r="I487" s="66" cm="1">
        <f t="array" ref="I487">IF(AND(ISBLANK(B487),ISBLANK(C487),ISBLANK(E487)),0,IF(COUNT(FIND(PurlinsxGirthsxBracings,$C487))&gt;0,IF(B487=0,CONCATENATE(E487," ",C487),CONCATENATE(B487," - ",E487," ",C487)),IF(B487=0,IF(ISBLANK(C487),E487,CONCATENATE(D487,", ",F487,"kg/m, ",G487,"mm surface perimeter")),IF(AND(ISBLANK(C487),ISTEXT(E487)),CONCATENATE(B487," - ",E487),IF(AND(ISBLANK(C487),ISBLANK(E487)),B487,CONCATENATE(B487," - ",D487,", ",F487,"kg/m, ",G487,"mm surface perimeter"))))&amp;IF(ISBLANK(H487),"",H487)))</f>
        <v>0</v>
      </c>
      <c r="J487" s="53"/>
      <c r="L487" s="4" t="str" cm="1">
        <f t="array" ref="L487">IF(COUNT(FIND({0,1,2,3,4,5,6,7,8,9},B487))&gt;0,COUNT(FIND({0,1,2,3,4,5,6,7,8,9},B487))&gt;0,"")</f>
        <v/>
      </c>
      <c r="M487" s="4" t="str" cm="1">
        <f t="array" aca="1" ref="M487" ca="1">IFERROR(_xlfn.IFS(R487="Count",RANDBETWEEN(1,COUNTIF($R$11:$R$653,"Count")),R487="Length",RANDBETWEEN(1,COUNTIF($R$11:$R$653,"Length"))),"")</f>
        <v/>
      </c>
      <c r="N487" s="4" t="str">
        <f ca="1">IFERROR(_xlfn.RANK.EQ(M487,$M$11:$M$653)+COUNTIF($M$11:M487,M487)-1,"")</f>
        <v/>
      </c>
      <c r="O487" s="86" t="str">
        <f>IF(A487='DATA SHEET'!$L$36,C487,IFERROR(IF(AND(ISTEXT(I487),ISBLANK(C487)),"No details",VLOOKUP(C487,DimFolder,2,FALSE)),""))</f>
        <v/>
      </c>
      <c r="P487" s="4" t="str">
        <f t="shared" si="125"/>
        <v/>
      </c>
      <c r="Q487" s="58" t="str">
        <f t="shared" si="124"/>
        <v/>
      </c>
      <c r="R487" s="4" t="e" cm="1">
        <f t="array" ref="R487">IF(INDEX(Table2[],_xlfn.XMATCH($A487,Table2[Steel Member],0),_xlfn.XMATCH(R$2,Table2[#Headers],0))=0,"",INDEX(Table2[],_xlfn.XMATCH($A487,Table2[Steel Member],0),_xlfn.XMATCH(R$2,Table2[#Headers],0)))</f>
        <v>#N/A</v>
      </c>
      <c r="S487" s="4" t="e" cm="1">
        <f t="array" ref="S487">IF(INDEX(Table2[],_xlfn.XMATCH($A487,Table2[Steel Member],0),_xlfn.XMATCH(S$2,Table2[#Headers],0))=0,"",INDEX(Table2[],_xlfn.XMATCH($A487,Table2[Steel Member],0),_xlfn.XMATCH(S$2,Table2[#Headers],0)))</f>
        <v>#N/A</v>
      </c>
      <c r="T487" s="4" t="str">
        <f t="shared" si="115"/>
        <v/>
      </c>
      <c r="U487" s="4" t="e">
        <f ca="1">VLOOKUP(N487,'COLOR CODE'!$B:$D,2,FALSE)</f>
        <v>#N/A</v>
      </c>
      <c r="V487" s="4" t="str">
        <f t="shared" si="116"/>
        <v/>
      </c>
      <c r="W487" s="4" t="e" cm="1">
        <f t="array" ref="W487">IF(INDEX(Table2[],_xlfn.XMATCH($A487,Table2[Steel Member],0),_xlfn.XMATCH(W$2,Table2[#Headers],0))=0,"",INDEX(Table2[],_xlfn.XMATCH($A487,Table2[Steel Member],0),_xlfn.XMATCH(W$2,Table2[#Headers],0)))</f>
        <v>#N/A</v>
      </c>
      <c r="X487" s="4" t="e">
        <f t="shared" si="126"/>
        <v>#N/A</v>
      </c>
      <c r="Y487" s="4" t="e" cm="1">
        <f t="array" ref="Y487">IF(INDEX(Table2[],_xlfn.XMATCH($A487,Table2[Steel Member],0),_xlfn.XMATCH(Y$2,Table2[#Headers],0))=0,"",INDEX(Table2[],_xlfn.XMATCH($A487,Table2[Steel Member],0),_xlfn.XMATCH(Y$2,Table2[#Headers],0)))</f>
        <v>#N/A</v>
      </c>
      <c r="Z487" s="4" t="e" cm="1">
        <f t="array" ref="Z487">IF(INDEX(Table2[],_xlfn.XMATCH($A487,Table2[Steel Member],0),_xlfn.XMATCH(Z$2,Table2[#Headers],0))=0,"",INDEX(Table2[],_xlfn.XMATCH($A487,Table2[Steel Member],0),_xlfn.XMATCH(Z$2,Table2[#Headers],0)))</f>
        <v>#N/A</v>
      </c>
      <c r="AA487" s="4" t="e" cm="1">
        <f t="array" ref="AA487">IF(INDEX(Table2[],_xlfn.XMATCH($A487,Table2[Steel Member],0),_xlfn.XMATCH(AA$2,Table2[#Headers],0))=0,"",INDEX(Table2[],_xlfn.XMATCH($A487,Table2[Steel Member],0),_xlfn.XMATCH(AA$2,Table2[#Headers],0)))</f>
        <v>#N/A</v>
      </c>
      <c r="AB487" s="4" t="e" cm="1">
        <f t="array" ref="AB487">IF(INDEX(Table2[],_xlfn.XMATCH($A487,Table2[Steel Member],0),_xlfn.XMATCH(AB$2,Table2[#Headers],0))=0,"",INDEX(Table2[],_xlfn.XMATCH($A487,Table2[Steel Member],0),_xlfn.XMATCH(AB$2,Table2[#Headers],0)))</f>
        <v>#N/A</v>
      </c>
      <c r="AC487" s="4" t="str" cm="1">
        <f t="array" ref="AC487">IFERROR(INDEX(Table8[],_xlfn.XMATCH($O487,Table8[Dimension Name Category],0),_xlfn.XMATCH(AC$2&amp;IF($L487," w/ tag"," w/o tag"),Table8[#Headers],0)),"")</f>
        <v/>
      </c>
      <c r="AD487" s="59" t="str">
        <f t="shared" si="117"/>
        <v/>
      </c>
      <c r="AE487" s="4" t="str">
        <f t="shared" si="118"/>
        <v/>
      </c>
      <c r="AF487" s="4" t="str">
        <f t="shared" si="119"/>
        <v/>
      </c>
      <c r="AG487" s="4" t="str" cm="1">
        <f t="array" ref="AG487">IFERROR(INDEX(Table8[],_xlfn.XMATCH($O487,Table8[Dimension Name Category],0),_xlfn.XMATCH(AG$2&amp;IF($L487," w/ tag"," w/o tag"),Table8[#Headers],0)),"")</f>
        <v/>
      </c>
      <c r="AH487" s="59" t="str">
        <f t="shared" si="120"/>
        <v/>
      </c>
      <c r="AI487" s="4"/>
      <c r="AJ487" s="4" t="str">
        <f t="shared" si="121"/>
        <v/>
      </c>
      <c r="AK487" s="4" t="str">
        <f t="shared" si="122"/>
        <v/>
      </c>
      <c r="AL487" s="4" t="e" cm="1">
        <f t="array" ref="AL487">IF(INDEX(Table2[],_xlfn.XMATCH($A487,Table2[Steel Member],0),_xlfn.XMATCH(AL$2,Table2[#Headers],0))=0,"",INDEX(Table2[],_xlfn.XMATCH($A487,Table2[Steel Member],0),_xlfn.XMATCH(AL$2,Table2[#Headers],0)))</f>
        <v>#N/A</v>
      </c>
      <c r="AM487" s="4"/>
      <c r="AN487" s="4" t="str">
        <f t="shared" si="123"/>
        <v/>
      </c>
      <c r="AO487" s="4"/>
      <c r="AP487" s="4" t="e" cm="1">
        <f t="array" ref="AP487">IF(INDEX(Table2[],_xlfn.XMATCH($A487,Table2[Steel Member],0),_xlfn.XMATCH(AP$2,Table2[#Headers],0))=0,"",INDEX(Table2[],_xlfn.XMATCH($A487,Table2[Steel Member],0),_xlfn.XMATCH(AP$2,Table2[#Headers],0)))</f>
        <v>#N/A</v>
      </c>
      <c r="AQ487" s="4"/>
      <c r="AR487" s="4"/>
      <c r="AS487" s="4"/>
      <c r="AT487" s="4"/>
    </row>
    <row r="488" spans="1:46" x14ac:dyDescent="0.25">
      <c r="A488" s="52"/>
      <c r="B488" s="52"/>
      <c r="C488" s="52"/>
      <c r="D488" s="52"/>
      <c r="E488" s="52"/>
      <c r="F488" s="64" cm="1">
        <f t="array" ref="F488">IF(COUNT(FIND(PurlinsxGirthsxBracings,$C488))&gt;0,0,ROUNDUP(IF(D488=0,0,VLOOKUP(D488,'DATA SHEET'!$B:$D,2,FALSE)),2))</f>
        <v>0</v>
      </c>
      <c r="G488" s="64" cm="1">
        <f t="array" ref="G488">IF(COUNT(FIND(PurlinsxGirthsxBracings,$C488))&gt;0,0,ROUNDUP(IF(D488=0,0,VLOOKUP(D488,'DATA SHEET'!$B:$D,3,FALSE)),2))</f>
        <v>0</v>
      </c>
      <c r="H488" s="53"/>
      <c r="I488" s="66" cm="1">
        <f t="array" ref="I488">IF(AND(ISBLANK(B488),ISBLANK(C488),ISBLANK(E488)),0,IF(COUNT(FIND(PurlinsxGirthsxBracings,$C488))&gt;0,IF(B488=0,CONCATENATE(E488," ",C488),CONCATENATE(B488," - ",E488," ",C488)),IF(B488=0,IF(ISBLANK(C488),E488,CONCATENATE(D488,", ",F488,"kg/m, ",G488,"mm surface perimeter")),IF(AND(ISBLANK(C488),ISTEXT(E488)),CONCATENATE(B488," - ",E488),IF(AND(ISBLANK(C488),ISBLANK(E488)),B488,CONCATENATE(B488," - ",D488,", ",F488,"kg/m, ",G488,"mm surface perimeter"))))&amp;IF(ISBLANK(H488),"",H488)))</f>
        <v>0</v>
      </c>
      <c r="J488" s="53"/>
      <c r="L488" s="4" t="str" cm="1">
        <f t="array" ref="L488">IF(COUNT(FIND({0,1,2,3,4,5,6,7,8,9},B488))&gt;0,COUNT(FIND({0,1,2,3,4,5,6,7,8,9},B488))&gt;0,"")</f>
        <v/>
      </c>
      <c r="M488" s="4" t="str" cm="1">
        <f t="array" aca="1" ref="M488" ca="1">IFERROR(_xlfn.IFS(R488="Count",RANDBETWEEN(1,COUNTIF($R$11:$R$653,"Count")),R488="Length",RANDBETWEEN(1,COUNTIF($R$11:$R$653,"Length"))),"")</f>
        <v/>
      </c>
      <c r="N488" s="4" t="str">
        <f ca="1">IFERROR(_xlfn.RANK.EQ(M488,$M$11:$M$653)+COUNTIF($M$11:M488,M488)-1,"")</f>
        <v/>
      </c>
      <c r="O488" s="86" t="str">
        <f>IF(A488='DATA SHEET'!$L$36,C488,IFERROR(IF(AND(ISTEXT(I488),ISBLANK(C488)),"No details",VLOOKUP(C488,DimFolder,2,FALSE)),""))</f>
        <v/>
      </c>
      <c r="P488" s="4" t="str">
        <f t="shared" si="125"/>
        <v/>
      </c>
      <c r="Q488" s="58" t="str">
        <f t="shared" si="124"/>
        <v/>
      </c>
      <c r="R488" s="4" t="e" cm="1">
        <f t="array" ref="R488">IF(INDEX(Table2[],_xlfn.XMATCH($A488,Table2[Steel Member],0),_xlfn.XMATCH(R$2,Table2[#Headers],0))=0,"",INDEX(Table2[],_xlfn.XMATCH($A488,Table2[Steel Member],0),_xlfn.XMATCH(R$2,Table2[#Headers],0)))</f>
        <v>#N/A</v>
      </c>
      <c r="S488" s="4" t="e" cm="1">
        <f t="array" ref="S488">IF(INDEX(Table2[],_xlfn.XMATCH($A488,Table2[Steel Member],0),_xlfn.XMATCH(S$2,Table2[#Headers],0))=0,"",INDEX(Table2[],_xlfn.XMATCH($A488,Table2[Steel Member],0),_xlfn.XMATCH(S$2,Table2[#Headers],0)))</f>
        <v>#N/A</v>
      </c>
      <c r="T488" s="4" t="str">
        <f t="shared" si="115"/>
        <v/>
      </c>
      <c r="U488" s="4" t="e">
        <f ca="1">VLOOKUP(N488,'COLOR CODE'!$B:$D,2,FALSE)</f>
        <v>#N/A</v>
      </c>
      <c r="V488" s="4" t="str">
        <f t="shared" si="116"/>
        <v/>
      </c>
      <c r="W488" s="4" t="e" cm="1">
        <f t="array" ref="W488">IF(INDEX(Table2[],_xlfn.XMATCH($A488,Table2[Steel Member],0),_xlfn.XMATCH(W$2,Table2[#Headers],0))=0,"",INDEX(Table2[],_xlfn.XMATCH($A488,Table2[Steel Member],0),_xlfn.XMATCH(W$2,Table2[#Headers],0)))</f>
        <v>#N/A</v>
      </c>
      <c r="X488" s="4" t="e">
        <f t="shared" si="126"/>
        <v>#N/A</v>
      </c>
      <c r="Y488" s="4" t="e" cm="1">
        <f t="array" ref="Y488">IF(INDEX(Table2[],_xlfn.XMATCH($A488,Table2[Steel Member],0),_xlfn.XMATCH(Y$2,Table2[#Headers],0))=0,"",INDEX(Table2[],_xlfn.XMATCH($A488,Table2[Steel Member],0),_xlfn.XMATCH(Y$2,Table2[#Headers],0)))</f>
        <v>#N/A</v>
      </c>
      <c r="Z488" s="4" t="e" cm="1">
        <f t="array" ref="Z488">IF(INDEX(Table2[],_xlfn.XMATCH($A488,Table2[Steel Member],0),_xlfn.XMATCH(Z$2,Table2[#Headers],0))=0,"",INDEX(Table2[],_xlfn.XMATCH($A488,Table2[Steel Member],0),_xlfn.XMATCH(Z$2,Table2[#Headers],0)))</f>
        <v>#N/A</v>
      </c>
      <c r="AA488" s="4" t="e" cm="1">
        <f t="array" ref="AA488">IF(INDEX(Table2[],_xlfn.XMATCH($A488,Table2[Steel Member],0),_xlfn.XMATCH(AA$2,Table2[#Headers],0))=0,"",INDEX(Table2[],_xlfn.XMATCH($A488,Table2[Steel Member],0),_xlfn.XMATCH(AA$2,Table2[#Headers],0)))</f>
        <v>#N/A</v>
      </c>
      <c r="AB488" s="4" t="e" cm="1">
        <f t="array" ref="AB488">IF(INDEX(Table2[],_xlfn.XMATCH($A488,Table2[Steel Member],0),_xlfn.XMATCH(AB$2,Table2[#Headers],0))=0,"",INDEX(Table2[],_xlfn.XMATCH($A488,Table2[Steel Member],0),_xlfn.XMATCH(AB$2,Table2[#Headers],0)))</f>
        <v>#N/A</v>
      </c>
      <c r="AC488" s="4" t="str" cm="1">
        <f t="array" ref="AC488">IFERROR(INDEX(Table8[],_xlfn.XMATCH($O488,Table8[Dimension Name Category],0),_xlfn.XMATCH(AC$2&amp;IF($L488," w/ tag"," w/o tag"),Table8[#Headers],0)),"")</f>
        <v/>
      </c>
      <c r="AD488" s="59" t="str">
        <f t="shared" si="117"/>
        <v/>
      </c>
      <c r="AE488" s="4" t="str">
        <f t="shared" si="118"/>
        <v/>
      </c>
      <c r="AF488" s="4" t="str">
        <f t="shared" si="119"/>
        <v/>
      </c>
      <c r="AG488" s="4" t="str" cm="1">
        <f t="array" ref="AG488">IFERROR(INDEX(Table8[],_xlfn.XMATCH($O488,Table8[Dimension Name Category],0),_xlfn.XMATCH(AG$2&amp;IF($L488," w/ tag"," w/o tag"),Table8[#Headers],0)),"")</f>
        <v/>
      </c>
      <c r="AH488" s="59" t="str">
        <f t="shared" si="120"/>
        <v/>
      </c>
      <c r="AI488" s="4"/>
      <c r="AJ488" s="4" t="str">
        <f t="shared" si="121"/>
        <v/>
      </c>
      <c r="AK488" s="4" t="str">
        <f t="shared" si="122"/>
        <v/>
      </c>
      <c r="AL488" s="4" t="e" cm="1">
        <f t="array" ref="AL488">IF(INDEX(Table2[],_xlfn.XMATCH($A488,Table2[Steel Member],0),_xlfn.XMATCH(AL$2,Table2[#Headers],0))=0,"",INDEX(Table2[],_xlfn.XMATCH($A488,Table2[Steel Member],0),_xlfn.XMATCH(AL$2,Table2[#Headers],0)))</f>
        <v>#N/A</v>
      </c>
      <c r="AM488" s="4"/>
      <c r="AN488" s="4" t="str">
        <f t="shared" si="123"/>
        <v/>
      </c>
      <c r="AO488" s="4"/>
      <c r="AP488" s="4" t="e" cm="1">
        <f t="array" ref="AP488">IF(INDEX(Table2[],_xlfn.XMATCH($A488,Table2[Steel Member],0),_xlfn.XMATCH(AP$2,Table2[#Headers],0))=0,"",INDEX(Table2[],_xlfn.XMATCH($A488,Table2[Steel Member],0),_xlfn.XMATCH(AP$2,Table2[#Headers],0)))</f>
        <v>#N/A</v>
      </c>
      <c r="AQ488" s="4"/>
      <c r="AR488" s="4"/>
      <c r="AS488" s="4"/>
      <c r="AT488" s="4"/>
    </row>
    <row r="489" spans="1:46" x14ac:dyDescent="0.25">
      <c r="A489" s="52"/>
      <c r="B489" s="52"/>
      <c r="C489" s="52"/>
      <c r="D489" s="52"/>
      <c r="E489" s="52"/>
      <c r="F489" s="64" cm="1">
        <f t="array" ref="F489">IF(COUNT(FIND(PurlinsxGirthsxBracings,$C489))&gt;0,0,ROUNDUP(IF(D489=0,0,VLOOKUP(D489,'DATA SHEET'!$B:$D,2,FALSE)),2))</f>
        <v>0</v>
      </c>
      <c r="G489" s="64" cm="1">
        <f t="array" ref="G489">IF(COUNT(FIND(PurlinsxGirthsxBracings,$C489))&gt;0,0,ROUNDUP(IF(D489=0,0,VLOOKUP(D489,'DATA SHEET'!$B:$D,3,FALSE)),2))</f>
        <v>0</v>
      </c>
      <c r="H489" s="53"/>
      <c r="I489" s="66" cm="1">
        <f t="array" ref="I489">IF(AND(ISBLANK(B489),ISBLANK(C489),ISBLANK(E489)),0,IF(COUNT(FIND(PurlinsxGirthsxBracings,$C489))&gt;0,IF(B489=0,CONCATENATE(E489," ",C489),CONCATENATE(B489," - ",E489," ",C489)),IF(B489=0,IF(ISBLANK(C489),E489,CONCATENATE(D489,", ",F489,"kg/m, ",G489,"mm surface perimeter")),IF(AND(ISBLANK(C489),ISTEXT(E489)),CONCATENATE(B489," - ",E489),IF(AND(ISBLANK(C489),ISBLANK(E489)),B489,CONCATENATE(B489," - ",D489,", ",F489,"kg/m, ",G489,"mm surface perimeter"))))&amp;IF(ISBLANK(H489),"",H489)))</f>
        <v>0</v>
      </c>
      <c r="J489" s="53"/>
      <c r="L489" s="4" t="str" cm="1">
        <f t="array" ref="L489">IF(COUNT(FIND({0,1,2,3,4,5,6,7,8,9},B489))&gt;0,COUNT(FIND({0,1,2,3,4,5,6,7,8,9},B489))&gt;0,"")</f>
        <v/>
      </c>
      <c r="M489" s="4" t="str" cm="1">
        <f t="array" aca="1" ref="M489" ca="1">IFERROR(_xlfn.IFS(R489="Count",RANDBETWEEN(1,COUNTIF($R$11:$R$653,"Count")),R489="Length",RANDBETWEEN(1,COUNTIF($R$11:$R$653,"Length"))),"")</f>
        <v/>
      </c>
      <c r="N489" s="4" t="str">
        <f ca="1">IFERROR(_xlfn.RANK.EQ(M489,$M$11:$M$653)+COUNTIF($M$11:M489,M489)-1,"")</f>
        <v/>
      </c>
      <c r="O489" s="86" t="str">
        <f>IF(A489='DATA SHEET'!$L$36,C489,IFERROR(IF(AND(ISTEXT(I489),ISBLANK(C489)),"No details",VLOOKUP(C489,DimFolder,2,FALSE)),""))</f>
        <v/>
      </c>
      <c r="P489" s="4" t="str">
        <f t="shared" si="125"/>
        <v/>
      </c>
      <c r="Q489" s="58" t="str">
        <f t="shared" si="124"/>
        <v/>
      </c>
      <c r="R489" s="4" t="e" cm="1">
        <f t="array" ref="R489">IF(INDEX(Table2[],_xlfn.XMATCH($A489,Table2[Steel Member],0),_xlfn.XMATCH(R$2,Table2[#Headers],0))=0,"",INDEX(Table2[],_xlfn.XMATCH($A489,Table2[Steel Member],0),_xlfn.XMATCH(R$2,Table2[#Headers],0)))</f>
        <v>#N/A</v>
      </c>
      <c r="S489" s="4" t="e" cm="1">
        <f t="array" ref="S489">IF(INDEX(Table2[],_xlfn.XMATCH($A489,Table2[Steel Member],0),_xlfn.XMATCH(S$2,Table2[#Headers],0))=0,"",INDEX(Table2[],_xlfn.XMATCH($A489,Table2[Steel Member],0),_xlfn.XMATCH(S$2,Table2[#Headers],0)))</f>
        <v>#N/A</v>
      </c>
      <c r="T489" s="4" t="str">
        <f t="shared" si="115"/>
        <v/>
      </c>
      <c r="U489" s="4" t="e">
        <f ca="1">VLOOKUP(N489,'COLOR CODE'!$B:$D,2,FALSE)</f>
        <v>#N/A</v>
      </c>
      <c r="V489" s="4" t="str">
        <f t="shared" si="116"/>
        <v/>
      </c>
      <c r="W489" s="4" t="e" cm="1">
        <f t="array" ref="W489">IF(INDEX(Table2[],_xlfn.XMATCH($A489,Table2[Steel Member],0),_xlfn.XMATCH(W$2,Table2[#Headers],0))=0,"",INDEX(Table2[],_xlfn.XMATCH($A489,Table2[Steel Member],0),_xlfn.XMATCH(W$2,Table2[#Headers],0)))</f>
        <v>#N/A</v>
      </c>
      <c r="X489" s="4" t="e">
        <f t="shared" si="126"/>
        <v>#N/A</v>
      </c>
      <c r="Y489" s="4" t="e" cm="1">
        <f t="array" ref="Y489">IF(INDEX(Table2[],_xlfn.XMATCH($A489,Table2[Steel Member],0),_xlfn.XMATCH(Y$2,Table2[#Headers],0))=0,"",INDEX(Table2[],_xlfn.XMATCH($A489,Table2[Steel Member],0),_xlfn.XMATCH(Y$2,Table2[#Headers],0)))</f>
        <v>#N/A</v>
      </c>
      <c r="Z489" s="4" t="e" cm="1">
        <f t="array" ref="Z489">IF(INDEX(Table2[],_xlfn.XMATCH($A489,Table2[Steel Member],0),_xlfn.XMATCH(Z$2,Table2[#Headers],0))=0,"",INDEX(Table2[],_xlfn.XMATCH($A489,Table2[Steel Member],0),_xlfn.XMATCH(Z$2,Table2[#Headers],0)))</f>
        <v>#N/A</v>
      </c>
      <c r="AA489" s="4" t="e" cm="1">
        <f t="array" ref="AA489">IF(INDEX(Table2[],_xlfn.XMATCH($A489,Table2[Steel Member],0),_xlfn.XMATCH(AA$2,Table2[#Headers],0))=0,"",INDEX(Table2[],_xlfn.XMATCH($A489,Table2[Steel Member],0),_xlfn.XMATCH(AA$2,Table2[#Headers],0)))</f>
        <v>#N/A</v>
      </c>
      <c r="AB489" s="4" t="e" cm="1">
        <f t="array" ref="AB489">IF(INDEX(Table2[],_xlfn.XMATCH($A489,Table2[Steel Member],0),_xlfn.XMATCH(AB$2,Table2[#Headers],0))=0,"",INDEX(Table2[],_xlfn.XMATCH($A489,Table2[Steel Member],0),_xlfn.XMATCH(AB$2,Table2[#Headers],0)))</f>
        <v>#N/A</v>
      </c>
      <c r="AC489" s="4" t="str" cm="1">
        <f t="array" ref="AC489">IFERROR(INDEX(Table8[],_xlfn.XMATCH($O489,Table8[Dimension Name Category],0),_xlfn.XMATCH(AC$2&amp;IF($L489," w/ tag"," w/o tag"),Table8[#Headers],0)),"")</f>
        <v/>
      </c>
      <c r="AD489" s="59" t="str">
        <f t="shared" si="117"/>
        <v/>
      </c>
      <c r="AE489" s="4" t="str">
        <f t="shared" si="118"/>
        <v/>
      </c>
      <c r="AF489" s="4" t="str">
        <f t="shared" si="119"/>
        <v/>
      </c>
      <c r="AG489" s="4" t="str" cm="1">
        <f t="array" ref="AG489">IFERROR(INDEX(Table8[],_xlfn.XMATCH($O489,Table8[Dimension Name Category],0),_xlfn.XMATCH(AG$2&amp;IF($L489," w/ tag"," w/o tag"),Table8[#Headers],0)),"")</f>
        <v/>
      </c>
      <c r="AH489" s="59" t="str">
        <f t="shared" si="120"/>
        <v/>
      </c>
      <c r="AI489" s="4"/>
      <c r="AJ489" s="4" t="str">
        <f t="shared" si="121"/>
        <v/>
      </c>
      <c r="AK489" s="4" t="str">
        <f t="shared" si="122"/>
        <v/>
      </c>
      <c r="AL489" s="4" t="e" cm="1">
        <f t="array" ref="AL489">IF(INDEX(Table2[],_xlfn.XMATCH($A489,Table2[Steel Member],0),_xlfn.XMATCH(AL$2,Table2[#Headers],0))=0,"",INDEX(Table2[],_xlfn.XMATCH($A489,Table2[Steel Member],0),_xlfn.XMATCH(AL$2,Table2[#Headers],0)))</f>
        <v>#N/A</v>
      </c>
      <c r="AM489" s="4"/>
      <c r="AN489" s="4" t="str">
        <f t="shared" si="123"/>
        <v/>
      </c>
      <c r="AO489" s="4"/>
      <c r="AP489" s="4" t="e" cm="1">
        <f t="array" ref="AP489">IF(INDEX(Table2[],_xlfn.XMATCH($A489,Table2[Steel Member],0),_xlfn.XMATCH(AP$2,Table2[#Headers],0))=0,"",INDEX(Table2[],_xlfn.XMATCH($A489,Table2[Steel Member],0),_xlfn.XMATCH(AP$2,Table2[#Headers],0)))</f>
        <v>#N/A</v>
      </c>
      <c r="AQ489" s="4"/>
      <c r="AR489" s="4"/>
      <c r="AS489" s="4"/>
      <c r="AT489" s="4"/>
    </row>
    <row r="490" spans="1:46" x14ac:dyDescent="0.25">
      <c r="A490" s="52"/>
      <c r="B490" s="52"/>
      <c r="C490" s="52"/>
      <c r="D490" s="52"/>
      <c r="E490" s="52"/>
      <c r="F490" s="64" cm="1">
        <f t="array" ref="F490">IF(COUNT(FIND(PurlinsxGirthsxBracings,$C490))&gt;0,0,ROUNDUP(IF(D490=0,0,VLOOKUP(D490,'DATA SHEET'!$B:$D,2,FALSE)),2))</f>
        <v>0</v>
      </c>
      <c r="G490" s="64" cm="1">
        <f t="array" ref="G490">IF(COUNT(FIND(PurlinsxGirthsxBracings,$C490))&gt;0,0,ROUNDUP(IF(D490=0,0,VLOOKUP(D490,'DATA SHEET'!$B:$D,3,FALSE)),2))</f>
        <v>0</v>
      </c>
      <c r="H490" s="53"/>
      <c r="I490" s="66" cm="1">
        <f t="array" ref="I490">IF(AND(ISBLANK(B490),ISBLANK(C490),ISBLANK(E490)),0,IF(COUNT(FIND(PurlinsxGirthsxBracings,$C490))&gt;0,IF(B490=0,CONCATENATE(E490," ",C490),CONCATENATE(B490," - ",E490," ",C490)),IF(B490=0,IF(ISBLANK(C490),E490,CONCATENATE(D490,", ",F490,"kg/m, ",G490,"mm surface perimeter")),IF(AND(ISBLANK(C490),ISTEXT(E490)),CONCATENATE(B490," - ",E490),IF(AND(ISBLANK(C490),ISBLANK(E490)),B490,CONCATENATE(B490," - ",D490,", ",F490,"kg/m, ",G490,"mm surface perimeter"))))&amp;IF(ISBLANK(H490),"",H490)))</f>
        <v>0</v>
      </c>
      <c r="J490" s="53"/>
      <c r="L490" s="4" t="str" cm="1">
        <f t="array" ref="L490">IF(COUNT(FIND({0,1,2,3,4,5,6,7,8,9},B490))&gt;0,COUNT(FIND({0,1,2,3,4,5,6,7,8,9},B490))&gt;0,"")</f>
        <v/>
      </c>
      <c r="M490" s="4" t="str" cm="1">
        <f t="array" aca="1" ref="M490" ca="1">IFERROR(_xlfn.IFS(R490="Count",RANDBETWEEN(1,COUNTIF($R$11:$R$653,"Count")),R490="Length",RANDBETWEEN(1,COUNTIF($R$11:$R$653,"Length"))),"")</f>
        <v/>
      </c>
      <c r="N490" s="4" t="str">
        <f ca="1">IFERROR(_xlfn.RANK.EQ(M490,$M$11:$M$653)+COUNTIF($M$11:M490,M490)-1,"")</f>
        <v/>
      </c>
      <c r="O490" s="86" t="str">
        <f>IF(A490='DATA SHEET'!$L$36,C490,IFERROR(IF(AND(ISTEXT(I490),ISBLANK(C490)),"No details",VLOOKUP(C490,DimFolder,2,FALSE)),""))</f>
        <v/>
      </c>
      <c r="P490" s="4" t="str">
        <f t="shared" si="125"/>
        <v/>
      </c>
      <c r="Q490" s="58" t="str">
        <f t="shared" si="124"/>
        <v/>
      </c>
      <c r="R490" s="4" t="e" cm="1">
        <f t="array" ref="R490">IF(INDEX(Table2[],_xlfn.XMATCH($A490,Table2[Steel Member],0),_xlfn.XMATCH(R$2,Table2[#Headers],0))=0,"",INDEX(Table2[],_xlfn.XMATCH($A490,Table2[Steel Member],0),_xlfn.XMATCH(R$2,Table2[#Headers],0)))</f>
        <v>#N/A</v>
      </c>
      <c r="S490" s="4" t="e" cm="1">
        <f t="array" ref="S490">IF(INDEX(Table2[],_xlfn.XMATCH($A490,Table2[Steel Member],0),_xlfn.XMATCH(S$2,Table2[#Headers],0))=0,"",INDEX(Table2[],_xlfn.XMATCH($A490,Table2[Steel Member],0),_xlfn.XMATCH(S$2,Table2[#Headers],0)))</f>
        <v>#N/A</v>
      </c>
      <c r="T490" s="4" t="str">
        <f t="shared" si="115"/>
        <v/>
      </c>
      <c r="U490" s="4" t="e">
        <f ca="1">VLOOKUP(N490,'COLOR CODE'!$B:$D,2,FALSE)</f>
        <v>#N/A</v>
      </c>
      <c r="V490" s="4" t="str">
        <f t="shared" si="116"/>
        <v/>
      </c>
      <c r="W490" s="4" t="e" cm="1">
        <f t="array" ref="W490">IF(INDEX(Table2[],_xlfn.XMATCH($A490,Table2[Steel Member],0),_xlfn.XMATCH(W$2,Table2[#Headers],0))=0,"",INDEX(Table2[],_xlfn.XMATCH($A490,Table2[Steel Member],0),_xlfn.XMATCH(W$2,Table2[#Headers],0)))</f>
        <v>#N/A</v>
      </c>
      <c r="X490" s="4" t="e">
        <f t="shared" si="126"/>
        <v>#N/A</v>
      </c>
      <c r="Y490" s="4" t="e" cm="1">
        <f t="array" ref="Y490">IF(INDEX(Table2[],_xlfn.XMATCH($A490,Table2[Steel Member],0),_xlfn.XMATCH(Y$2,Table2[#Headers],0))=0,"",INDEX(Table2[],_xlfn.XMATCH($A490,Table2[Steel Member],0),_xlfn.XMATCH(Y$2,Table2[#Headers],0)))</f>
        <v>#N/A</v>
      </c>
      <c r="Z490" s="4" t="e" cm="1">
        <f t="array" ref="Z490">IF(INDEX(Table2[],_xlfn.XMATCH($A490,Table2[Steel Member],0),_xlfn.XMATCH(Z$2,Table2[#Headers],0))=0,"",INDEX(Table2[],_xlfn.XMATCH($A490,Table2[Steel Member],0),_xlfn.XMATCH(Z$2,Table2[#Headers],0)))</f>
        <v>#N/A</v>
      </c>
      <c r="AA490" s="4" t="e" cm="1">
        <f t="array" ref="AA490">IF(INDEX(Table2[],_xlfn.XMATCH($A490,Table2[Steel Member],0),_xlfn.XMATCH(AA$2,Table2[#Headers],0))=0,"",INDEX(Table2[],_xlfn.XMATCH($A490,Table2[Steel Member],0),_xlfn.XMATCH(AA$2,Table2[#Headers],0)))</f>
        <v>#N/A</v>
      </c>
      <c r="AB490" s="4" t="e" cm="1">
        <f t="array" ref="AB490">IF(INDEX(Table2[],_xlfn.XMATCH($A490,Table2[Steel Member],0),_xlfn.XMATCH(AB$2,Table2[#Headers],0))=0,"",INDEX(Table2[],_xlfn.XMATCH($A490,Table2[Steel Member],0),_xlfn.XMATCH(AB$2,Table2[#Headers],0)))</f>
        <v>#N/A</v>
      </c>
      <c r="AC490" s="4" t="str" cm="1">
        <f t="array" ref="AC490">IFERROR(INDEX(Table8[],_xlfn.XMATCH($O490,Table8[Dimension Name Category],0),_xlfn.XMATCH(AC$2&amp;IF($L490," w/ tag"," w/o tag"),Table8[#Headers],0)),"")</f>
        <v/>
      </c>
      <c r="AD490" s="59" t="str">
        <f t="shared" si="117"/>
        <v/>
      </c>
      <c r="AE490" s="4" t="str">
        <f t="shared" si="118"/>
        <v/>
      </c>
      <c r="AF490" s="4" t="str">
        <f t="shared" si="119"/>
        <v/>
      </c>
      <c r="AG490" s="4" t="str" cm="1">
        <f t="array" ref="AG490">IFERROR(INDEX(Table8[],_xlfn.XMATCH($O490,Table8[Dimension Name Category],0),_xlfn.XMATCH(AG$2&amp;IF($L490," w/ tag"," w/o tag"),Table8[#Headers],0)),"")</f>
        <v/>
      </c>
      <c r="AH490" s="59" t="str">
        <f t="shared" si="120"/>
        <v/>
      </c>
      <c r="AI490" s="4"/>
      <c r="AJ490" s="4" t="str">
        <f t="shared" si="121"/>
        <v/>
      </c>
      <c r="AK490" s="4" t="str">
        <f t="shared" si="122"/>
        <v/>
      </c>
      <c r="AL490" s="4" t="e" cm="1">
        <f t="array" ref="AL490">IF(INDEX(Table2[],_xlfn.XMATCH($A490,Table2[Steel Member],0),_xlfn.XMATCH(AL$2,Table2[#Headers],0))=0,"",INDEX(Table2[],_xlfn.XMATCH($A490,Table2[Steel Member],0),_xlfn.XMATCH(AL$2,Table2[#Headers],0)))</f>
        <v>#N/A</v>
      </c>
      <c r="AM490" s="4"/>
      <c r="AN490" s="4" t="str">
        <f t="shared" si="123"/>
        <v/>
      </c>
      <c r="AO490" s="4"/>
      <c r="AP490" s="4" t="e" cm="1">
        <f t="array" ref="AP490">IF(INDEX(Table2[],_xlfn.XMATCH($A490,Table2[Steel Member],0),_xlfn.XMATCH(AP$2,Table2[#Headers],0))=0,"",INDEX(Table2[],_xlfn.XMATCH($A490,Table2[Steel Member],0),_xlfn.XMATCH(AP$2,Table2[#Headers],0)))</f>
        <v>#N/A</v>
      </c>
      <c r="AQ490" s="4"/>
      <c r="AR490" s="4"/>
      <c r="AS490" s="4"/>
      <c r="AT490" s="4"/>
    </row>
    <row r="491" spans="1:46" x14ac:dyDescent="0.25">
      <c r="A491" s="52"/>
      <c r="B491" s="52"/>
      <c r="C491" s="52"/>
      <c r="D491" s="52"/>
      <c r="E491" s="52"/>
      <c r="F491" s="64" cm="1">
        <f t="array" ref="F491">IF(COUNT(FIND(PurlinsxGirthsxBracings,$C491))&gt;0,0,ROUNDUP(IF(D491=0,0,VLOOKUP(D491,'DATA SHEET'!$B:$D,2,FALSE)),2))</f>
        <v>0</v>
      </c>
      <c r="G491" s="64" cm="1">
        <f t="array" ref="G491">IF(COUNT(FIND(PurlinsxGirthsxBracings,$C491))&gt;0,0,ROUNDUP(IF(D491=0,0,VLOOKUP(D491,'DATA SHEET'!$B:$D,3,FALSE)),2))</f>
        <v>0</v>
      </c>
      <c r="H491" s="53"/>
      <c r="I491" s="66" cm="1">
        <f t="array" ref="I491">IF(AND(ISBLANK(B491),ISBLANK(C491),ISBLANK(E491)),0,IF(COUNT(FIND(PurlinsxGirthsxBracings,$C491))&gt;0,IF(B491=0,CONCATENATE(E491," ",C491),CONCATENATE(B491," - ",E491," ",C491)),IF(B491=0,IF(ISBLANK(C491),E491,CONCATENATE(D491,", ",F491,"kg/m, ",G491,"mm surface perimeter")),IF(AND(ISBLANK(C491),ISTEXT(E491)),CONCATENATE(B491," - ",E491),IF(AND(ISBLANK(C491),ISBLANK(E491)),B491,CONCATENATE(B491," - ",D491,", ",F491,"kg/m, ",G491,"mm surface perimeter"))))&amp;IF(ISBLANK(H491),"",H491)))</f>
        <v>0</v>
      </c>
      <c r="J491" s="53"/>
      <c r="L491" s="4" t="str" cm="1">
        <f t="array" ref="L491">IF(COUNT(FIND({0,1,2,3,4,5,6,7,8,9},B491))&gt;0,COUNT(FIND({0,1,2,3,4,5,6,7,8,9},B491))&gt;0,"")</f>
        <v/>
      </c>
      <c r="M491" s="4" t="str" cm="1">
        <f t="array" aca="1" ref="M491" ca="1">IFERROR(_xlfn.IFS(R491="Count",RANDBETWEEN(1,COUNTIF($R$11:$R$653,"Count")),R491="Length",RANDBETWEEN(1,COUNTIF($R$11:$R$653,"Length"))),"")</f>
        <v/>
      </c>
      <c r="N491" s="4" t="str">
        <f ca="1">IFERROR(_xlfn.RANK.EQ(M491,$M$11:$M$653)+COUNTIF($M$11:M491,M491)-1,"")</f>
        <v/>
      </c>
      <c r="O491" s="86" t="str">
        <f>IF(A491='DATA SHEET'!$L$36,C491,IFERROR(IF(AND(ISTEXT(I491),ISBLANK(C491)),"No details",VLOOKUP(C491,DimFolder,2,FALSE)),""))</f>
        <v/>
      </c>
      <c r="P491" s="4" t="str">
        <f t="shared" si="125"/>
        <v/>
      </c>
      <c r="Q491" s="58" t="str">
        <f t="shared" si="124"/>
        <v/>
      </c>
      <c r="R491" s="4" t="e" cm="1">
        <f t="array" ref="R491">IF(INDEX(Table2[],_xlfn.XMATCH($A491,Table2[Steel Member],0),_xlfn.XMATCH(R$2,Table2[#Headers],0))=0,"",INDEX(Table2[],_xlfn.XMATCH($A491,Table2[Steel Member],0),_xlfn.XMATCH(R$2,Table2[#Headers],0)))</f>
        <v>#N/A</v>
      </c>
      <c r="S491" s="4" t="e" cm="1">
        <f t="array" ref="S491">IF(INDEX(Table2[],_xlfn.XMATCH($A491,Table2[Steel Member],0),_xlfn.XMATCH(S$2,Table2[#Headers],0))=0,"",INDEX(Table2[],_xlfn.XMATCH($A491,Table2[Steel Member],0),_xlfn.XMATCH(S$2,Table2[#Headers],0)))</f>
        <v>#N/A</v>
      </c>
      <c r="T491" s="4" t="str">
        <f t="shared" si="115"/>
        <v/>
      </c>
      <c r="U491" s="4" t="e">
        <f ca="1">VLOOKUP(N491,'COLOR CODE'!$B:$D,2,FALSE)</f>
        <v>#N/A</v>
      </c>
      <c r="V491" s="4" t="str">
        <f t="shared" si="116"/>
        <v/>
      </c>
      <c r="W491" s="4" t="e" cm="1">
        <f t="array" ref="W491">IF(INDEX(Table2[],_xlfn.XMATCH($A491,Table2[Steel Member],0),_xlfn.XMATCH(W$2,Table2[#Headers],0))=0,"",INDEX(Table2[],_xlfn.XMATCH($A491,Table2[Steel Member],0),_xlfn.XMATCH(W$2,Table2[#Headers],0)))</f>
        <v>#N/A</v>
      </c>
      <c r="X491" s="4" t="e">
        <f t="shared" si="126"/>
        <v>#N/A</v>
      </c>
      <c r="Y491" s="4" t="e" cm="1">
        <f t="array" ref="Y491">IF(INDEX(Table2[],_xlfn.XMATCH($A491,Table2[Steel Member],0),_xlfn.XMATCH(Y$2,Table2[#Headers],0))=0,"",INDEX(Table2[],_xlfn.XMATCH($A491,Table2[Steel Member],0),_xlfn.XMATCH(Y$2,Table2[#Headers],0)))</f>
        <v>#N/A</v>
      </c>
      <c r="Z491" s="4" t="e" cm="1">
        <f t="array" ref="Z491">IF(INDEX(Table2[],_xlfn.XMATCH($A491,Table2[Steel Member],0),_xlfn.XMATCH(Z$2,Table2[#Headers],0))=0,"",INDEX(Table2[],_xlfn.XMATCH($A491,Table2[Steel Member],0),_xlfn.XMATCH(Z$2,Table2[#Headers],0)))</f>
        <v>#N/A</v>
      </c>
      <c r="AA491" s="4" t="e" cm="1">
        <f t="array" ref="AA491">IF(INDEX(Table2[],_xlfn.XMATCH($A491,Table2[Steel Member],0),_xlfn.XMATCH(AA$2,Table2[#Headers],0))=0,"",INDEX(Table2[],_xlfn.XMATCH($A491,Table2[Steel Member],0),_xlfn.XMATCH(AA$2,Table2[#Headers],0)))</f>
        <v>#N/A</v>
      </c>
      <c r="AB491" s="4" t="e" cm="1">
        <f t="array" ref="AB491">IF(INDEX(Table2[],_xlfn.XMATCH($A491,Table2[Steel Member],0),_xlfn.XMATCH(AB$2,Table2[#Headers],0))=0,"",INDEX(Table2[],_xlfn.XMATCH($A491,Table2[Steel Member],0),_xlfn.XMATCH(AB$2,Table2[#Headers],0)))</f>
        <v>#N/A</v>
      </c>
      <c r="AC491" s="4" t="str" cm="1">
        <f t="array" ref="AC491">IFERROR(INDEX(Table8[],_xlfn.XMATCH($O491,Table8[Dimension Name Category],0),_xlfn.XMATCH(AC$2&amp;IF($L491," w/ tag"," w/o tag"),Table8[#Headers],0)),"")</f>
        <v/>
      </c>
      <c r="AD491" s="59" t="str">
        <f t="shared" si="117"/>
        <v/>
      </c>
      <c r="AE491" s="4" t="str">
        <f t="shared" si="118"/>
        <v/>
      </c>
      <c r="AF491" s="4" t="str">
        <f t="shared" si="119"/>
        <v/>
      </c>
      <c r="AG491" s="4" t="str" cm="1">
        <f t="array" ref="AG491">IFERROR(INDEX(Table8[],_xlfn.XMATCH($O491,Table8[Dimension Name Category],0),_xlfn.XMATCH(AG$2&amp;IF($L491," w/ tag"," w/o tag"),Table8[#Headers],0)),"")</f>
        <v/>
      </c>
      <c r="AH491" s="59" t="str">
        <f t="shared" si="120"/>
        <v/>
      </c>
      <c r="AI491" s="4"/>
      <c r="AJ491" s="4" t="str">
        <f t="shared" si="121"/>
        <v/>
      </c>
      <c r="AK491" s="4" t="str">
        <f t="shared" si="122"/>
        <v/>
      </c>
      <c r="AL491" s="4" t="e" cm="1">
        <f t="array" ref="AL491">IF(INDEX(Table2[],_xlfn.XMATCH($A491,Table2[Steel Member],0),_xlfn.XMATCH(AL$2,Table2[#Headers],0))=0,"",INDEX(Table2[],_xlfn.XMATCH($A491,Table2[Steel Member],0),_xlfn.XMATCH(AL$2,Table2[#Headers],0)))</f>
        <v>#N/A</v>
      </c>
      <c r="AM491" s="4"/>
      <c r="AN491" s="4" t="str">
        <f t="shared" si="123"/>
        <v/>
      </c>
      <c r="AO491" s="4"/>
      <c r="AP491" s="4" t="e" cm="1">
        <f t="array" ref="AP491">IF(INDEX(Table2[],_xlfn.XMATCH($A491,Table2[Steel Member],0),_xlfn.XMATCH(AP$2,Table2[#Headers],0))=0,"",INDEX(Table2[],_xlfn.XMATCH($A491,Table2[Steel Member],0),_xlfn.XMATCH(AP$2,Table2[#Headers],0)))</f>
        <v>#N/A</v>
      </c>
      <c r="AQ491" s="4"/>
      <c r="AR491" s="4"/>
      <c r="AS491" s="4"/>
      <c r="AT491" s="4"/>
    </row>
    <row r="492" spans="1:46" x14ac:dyDescent="0.25">
      <c r="A492" s="52"/>
      <c r="B492" s="52"/>
      <c r="C492" s="52"/>
      <c r="D492" s="52"/>
      <c r="E492" s="52"/>
      <c r="F492" s="64" cm="1">
        <f t="array" ref="F492">IF(COUNT(FIND(PurlinsxGirthsxBracings,$C492))&gt;0,0,ROUNDUP(IF(D492=0,0,VLOOKUP(D492,'DATA SHEET'!$B:$D,2,FALSE)),2))</f>
        <v>0</v>
      </c>
      <c r="G492" s="64" cm="1">
        <f t="array" ref="G492">IF(COUNT(FIND(PurlinsxGirthsxBracings,$C492))&gt;0,0,ROUNDUP(IF(D492=0,0,VLOOKUP(D492,'DATA SHEET'!$B:$D,3,FALSE)),2))</f>
        <v>0</v>
      </c>
      <c r="H492" s="53"/>
      <c r="I492" s="66" cm="1">
        <f t="array" ref="I492">IF(AND(ISBLANK(B492),ISBLANK(C492),ISBLANK(E492)),0,IF(COUNT(FIND(PurlinsxGirthsxBracings,$C492))&gt;0,IF(B492=0,CONCATENATE(E492," ",C492),CONCATENATE(B492," - ",E492," ",C492)),IF(B492=0,IF(ISBLANK(C492),E492,CONCATENATE(D492,", ",F492,"kg/m, ",G492,"mm surface perimeter")),IF(AND(ISBLANK(C492),ISTEXT(E492)),CONCATENATE(B492," - ",E492),IF(AND(ISBLANK(C492),ISBLANK(E492)),B492,CONCATENATE(B492," - ",D492,", ",F492,"kg/m, ",G492,"mm surface perimeter"))))&amp;IF(ISBLANK(H492),"",H492)))</f>
        <v>0</v>
      </c>
      <c r="J492" s="53"/>
      <c r="L492" s="4" t="str" cm="1">
        <f t="array" ref="L492">IF(COUNT(FIND({0,1,2,3,4,5,6,7,8,9},B492))&gt;0,COUNT(FIND({0,1,2,3,4,5,6,7,8,9},B492))&gt;0,"")</f>
        <v/>
      </c>
      <c r="M492" s="4" t="str" cm="1">
        <f t="array" aca="1" ref="M492" ca="1">IFERROR(_xlfn.IFS(R492="Count",RANDBETWEEN(1,COUNTIF($R$11:$R$653,"Count")),R492="Length",RANDBETWEEN(1,COUNTIF($R$11:$R$653,"Length"))),"")</f>
        <v/>
      </c>
      <c r="N492" s="4" t="str">
        <f ca="1">IFERROR(_xlfn.RANK.EQ(M492,$M$11:$M$653)+COUNTIF($M$11:M492,M492)-1,"")</f>
        <v/>
      </c>
      <c r="O492" s="86" t="str">
        <f>IF(A492='DATA SHEET'!$L$36,C492,IFERROR(IF(AND(ISTEXT(I492),ISBLANK(C492)),"No details",VLOOKUP(C492,DimFolder,2,FALSE)),""))</f>
        <v/>
      </c>
      <c r="P492" s="4" t="str">
        <f t="shared" si="125"/>
        <v/>
      </c>
      <c r="Q492" s="58" t="str">
        <f t="shared" si="124"/>
        <v/>
      </c>
      <c r="R492" s="4" t="e" cm="1">
        <f t="array" ref="R492">IF(INDEX(Table2[],_xlfn.XMATCH($A492,Table2[Steel Member],0),_xlfn.XMATCH(R$2,Table2[#Headers],0))=0,"",INDEX(Table2[],_xlfn.XMATCH($A492,Table2[Steel Member],0),_xlfn.XMATCH(R$2,Table2[#Headers],0)))</f>
        <v>#N/A</v>
      </c>
      <c r="S492" s="4" t="e" cm="1">
        <f t="array" ref="S492">IF(INDEX(Table2[],_xlfn.XMATCH($A492,Table2[Steel Member],0),_xlfn.XMATCH(S$2,Table2[#Headers],0))=0,"",INDEX(Table2[],_xlfn.XMATCH($A492,Table2[Steel Member],0),_xlfn.XMATCH(S$2,Table2[#Headers],0)))</f>
        <v>#N/A</v>
      </c>
      <c r="T492" s="4" t="str">
        <f t="shared" si="115"/>
        <v/>
      </c>
      <c r="U492" s="4" t="e">
        <f ca="1">VLOOKUP(N492,'COLOR CODE'!$B:$D,2,FALSE)</f>
        <v>#N/A</v>
      </c>
      <c r="V492" s="4" t="str">
        <f t="shared" si="116"/>
        <v/>
      </c>
      <c r="W492" s="4" t="e" cm="1">
        <f t="array" ref="W492">IF(INDEX(Table2[],_xlfn.XMATCH($A492,Table2[Steel Member],0),_xlfn.XMATCH(W$2,Table2[#Headers],0))=0,"",INDEX(Table2[],_xlfn.XMATCH($A492,Table2[Steel Member],0),_xlfn.XMATCH(W$2,Table2[#Headers],0)))</f>
        <v>#N/A</v>
      </c>
      <c r="X492" s="4" t="e">
        <f t="shared" si="126"/>
        <v>#N/A</v>
      </c>
      <c r="Y492" s="4" t="e" cm="1">
        <f t="array" ref="Y492">IF(INDEX(Table2[],_xlfn.XMATCH($A492,Table2[Steel Member],0),_xlfn.XMATCH(Y$2,Table2[#Headers],0))=0,"",INDEX(Table2[],_xlfn.XMATCH($A492,Table2[Steel Member],0),_xlfn.XMATCH(Y$2,Table2[#Headers],0)))</f>
        <v>#N/A</v>
      </c>
      <c r="Z492" s="4" t="e" cm="1">
        <f t="array" ref="Z492">IF(INDEX(Table2[],_xlfn.XMATCH($A492,Table2[Steel Member],0),_xlfn.XMATCH(Z$2,Table2[#Headers],0))=0,"",INDEX(Table2[],_xlfn.XMATCH($A492,Table2[Steel Member],0),_xlfn.XMATCH(Z$2,Table2[#Headers],0)))</f>
        <v>#N/A</v>
      </c>
      <c r="AA492" s="4" t="e" cm="1">
        <f t="array" ref="AA492">IF(INDEX(Table2[],_xlfn.XMATCH($A492,Table2[Steel Member],0),_xlfn.XMATCH(AA$2,Table2[#Headers],0))=0,"",INDEX(Table2[],_xlfn.XMATCH($A492,Table2[Steel Member],0),_xlfn.XMATCH(AA$2,Table2[#Headers],0)))</f>
        <v>#N/A</v>
      </c>
      <c r="AB492" s="4" t="e" cm="1">
        <f t="array" ref="AB492">IF(INDEX(Table2[],_xlfn.XMATCH($A492,Table2[Steel Member],0),_xlfn.XMATCH(AB$2,Table2[#Headers],0))=0,"",INDEX(Table2[],_xlfn.XMATCH($A492,Table2[Steel Member],0),_xlfn.XMATCH(AB$2,Table2[#Headers],0)))</f>
        <v>#N/A</v>
      </c>
      <c r="AC492" s="4" t="str" cm="1">
        <f t="array" ref="AC492">IFERROR(INDEX(Table8[],_xlfn.XMATCH($O492,Table8[Dimension Name Category],0),_xlfn.XMATCH(AC$2&amp;IF($L492," w/ tag"," w/o tag"),Table8[#Headers],0)),"")</f>
        <v/>
      </c>
      <c r="AD492" s="59" t="str">
        <f t="shared" si="117"/>
        <v/>
      </c>
      <c r="AE492" s="4" t="str">
        <f t="shared" si="118"/>
        <v/>
      </c>
      <c r="AF492" s="4" t="str">
        <f t="shared" si="119"/>
        <v/>
      </c>
      <c r="AG492" s="4" t="str" cm="1">
        <f t="array" ref="AG492">IFERROR(INDEX(Table8[],_xlfn.XMATCH($O492,Table8[Dimension Name Category],0),_xlfn.XMATCH(AG$2&amp;IF($L492," w/ tag"," w/o tag"),Table8[#Headers],0)),"")</f>
        <v/>
      </c>
      <c r="AH492" s="59" t="str">
        <f t="shared" si="120"/>
        <v/>
      </c>
      <c r="AI492" s="4"/>
      <c r="AJ492" s="4" t="str">
        <f t="shared" si="121"/>
        <v/>
      </c>
      <c r="AK492" s="4" t="str">
        <f t="shared" si="122"/>
        <v/>
      </c>
      <c r="AL492" s="4" t="e" cm="1">
        <f t="array" ref="AL492">IF(INDEX(Table2[],_xlfn.XMATCH($A492,Table2[Steel Member],0),_xlfn.XMATCH(AL$2,Table2[#Headers],0))=0,"",INDEX(Table2[],_xlfn.XMATCH($A492,Table2[Steel Member],0),_xlfn.XMATCH(AL$2,Table2[#Headers],0)))</f>
        <v>#N/A</v>
      </c>
      <c r="AM492" s="4"/>
      <c r="AN492" s="4" t="str">
        <f t="shared" si="123"/>
        <v/>
      </c>
      <c r="AO492" s="4"/>
      <c r="AP492" s="4" t="e" cm="1">
        <f t="array" ref="AP492">IF(INDEX(Table2[],_xlfn.XMATCH($A492,Table2[Steel Member],0),_xlfn.XMATCH(AP$2,Table2[#Headers],0))=0,"",INDEX(Table2[],_xlfn.XMATCH($A492,Table2[Steel Member],0),_xlfn.XMATCH(AP$2,Table2[#Headers],0)))</f>
        <v>#N/A</v>
      </c>
      <c r="AQ492" s="4"/>
      <c r="AR492" s="4"/>
      <c r="AS492" s="4"/>
      <c r="AT492" s="4"/>
    </row>
    <row r="493" spans="1:46" x14ac:dyDescent="0.25">
      <c r="A493" s="52"/>
      <c r="B493" s="52"/>
      <c r="C493" s="52"/>
      <c r="D493" s="52"/>
      <c r="E493" s="52"/>
      <c r="F493" s="64" cm="1">
        <f t="array" ref="F493">IF(COUNT(FIND(PurlinsxGirthsxBracings,$C493))&gt;0,0,ROUNDUP(IF(D493=0,0,VLOOKUP(D493,'DATA SHEET'!$B:$D,2,FALSE)),2))</f>
        <v>0</v>
      </c>
      <c r="G493" s="64" cm="1">
        <f t="array" ref="G493">IF(COUNT(FIND(PurlinsxGirthsxBracings,$C493))&gt;0,0,ROUNDUP(IF(D493=0,0,VLOOKUP(D493,'DATA SHEET'!$B:$D,3,FALSE)),2))</f>
        <v>0</v>
      </c>
      <c r="H493" s="53"/>
      <c r="I493" s="66" cm="1">
        <f t="array" ref="I493">IF(AND(ISBLANK(B493),ISBLANK(C493),ISBLANK(E493)),0,IF(COUNT(FIND(PurlinsxGirthsxBracings,$C493))&gt;0,IF(B493=0,CONCATENATE(E493," ",C493),CONCATENATE(B493," - ",E493," ",C493)),IF(B493=0,IF(ISBLANK(C493),E493,CONCATENATE(D493,", ",F493,"kg/m, ",G493,"mm surface perimeter")),IF(AND(ISBLANK(C493),ISTEXT(E493)),CONCATENATE(B493," - ",E493),IF(AND(ISBLANK(C493),ISBLANK(E493)),B493,CONCATENATE(B493," - ",D493,", ",F493,"kg/m, ",G493,"mm surface perimeter"))))&amp;IF(ISBLANK(H493),"",H493)))</f>
        <v>0</v>
      </c>
      <c r="J493" s="53"/>
      <c r="L493" s="4" t="str" cm="1">
        <f t="array" ref="L493">IF(COUNT(FIND({0,1,2,3,4,5,6,7,8,9},B493))&gt;0,COUNT(FIND({0,1,2,3,4,5,6,7,8,9},B493))&gt;0,"")</f>
        <v/>
      </c>
      <c r="M493" s="4" t="str" cm="1">
        <f t="array" aca="1" ref="M493" ca="1">IFERROR(_xlfn.IFS(R493="Count",RANDBETWEEN(1,COUNTIF($R$11:$R$653,"Count")),R493="Length",RANDBETWEEN(1,COUNTIF($R$11:$R$653,"Length"))),"")</f>
        <v/>
      </c>
      <c r="N493" s="4" t="str">
        <f ca="1">IFERROR(_xlfn.RANK.EQ(M493,$M$11:$M$653)+COUNTIF($M$11:M493,M493)-1,"")</f>
        <v/>
      </c>
      <c r="O493" s="86" t="str">
        <f>IF(A493='DATA SHEET'!$L$36,C493,IFERROR(IF(AND(ISTEXT(I493),ISBLANK(C493)),"No details",VLOOKUP(C493,DimFolder,2,FALSE)),""))</f>
        <v/>
      </c>
      <c r="P493" s="4" t="str">
        <f t="shared" si="125"/>
        <v/>
      </c>
      <c r="Q493" s="58" t="str">
        <f t="shared" si="124"/>
        <v/>
      </c>
      <c r="R493" s="4" t="e" cm="1">
        <f t="array" ref="R493">IF(INDEX(Table2[],_xlfn.XMATCH($A493,Table2[Steel Member],0),_xlfn.XMATCH(R$2,Table2[#Headers],0))=0,"",INDEX(Table2[],_xlfn.XMATCH($A493,Table2[Steel Member],0),_xlfn.XMATCH(R$2,Table2[#Headers],0)))</f>
        <v>#N/A</v>
      </c>
      <c r="S493" s="4" t="e" cm="1">
        <f t="array" ref="S493">IF(INDEX(Table2[],_xlfn.XMATCH($A493,Table2[Steel Member],0),_xlfn.XMATCH(S$2,Table2[#Headers],0))=0,"",INDEX(Table2[],_xlfn.XMATCH($A493,Table2[Steel Member],0),_xlfn.XMATCH(S$2,Table2[#Headers],0)))</f>
        <v>#N/A</v>
      </c>
      <c r="T493" s="4" t="str">
        <f t="shared" si="115"/>
        <v/>
      </c>
      <c r="U493" s="4" t="e">
        <f ca="1">VLOOKUP(N493,'COLOR CODE'!$B:$D,2,FALSE)</f>
        <v>#N/A</v>
      </c>
      <c r="V493" s="4" t="str">
        <f t="shared" si="116"/>
        <v/>
      </c>
      <c r="W493" s="4" t="e" cm="1">
        <f t="array" ref="W493">IF(INDEX(Table2[],_xlfn.XMATCH($A493,Table2[Steel Member],0),_xlfn.XMATCH(W$2,Table2[#Headers],0))=0,"",INDEX(Table2[],_xlfn.XMATCH($A493,Table2[Steel Member],0),_xlfn.XMATCH(W$2,Table2[#Headers],0)))</f>
        <v>#N/A</v>
      </c>
      <c r="X493" s="4" t="e">
        <f t="shared" si="126"/>
        <v>#N/A</v>
      </c>
      <c r="Y493" s="4" t="e" cm="1">
        <f t="array" ref="Y493">IF(INDEX(Table2[],_xlfn.XMATCH($A493,Table2[Steel Member],0),_xlfn.XMATCH(Y$2,Table2[#Headers],0))=0,"",INDEX(Table2[],_xlfn.XMATCH($A493,Table2[Steel Member],0),_xlfn.XMATCH(Y$2,Table2[#Headers],0)))</f>
        <v>#N/A</v>
      </c>
      <c r="Z493" s="4" t="e" cm="1">
        <f t="array" ref="Z493">IF(INDEX(Table2[],_xlfn.XMATCH($A493,Table2[Steel Member],0),_xlfn.XMATCH(Z$2,Table2[#Headers],0))=0,"",INDEX(Table2[],_xlfn.XMATCH($A493,Table2[Steel Member],0),_xlfn.XMATCH(Z$2,Table2[#Headers],0)))</f>
        <v>#N/A</v>
      </c>
      <c r="AA493" s="4" t="e" cm="1">
        <f t="array" ref="AA493">IF(INDEX(Table2[],_xlfn.XMATCH($A493,Table2[Steel Member],0),_xlfn.XMATCH(AA$2,Table2[#Headers],0))=0,"",INDEX(Table2[],_xlfn.XMATCH($A493,Table2[Steel Member],0),_xlfn.XMATCH(AA$2,Table2[#Headers],0)))</f>
        <v>#N/A</v>
      </c>
      <c r="AB493" s="4" t="e" cm="1">
        <f t="array" ref="AB493">IF(INDEX(Table2[],_xlfn.XMATCH($A493,Table2[Steel Member],0),_xlfn.XMATCH(AB$2,Table2[#Headers],0))=0,"",INDEX(Table2[],_xlfn.XMATCH($A493,Table2[Steel Member],0),_xlfn.XMATCH(AB$2,Table2[#Headers],0)))</f>
        <v>#N/A</v>
      </c>
      <c r="AC493" s="4" t="str" cm="1">
        <f t="array" ref="AC493">IFERROR(INDEX(Table8[],_xlfn.XMATCH($O493,Table8[Dimension Name Category],0),_xlfn.XMATCH(AC$2&amp;IF($L493," w/ tag"," w/o tag"),Table8[#Headers],0)),"")</f>
        <v/>
      </c>
      <c r="AD493" s="59" t="str">
        <f t="shared" si="117"/>
        <v/>
      </c>
      <c r="AE493" s="4" t="str">
        <f t="shared" si="118"/>
        <v/>
      </c>
      <c r="AF493" s="4" t="str">
        <f t="shared" si="119"/>
        <v/>
      </c>
      <c r="AG493" s="4" t="str" cm="1">
        <f t="array" ref="AG493">IFERROR(INDEX(Table8[],_xlfn.XMATCH($O493,Table8[Dimension Name Category],0),_xlfn.XMATCH(AG$2&amp;IF($L493," w/ tag"," w/o tag"),Table8[#Headers],0)),"")</f>
        <v/>
      </c>
      <c r="AH493" s="59" t="str">
        <f t="shared" si="120"/>
        <v/>
      </c>
      <c r="AI493" s="4"/>
      <c r="AJ493" s="4" t="str">
        <f t="shared" si="121"/>
        <v/>
      </c>
      <c r="AK493" s="4" t="str">
        <f t="shared" si="122"/>
        <v/>
      </c>
      <c r="AL493" s="4" t="e" cm="1">
        <f t="array" ref="AL493">IF(INDEX(Table2[],_xlfn.XMATCH($A493,Table2[Steel Member],0),_xlfn.XMATCH(AL$2,Table2[#Headers],0))=0,"",INDEX(Table2[],_xlfn.XMATCH($A493,Table2[Steel Member],0),_xlfn.XMATCH(AL$2,Table2[#Headers],0)))</f>
        <v>#N/A</v>
      </c>
      <c r="AM493" s="4"/>
      <c r="AN493" s="4" t="str">
        <f t="shared" si="123"/>
        <v/>
      </c>
      <c r="AO493" s="4"/>
      <c r="AP493" s="4" t="e" cm="1">
        <f t="array" ref="AP493">IF(INDEX(Table2[],_xlfn.XMATCH($A493,Table2[Steel Member],0),_xlfn.XMATCH(AP$2,Table2[#Headers],0))=0,"",INDEX(Table2[],_xlfn.XMATCH($A493,Table2[Steel Member],0),_xlfn.XMATCH(AP$2,Table2[#Headers],0)))</f>
        <v>#N/A</v>
      </c>
      <c r="AQ493" s="4"/>
      <c r="AR493" s="4"/>
      <c r="AS493" s="4"/>
      <c r="AT493" s="4"/>
    </row>
    <row r="494" spans="1:46" x14ac:dyDescent="0.25">
      <c r="A494" s="52"/>
      <c r="B494" s="52"/>
      <c r="C494" s="52"/>
      <c r="D494" s="52"/>
      <c r="E494" s="52"/>
      <c r="F494" s="64" cm="1">
        <f t="array" ref="F494">IF(COUNT(FIND(PurlinsxGirthsxBracings,$C494))&gt;0,0,ROUNDUP(IF(D494=0,0,VLOOKUP(D494,'DATA SHEET'!$B:$D,2,FALSE)),2))</f>
        <v>0</v>
      </c>
      <c r="G494" s="64" cm="1">
        <f t="array" ref="G494">IF(COUNT(FIND(PurlinsxGirthsxBracings,$C494))&gt;0,0,ROUNDUP(IF(D494=0,0,VLOOKUP(D494,'DATA SHEET'!$B:$D,3,FALSE)),2))</f>
        <v>0</v>
      </c>
      <c r="H494" s="53"/>
      <c r="I494" s="66" cm="1">
        <f t="array" ref="I494">IF(AND(ISBLANK(B494),ISBLANK(C494),ISBLANK(E494)),0,IF(COUNT(FIND(PurlinsxGirthsxBracings,$C494))&gt;0,IF(B494=0,CONCATENATE(E494," ",C494),CONCATENATE(B494," - ",E494," ",C494)),IF(B494=0,IF(ISBLANK(C494),E494,CONCATENATE(D494,", ",F494,"kg/m, ",G494,"mm surface perimeter")),IF(AND(ISBLANK(C494),ISTEXT(E494)),CONCATENATE(B494," - ",E494),IF(AND(ISBLANK(C494),ISBLANK(E494)),B494,CONCATENATE(B494," - ",D494,", ",F494,"kg/m, ",G494,"mm surface perimeter"))))&amp;IF(ISBLANK(H494),"",H494)))</f>
        <v>0</v>
      </c>
      <c r="J494" s="53"/>
      <c r="L494" s="4" t="str" cm="1">
        <f t="array" ref="L494">IF(COUNT(FIND({0,1,2,3,4,5,6,7,8,9},B494))&gt;0,COUNT(FIND({0,1,2,3,4,5,6,7,8,9},B494))&gt;0,"")</f>
        <v/>
      </c>
      <c r="M494" s="4" t="str" cm="1">
        <f t="array" aca="1" ref="M494" ca="1">IFERROR(_xlfn.IFS(R494="Count",RANDBETWEEN(1,COUNTIF($R$11:$R$653,"Count")),R494="Length",RANDBETWEEN(1,COUNTIF($R$11:$R$653,"Length"))),"")</f>
        <v/>
      </c>
      <c r="N494" s="4" t="str">
        <f ca="1">IFERROR(_xlfn.RANK.EQ(M494,$M$11:$M$653)+COUNTIF($M$11:M494,M494)-1,"")</f>
        <v/>
      </c>
      <c r="O494" s="86" t="str">
        <f>IF(A494='DATA SHEET'!$L$36,C494,IFERROR(IF(AND(ISTEXT(I494),ISBLANK(C494)),"No details",VLOOKUP(C494,DimFolder,2,FALSE)),""))</f>
        <v/>
      </c>
      <c r="P494" s="4" t="str">
        <f t="shared" si="125"/>
        <v/>
      </c>
      <c r="Q494" s="58" t="str">
        <f t="shared" si="124"/>
        <v/>
      </c>
      <c r="R494" s="4" t="e" cm="1">
        <f t="array" ref="R494">IF(INDEX(Table2[],_xlfn.XMATCH($A494,Table2[Steel Member],0),_xlfn.XMATCH(R$2,Table2[#Headers],0))=0,"",INDEX(Table2[],_xlfn.XMATCH($A494,Table2[Steel Member],0),_xlfn.XMATCH(R$2,Table2[#Headers],0)))</f>
        <v>#N/A</v>
      </c>
      <c r="S494" s="4" t="e" cm="1">
        <f t="array" ref="S494">IF(INDEX(Table2[],_xlfn.XMATCH($A494,Table2[Steel Member],0),_xlfn.XMATCH(S$2,Table2[#Headers],0))=0,"",INDEX(Table2[],_xlfn.XMATCH($A494,Table2[Steel Member],0),_xlfn.XMATCH(S$2,Table2[#Headers],0)))</f>
        <v>#N/A</v>
      </c>
      <c r="T494" s="4" t="str">
        <f t="shared" si="115"/>
        <v/>
      </c>
      <c r="U494" s="4" t="e">
        <f ca="1">VLOOKUP(N494,'COLOR CODE'!$B:$D,2,FALSE)</f>
        <v>#N/A</v>
      </c>
      <c r="V494" s="4" t="str">
        <f t="shared" si="116"/>
        <v/>
      </c>
      <c r="W494" s="4" t="e" cm="1">
        <f t="array" ref="W494">IF(INDEX(Table2[],_xlfn.XMATCH($A494,Table2[Steel Member],0),_xlfn.XMATCH(W$2,Table2[#Headers],0))=0,"",INDEX(Table2[],_xlfn.XMATCH($A494,Table2[Steel Member],0),_xlfn.XMATCH(W$2,Table2[#Headers],0)))</f>
        <v>#N/A</v>
      </c>
      <c r="X494" s="4" t="e">
        <f t="shared" si="126"/>
        <v>#N/A</v>
      </c>
      <c r="Y494" s="4" t="e" cm="1">
        <f t="array" ref="Y494">IF(INDEX(Table2[],_xlfn.XMATCH($A494,Table2[Steel Member],0),_xlfn.XMATCH(Y$2,Table2[#Headers],0))=0,"",INDEX(Table2[],_xlfn.XMATCH($A494,Table2[Steel Member],0),_xlfn.XMATCH(Y$2,Table2[#Headers],0)))</f>
        <v>#N/A</v>
      </c>
      <c r="Z494" s="4" t="e" cm="1">
        <f t="array" ref="Z494">IF(INDEX(Table2[],_xlfn.XMATCH($A494,Table2[Steel Member],0),_xlfn.XMATCH(Z$2,Table2[#Headers],0))=0,"",INDEX(Table2[],_xlfn.XMATCH($A494,Table2[Steel Member],0),_xlfn.XMATCH(Z$2,Table2[#Headers],0)))</f>
        <v>#N/A</v>
      </c>
      <c r="AA494" s="4" t="e" cm="1">
        <f t="array" ref="AA494">IF(INDEX(Table2[],_xlfn.XMATCH($A494,Table2[Steel Member],0),_xlfn.XMATCH(AA$2,Table2[#Headers],0))=0,"",INDEX(Table2[],_xlfn.XMATCH($A494,Table2[Steel Member],0),_xlfn.XMATCH(AA$2,Table2[#Headers],0)))</f>
        <v>#N/A</v>
      </c>
      <c r="AB494" s="4" t="e" cm="1">
        <f t="array" ref="AB494">IF(INDEX(Table2[],_xlfn.XMATCH($A494,Table2[Steel Member],0),_xlfn.XMATCH(AB$2,Table2[#Headers],0))=0,"",INDEX(Table2[],_xlfn.XMATCH($A494,Table2[Steel Member],0),_xlfn.XMATCH(AB$2,Table2[#Headers],0)))</f>
        <v>#N/A</v>
      </c>
      <c r="AC494" s="4" t="str" cm="1">
        <f t="array" ref="AC494">IFERROR(INDEX(Table8[],_xlfn.XMATCH($O494,Table8[Dimension Name Category],0),_xlfn.XMATCH(AC$2&amp;IF($L494," w/ tag"," w/o tag"),Table8[#Headers],0)),"")</f>
        <v/>
      </c>
      <c r="AD494" s="59" t="str">
        <f t="shared" si="117"/>
        <v/>
      </c>
      <c r="AE494" s="4" t="str">
        <f t="shared" si="118"/>
        <v/>
      </c>
      <c r="AF494" s="4" t="str">
        <f t="shared" si="119"/>
        <v/>
      </c>
      <c r="AG494" s="4" t="str" cm="1">
        <f t="array" ref="AG494">IFERROR(INDEX(Table8[],_xlfn.XMATCH($O494,Table8[Dimension Name Category],0),_xlfn.XMATCH(AG$2&amp;IF($L494," w/ tag"," w/o tag"),Table8[#Headers],0)),"")</f>
        <v/>
      </c>
      <c r="AH494" s="59" t="str">
        <f t="shared" si="120"/>
        <v/>
      </c>
      <c r="AI494" s="4"/>
      <c r="AJ494" s="4" t="str">
        <f t="shared" si="121"/>
        <v/>
      </c>
      <c r="AK494" s="4" t="str">
        <f t="shared" si="122"/>
        <v/>
      </c>
      <c r="AL494" s="4" t="e" cm="1">
        <f t="array" ref="AL494">IF(INDEX(Table2[],_xlfn.XMATCH($A494,Table2[Steel Member],0),_xlfn.XMATCH(AL$2,Table2[#Headers],0))=0,"",INDEX(Table2[],_xlfn.XMATCH($A494,Table2[Steel Member],0),_xlfn.XMATCH(AL$2,Table2[#Headers],0)))</f>
        <v>#N/A</v>
      </c>
      <c r="AM494" s="4"/>
      <c r="AN494" s="4" t="str">
        <f t="shared" si="123"/>
        <v/>
      </c>
      <c r="AO494" s="4"/>
      <c r="AP494" s="4" t="e" cm="1">
        <f t="array" ref="AP494">IF(INDEX(Table2[],_xlfn.XMATCH($A494,Table2[Steel Member],0),_xlfn.XMATCH(AP$2,Table2[#Headers],0))=0,"",INDEX(Table2[],_xlfn.XMATCH($A494,Table2[Steel Member],0),_xlfn.XMATCH(AP$2,Table2[#Headers],0)))</f>
        <v>#N/A</v>
      </c>
      <c r="AQ494" s="4"/>
      <c r="AR494" s="4"/>
      <c r="AS494" s="4"/>
      <c r="AT494" s="4"/>
    </row>
    <row r="495" spans="1:46" x14ac:dyDescent="0.25">
      <c r="A495" s="52"/>
      <c r="B495" s="52"/>
      <c r="C495" s="52"/>
      <c r="D495" s="52"/>
      <c r="E495" s="52"/>
      <c r="F495" s="64" cm="1">
        <f t="array" ref="F495">IF(COUNT(FIND(PurlinsxGirthsxBracings,$C495))&gt;0,0,ROUNDUP(IF(D495=0,0,VLOOKUP(D495,'DATA SHEET'!$B:$D,2,FALSE)),2))</f>
        <v>0</v>
      </c>
      <c r="G495" s="64" cm="1">
        <f t="array" ref="G495">IF(COUNT(FIND(PurlinsxGirthsxBracings,$C495))&gt;0,0,ROUNDUP(IF(D495=0,0,VLOOKUP(D495,'DATA SHEET'!$B:$D,3,FALSE)),2))</f>
        <v>0</v>
      </c>
      <c r="H495" s="53"/>
      <c r="I495" s="66" cm="1">
        <f t="array" ref="I495">IF(AND(ISBLANK(B495),ISBLANK(C495),ISBLANK(E495)),0,IF(COUNT(FIND(PurlinsxGirthsxBracings,$C495))&gt;0,IF(B495=0,CONCATENATE(E495," ",C495),CONCATENATE(B495," - ",E495," ",C495)),IF(B495=0,IF(ISBLANK(C495),E495,CONCATENATE(D495,", ",F495,"kg/m, ",G495,"mm surface perimeter")),IF(AND(ISBLANK(C495),ISTEXT(E495)),CONCATENATE(B495," - ",E495),IF(AND(ISBLANK(C495),ISBLANK(E495)),B495,CONCATENATE(B495," - ",D495,", ",F495,"kg/m, ",G495,"mm surface perimeter"))))&amp;IF(ISBLANK(H495),"",H495)))</f>
        <v>0</v>
      </c>
      <c r="J495" s="53"/>
      <c r="L495" s="4" t="str" cm="1">
        <f t="array" ref="L495">IF(COUNT(FIND({0,1,2,3,4,5,6,7,8,9},B495))&gt;0,COUNT(FIND({0,1,2,3,4,5,6,7,8,9},B495))&gt;0,"")</f>
        <v/>
      </c>
      <c r="M495" s="4" t="str" cm="1">
        <f t="array" aca="1" ref="M495" ca="1">IFERROR(_xlfn.IFS(R495="Count",RANDBETWEEN(1,COUNTIF($R$11:$R$653,"Count")),R495="Length",RANDBETWEEN(1,COUNTIF($R$11:$R$653,"Length"))),"")</f>
        <v/>
      </c>
      <c r="N495" s="4" t="str">
        <f ca="1">IFERROR(_xlfn.RANK.EQ(M495,$M$11:$M$653)+COUNTIF($M$11:M495,M495)-1,"")</f>
        <v/>
      </c>
      <c r="O495" s="86" t="str">
        <f>IF(A495='DATA SHEET'!$L$36,C495,IFERROR(IF(AND(ISTEXT(I495),ISBLANK(C495)),"No details",VLOOKUP(C495,DimFolder,2,FALSE)),""))</f>
        <v/>
      </c>
      <c r="P495" s="4" t="str">
        <f t="shared" si="125"/>
        <v/>
      </c>
      <c r="Q495" s="58" t="str">
        <f t="shared" si="124"/>
        <v/>
      </c>
      <c r="R495" s="4" t="e" cm="1">
        <f t="array" ref="R495">IF(INDEX(Table2[],_xlfn.XMATCH($A495,Table2[Steel Member],0),_xlfn.XMATCH(R$2,Table2[#Headers],0))=0,"",INDEX(Table2[],_xlfn.XMATCH($A495,Table2[Steel Member],0),_xlfn.XMATCH(R$2,Table2[#Headers],0)))</f>
        <v>#N/A</v>
      </c>
      <c r="S495" s="4" t="e" cm="1">
        <f t="array" ref="S495">IF(INDEX(Table2[],_xlfn.XMATCH($A495,Table2[Steel Member],0),_xlfn.XMATCH(S$2,Table2[#Headers],0))=0,"",INDEX(Table2[],_xlfn.XMATCH($A495,Table2[Steel Member],0),_xlfn.XMATCH(S$2,Table2[#Headers],0)))</f>
        <v>#N/A</v>
      </c>
      <c r="T495" s="4" t="str">
        <f t="shared" si="115"/>
        <v/>
      </c>
      <c r="U495" s="4" t="e">
        <f ca="1">VLOOKUP(N495,'COLOR CODE'!$B:$D,2,FALSE)</f>
        <v>#N/A</v>
      </c>
      <c r="V495" s="4" t="str">
        <f t="shared" si="116"/>
        <v/>
      </c>
      <c r="W495" s="4" t="e" cm="1">
        <f t="array" ref="W495">IF(INDEX(Table2[],_xlfn.XMATCH($A495,Table2[Steel Member],0),_xlfn.XMATCH(W$2,Table2[#Headers],0))=0,"",INDEX(Table2[],_xlfn.XMATCH($A495,Table2[Steel Member],0),_xlfn.XMATCH(W$2,Table2[#Headers],0)))</f>
        <v>#N/A</v>
      </c>
      <c r="X495" s="4" t="e">
        <f t="shared" si="126"/>
        <v>#N/A</v>
      </c>
      <c r="Y495" s="4" t="e" cm="1">
        <f t="array" ref="Y495">IF(INDEX(Table2[],_xlfn.XMATCH($A495,Table2[Steel Member],0),_xlfn.XMATCH(Y$2,Table2[#Headers],0))=0,"",INDEX(Table2[],_xlfn.XMATCH($A495,Table2[Steel Member],0),_xlfn.XMATCH(Y$2,Table2[#Headers],0)))</f>
        <v>#N/A</v>
      </c>
      <c r="Z495" s="4" t="e" cm="1">
        <f t="array" ref="Z495">IF(INDEX(Table2[],_xlfn.XMATCH($A495,Table2[Steel Member],0),_xlfn.XMATCH(Z$2,Table2[#Headers],0))=0,"",INDEX(Table2[],_xlfn.XMATCH($A495,Table2[Steel Member],0),_xlfn.XMATCH(Z$2,Table2[#Headers],0)))</f>
        <v>#N/A</v>
      </c>
      <c r="AA495" s="4" t="e" cm="1">
        <f t="array" ref="AA495">IF(INDEX(Table2[],_xlfn.XMATCH($A495,Table2[Steel Member],0),_xlfn.XMATCH(AA$2,Table2[#Headers],0))=0,"",INDEX(Table2[],_xlfn.XMATCH($A495,Table2[Steel Member],0),_xlfn.XMATCH(AA$2,Table2[#Headers],0)))</f>
        <v>#N/A</v>
      </c>
      <c r="AB495" s="4" t="e" cm="1">
        <f t="array" ref="AB495">IF(INDEX(Table2[],_xlfn.XMATCH($A495,Table2[Steel Member],0),_xlfn.XMATCH(AB$2,Table2[#Headers],0))=0,"",INDEX(Table2[],_xlfn.XMATCH($A495,Table2[Steel Member],0),_xlfn.XMATCH(AB$2,Table2[#Headers],0)))</f>
        <v>#N/A</v>
      </c>
      <c r="AC495" s="4" t="str" cm="1">
        <f t="array" ref="AC495">IFERROR(INDEX(Table8[],_xlfn.XMATCH($O495,Table8[Dimension Name Category],0),_xlfn.XMATCH(AC$2&amp;IF($L495," w/ tag"," w/o tag"),Table8[#Headers],0)),"")</f>
        <v/>
      </c>
      <c r="AD495" s="59" t="str">
        <f t="shared" si="117"/>
        <v/>
      </c>
      <c r="AE495" s="4" t="str">
        <f t="shared" si="118"/>
        <v/>
      </c>
      <c r="AF495" s="4" t="str">
        <f t="shared" si="119"/>
        <v/>
      </c>
      <c r="AG495" s="4" t="str" cm="1">
        <f t="array" ref="AG495">IFERROR(INDEX(Table8[],_xlfn.XMATCH($O495,Table8[Dimension Name Category],0),_xlfn.XMATCH(AG$2&amp;IF($L495," w/ tag"," w/o tag"),Table8[#Headers],0)),"")</f>
        <v/>
      </c>
      <c r="AH495" s="59" t="str">
        <f t="shared" si="120"/>
        <v/>
      </c>
      <c r="AI495" s="4"/>
      <c r="AJ495" s="4" t="str">
        <f t="shared" si="121"/>
        <v/>
      </c>
      <c r="AK495" s="4" t="str">
        <f t="shared" si="122"/>
        <v/>
      </c>
      <c r="AL495" s="4" t="e" cm="1">
        <f t="array" ref="AL495">IF(INDEX(Table2[],_xlfn.XMATCH($A495,Table2[Steel Member],0),_xlfn.XMATCH(AL$2,Table2[#Headers],0))=0,"",INDEX(Table2[],_xlfn.XMATCH($A495,Table2[Steel Member],0),_xlfn.XMATCH(AL$2,Table2[#Headers],0)))</f>
        <v>#N/A</v>
      </c>
      <c r="AM495" s="4"/>
      <c r="AN495" s="4" t="str">
        <f t="shared" si="123"/>
        <v/>
      </c>
      <c r="AO495" s="4"/>
      <c r="AP495" s="4" t="e" cm="1">
        <f t="array" ref="AP495">IF(INDEX(Table2[],_xlfn.XMATCH($A495,Table2[Steel Member],0),_xlfn.XMATCH(AP$2,Table2[#Headers],0))=0,"",INDEX(Table2[],_xlfn.XMATCH($A495,Table2[Steel Member],0),_xlfn.XMATCH(AP$2,Table2[#Headers],0)))</f>
        <v>#N/A</v>
      </c>
      <c r="AQ495" s="4"/>
      <c r="AR495" s="4"/>
      <c r="AS495" s="4"/>
      <c r="AT495" s="4"/>
    </row>
    <row r="496" spans="1:46" x14ac:dyDescent="0.25">
      <c r="A496" s="52"/>
      <c r="B496" s="52"/>
      <c r="C496" s="52"/>
      <c r="D496" s="52"/>
      <c r="E496" s="52"/>
      <c r="F496" s="64" cm="1">
        <f t="array" ref="F496">IF(COUNT(FIND(PurlinsxGirthsxBracings,$C496))&gt;0,0,ROUNDUP(IF(D496=0,0,VLOOKUP(D496,'DATA SHEET'!$B:$D,2,FALSE)),2))</f>
        <v>0</v>
      </c>
      <c r="G496" s="64" cm="1">
        <f t="array" ref="G496">IF(COUNT(FIND(PurlinsxGirthsxBracings,$C496))&gt;0,0,ROUNDUP(IF(D496=0,0,VLOOKUP(D496,'DATA SHEET'!$B:$D,3,FALSE)),2))</f>
        <v>0</v>
      </c>
      <c r="H496" s="53"/>
      <c r="I496" s="66" cm="1">
        <f t="array" ref="I496">IF(AND(ISBLANK(B496),ISBLANK(C496),ISBLANK(E496)),0,IF(COUNT(FIND(PurlinsxGirthsxBracings,$C496))&gt;0,IF(B496=0,CONCATENATE(E496," ",C496),CONCATENATE(B496," - ",E496," ",C496)),IF(B496=0,IF(ISBLANK(C496),E496,CONCATENATE(D496,", ",F496,"kg/m, ",G496,"mm surface perimeter")),IF(AND(ISBLANK(C496),ISTEXT(E496)),CONCATENATE(B496," - ",E496),IF(AND(ISBLANK(C496),ISBLANK(E496)),B496,CONCATENATE(B496," - ",D496,", ",F496,"kg/m, ",G496,"mm surface perimeter"))))&amp;IF(ISBLANK(H496),"",H496)))</f>
        <v>0</v>
      </c>
      <c r="J496" s="53"/>
      <c r="L496" s="4" t="str" cm="1">
        <f t="array" ref="L496">IF(COUNT(FIND({0,1,2,3,4,5,6,7,8,9},B496))&gt;0,COUNT(FIND({0,1,2,3,4,5,6,7,8,9},B496))&gt;0,"")</f>
        <v/>
      </c>
      <c r="M496" s="4" t="str" cm="1">
        <f t="array" aca="1" ref="M496" ca="1">IFERROR(_xlfn.IFS(R496="Count",RANDBETWEEN(1,COUNTIF($R$11:$R$653,"Count")),R496="Length",RANDBETWEEN(1,COUNTIF($R$11:$R$653,"Length"))),"")</f>
        <v/>
      </c>
      <c r="N496" s="4" t="str">
        <f ca="1">IFERROR(_xlfn.RANK.EQ(M496,$M$11:$M$653)+COUNTIF($M$11:M496,M496)-1,"")</f>
        <v/>
      </c>
      <c r="O496" s="86" t="str">
        <f>IF(A496='DATA SHEET'!$L$36,C496,IFERROR(IF(AND(ISTEXT(I496),ISBLANK(C496)),"No details",VLOOKUP(C496,DimFolder,2,FALSE)),""))</f>
        <v/>
      </c>
      <c r="P496" s="4" t="str">
        <f t="shared" si="125"/>
        <v/>
      </c>
      <c r="Q496" s="58" t="str">
        <f t="shared" si="124"/>
        <v/>
      </c>
      <c r="R496" s="4" t="e" cm="1">
        <f t="array" ref="R496">IF(INDEX(Table2[],_xlfn.XMATCH($A496,Table2[Steel Member],0),_xlfn.XMATCH(R$2,Table2[#Headers],0))=0,"",INDEX(Table2[],_xlfn.XMATCH($A496,Table2[Steel Member],0),_xlfn.XMATCH(R$2,Table2[#Headers],0)))</f>
        <v>#N/A</v>
      </c>
      <c r="S496" s="4" t="e" cm="1">
        <f t="array" ref="S496">IF(INDEX(Table2[],_xlfn.XMATCH($A496,Table2[Steel Member],0),_xlfn.XMATCH(S$2,Table2[#Headers],0))=0,"",INDEX(Table2[],_xlfn.XMATCH($A496,Table2[Steel Member],0),_xlfn.XMATCH(S$2,Table2[#Headers],0)))</f>
        <v>#N/A</v>
      </c>
      <c r="T496" s="4" t="str">
        <f t="shared" si="115"/>
        <v/>
      </c>
      <c r="U496" s="4" t="e">
        <f ca="1">VLOOKUP(N496,'COLOR CODE'!$B:$D,2,FALSE)</f>
        <v>#N/A</v>
      </c>
      <c r="V496" s="4" t="str">
        <f t="shared" si="116"/>
        <v/>
      </c>
      <c r="W496" s="4" t="e" cm="1">
        <f t="array" ref="W496">IF(INDEX(Table2[],_xlfn.XMATCH($A496,Table2[Steel Member],0),_xlfn.XMATCH(W$2,Table2[#Headers],0))=0,"",INDEX(Table2[],_xlfn.XMATCH($A496,Table2[Steel Member],0),_xlfn.XMATCH(W$2,Table2[#Headers],0)))</f>
        <v>#N/A</v>
      </c>
      <c r="X496" s="4" t="e">
        <f t="shared" si="126"/>
        <v>#N/A</v>
      </c>
      <c r="Y496" s="4" t="e" cm="1">
        <f t="array" ref="Y496">IF(INDEX(Table2[],_xlfn.XMATCH($A496,Table2[Steel Member],0),_xlfn.XMATCH(Y$2,Table2[#Headers],0))=0,"",INDEX(Table2[],_xlfn.XMATCH($A496,Table2[Steel Member],0),_xlfn.XMATCH(Y$2,Table2[#Headers],0)))</f>
        <v>#N/A</v>
      </c>
      <c r="Z496" s="4" t="e" cm="1">
        <f t="array" ref="Z496">IF(INDEX(Table2[],_xlfn.XMATCH($A496,Table2[Steel Member],0),_xlfn.XMATCH(Z$2,Table2[#Headers],0))=0,"",INDEX(Table2[],_xlfn.XMATCH($A496,Table2[Steel Member],0),_xlfn.XMATCH(Z$2,Table2[#Headers],0)))</f>
        <v>#N/A</v>
      </c>
      <c r="AA496" s="4" t="e" cm="1">
        <f t="array" ref="AA496">IF(INDEX(Table2[],_xlfn.XMATCH($A496,Table2[Steel Member],0),_xlfn.XMATCH(AA$2,Table2[#Headers],0))=0,"",INDEX(Table2[],_xlfn.XMATCH($A496,Table2[Steel Member],0),_xlfn.XMATCH(AA$2,Table2[#Headers],0)))</f>
        <v>#N/A</v>
      </c>
      <c r="AB496" s="4" t="e" cm="1">
        <f t="array" ref="AB496">IF(INDEX(Table2[],_xlfn.XMATCH($A496,Table2[Steel Member],0),_xlfn.XMATCH(AB$2,Table2[#Headers],0))=0,"",INDEX(Table2[],_xlfn.XMATCH($A496,Table2[Steel Member],0),_xlfn.XMATCH(AB$2,Table2[#Headers],0)))</f>
        <v>#N/A</v>
      </c>
      <c r="AC496" s="4" t="str" cm="1">
        <f t="array" ref="AC496">IFERROR(INDEX(Table8[],_xlfn.XMATCH($O496,Table8[Dimension Name Category],0),_xlfn.XMATCH(AC$2&amp;IF($L496," w/ tag"," w/o tag"),Table8[#Headers],0)),"")</f>
        <v/>
      </c>
      <c r="AD496" s="59" t="str">
        <f t="shared" si="117"/>
        <v/>
      </c>
      <c r="AE496" s="4" t="str">
        <f t="shared" si="118"/>
        <v/>
      </c>
      <c r="AF496" s="4" t="str">
        <f t="shared" si="119"/>
        <v/>
      </c>
      <c r="AG496" s="4" t="str" cm="1">
        <f t="array" ref="AG496">IFERROR(INDEX(Table8[],_xlfn.XMATCH($O496,Table8[Dimension Name Category],0),_xlfn.XMATCH(AG$2&amp;IF($L496," w/ tag"," w/o tag"),Table8[#Headers],0)),"")</f>
        <v/>
      </c>
      <c r="AH496" s="59" t="str">
        <f t="shared" si="120"/>
        <v/>
      </c>
      <c r="AI496" s="4"/>
      <c r="AJ496" s="4" t="str">
        <f t="shared" si="121"/>
        <v/>
      </c>
      <c r="AK496" s="4" t="str">
        <f t="shared" si="122"/>
        <v/>
      </c>
      <c r="AL496" s="4" t="e" cm="1">
        <f t="array" ref="AL496">IF(INDEX(Table2[],_xlfn.XMATCH($A496,Table2[Steel Member],0),_xlfn.XMATCH(AL$2,Table2[#Headers],0))=0,"",INDEX(Table2[],_xlfn.XMATCH($A496,Table2[Steel Member],0),_xlfn.XMATCH(AL$2,Table2[#Headers],0)))</f>
        <v>#N/A</v>
      </c>
      <c r="AM496" s="4"/>
      <c r="AN496" s="4" t="str">
        <f t="shared" si="123"/>
        <v/>
      </c>
      <c r="AO496" s="4"/>
      <c r="AP496" s="4" t="e" cm="1">
        <f t="array" ref="AP496">IF(INDEX(Table2[],_xlfn.XMATCH($A496,Table2[Steel Member],0),_xlfn.XMATCH(AP$2,Table2[#Headers],0))=0,"",INDEX(Table2[],_xlfn.XMATCH($A496,Table2[Steel Member],0),_xlfn.XMATCH(AP$2,Table2[#Headers],0)))</f>
        <v>#N/A</v>
      </c>
      <c r="AQ496" s="4"/>
      <c r="AR496" s="4"/>
      <c r="AS496" s="4"/>
      <c r="AT496" s="4"/>
    </row>
    <row r="497" spans="1:46" x14ac:dyDescent="0.25">
      <c r="A497" s="52"/>
      <c r="B497" s="52"/>
      <c r="C497" s="52"/>
      <c r="D497" s="52"/>
      <c r="E497" s="52"/>
      <c r="F497" s="64" cm="1">
        <f t="array" ref="F497">IF(COUNT(FIND(PurlinsxGirthsxBracings,$C497))&gt;0,0,ROUNDUP(IF(D497=0,0,VLOOKUP(D497,'DATA SHEET'!$B:$D,2,FALSE)),2))</f>
        <v>0</v>
      </c>
      <c r="G497" s="64" cm="1">
        <f t="array" ref="G497">IF(COUNT(FIND(PurlinsxGirthsxBracings,$C497))&gt;0,0,ROUNDUP(IF(D497=0,0,VLOOKUP(D497,'DATA SHEET'!$B:$D,3,FALSE)),2))</f>
        <v>0</v>
      </c>
      <c r="H497" s="53"/>
      <c r="I497" s="66" cm="1">
        <f t="array" ref="I497">IF(AND(ISBLANK(B497),ISBLANK(C497),ISBLANK(E497)),0,IF(COUNT(FIND(PurlinsxGirthsxBracings,$C497))&gt;0,IF(B497=0,CONCATENATE(E497," ",C497),CONCATENATE(B497," - ",E497," ",C497)),IF(B497=0,IF(ISBLANK(C497),E497,CONCATENATE(D497,", ",F497,"kg/m, ",G497,"mm surface perimeter")),IF(AND(ISBLANK(C497),ISTEXT(E497)),CONCATENATE(B497," - ",E497),IF(AND(ISBLANK(C497),ISBLANK(E497)),B497,CONCATENATE(B497," - ",D497,", ",F497,"kg/m, ",G497,"mm surface perimeter"))))&amp;IF(ISBLANK(H497),"",H497)))</f>
        <v>0</v>
      </c>
      <c r="J497" s="53"/>
      <c r="L497" s="4" t="str" cm="1">
        <f t="array" ref="L497">IF(COUNT(FIND({0,1,2,3,4,5,6,7,8,9},B497))&gt;0,COUNT(FIND({0,1,2,3,4,5,6,7,8,9},B497))&gt;0,"")</f>
        <v/>
      </c>
      <c r="M497" s="4" t="str" cm="1">
        <f t="array" aca="1" ref="M497" ca="1">IFERROR(_xlfn.IFS(R497="Count",RANDBETWEEN(1,COUNTIF($R$11:$R$653,"Count")),R497="Length",RANDBETWEEN(1,COUNTIF($R$11:$R$653,"Length"))),"")</f>
        <v/>
      </c>
      <c r="N497" s="4" t="str">
        <f ca="1">IFERROR(_xlfn.RANK.EQ(M497,$M$11:$M$653)+COUNTIF($M$11:M497,M497)-1,"")</f>
        <v/>
      </c>
      <c r="O497" s="86" t="str">
        <f>IF(A497='DATA SHEET'!$L$36,C497,IFERROR(IF(AND(ISTEXT(I497),ISBLANK(C497)),"No details",VLOOKUP(C497,DimFolder,2,FALSE)),""))</f>
        <v/>
      </c>
      <c r="P497" s="4" t="str">
        <f t="shared" si="125"/>
        <v/>
      </c>
      <c r="Q497" s="58" t="str">
        <f t="shared" si="124"/>
        <v/>
      </c>
      <c r="R497" s="4" t="e" cm="1">
        <f t="array" ref="R497">IF(INDEX(Table2[],_xlfn.XMATCH($A497,Table2[Steel Member],0),_xlfn.XMATCH(R$2,Table2[#Headers],0))=0,"",INDEX(Table2[],_xlfn.XMATCH($A497,Table2[Steel Member],0),_xlfn.XMATCH(R$2,Table2[#Headers],0)))</f>
        <v>#N/A</v>
      </c>
      <c r="S497" s="4" t="e" cm="1">
        <f t="array" ref="S497">IF(INDEX(Table2[],_xlfn.XMATCH($A497,Table2[Steel Member],0),_xlfn.XMATCH(S$2,Table2[#Headers],0))=0,"",INDEX(Table2[],_xlfn.XMATCH($A497,Table2[Steel Member],0),_xlfn.XMATCH(S$2,Table2[#Headers],0)))</f>
        <v>#N/A</v>
      </c>
      <c r="T497" s="4" t="str">
        <f t="shared" si="115"/>
        <v/>
      </c>
      <c r="U497" s="4" t="e">
        <f ca="1">VLOOKUP(N497,'COLOR CODE'!$B:$D,2,FALSE)</f>
        <v>#N/A</v>
      </c>
      <c r="V497" s="4" t="str">
        <f t="shared" si="116"/>
        <v/>
      </c>
      <c r="W497" s="4" t="e" cm="1">
        <f t="array" ref="W497">IF(INDEX(Table2[],_xlfn.XMATCH($A497,Table2[Steel Member],0),_xlfn.XMATCH(W$2,Table2[#Headers],0))=0,"",INDEX(Table2[],_xlfn.XMATCH($A497,Table2[Steel Member],0),_xlfn.XMATCH(W$2,Table2[#Headers],0)))</f>
        <v>#N/A</v>
      </c>
      <c r="X497" s="4" t="e">
        <f t="shared" si="126"/>
        <v>#N/A</v>
      </c>
      <c r="Y497" s="4" t="e" cm="1">
        <f t="array" ref="Y497">IF(INDEX(Table2[],_xlfn.XMATCH($A497,Table2[Steel Member],0),_xlfn.XMATCH(Y$2,Table2[#Headers],0))=0,"",INDEX(Table2[],_xlfn.XMATCH($A497,Table2[Steel Member],0),_xlfn.XMATCH(Y$2,Table2[#Headers],0)))</f>
        <v>#N/A</v>
      </c>
      <c r="Z497" s="4" t="e" cm="1">
        <f t="array" ref="Z497">IF(INDEX(Table2[],_xlfn.XMATCH($A497,Table2[Steel Member],0),_xlfn.XMATCH(Z$2,Table2[#Headers],0))=0,"",INDEX(Table2[],_xlfn.XMATCH($A497,Table2[Steel Member],0),_xlfn.XMATCH(Z$2,Table2[#Headers],0)))</f>
        <v>#N/A</v>
      </c>
      <c r="AA497" s="4" t="e" cm="1">
        <f t="array" ref="AA497">IF(INDEX(Table2[],_xlfn.XMATCH($A497,Table2[Steel Member],0),_xlfn.XMATCH(AA$2,Table2[#Headers],0))=0,"",INDEX(Table2[],_xlfn.XMATCH($A497,Table2[Steel Member],0),_xlfn.XMATCH(AA$2,Table2[#Headers],0)))</f>
        <v>#N/A</v>
      </c>
      <c r="AB497" s="4" t="e" cm="1">
        <f t="array" ref="AB497">IF(INDEX(Table2[],_xlfn.XMATCH($A497,Table2[Steel Member],0),_xlfn.XMATCH(AB$2,Table2[#Headers],0))=0,"",INDEX(Table2[],_xlfn.XMATCH($A497,Table2[Steel Member],0),_xlfn.XMATCH(AB$2,Table2[#Headers],0)))</f>
        <v>#N/A</v>
      </c>
      <c r="AC497" s="4" t="str" cm="1">
        <f t="array" ref="AC497">IFERROR(INDEX(Table8[],_xlfn.XMATCH($O497,Table8[Dimension Name Category],0),_xlfn.XMATCH(AC$2&amp;IF($L497," w/ tag"," w/o tag"),Table8[#Headers],0)),"")</f>
        <v/>
      </c>
      <c r="AD497" s="59" t="str">
        <f t="shared" si="117"/>
        <v/>
      </c>
      <c r="AE497" s="4" t="str">
        <f t="shared" si="118"/>
        <v/>
      </c>
      <c r="AF497" s="4" t="str">
        <f t="shared" si="119"/>
        <v/>
      </c>
      <c r="AG497" s="4" t="str" cm="1">
        <f t="array" ref="AG497">IFERROR(INDEX(Table8[],_xlfn.XMATCH($O497,Table8[Dimension Name Category],0),_xlfn.XMATCH(AG$2&amp;IF($L497," w/ tag"," w/o tag"),Table8[#Headers],0)),"")</f>
        <v/>
      </c>
      <c r="AH497" s="59" t="str">
        <f t="shared" si="120"/>
        <v/>
      </c>
      <c r="AI497" s="4"/>
      <c r="AJ497" s="4" t="str">
        <f t="shared" si="121"/>
        <v/>
      </c>
      <c r="AK497" s="4" t="str">
        <f t="shared" si="122"/>
        <v/>
      </c>
      <c r="AL497" s="4" t="e" cm="1">
        <f t="array" ref="AL497">IF(INDEX(Table2[],_xlfn.XMATCH($A497,Table2[Steel Member],0),_xlfn.XMATCH(AL$2,Table2[#Headers],0))=0,"",INDEX(Table2[],_xlfn.XMATCH($A497,Table2[Steel Member],0),_xlfn.XMATCH(AL$2,Table2[#Headers],0)))</f>
        <v>#N/A</v>
      </c>
      <c r="AM497" s="4"/>
      <c r="AN497" s="4" t="str">
        <f t="shared" si="123"/>
        <v/>
      </c>
      <c r="AO497" s="4"/>
      <c r="AP497" s="4" t="e" cm="1">
        <f t="array" ref="AP497">IF(INDEX(Table2[],_xlfn.XMATCH($A497,Table2[Steel Member],0),_xlfn.XMATCH(AP$2,Table2[#Headers],0))=0,"",INDEX(Table2[],_xlfn.XMATCH($A497,Table2[Steel Member],0),_xlfn.XMATCH(AP$2,Table2[#Headers],0)))</f>
        <v>#N/A</v>
      </c>
      <c r="AQ497" s="4"/>
      <c r="AR497" s="4"/>
      <c r="AS497" s="4"/>
      <c r="AT497" s="4"/>
    </row>
    <row r="498" spans="1:46" x14ac:dyDescent="0.25">
      <c r="A498" s="52"/>
      <c r="B498" s="52"/>
      <c r="C498" s="52"/>
      <c r="D498" s="52"/>
      <c r="E498" s="52"/>
      <c r="F498" s="64" cm="1">
        <f t="array" ref="F498">IF(COUNT(FIND(PurlinsxGirthsxBracings,$C498))&gt;0,0,ROUNDUP(IF(D498=0,0,VLOOKUP(D498,'DATA SHEET'!$B:$D,2,FALSE)),2))</f>
        <v>0</v>
      </c>
      <c r="G498" s="64" cm="1">
        <f t="array" ref="G498">IF(COUNT(FIND(PurlinsxGirthsxBracings,$C498))&gt;0,0,ROUNDUP(IF(D498=0,0,VLOOKUP(D498,'DATA SHEET'!$B:$D,3,FALSE)),2))</f>
        <v>0</v>
      </c>
      <c r="H498" s="53"/>
      <c r="I498" s="66" cm="1">
        <f t="array" ref="I498">IF(AND(ISBLANK(B498),ISBLANK(C498),ISBLANK(E498)),0,IF(COUNT(FIND(PurlinsxGirthsxBracings,$C498))&gt;0,IF(B498=0,CONCATENATE(E498," ",C498),CONCATENATE(B498," - ",E498," ",C498)),IF(B498=0,IF(ISBLANK(C498),E498,CONCATENATE(D498,", ",F498,"kg/m, ",G498,"mm surface perimeter")),IF(AND(ISBLANK(C498),ISTEXT(E498)),CONCATENATE(B498," - ",E498),IF(AND(ISBLANK(C498),ISBLANK(E498)),B498,CONCATENATE(B498," - ",D498,", ",F498,"kg/m, ",G498,"mm surface perimeter"))))&amp;IF(ISBLANK(H498),"",H498)))</f>
        <v>0</v>
      </c>
      <c r="J498" s="53"/>
      <c r="L498" s="4" t="str" cm="1">
        <f t="array" ref="L498">IF(COUNT(FIND({0,1,2,3,4,5,6,7,8,9},B498))&gt;0,COUNT(FIND({0,1,2,3,4,5,6,7,8,9},B498))&gt;0,"")</f>
        <v/>
      </c>
      <c r="M498" s="4" t="str" cm="1">
        <f t="array" aca="1" ref="M498" ca="1">IFERROR(_xlfn.IFS(R498="Count",RANDBETWEEN(1,COUNTIF($R$11:$R$653,"Count")),R498="Length",RANDBETWEEN(1,COUNTIF($R$11:$R$653,"Length"))),"")</f>
        <v/>
      </c>
      <c r="N498" s="4" t="str">
        <f ca="1">IFERROR(_xlfn.RANK.EQ(M498,$M$11:$M$653)+COUNTIF($M$11:M498,M498)-1,"")</f>
        <v/>
      </c>
      <c r="O498" s="86" t="str">
        <f>IF(A498='DATA SHEET'!$L$36,C498,IFERROR(IF(AND(ISTEXT(I498),ISBLANK(C498)),"No details",VLOOKUP(C498,DimFolder,2,FALSE)),""))</f>
        <v/>
      </c>
      <c r="P498" s="4" t="str">
        <f t="shared" si="125"/>
        <v/>
      </c>
      <c r="Q498" s="58" t="str">
        <f t="shared" si="124"/>
        <v/>
      </c>
      <c r="R498" s="4" t="e" cm="1">
        <f t="array" ref="R498">IF(INDEX(Table2[],_xlfn.XMATCH($A498,Table2[Steel Member],0),_xlfn.XMATCH(R$2,Table2[#Headers],0))=0,"",INDEX(Table2[],_xlfn.XMATCH($A498,Table2[Steel Member],0),_xlfn.XMATCH(R$2,Table2[#Headers],0)))</f>
        <v>#N/A</v>
      </c>
      <c r="S498" s="4" t="e" cm="1">
        <f t="array" ref="S498">IF(INDEX(Table2[],_xlfn.XMATCH($A498,Table2[Steel Member],0),_xlfn.XMATCH(S$2,Table2[#Headers],0))=0,"",INDEX(Table2[],_xlfn.XMATCH($A498,Table2[Steel Member],0),_xlfn.XMATCH(S$2,Table2[#Headers],0)))</f>
        <v>#N/A</v>
      </c>
      <c r="T498" s="4" t="str">
        <f t="shared" si="115"/>
        <v/>
      </c>
      <c r="U498" s="4" t="e">
        <f ca="1">VLOOKUP(N498,'COLOR CODE'!$B:$D,2,FALSE)</f>
        <v>#N/A</v>
      </c>
      <c r="V498" s="4" t="str">
        <f t="shared" si="116"/>
        <v/>
      </c>
      <c r="W498" s="4" t="e" cm="1">
        <f t="array" ref="W498">IF(INDEX(Table2[],_xlfn.XMATCH($A498,Table2[Steel Member],0),_xlfn.XMATCH(W$2,Table2[#Headers],0))=0,"",INDEX(Table2[],_xlfn.XMATCH($A498,Table2[Steel Member],0),_xlfn.XMATCH(W$2,Table2[#Headers],0)))</f>
        <v>#N/A</v>
      </c>
      <c r="X498" s="4" t="e">
        <f t="shared" si="126"/>
        <v>#N/A</v>
      </c>
      <c r="Y498" s="4" t="e" cm="1">
        <f t="array" ref="Y498">IF(INDEX(Table2[],_xlfn.XMATCH($A498,Table2[Steel Member],0),_xlfn.XMATCH(Y$2,Table2[#Headers],0))=0,"",INDEX(Table2[],_xlfn.XMATCH($A498,Table2[Steel Member],0),_xlfn.XMATCH(Y$2,Table2[#Headers],0)))</f>
        <v>#N/A</v>
      </c>
      <c r="Z498" s="4" t="e" cm="1">
        <f t="array" ref="Z498">IF(INDEX(Table2[],_xlfn.XMATCH($A498,Table2[Steel Member],0),_xlfn.XMATCH(Z$2,Table2[#Headers],0))=0,"",INDEX(Table2[],_xlfn.XMATCH($A498,Table2[Steel Member],0),_xlfn.XMATCH(Z$2,Table2[#Headers],0)))</f>
        <v>#N/A</v>
      </c>
      <c r="AA498" s="4" t="e" cm="1">
        <f t="array" ref="AA498">IF(INDEX(Table2[],_xlfn.XMATCH($A498,Table2[Steel Member],0),_xlfn.XMATCH(AA$2,Table2[#Headers],0))=0,"",INDEX(Table2[],_xlfn.XMATCH($A498,Table2[Steel Member],0),_xlfn.XMATCH(AA$2,Table2[#Headers],0)))</f>
        <v>#N/A</v>
      </c>
      <c r="AB498" s="4" t="e" cm="1">
        <f t="array" ref="AB498">IF(INDEX(Table2[],_xlfn.XMATCH($A498,Table2[Steel Member],0),_xlfn.XMATCH(AB$2,Table2[#Headers],0))=0,"",INDEX(Table2[],_xlfn.XMATCH($A498,Table2[Steel Member],0),_xlfn.XMATCH(AB$2,Table2[#Headers],0)))</f>
        <v>#N/A</v>
      </c>
      <c r="AC498" s="4" t="str" cm="1">
        <f t="array" ref="AC498">IFERROR(INDEX(Table8[],_xlfn.XMATCH($O498,Table8[Dimension Name Category],0),_xlfn.XMATCH(AC$2&amp;IF($L498," w/ tag"," w/o tag"),Table8[#Headers],0)),"")</f>
        <v/>
      </c>
      <c r="AD498" s="59" t="str">
        <f t="shared" si="117"/>
        <v/>
      </c>
      <c r="AE498" s="4" t="str">
        <f t="shared" si="118"/>
        <v/>
      </c>
      <c r="AF498" s="4" t="str">
        <f t="shared" si="119"/>
        <v/>
      </c>
      <c r="AG498" s="4" t="str" cm="1">
        <f t="array" ref="AG498">IFERROR(INDEX(Table8[],_xlfn.XMATCH($O498,Table8[Dimension Name Category],0),_xlfn.XMATCH(AG$2&amp;IF($L498," w/ tag"," w/o tag"),Table8[#Headers],0)),"")</f>
        <v/>
      </c>
      <c r="AH498" s="59" t="str">
        <f t="shared" si="120"/>
        <v/>
      </c>
      <c r="AI498" s="4"/>
      <c r="AJ498" s="4" t="str">
        <f t="shared" si="121"/>
        <v/>
      </c>
      <c r="AK498" s="4" t="str">
        <f t="shared" si="122"/>
        <v/>
      </c>
      <c r="AL498" s="4" t="e" cm="1">
        <f t="array" ref="AL498">IF(INDEX(Table2[],_xlfn.XMATCH($A498,Table2[Steel Member],0),_xlfn.XMATCH(AL$2,Table2[#Headers],0))=0,"",INDEX(Table2[],_xlfn.XMATCH($A498,Table2[Steel Member],0),_xlfn.XMATCH(AL$2,Table2[#Headers],0)))</f>
        <v>#N/A</v>
      </c>
      <c r="AM498" s="4"/>
      <c r="AN498" s="4" t="str">
        <f t="shared" si="123"/>
        <v/>
      </c>
      <c r="AO498" s="4"/>
      <c r="AP498" s="4" t="e" cm="1">
        <f t="array" ref="AP498">IF(INDEX(Table2[],_xlfn.XMATCH($A498,Table2[Steel Member],0),_xlfn.XMATCH(AP$2,Table2[#Headers],0))=0,"",INDEX(Table2[],_xlfn.XMATCH($A498,Table2[Steel Member],0),_xlfn.XMATCH(AP$2,Table2[#Headers],0)))</f>
        <v>#N/A</v>
      </c>
      <c r="AQ498" s="4"/>
      <c r="AR498" s="4"/>
      <c r="AS498" s="4"/>
      <c r="AT498" s="4"/>
    </row>
    <row r="499" spans="1:46" x14ac:dyDescent="0.25">
      <c r="A499" s="52"/>
      <c r="B499" s="52"/>
      <c r="C499" s="52"/>
      <c r="D499" s="52"/>
      <c r="E499" s="52"/>
      <c r="F499" s="64" cm="1">
        <f t="array" ref="F499">IF(COUNT(FIND(PurlinsxGirthsxBracings,$C499))&gt;0,0,ROUNDUP(IF(D499=0,0,VLOOKUP(D499,'DATA SHEET'!$B:$D,2,FALSE)),2))</f>
        <v>0</v>
      </c>
      <c r="G499" s="64" cm="1">
        <f t="array" ref="G499">IF(COUNT(FIND(PurlinsxGirthsxBracings,$C499))&gt;0,0,ROUNDUP(IF(D499=0,0,VLOOKUP(D499,'DATA SHEET'!$B:$D,3,FALSE)),2))</f>
        <v>0</v>
      </c>
      <c r="H499" s="53"/>
      <c r="I499" s="66" cm="1">
        <f t="array" ref="I499">IF(AND(ISBLANK(B499),ISBLANK(C499),ISBLANK(E499)),0,IF(COUNT(FIND(PurlinsxGirthsxBracings,$C499))&gt;0,IF(B499=0,CONCATENATE(E499," ",C499),CONCATENATE(B499," - ",E499," ",C499)),IF(B499=0,IF(ISBLANK(C499),E499,CONCATENATE(D499,", ",F499,"kg/m, ",G499,"mm surface perimeter")),IF(AND(ISBLANK(C499),ISTEXT(E499)),CONCATENATE(B499," - ",E499),IF(AND(ISBLANK(C499),ISBLANK(E499)),B499,CONCATENATE(B499," - ",D499,", ",F499,"kg/m, ",G499,"mm surface perimeter"))))&amp;IF(ISBLANK(H499),"",H499)))</f>
        <v>0</v>
      </c>
      <c r="J499" s="53"/>
      <c r="L499" s="4" t="str" cm="1">
        <f t="array" ref="L499">IF(COUNT(FIND({0,1,2,3,4,5,6,7,8,9},B499))&gt;0,COUNT(FIND({0,1,2,3,4,5,6,7,8,9},B499))&gt;0,"")</f>
        <v/>
      </c>
      <c r="M499" s="4" t="str" cm="1">
        <f t="array" aca="1" ref="M499" ca="1">IFERROR(_xlfn.IFS(R499="Count",RANDBETWEEN(1,COUNTIF($R$11:$R$653,"Count")),R499="Length",RANDBETWEEN(1,COUNTIF($R$11:$R$653,"Length"))),"")</f>
        <v/>
      </c>
      <c r="N499" s="4" t="str">
        <f ca="1">IFERROR(_xlfn.RANK.EQ(M499,$M$11:$M$653)+COUNTIF($M$11:M499,M499)-1,"")</f>
        <v/>
      </c>
      <c r="O499" s="86" t="str">
        <f>IF(A499='DATA SHEET'!$L$36,C499,IFERROR(IF(AND(ISTEXT(I499),ISBLANK(C499)),"No details",VLOOKUP(C499,DimFolder,2,FALSE)),""))</f>
        <v/>
      </c>
      <c r="P499" s="4" t="str">
        <f t="shared" si="125"/>
        <v/>
      </c>
      <c r="Q499" s="58" t="str">
        <f t="shared" si="124"/>
        <v/>
      </c>
      <c r="R499" s="4" t="e" cm="1">
        <f t="array" ref="R499">IF(INDEX(Table2[],_xlfn.XMATCH($A499,Table2[Steel Member],0),_xlfn.XMATCH(R$2,Table2[#Headers],0))=0,"",INDEX(Table2[],_xlfn.XMATCH($A499,Table2[Steel Member],0),_xlfn.XMATCH(R$2,Table2[#Headers],0)))</f>
        <v>#N/A</v>
      </c>
      <c r="S499" s="4" t="e" cm="1">
        <f t="array" ref="S499">IF(INDEX(Table2[],_xlfn.XMATCH($A499,Table2[Steel Member],0),_xlfn.XMATCH(S$2,Table2[#Headers],0))=0,"",INDEX(Table2[],_xlfn.XMATCH($A499,Table2[Steel Member],0),_xlfn.XMATCH(S$2,Table2[#Headers],0)))</f>
        <v>#N/A</v>
      </c>
      <c r="T499" s="4" t="str">
        <f t="shared" si="115"/>
        <v/>
      </c>
      <c r="U499" s="4" t="e">
        <f ca="1">VLOOKUP(N499,'COLOR CODE'!$B:$D,2,FALSE)</f>
        <v>#N/A</v>
      </c>
      <c r="V499" s="4" t="str">
        <f t="shared" si="116"/>
        <v/>
      </c>
      <c r="W499" s="4" t="e" cm="1">
        <f t="array" ref="W499">IF(INDEX(Table2[],_xlfn.XMATCH($A499,Table2[Steel Member],0),_xlfn.XMATCH(W$2,Table2[#Headers],0))=0,"",INDEX(Table2[],_xlfn.XMATCH($A499,Table2[Steel Member],0),_xlfn.XMATCH(W$2,Table2[#Headers],0)))</f>
        <v>#N/A</v>
      </c>
      <c r="X499" s="4" t="e">
        <f t="shared" si="126"/>
        <v>#N/A</v>
      </c>
      <c r="Y499" s="4" t="e" cm="1">
        <f t="array" ref="Y499">IF(INDEX(Table2[],_xlfn.XMATCH($A499,Table2[Steel Member],0),_xlfn.XMATCH(Y$2,Table2[#Headers],0))=0,"",INDEX(Table2[],_xlfn.XMATCH($A499,Table2[Steel Member],0),_xlfn.XMATCH(Y$2,Table2[#Headers],0)))</f>
        <v>#N/A</v>
      </c>
      <c r="Z499" s="4" t="e" cm="1">
        <f t="array" ref="Z499">IF(INDEX(Table2[],_xlfn.XMATCH($A499,Table2[Steel Member],0),_xlfn.XMATCH(Z$2,Table2[#Headers],0))=0,"",INDEX(Table2[],_xlfn.XMATCH($A499,Table2[Steel Member],0),_xlfn.XMATCH(Z$2,Table2[#Headers],0)))</f>
        <v>#N/A</v>
      </c>
      <c r="AA499" s="4" t="e" cm="1">
        <f t="array" ref="AA499">IF(INDEX(Table2[],_xlfn.XMATCH($A499,Table2[Steel Member],0),_xlfn.XMATCH(AA$2,Table2[#Headers],0))=0,"",INDEX(Table2[],_xlfn.XMATCH($A499,Table2[Steel Member],0),_xlfn.XMATCH(AA$2,Table2[#Headers],0)))</f>
        <v>#N/A</v>
      </c>
      <c r="AB499" s="4" t="e" cm="1">
        <f t="array" ref="AB499">IF(INDEX(Table2[],_xlfn.XMATCH($A499,Table2[Steel Member],0),_xlfn.XMATCH(AB$2,Table2[#Headers],0))=0,"",INDEX(Table2[],_xlfn.XMATCH($A499,Table2[Steel Member],0),_xlfn.XMATCH(AB$2,Table2[#Headers],0)))</f>
        <v>#N/A</v>
      </c>
      <c r="AC499" s="4" t="str" cm="1">
        <f t="array" ref="AC499">IFERROR(INDEX(Table8[],_xlfn.XMATCH($O499,Table8[Dimension Name Category],0),_xlfn.XMATCH(AC$2&amp;IF($L499," w/ tag"," w/o tag"),Table8[#Headers],0)),"")</f>
        <v/>
      </c>
      <c r="AD499" s="59" t="str">
        <f t="shared" si="117"/>
        <v/>
      </c>
      <c r="AE499" s="4" t="str">
        <f t="shared" si="118"/>
        <v/>
      </c>
      <c r="AF499" s="4" t="str">
        <f t="shared" si="119"/>
        <v/>
      </c>
      <c r="AG499" s="4" t="str" cm="1">
        <f t="array" ref="AG499">IFERROR(INDEX(Table8[],_xlfn.XMATCH($O499,Table8[Dimension Name Category],0),_xlfn.XMATCH(AG$2&amp;IF($L499," w/ tag"," w/o tag"),Table8[#Headers],0)),"")</f>
        <v/>
      </c>
      <c r="AH499" s="59" t="str">
        <f t="shared" si="120"/>
        <v/>
      </c>
      <c r="AI499" s="4"/>
      <c r="AJ499" s="4" t="str">
        <f t="shared" si="121"/>
        <v/>
      </c>
      <c r="AK499" s="4" t="str">
        <f t="shared" si="122"/>
        <v/>
      </c>
      <c r="AL499" s="4" t="e" cm="1">
        <f t="array" ref="AL499">IF(INDEX(Table2[],_xlfn.XMATCH($A499,Table2[Steel Member],0),_xlfn.XMATCH(AL$2,Table2[#Headers],0))=0,"",INDEX(Table2[],_xlfn.XMATCH($A499,Table2[Steel Member],0),_xlfn.XMATCH(AL$2,Table2[#Headers],0)))</f>
        <v>#N/A</v>
      </c>
      <c r="AM499" s="4"/>
      <c r="AN499" s="4" t="str">
        <f t="shared" si="123"/>
        <v/>
      </c>
      <c r="AO499" s="4"/>
      <c r="AP499" s="4" t="e" cm="1">
        <f t="array" ref="AP499">IF(INDEX(Table2[],_xlfn.XMATCH($A499,Table2[Steel Member],0),_xlfn.XMATCH(AP$2,Table2[#Headers],0))=0,"",INDEX(Table2[],_xlfn.XMATCH($A499,Table2[Steel Member],0),_xlfn.XMATCH(AP$2,Table2[#Headers],0)))</f>
        <v>#N/A</v>
      </c>
      <c r="AQ499" s="4"/>
      <c r="AR499" s="4"/>
      <c r="AS499" s="4"/>
      <c r="AT499" s="4"/>
    </row>
    <row r="500" spans="1:46" x14ac:dyDescent="0.25">
      <c r="A500" s="52"/>
      <c r="B500" s="52"/>
      <c r="C500" s="52"/>
      <c r="D500" s="52"/>
      <c r="E500" s="52"/>
      <c r="F500" s="64" cm="1">
        <f t="array" ref="F500">IF(COUNT(FIND(PurlinsxGirthsxBracings,$C500))&gt;0,0,ROUNDUP(IF(D500=0,0,VLOOKUP(D500,'DATA SHEET'!$B:$D,2,FALSE)),2))</f>
        <v>0</v>
      </c>
      <c r="G500" s="64" cm="1">
        <f t="array" ref="G500">IF(COUNT(FIND(PurlinsxGirthsxBracings,$C500))&gt;0,0,ROUNDUP(IF(D500=0,0,VLOOKUP(D500,'DATA SHEET'!$B:$D,3,FALSE)),2))</f>
        <v>0</v>
      </c>
      <c r="H500" s="53"/>
      <c r="I500" s="66" cm="1">
        <f t="array" ref="I500">IF(AND(ISBLANK(B500),ISBLANK(C500),ISBLANK(E500)),0,IF(COUNT(FIND(PurlinsxGirthsxBracings,$C500))&gt;0,IF(B500=0,CONCATENATE(E500," ",C500),CONCATENATE(B500," - ",E500," ",C500)),IF(B500=0,IF(ISBLANK(C500),E500,CONCATENATE(D500,", ",F500,"kg/m, ",G500,"mm surface perimeter")),IF(AND(ISBLANK(C500),ISTEXT(E500)),CONCATENATE(B500," - ",E500),IF(AND(ISBLANK(C500),ISBLANK(E500)),B500,CONCATENATE(B500," - ",D500,", ",F500,"kg/m, ",G500,"mm surface perimeter"))))&amp;IF(ISBLANK(H500),"",H500)))</f>
        <v>0</v>
      </c>
      <c r="J500" s="53"/>
      <c r="L500" s="4" t="str" cm="1">
        <f t="array" ref="L500">IF(COUNT(FIND({0,1,2,3,4,5,6,7,8,9},B500))&gt;0,COUNT(FIND({0,1,2,3,4,5,6,7,8,9},B500))&gt;0,"")</f>
        <v/>
      </c>
      <c r="M500" s="4" t="str" cm="1">
        <f t="array" aca="1" ref="M500" ca="1">IFERROR(_xlfn.IFS(R500="Count",RANDBETWEEN(1,COUNTIF($R$11:$R$653,"Count")),R500="Length",RANDBETWEEN(1,COUNTIF($R$11:$R$653,"Length"))),"")</f>
        <v/>
      </c>
      <c r="N500" s="4" t="str">
        <f ca="1">IFERROR(_xlfn.RANK.EQ(M500,$M$11:$M$653)+COUNTIF($M$11:M500,M500)-1,"")</f>
        <v/>
      </c>
      <c r="O500" s="86" t="str">
        <f>IF(A500='DATA SHEET'!$L$36,C500,IFERROR(IF(AND(ISTEXT(I500),ISBLANK(C500)),"No details",VLOOKUP(C500,DimFolder,2,FALSE)),""))</f>
        <v/>
      </c>
      <c r="P500" s="4" t="str">
        <f t="shared" si="125"/>
        <v/>
      </c>
      <c r="Q500" s="58" t="str">
        <f t="shared" si="124"/>
        <v/>
      </c>
      <c r="R500" s="4" t="e" cm="1">
        <f t="array" ref="R500">IF(INDEX(Table2[],_xlfn.XMATCH($A500,Table2[Steel Member],0),_xlfn.XMATCH(R$2,Table2[#Headers],0))=0,"",INDEX(Table2[],_xlfn.XMATCH($A500,Table2[Steel Member],0),_xlfn.XMATCH(R$2,Table2[#Headers],0)))</f>
        <v>#N/A</v>
      </c>
      <c r="S500" s="4" t="e" cm="1">
        <f t="array" ref="S500">IF(INDEX(Table2[],_xlfn.XMATCH($A500,Table2[Steel Member],0),_xlfn.XMATCH(S$2,Table2[#Headers],0))=0,"",INDEX(Table2[],_xlfn.XMATCH($A500,Table2[Steel Member],0),_xlfn.XMATCH(S$2,Table2[#Headers],0)))</f>
        <v>#N/A</v>
      </c>
      <c r="T500" s="4" t="str">
        <f t="shared" si="115"/>
        <v/>
      </c>
      <c r="U500" s="4" t="e">
        <f ca="1">VLOOKUP(N500,'COLOR CODE'!$B:$D,2,FALSE)</f>
        <v>#N/A</v>
      </c>
      <c r="V500" s="4" t="str">
        <f t="shared" si="116"/>
        <v/>
      </c>
      <c r="W500" s="4" t="e" cm="1">
        <f t="array" ref="W500">IF(INDEX(Table2[],_xlfn.XMATCH($A500,Table2[Steel Member],0),_xlfn.XMATCH(W$2,Table2[#Headers],0))=0,"",INDEX(Table2[],_xlfn.XMATCH($A500,Table2[Steel Member],0),_xlfn.XMATCH(W$2,Table2[#Headers],0)))</f>
        <v>#N/A</v>
      </c>
      <c r="X500" s="4" t="e">
        <f t="shared" si="126"/>
        <v>#N/A</v>
      </c>
      <c r="Y500" s="4" t="e" cm="1">
        <f t="array" ref="Y500">IF(INDEX(Table2[],_xlfn.XMATCH($A500,Table2[Steel Member],0),_xlfn.XMATCH(Y$2,Table2[#Headers],0))=0,"",INDEX(Table2[],_xlfn.XMATCH($A500,Table2[Steel Member],0),_xlfn.XMATCH(Y$2,Table2[#Headers],0)))</f>
        <v>#N/A</v>
      </c>
      <c r="Z500" s="4" t="e" cm="1">
        <f t="array" ref="Z500">IF(INDEX(Table2[],_xlfn.XMATCH($A500,Table2[Steel Member],0),_xlfn.XMATCH(Z$2,Table2[#Headers],0))=0,"",INDEX(Table2[],_xlfn.XMATCH($A500,Table2[Steel Member],0),_xlfn.XMATCH(Z$2,Table2[#Headers],0)))</f>
        <v>#N/A</v>
      </c>
      <c r="AA500" s="4" t="e" cm="1">
        <f t="array" ref="AA500">IF(INDEX(Table2[],_xlfn.XMATCH($A500,Table2[Steel Member],0),_xlfn.XMATCH(AA$2,Table2[#Headers],0))=0,"",INDEX(Table2[],_xlfn.XMATCH($A500,Table2[Steel Member],0),_xlfn.XMATCH(AA$2,Table2[#Headers],0)))</f>
        <v>#N/A</v>
      </c>
      <c r="AB500" s="4" t="e" cm="1">
        <f t="array" ref="AB500">IF(INDEX(Table2[],_xlfn.XMATCH($A500,Table2[Steel Member],0),_xlfn.XMATCH(AB$2,Table2[#Headers],0))=0,"",INDEX(Table2[],_xlfn.XMATCH($A500,Table2[Steel Member],0),_xlfn.XMATCH(AB$2,Table2[#Headers],0)))</f>
        <v>#N/A</v>
      </c>
      <c r="AC500" s="4" t="str" cm="1">
        <f t="array" ref="AC500">IFERROR(INDEX(Table8[],_xlfn.XMATCH($O500,Table8[Dimension Name Category],0),_xlfn.XMATCH(AC$2&amp;IF($L500," w/ tag"," w/o tag"),Table8[#Headers],0)),"")</f>
        <v/>
      </c>
      <c r="AD500" s="59" t="str">
        <f t="shared" si="117"/>
        <v/>
      </c>
      <c r="AE500" s="4" t="str">
        <f t="shared" si="118"/>
        <v/>
      </c>
      <c r="AF500" s="4" t="str">
        <f t="shared" si="119"/>
        <v/>
      </c>
      <c r="AG500" s="4" t="str" cm="1">
        <f t="array" ref="AG500">IFERROR(INDEX(Table8[],_xlfn.XMATCH($O500,Table8[Dimension Name Category],0),_xlfn.XMATCH(AG$2&amp;IF($L500," w/ tag"," w/o tag"),Table8[#Headers],0)),"")</f>
        <v/>
      </c>
      <c r="AH500" s="59" t="str">
        <f t="shared" si="120"/>
        <v/>
      </c>
      <c r="AI500" s="4"/>
      <c r="AJ500" s="4" t="str">
        <f t="shared" si="121"/>
        <v/>
      </c>
      <c r="AK500" s="4" t="str">
        <f t="shared" si="122"/>
        <v/>
      </c>
      <c r="AL500" s="4" t="e" cm="1">
        <f t="array" ref="AL500">IF(INDEX(Table2[],_xlfn.XMATCH($A500,Table2[Steel Member],0),_xlfn.XMATCH(AL$2,Table2[#Headers],0))=0,"",INDEX(Table2[],_xlfn.XMATCH($A500,Table2[Steel Member],0),_xlfn.XMATCH(AL$2,Table2[#Headers],0)))</f>
        <v>#N/A</v>
      </c>
      <c r="AM500" s="4"/>
      <c r="AN500" s="4" t="str">
        <f t="shared" si="123"/>
        <v/>
      </c>
      <c r="AO500" s="4"/>
      <c r="AP500" s="4" t="e" cm="1">
        <f t="array" ref="AP500">IF(INDEX(Table2[],_xlfn.XMATCH($A500,Table2[Steel Member],0),_xlfn.XMATCH(AP$2,Table2[#Headers],0))=0,"",INDEX(Table2[],_xlfn.XMATCH($A500,Table2[Steel Member],0),_xlfn.XMATCH(AP$2,Table2[#Headers],0)))</f>
        <v>#N/A</v>
      </c>
      <c r="AQ500" s="4"/>
      <c r="AR500" s="4"/>
      <c r="AS500" s="4"/>
      <c r="AT500" s="4"/>
    </row>
    <row r="501" spans="1:46" x14ac:dyDescent="0.25">
      <c r="A501" s="52"/>
      <c r="B501" s="52"/>
      <c r="C501" s="52"/>
      <c r="D501" s="52"/>
      <c r="E501" s="52"/>
      <c r="F501" s="64" cm="1">
        <f t="array" ref="F501">IF(COUNT(FIND(PurlinsxGirthsxBracings,$C501))&gt;0,0,ROUNDUP(IF(D501=0,0,VLOOKUP(D501,'DATA SHEET'!$B:$D,2,FALSE)),2))</f>
        <v>0</v>
      </c>
      <c r="G501" s="64" cm="1">
        <f t="array" ref="G501">IF(COUNT(FIND(PurlinsxGirthsxBracings,$C501))&gt;0,0,ROUNDUP(IF(D501=0,0,VLOOKUP(D501,'DATA SHEET'!$B:$D,3,FALSE)),2))</f>
        <v>0</v>
      </c>
      <c r="H501" s="53"/>
      <c r="I501" s="66" cm="1">
        <f t="array" ref="I501">IF(AND(ISBLANK(B501),ISBLANK(C501),ISBLANK(E501)),0,IF(COUNT(FIND(PurlinsxGirthsxBracings,$C501))&gt;0,IF(B501=0,CONCATENATE(E501," ",C501),CONCATENATE(B501," - ",E501," ",C501)),IF(B501=0,IF(ISBLANK(C501),E501,CONCATENATE(D501,", ",F501,"kg/m, ",G501,"mm surface perimeter")),IF(AND(ISBLANK(C501),ISTEXT(E501)),CONCATENATE(B501," - ",E501),IF(AND(ISBLANK(C501),ISBLANK(E501)),B501,CONCATENATE(B501," - ",D501,", ",F501,"kg/m, ",G501,"mm surface perimeter"))))&amp;IF(ISBLANK(H501),"",H501)))</f>
        <v>0</v>
      </c>
      <c r="J501" s="53"/>
      <c r="L501" s="4" t="str" cm="1">
        <f t="array" ref="L501">IF(COUNT(FIND({0,1,2,3,4,5,6,7,8,9},B501))&gt;0,COUNT(FIND({0,1,2,3,4,5,6,7,8,9},B501))&gt;0,"")</f>
        <v/>
      </c>
      <c r="M501" s="4" t="str" cm="1">
        <f t="array" aca="1" ref="M501" ca="1">IFERROR(_xlfn.IFS(R501="Count",RANDBETWEEN(1,COUNTIF($R$11:$R$653,"Count")),R501="Length",RANDBETWEEN(1,COUNTIF($R$11:$R$653,"Length"))),"")</f>
        <v/>
      </c>
      <c r="N501" s="4" t="str">
        <f ca="1">IFERROR(_xlfn.RANK.EQ(M501,$M$11:$M$653)+COUNTIF($M$11:M501,M501)-1,"")</f>
        <v/>
      </c>
      <c r="O501" s="86" t="str">
        <f>IF(A501='DATA SHEET'!$L$36,C501,IFERROR(IF(AND(ISTEXT(I501),ISBLANK(C501)),"No details",VLOOKUP(C501,DimFolder,2,FALSE)),""))</f>
        <v/>
      </c>
      <c r="P501" s="4" t="str">
        <f t="shared" si="125"/>
        <v/>
      </c>
      <c r="Q501" s="58" t="str">
        <f t="shared" si="124"/>
        <v/>
      </c>
      <c r="R501" s="4" t="e" cm="1">
        <f t="array" ref="R501">IF(INDEX(Table2[],_xlfn.XMATCH($A501,Table2[Steel Member],0),_xlfn.XMATCH(R$2,Table2[#Headers],0))=0,"",INDEX(Table2[],_xlfn.XMATCH($A501,Table2[Steel Member],0),_xlfn.XMATCH(R$2,Table2[#Headers],0)))</f>
        <v>#N/A</v>
      </c>
      <c r="S501" s="4" t="e" cm="1">
        <f t="array" ref="S501">IF(INDEX(Table2[],_xlfn.XMATCH($A501,Table2[Steel Member],0),_xlfn.XMATCH(S$2,Table2[#Headers],0))=0,"",INDEX(Table2[],_xlfn.XMATCH($A501,Table2[Steel Member],0),_xlfn.XMATCH(S$2,Table2[#Headers],0)))</f>
        <v>#N/A</v>
      </c>
      <c r="T501" s="4" t="str">
        <f t="shared" ref="T501:T564" si="127">IF(AND(ISBLANK(B501),ISBLANK(C501)),"","t")</f>
        <v/>
      </c>
      <c r="U501" s="4" t="e">
        <f ca="1">VLOOKUP(N501,'COLOR CODE'!$B:$D,2,FALSE)</f>
        <v>#N/A</v>
      </c>
      <c r="V501" s="4" t="str">
        <f t="shared" ref="V501:V564" si="128">IF(AND(ISBLANK(B501),ISBLANK(C501)),"","Red")</f>
        <v/>
      </c>
      <c r="W501" s="4" t="e" cm="1">
        <f t="array" ref="W501">IF(INDEX(Table2[],_xlfn.XMATCH($A501,Table2[Steel Member],0),_xlfn.XMATCH(W$2,Table2[#Headers],0))=0,"",INDEX(Table2[],_xlfn.XMATCH($A501,Table2[Steel Member],0),_xlfn.XMATCH(W$2,Table2[#Headers],0)))</f>
        <v>#N/A</v>
      </c>
      <c r="X501" s="4" t="e">
        <f t="shared" si="126"/>
        <v>#N/A</v>
      </c>
      <c r="Y501" s="4" t="e" cm="1">
        <f t="array" ref="Y501">IF(INDEX(Table2[],_xlfn.XMATCH($A501,Table2[Steel Member],0),_xlfn.XMATCH(Y$2,Table2[#Headers],0))=0,"",INDEX(Table2[],_xlfn.XMATCH($A501,Table2[Steel Member],0),_xlfn.XMATCH(Y$2,Table2[#Headers],0)))</f>
        <v>#N/A</v>
      </c>
      <c r="Z501" s="4" t="e" cm="1">
        <f t="array" ref="Z501">IF(INDEX(Table2[],_xlfn.XMATCH($A501,Table2[Steel Member],0),_xlfn.XMATCH(Z$2,Table2[#Headers],0))=0,"",INDEX(Table2[],_xlfn.XMATCH($A501,Table2[Steel Member],0),_xlfn.XMATCH(Z$2,Table2[#Headers],0)))</f>
        <v>#N/A</v>
      </c>
      <c r="AA501" s="4" t="e" cm="1">
        <f t="array" ref="AA501">IF(INDEX(Table2[],_xlfn.XMATCH($A501,Table2[Steel Member],0),_xlfn.XMATCH(AA$2,Table2[#Headers],0))=0,"",INDEX(Table2[],_xlfn.XMATCH($A501,Table2[Steel Member],0),_xlfn.XMATCH(AA$2,Table2[#Headers],0)))</f>
        <v>#N/A</v>
      </c>
      <c r="AB501" s="4" t="e" cm="1">
        <f t="array" ref="AB501">IF(INDEX(Table2[],_xlfn.XMATCH($A501,Table2[Steel Member],0),_xlfn.XMATCH(AB$2,Table2[#Headers],0))=0,"",INDEX(Table2[],_xlfn.XMATCH($A501,Table2[Steel Member],0),_xlfn.XMATCH(AB$2,Table2[#Headers],0)))</f>
        <v>#N/A</v>
      </c>
      <c r="AC501" s="4" t="str" cm="1">
        <f t="array" ref="AC501">IFERROR(INDEX(Table8[],_xlfn.XMATCH($O501,Table8[Dimension Name Category],0),_xlfn.XMATCH(AC$2&amp;IF($L501," w/ tag"," w/o tag"),Table8[#Headers],0)),"")</f>
        <v/>
      </c>
      <c r="AD501" s="59" t="str">
        <f t="shared" ref="AD501:AD564" si="129">IF(OR($AC501="",$AC501=0),"",IF($A501=Column,"{Length}*XNUMBER({Dimension Group Name},"&amp;$AC501&amp;")/1000","{Length}*XNUMBER({Dimension Group Name},"&amp;$AC501&amp;")/1000*{Slope Factor}"))</f>
        <v/>
      </c>
      <c r="AE501" s="4" t="str">
        <f t="shared" ref="AE501:AE564" si="130">IF(AND(ISBLANK(B501),ISBLANK(C501)),"",IF($A501=Purlins_Girths_Bracings,"","Steel Surface Area"))</f>
        <v/>
      </c>
      <c r="AF501" s="4" t="str">
        <f t="shared" ref="AF501:AF564" si="131">IF(AND(ISBLANK(B501),ISBLANK(C501)),"",IF($A501=Purlins_Girths_Bracings,"","m2"))</f>
        <v/>
      </c>
      <c r="AG501" s="4" t="str" cm="1">
        <f t="array" ref="AG501">IFERROR(INDEX(Table8[],_xlfn.XMATCH($O501,Table8[Dimension Name Category],0),_xlfn.XMATCH(AG$2&amp;IF($L501," w/ tag"," w/o tag"),Table8[#Headers],0)),"")</f>
        <v/>
      </c>
      <c r="AH501" s="59" t="str">
        <f t="shared" ref="AH501:AH564" si="132">IF(OR($AG501="",$AG501=0),"",IF($A501=Column,"{Length}*XNUMBER({Dimension Group Name},"&amp;$AG501&amp;")/1000","{Length}*XNUMBER({Dimension Group Name},"&amp;$AG501&amp;")/1000*{Slope Factor}"))</f>
        <v/>
      </c>
      <c r="AI501" s="4"/>
      <c r="AJ501" s="4" t="str">
        <f t="shared" ref="AJ501:AJ564" si="133">IF(OR($A501=Column,$A501=""),"","Slope Length")</f>
        <v/>
      </c>
      <c r="AK501" s="4" t="str">
        <f t="shared" ref="AK501:AK564" si="134">IF(OR($A501=Column,$A501=""),"","m")</f>
        <v/>
      </c>
      <c r="AL501" s="4" t="e" cm="1">
        <f t="array" ref="AL501">IF(INDEX(Table2[],_xlfn.XMATCH($A501,Table2[Steel Member],0),_xlfn.XMATCH(AL$2,Table2[#Headers],0))=0,"",INDEX(Table2[],_xlfn.XMATCH($A501,Table2[Steel Member],0),_xlfn.XMATCH(AL$2,Table2[#Headers],0)))</f>
        <v>#N/A</v>
      </c>
      <c r="AM501" s="4"/>
      <c r="AN501" s="4" t="str">
        <f t="shared" ref="AN501:AN564" si="135">IF(OR($A501=Column,$A501=""),"","Slope Factor")</f>
        <v/>
      </c>
      <c r="AO501" s="4"/>
      <c r="AP501" s="4" t="e" cm="1">
        <f t="array" ref="AP501">IF(INDEX(Table2[],_xlfn.XMATCH($A501,Table2[Steel Member],0),_xlfn.XMATCH(AP$2,Table2[#Headers],0))=0,"",INDEX(Table2[],_xlfn.XMATCH($A501,Table2[Steel Member],0),_xlfn.XMATCH(AP$2,Table2[#Headers],0)))</f>
        <v>#N/A</v>
      </c>
      <c r="AQ501" s="4"/>
      <c r="AR501" s="4"/>
      <c r="AS501" s="4"/>
      <c r="AT501" s="4"/>
    </row>
    <row r="502" spans="1:46" x14ac:dyDescent="0.25">
      <c r="A502" s="52"/>
      <c r="B502" s="52"/>
      <c r="C502" s="52"/>
      <c r="D502" s="52"/>
      <c r="E502" s="52"/>
      <c r="F502" s="64" cm="1">
        <f t="array" ref="F502">IF(COUNT(FIND(PurlinsxGirthsxBracings,$C502))&gt;0,0,ROUNDUP(IF(D502=0,0,VLOOKUP(D502,'DATA SHEET'!$B:$D,2,FALSE)),2))</f>
        <v>0</v>
      </c>
      <c r="G502" s="64" cm="1">
        <f t="array" ref="G502">IF(COUNT(FIND(PurlinsxGirthsxBracings,$C502))&gt;0,0,ROUNDUP(IF(D502=0,0,VLOOKUP(D502,'DATA SHEET'!$B:$D,3,FALSE)),2))</f>
        <v>0</v>
      </c>
      <c r="H502" s="53"/>
      <c r="I502" s="66" cm="1">
        <f t="array" ref="I502">IF(AND(ISBLANK(B502),ISBLANK(C502),ISBLANK(E502)),0,IF(COUNT(FIND(PurlinsxGirthsxBracings,$C502))&gt;0,IF(B502=0,CONCATENATE(E502," ",C502),CONCATENATE(B502," - ",E502," ",C502)),IF(B502=0,IF(ISBLANK(C502),E502,CONCATENATE(D502,", ",F502,"kg/m, ",G502,"mm surface perimeter")),IF(AND(ISBLANK(C502),ISTEXT(E502)),CONCATENATE(B502," - ",E502),IF(AND(ISBLANK(C502),ISBLANK(E502)),B502,CONCATENATE(B502," - ",D502,", ",F502,"kg/m, ",G502,"mm surface perimeter"))))&amp;IF(ISBLANK(H502),"",H502)))</f>
        <v>0</v>
      </c>
      <c r="J502" s="53"/>
      <c r="L502" s="4" t="str" cm="1">
        <f t="array" ref="L502">IF(COUNT(FIND({0,1,2,3,4,5,6,7,8,9},B502))&gt;0,COUNT(FIND({0,1,2,3,4,5,6,7,8,9},B502))&gt;0,"")</f>
        <v/>
      </c>
      <c r="M502" s="4" t="str" cm="1">
        <f t="array" aca="1" ref="M502" ca="1">IFERROR(_xlfn.IFS(R502="Count",RANDBETWEEN(1,COUNTIF($R$11:$R$653,"Count")),R502="Length",RANDBETWEEN(1,COUNTIF($R$11:$R$653,"Length"))),"")</f>
        <v/>
      </c>
      <c r="N502" s="4" t="str">
        <f ca="1">IFERROR(_xlfn.RANK.EQ(M502,$M$11:$M$653)+COUNTIF($M$11:M502,M502)-1,"")</f>
        <v/>
      </c>
      <c r="O502" s="86" t="str">
        <f>IF(A502='DATA SHEET'!$L$36,C502,IFERROR(IF(AND(ISTEXT(I502),ISBLANK(C502)),"No details",VLOOKUP(C502,DimFolder,2,FALSE)),""))</f>
        <v/>
      </c>
      <c r="P502" s="4" t="str">
        <f t="shared" si="125"/>
        <v/>
      </c>
      <c r="Q502" s="58" t="str">
        <f t="shared" ref="Q502:Q565" si="136">IF(AND(ISBLANK(B502),ISBLANK(C502)),"",I502)</f>
        <v/>
      </c>
      <c r="R502" s="4" t="e" cm="1">
        <f t="array" ref="R502">IF(INDEX(Table2[],_xlfn.XMATCH($A502,Table2[Steel Member],0),_xlfn.XMATCH(R$2,Table2[#Headers],0))=0,"",INDEX(Table2[],_xlfn.XMATCH($A502,Table2[Steel Member],0),_xlfn.XMATCH(R$2,Table2[#Headers],0)))</f>
        <v>#N/A</v>
      </c>
      <c r="S502" s="4" t="e" cm="1">
        <f t="array" ref="S502">IF(INDEX(Table2[],_xlfn.XMATCH($A502,Table2[Steel Member],0),_xlfn.XMATCH(S$2,Table2[#Headers],0))=0,"",INDEX(Table2[],_xlfn.XMATCH($A502,Table2[Steel Member],0),_xlfn.XMATCH(S$2,Table2[#Headers],0)))</f>
        <v>#N/A</v>
      </c>
      <c r="T502" s="4" t="str">
        <f t="shared" si="127"/>
        <v/>
      </c>
      <c r="U502" s="4" t="e">
        <f ca="1">VLOOKUP(N502,'COLOR CODE'!$B:$D,2,FALSE)</f>
        <v>#N/A</v>
      </c>
      <c r="V502" s="4" t="str">
        <f t="shared" si="128"/>
        <v/>
      </c>
      <c r="W502" s="4" t="e" cm="1">
        <f t="array" ref="W502">IF(INDEX(Table2[],_xlfn.XMATCH($A502,Table2[Steel Member],0),_xlfn.XMATCH(W$2,Table2[#Headers],0))=0,"",INDEX(Table2[],_xlfn.XMATCH($A502,Table2[Steel Member],0),_xlfn.XMATCH(W$2,Table2[#Headers],0)))</f>
        <v>#N/A</v>
      </c>
      <c r="X502" s="4" t="e">
        <f t="shared" si="126"/>
        <v>#N/A</v>
      </c>
      <c r="Y502" s="4" t="e" cm="1">
        <f t="array" ref="Y502">IF(INDEX(Table2[],_xlfn.XMATCH($A502,Table2[Steel Member],0),_xlfn.XMATCH(Y$2,Table2[#Headers],0))=0,"",INDEX(Table2[],_xlfn.XMATCH($A502,Table2[Steel Member],0),_xlfn.XMATCH(Y$2,Table2[#Headers],0)))</f>
        <v>#N/A</v>
      </c>
      <c r="Z502" s="4" t="e" cm="1">
        <f t="array" ref="Z502">IF(INDEX(Table2[],_xlfn.XMATCH($A502,Table2[Steel Member],0),_xlfn.XMATCH(Z$2,Table2[#Headers],0))=0,"",INDEX(Table2[],_xlfn.XMATCH($A502,Table2[Steel Member],0),_xlfn.XMATCH(Z$2,Table2[#Headers],0)))</f>
        <v>#N/A</v>
      </c>
      <c r="AA502" s="4" t="e" cm="1">
        <f t="array" ref="AA502">IF(INDEX(Table2[],_xlfn.XMATCH($A502,Table2[Steel Member],0),_xlfn.XMATCH(AA$2,Table2[#Headers],0))=0,"",INDEX(Table2[],_xlfn.XMATCH($A502,Table2[Steel Member],0),_xlfn.XMATCH(AA$2,Table2[#Headers],0)))</f>
        <v>#N/A</v>
      </c>
      <c r="AB502" s="4" t="e" cm="1">
        <f t="array" ref="AB502">IF(INDEX(Table2[],_xlfn.XMATCH($A502,Table2[Steel Member],0),_xlfn.XMATCH(AB$2,Table2[#Headers],0))=0,"",INDEX(Table2[],_xlfn.XMATCH($A502,Table2[Steel Member],0),_xlfn.XMATCH(AB$2,Table2[#Headers],0)))</f>
        <v>#N/A</v>
      </c>
      <c r="AC502" s="4" t="str" cm="1">
        <f t="array" ref="AC502">IFERROR(INDEX(Table8[],_xlfn.XMATCH($O502,Table8[Dimension Name Category],0),_xlfn.XMATCH(AC$2&amp;IF($L502," w/ tag"," w/o tag"),Table8[#Headers],0)),"")</f>
        <v/>
      </c>
      <c r="AD502" s="59" t="str">
        <f t="shared" si="129"/>
        <v/>
      </c>
      <c r="AE502" s="4" t="str">
        <f t="shared" si="130"/>
        <v/>
      </c>
      <c r="AF502" s="4" t="str">
        <f t="shared" si="131"/>
        <v/>
      </c>
      <c r="AG502" s="4" t="str" cm="1">
        <f t="array" ref="AG502">IFERROR(INDEX(Table8[],_xlfn.XMATCH($O502,Table8[Dimension Name Category],0),_xlfn.XMATCH(AG$2&amp;IF($L502," w/ tag"," w/o tag"),Table8[#Headers],0)),"")</f>
        <v/>
      </c>
      <c r="AH502" s="59" t="str">
        <f t="shared" si="132"/>
        <v/>
      </c>
      <c r="AI502" s="4"/>
      <c r="AJ502" s="4" t="str">
        <f t="shared" si="133"/>
        <v/>
      </c>
      <c r="AK502" s="4" t="str">
        <f t="shared" si="134"/>
        <v/>
      </c>
      <c r="AL502" s="4" t="e" cm="1">
        <f t="array" ref="AL502">IF(INDEX(Table2[],_xlfn.XMATCH($A502,Table2[Steel Member],0),_xlfn.XMATCH(AL$2,Table2[#Headers],0))=0,"",INDEX(Table2[],_xlfn.XMATCH($A502,Table2[Steel Member],0),_xlfn.XMATCH(AL$2,Table2[#Headers],0)))</f>
        <v>#N/A</v>
      </c>
      <c r="AM502" s="4"/>
      <c r="AN502" s="4" t="str">
        <f t="shared" si="135"/>
        <v/>
      </c>
      <c r="AO502" s="4"/>
      <c r="AP502" s="4" t="e" cm="1">
        <f t="array" ref="AP502">IF(INDEX(Table2[],_xlfn.XMATCH($A502,Table2[Steel Member],0),_xlfn.XMATCH(AP$2,Table2[#Headers],0))=0,"",INDEX(Table2[],_xlfn.XMATCH($A502,Table2[Steel Member],0),_xlfn.XMATCH(AP$2,Table2[#Headers],0)))</f>
        <v>#N/A</v>
      </c>
      <c r="AQ502" s="4"/>
      <c r="AR502" s="4"/>
      <c r="AS502" s="4"/>
      <c r="AT502" s="4"/>
    </row>
    <row r="503" spans="1:46" x14ac:dyDescent="0.25">
      <c r="A503" s="52"/>
      <c r="B503" s="52"/>
      <c r="C503" s="52"/>
      <c r="D503" s="52"/>
      <c r="E503" s="52"/>
      <c r="F503" s="64" cm="1">
        <f t="array" ref="F503">IF(COUNT(FIND(PurlinsxGirthsxBracings,$C503))&gt;0,0,ROUNDUP(IF(D503=0,0,VLOOKUP(D503,'DATA SHEET'!$B:$D,2,FALSE)),2))</f>
        <v>0</v>
      </c>
      <c r="G503" s="64" cm="1">
        <f t="array" ref="G503">IF(COUNT(FIND(PurlinsxGirthsxBracings,$C503))&gt;0,0,ROUNDUP(IF(D503=0,0,VLOOKUP(D503,'DATA SHEET'!$B:$D,3,FALSE)),2))</f>
        <v>0</v>
      </c>
      <c r="H503" s="53"/>
      <c r="I503" s="66" cm="1">
        <f t="array" ref="I503">IF(AND(ISBLANK(B503),ISBLANK(C503),ISBLANK(E503)),0,IF(COUNT(FIND(PurlinsxGirthsxBracings,$C503))&gt;0,IF(B503=0,CONCATENATE(E503," ",C503),CONCATENATE(B503," - ",E503," ",C503)),IF(B503=0,IF(ISBLANK(C503),E503,CONCATENATE(D503,", ",F503,"kg/m, ",G503,"mm surface perimeter")),IF(AND(ISBLANK(C503),ISTEXT(E503)),CONCATENATE(B503," - ",E503),IF(AND(ISBLANK(C503),ISBLANK(E503)),B503,CONCATENATE(B503," - ",D503,", ",F503,"kg/m, ",G503,"mm surface perimeter"))))&amp;IF(ISBLANK(H503),"",H503)))</f>
        <v>0</v>
      </c>
      <c r="J503" s="53"/>
      <c r="L503" s="4" t="str" cm="1">
        <f t="array" ref="L503">IF(COUNT(FIND({0,1,2,3,4,5,6,7,8,9},B503))&gt;0,COUNT(FIND({0,1,2,3,4,5,6,7,8,9},B503))&gt;0,"")</f>
        <v/>
      </c>
      <c r="M503" s="4" t="str" cm="1">
        <f t="array" aca="1" ref="M503" ca="1">IFERROR(_xlfn.IFS(R503="Count",RANDBETWEEN(1,COUNTIF($R$11:$R$653,"Count")),R503="Length",RANDBETWEEN(1,COUNTIF($R$11:$R$653,"Length"))),"")</f>
        <v/>
      </c>
      <c r="N503" s="4" t="str">
        <f ca="1">IFERROR(_xlfn.RANK.EQ(M503,$M$11:$M$653)+COUNTIF($M$11:M503,M503)-1,"")</f>
        <v/>
      </c>
      <c r="O503" s="86" t="str">
        <f>IF(A503='DATA SHEET'!$L$36,C503,IFERROR(IF(AND(ISTEXT(I503),ISBLANK(C503)),"No details",VLOOKUP(C503,DimFolder,2,FALSE)),""))</f>
        <v/>
      </c>
      <c r="P503" s="4" t="str">
        <f t="shared" si="125"/>
        <v/>
      </c>
      <c r="Q503" s="58" t="str">
        <f t="shared" si="136"/>
        <v/>
      </c>
      <c r="R503" s="4" t="e" cm="1">
        <f t="array" ref="R503">IF(INDEX(Table2[],_xlfn.XMATCH($A503,Table2[Steel Member],0),_xlfn.XMATCH(R$2,Table2[#Headers],0))=0,"",INDEX(Table2[],_xlfn.XMATCH($A503,Table2[Steel Member],0),_xlfn.XMATCH(R$2,Table2[#Headers],0)))</f>
        <v>#N/A</v>
      </c>
      <c r="S503" s="4" t="e" cm="1">
        <f t="array" ref="S503">IF(INDEX(Table2[],_xlfn.XMATCH($A503,Table2[Steel Member],0),_xlfn.XMATCH(S$2,Table2[#Headers],0))=0,"",INDEX(Table2[],_xlfn.XMATCH($A503,Table2[Steel Member],0),_xlfn.XMATCH(S$2,Table2[#Headers],0)))</f>
        <v>#N/A</v>
      </c>
      <c r="T503" s="4" t="str">
        <f t="shared" si="127"/>
        <v/>
      </c>
      <c r="U503" s="4" t="e">
        <f ca="1">VLOOKUP(N503,'COLOR CODE'!$B:$D,2,FALSE)</f>
        <v>#N/A</v>
      </c>
      <c r="V503" s="4" t="str">
        <f t="shared" si="128"/>
        <v/>
      </c>
      <c r="W503" s="4" t="e" cm="1">
        <f t="array" ref="W503">IF(INDEX(Table2[],_xlfn.XMATCH($A503,Table2[Steel Member],0),_xlfn.XMATCH(W$2,Table2[#Headers],0))=0,"",INDEX(Table2[],_xlfn.XMATCH($A503,Table2[Steel Member],0),_xlfn.XMATCH(W$2,Table2[#Headers],0)))</f>
        <v>#N/A</v>
      </c>
      <c r="X503" s="4" t="e">
        <f t="shared" si="126"/>
        <v>#N/A</v>
      </c>
      <c r="Y503" s="4" t="e" cm="1">
        <f t="array" ref="Y503">IF(INDEX(Table2[],_xlfn.XMATCH($A503,Table2[Steel Member],0),_xlfn.XMATCH(Y$2,Table2[#Headers],0))=0,"",INDEX(Table2[],_xlfn.XMATCH($A503,Table2[Steel Member],0),_xlfn.XMATCH(Y$2,Table2[#Headers],0)))</f>
        <v>#N/A</v>
      </c>
      <c r="Z503" s="4" t="e" cm="1">
        <f t="array" ref="Z503">IF(INDEX(Table2[],_xlfn.XMATCH($A503,Table2[Steel Member],0),_xlfn.XMATCH(Z$2,Table2[#Headers],0))=0,"",INDEX(Table2[],_xlfn.XMATCH($A503,Table2[Steel Member],0),_xlfn.XMATCH(Z$2,Table2[#Headers],0)))</f>
        <v>#N/A</v>
      </c>
      <c r="AA503" s="4" t="e" cm="1">
        <f t="array" ref="AA503">IF(INDEX(Table2[],_xlfn.XMATCH($A503,Table2[Steel Member],0),_xlfn.XMATCH(AA$2,Table2[#Headers],0))=0,"",INDEX(Table2[],_xlfn.XMATCH($A503,Table2[Steel Member],0),_xlfn.XMATCH(AA$2,Table2[#Headers],0)))</f>
        <v>#N/A</v>
      </c>
      <c r="AB503" s="4" t="e" cm="1">
        <f t="array" ref="AB503">IF(INDEX(Table2[],_xlfn.XMATCH($A503,Table2[Steel Member],0),_xlfn.XMATCH(AB$2,Table2[#Headers],0))=0,"",INDEX(Table2[],_xlfn.XMATCH($A503,Table2[Steel Member],0),_xlfn.XMATCH(AB$2,Table2[#Headers],0)))</f>
        <v>#N/A</v>
      </c>
      <c r="AC503" s="4" t="str" cm="1">
        <f t="array" ref="AC503">IFERROR(INDEX(Table8[],_xlfn.XMATCH($O503,Table8[Dimension Name Category],0),_xlfn.XMATCH(AC$2&amp;IF($L503," w/ tag"," w/o tag"),Table8[#Headers],0)),"")</f>
        <v/>
      </c>
      <c r="AD503" s="59" t="str">
        <f t="shared" si="129"/>
        <v/>
      </c>
      <c r="AE503" s="4" t="str">
        <f t="shared" si="130"/>
        <v/>
      </c>
      <c r="AF503" s="4" t="str">
        <f t="shared" si="131"/>
        <v/>
      </c>
      <c r="AG503" s="4" t="str" cm="1">
        <f t="array" ref="AG503">IFERROR(INDEX(Table8[],_xlfn.XMATCH($O503,Table8[Dimension Name Category],0),_xlfn.XMATCH(AG$2&amp;IF($L503," w/ tag"," w/o tag"),Table8[#Headers],0)),"")</f>
        <v/>
      </c>
      <c r="AH503" s="59" t="str">
        <f t="shared" si="132"/>
        <v/>
      </c>
      <c r="AI503" s="4"/>
      <c r="AJ503" s="4" t="str">
        <f t="shared" si="133"/>
        <v/>
      </c>
      <c r="AK503" s="4" t="str">
        <f t="shared" si="134"/>
        <v/>
      </c>
      <c r="AL503" s="4" t="e" cm="1">
        <f t="array" ref="AL503">IF(INDEX(Table2[],_xlfn.XMATCH($A503,Table2[Steel Member],0),_xlfn.XMATCH(AL$2,Table2[#Headers],0))=0,"",INDEX(Table2[],_xlfn.XMATCH($A503,Table2[Steel Member],0),_xlfn.XMATCH(AL$2,Table2[#Headers],0)))</f>
        <v>#N/A</v>
      </c>
      <c r="AM503" s="4"/>
      <c r="AN503" s="4" t="str">
        <f t="shared" si="135"/>
        <v/>
      </c>
      <c r="AO503" s="4"/>
      <c r="AP503" s="4" t="e" cm="1">
        <f t="array" ref="AP503">IF(INDEX(Table2[],_xlfn.XMATCH($A503,Table2[Steel Member],0),_xlfn.XMATCH(AP$2,Table2[#Headers],0))=0,"",INDEX(Table2[],_xlfn.XMATCH($A503,Table2[Steel Member],0),_xlfn.XMATCH(AP$2,Table2[#Headers],0)))</f>
        <v>#N/A</v>
      </c>
      <c r="AQ503" s="4"/>
      <c r="AR503" s="4"/>
      <c r="AS503" s="4"/>
      <c r="AT503" s="4"/>
    </row>
    <row r="504" spans="1:46" x14ac:dyDescent="0.25">
      <c r="A504" s="52"/>
      <c r="B504" s="52"/>
      <c r="C504" s="52"/>
      <c r="D504" s="52"/>
      <c r="E504" s="52"/>
      <c r="F504" s="64" cm="1">
        <f t="array" ref="F504">IF(COUNT(FIND(PurlinsxGirthsxBracings,$C504))&gt;0,0,ROUNDUP(IF(D504=0,0,VLOOKUP(D504,'DATA SHEET'!$B:$D,2,FALSE)),2))</f>
        <v>0</v>
      </c>
      <c r="G504" s="64" cm="1">
        <f t="array" ref="G504">IF(COUNT(FIND(PurlinsxGirthsxBracings,$C504))&gt;0,0,ROUNDUP(IF(D504=0,0,VLOOKUP(D504,'DATA SHEET'!$B:$D,3,FALSE)),2))</f>
        <v>0</v>
      </c>
      <c r="H504" s="53"/>
      <c r="I504" s="66" cm="1">
        <f t="array" ref="I504">IF(AND(ISBLANK(B504),ISBLANK(C504),ISBLANK(E504)),0,IF(COUNT(FIND(PurlinsxGirthsxBracings,$C504))&gt;0,IF(B504=0,CONCATENATE(E504," ",C504),CONCATENATE(B504," - ",E504," ",C504)),IF(B504=0,IF(ISBLANK(C504),E504,CONCATENATE(D504,", ",F504,"kg/m, ",G504,"mm surface perimeter")),IF(AND(ISBLANK(C504),ISTEXT(E504)),CONCATENATE(B504," - ",E504),IF(AND(ISBLANK(C504),ISBLANK(E504)),B504,CONCATENATE(B504," - ",D504,", ",F504,"kg/m, ",G504,"mm surface perimeter"))))&amp;IF(ISBLANK(H504),"",H504)))</f>
        <v>0</v>
      </c>
      <c r="J504" s="53"/>
      <c r="L504" s="4" t="str" cm="1">
        <f t="array" ref="L504">IF(COUNT(FIND({0,1,2,3,4,5,6,7,8,9},B504))&gt;0,COUNT(FIND({0,1,2,3,4,5,6,7,8,9},B504))&gt;0,"")</f>
        <v/>
      </c>
      <c r="M504" s="4" t="str" cm="1">
        <f t="array" aca="1" ref="M504" ca="1">IFERROR(_xlfn.IFS(R504="Count",RANDBETWEEN(1,COUNTIF($R$11:$R$653,"Count")),R504="Length",RANDBETWEEN(1,COUNTIF($R$11:$R$653,"Length"))),"")</f>
        <v/>
      </c>
      <c r="N504" s="4" t="str">
        <f ca="1">IFERROR(_xlfn.RANK.EQ(M504,$M$11:$M$653)+COUNTIF($M$11:M504,M504)-1,"")</f>
        <v/>
      </c>
      <c r="O504" s="86" t="str">
        <f>IF(A504='DATA SHEET'!$L$36,C504,IFERROR(IF(AND(ISTEXT(I504),ISBLANK(C504)),"No details",VLOOKUP(C504,DimFolder,2,FALSE)),""))</f>
        <v/>
      </c>
      <c r="P504" s="4" t="str">
        <f t="shared" si="125"/>
        <v/>
      </c>
      <c r="Q504" s="58" t="str">
        <f t="shared" si="136"/>
        <v/>
      </c>
      <c r="R504" s="4" t="e" cm="1">
        <f t="array" ref="R504">IF(INDEX(Table2[],_xlfn.XMATCH($A504,Table2[Steel Member],0),_xlfn.XMATCH(R$2,Table2[#Headers],0))=0,"",INDEX(Table2[],_xlfn.XMATCH($A504,Table2[Steel Member],0),_xlfn.XMATCH(R$2,Table2[#Headers],0)))</f>
        <v>#N/A</v>
      </c>
      <c r="S504" s="4" t="e" cm="1">
        <f t="array" ref="S504">IF(INDEX(Table2[],_xlfn.XMATCH($A504,Table2[Steel Member],0),_xlfn.XMATCH(S$2,Table2[#Headers],0))=0,"",INDEX(Table2[],_xlfn.XMATCH($A504,Table2[Steel Member],0),_xlfn.XMATCH(S$2,Table2[#Headers],0)))</f>
        <v>#N/A</v>
      </c>
      <c r="T504" s="4" t="str">
        <f t="shared" si="127"/>
        <v/>
      </c>
      <c r="U504" s="4" t="e">
        <f ca="1">VLOOKUP(N504,'COLOR CODE'!$B:$D,2,FALSE)</f>
        <v>#N/A</v>
      </c>
      <c r="V504" s="4" t="str">
        <f t="shared" si="128"/>
        <v/>
      </c>
      <c r="W504" s="4" t="e" cm="1">
        <f t="array" ref="W504">IF(INDEX(Table2[],_xlfn.XMATCH($A504,Table2[Steel Member],0),_xlfn.XMATCH(W$2,Table2[#Headers],0))=0,"",INDEX(Table2[],_xlfn.XMATCH($A504,Table2[Steel Member],0),_xlfn.XMATCH(W$2,Table2[#Headers],0)))</f>
        <v>#N/A</v>
      </c>
      <c r="X504" s="4" t="e">
        <f t="shared" si="126"/>
        <v>#N/A</v>
      </c>
      <c r="Y504" s="4" t="e" cm="1">
        <f t="array" ref="Y504">IF(INDEX(Table2[],_xlfn.XMATCH($A504,Table2[Steel Member],0),_xlfn.XMATCH(Y$2,Table2[#Headers],0))=0,"",INDEX(Table2[],_xlfn.XMATCH($A504,Table2[Steel Member],0),_xlfn.XMATCH(Y$2,Table2[#Headers],0)))</f>
        <v>#N/A</v>
      </c>
      <c r="Z504" s="4" t="e" cm="1">
        <f t="array" ref="Z504">IF(INDEX(Table2[],_xlfn.XMATCH($A504,Table2[Steel Member],0),_xlfn.XMATCH(Z$2,Table2[#Headers],0))=0,"",INDEX(Table2[],_xlfn.XMATCH($A504,Table2[Steel Member],0),_xlfn.XMATCH(Z$2,Table2[#Headers],0)))</f>
        <v>#N/A</v>
      </c>
      <c r="AA504" s="4" t="e" cm="1">
        <f t="array" ref="AA504">IF(INDEX(Table2[],_xlfn.XMATCH($A504,Table2[Steel Member],0),_xlfn.XMATCH(AA$2,Table2[#Headers],0))=0,"",INDEX(Table2[],_xlfn.XMATCH($A504,Table2[Steel Member],0),_xlfn.XMATCH(AA$2,Table2[#Headers],0)))</f>
        <v>#N/A</v>
      </c>
      <c r="AB504" s="4" t="e" cm="1">
        <f t="array" ref="AB504">IF(INDEX(Table2[],_xlfn.XMATCH($A504,Table2[Steel Member],0),_xlfn.XMATCH(AB$2,Table2[#Headers],0))=0,"",INDEX(Table2[],_xlfn.XMATCH($A504,Table2[Steel Member],0),_xlfn.XMATCH(AB$2,Table2[#Headers],0)))</f>
        <v>#N/A</v>
      </c>
      <c r="AC504" s="4" t="str" cm="1">
        <f t="array" ref="AC504">IFERROR(INDEX(Table8[],_xlfn.XMATCH($O504,Table8[Dimension Name Category],0),_xlfn.XMATCH(AC$2&amp;IF($L504," w/ tag"," w/o tag"),Table8[#Headers],0)),"")</f>
        <v/>
      </c>
      <c r="AD504" s="59" t="str">
        <f t="shared" si="129"/>
        <v/>
      </c>
      <c r="AE504" s="4" t="str">
        <f t="shared" si="130"/>
        <v/>
      </c>
      <c r="AF504" s="4" t="str">
        <f t="shared" si="131"/>
        <v/>
      </c>
      <c r="AG504" s="4" t="str" cm="1">
        <f t="array" ref="AG504">IFERROR(INDEX(Table8[],_xlfn.XMATCH($O504,Table8[Dimension Name Category],0),_xlfn.XMATCH(AG$2&amp;IF($L504," w/ tag"," w/o tag"),Table8[#Headers],0)),"")</f>
        <v/>
      </c>
      <c r="AH504" s="59" t="str">
        <f t="shared" si="132"/>
        <v/>
      </c>
      <c r="AI504" s="4"/>
      <c r="AJ504" s="4" t="str">
        <f t="shared" si="133"/>
        <v/>
      </c>
      <c r="AK504" s="4" t="str">
        <f t="shared" si="134"/>
        <v/>
      </c>
      <c r="AL504" s="4" t="e" cm="1">
        <f t="array" ref="AL504">IF(INDEX(Table2[],_xlfn.XMATCH($A504,Table2[Steel Member],0),_xlfn.XMATCH(AL$2,Table2[#Headers],0))=0,"",INDEX(Table2[],_xlfn.XMATCH($A504,Table2[Steel Member],0),_xlfn.XMATCH(AL$2,Table2[#Headers],0)))</f>
        <v>#N/A</v>
      </c>
      <c r="AM504" s="4"/>
      <c r="AN504" s="4" t="str">
        <f t="shared" si="135"/>
        <v/>
      </c>
      <c r="AO504" s="4"/>
      <c r="AP504" s="4" t="e" cm="1">
        <f t="array" ref="AP504">IF(INDEX(Table2[],_xlfn.XMATCH($A504,Table2[Steel Member],0),_xlfn.XMATCH(AP$2,Table2[#Headers],0))=0,"",INDEX(Table2[],_xlfn.XMATCH($A504,Table2[Steel Member],0),_xlfn.XMATCH(AP$2,Table2[#Headers],0)))</f>
        <v>#N/A</v>
      </c>
      <c r="AQ504" s="4"/>
      <c r="AR504" s="4"/>
      <c r="AS504" s="4"/>
      <c r="AT504" s="4"/>
    </row>
    <row r="505" spans="1:46" x14ac:dyDescent="0.25">
      <c r="A505" s="52"/>
      <c r="B505" s="52"/>
      <c r="C505" s="52"/>
      <c r="D505" s="52"/>
      <c r="E505" s="52"/>
      <c r="F505" s="64" cm="1">
        <f t="array" ref="F505">IF(COUNT(FIND(PurlinsxGirthsxBracings,$C505))&gt;0,0,ROUNDUP(IF(D505=0,0,VLOOKUP(D505,'DATA SHEET'!$B:$D,2,FALSE)),2))</f>
        <v>0</v>
      </c>
      <c r="G505" s="64" cm="1">
        <f t="array" ref="G505">IF(COUNT(FIND(PurlinsxGirthsxBracings,$C505))&gt;0,0,ROUNDUP(IF(D505=0,0,VLOOKUP(D505,'DATA SHEET'!$B:$D,3,FALSE)),2))</f>
        <v>0</v>
      </c>
      <c r="H505" s="53"/>
      <c r="I505" s="66" cm="1">
        <f t="array" ref="I505">IF(AND(ISBLANK(B505),ISBLANK(C505),ISBLANK(E505)),0,IF(COUNT(FIND(PurlinsxGirthsxBracings,$C505))&gt;0,IF(B505=0,CONCATENATE(E505," ",C505),CONCATENATE(B505," - ",E505," ",C505)),IF(B505=0,IF(ISBLANK(C505),E505,CONCATENATE(D505,", ",F505,"kg/m, ",G505,"mm surface perimeter")),IF(AND(ISBLANK(C505),ISTEXT(E505)),CONCATENATE(B505," - ",E505),IF(AND(ISBLANK(C505),ISBLANK(E505)),B505,CONCATENATE(B505," - ",D505,", ",F505,"kg/m, ",G505,"mm surface perimeter"))))&amp;IF(ISBLANK(H505),"",H505)))</f>
        <v>0</v>
      </c>
      <c r="J505" s="53"/>
      <c r="L505" s="4" t="str" cm="1">
        <f t="array" ref="L505">IF(COUNT(FIND({0,1,2,3,4,5,6,7,8,9},B505))&gt;0,COUNT(FIND({0,1,2,3,4,5,6,7,8,9},B505))&gt;0,"")</f>
        <v/>
      </c>
      <c r="M505" s="4" t="str" cm="1">
        <f t="array" aca="1" ref="M505" ca="1">IFERROR(_xlfn.IFS(R505="Count",RANDBETWEEN(1,COUNTIF($R$11:$R$653,"Count")),R505="Length",RANDBETWEEN(1,COUNTIF($R$11:$R$653,"Length"))),"")</f>
        <v/>
      </c>
      <c r="N505" s="4" t="str">
        <f ca="1">IFERROR(_xlfn.RANK.EQ(M505,$M$11:$M$653)+COUNTIF($M$11:M505,M505)-1,"")</f>
        <v/>
      </c>
      <c r="O505" s="86" t="str">
        <f>IF(A505='DATA SHEET'!$L$36,C505,IFERROR(IF(AND(ISTEXT(I505),ISBLANK(C505)),"No details",VLOOKUP(C505,DimFolder,2,FALSE)),""))</f>
        <v/>
      </c>
      <c r="P505" s="4" t="str">
        <f t="shared" si="125"/>
        <v/>
      </c>
      <c r="Q505" s="58" t="str">
        <f t="shared" si="136"/>
        <v/>
      </c>
      <c r="R505" s="4" t="e" cm="1">
        <f t="array" ref="R505">IF(INDEX(Table2[],_xlfn.XMATCH($A505,Table2[Steel Member],0),_xlfn.XMATCH(R$2,Table2[#Headers],0))=0,"",INDEX(Table2[],_xlfn.XMATCH($A505,Table2[Steel Member],0),_xlfn.XMATCH(R$2,Table2[#Headers],0)))</f>
        <v>#N/A</v>
      </c>
      <c r="S505" s="4" t="e" cm="1">
        <f t="array" ref="S505">IF(INDEX(Table2[],_xlfn.XMATCH($A505,Table2[Steel Member],0),_xlfn.XMATCH(S$2,Table2[#Headers],0))=0,"",INDEX(Table2[],_xlfn.XMATCH($A505,Table2[Steel Member],0),_xlfn.XMATCH(S$2,Table2[#Headers],0)))</f>
        <v>#N/A</v>
      </c>
      <c r="T505" s="4" t="str">
        <f t="shared" si="127"/>
        <v/>
      </c>
      <c r="U505" s="4" t="e">
        <f ca="1">VLOOKUP(N505,'COLOR CODE'!$B:$D,2,FALSE)</f>
        <v>#N/A</v>
      </c>
      <c r="V505" s="4" t="str">
        <f t="shared" si="128"/>
        <v/>
      </c>
      <c r="W505" s="4" t="e" cm="1">
        <f t="array" ref="W505">IF(INDEX(Table2[],_xlfn.XMATCH($A505,Table2[Steel Member],0),_xlfn.XMATCH(W$2,Table2[#Headers],0))=0,"",INDEX(Table2[],_xlfn.XMATCH($A505,Table2[Steel Member],0),_xlfn.XMATCH(W$2,Table2[#Headers],0)))</f>
        <v>#N/A</v>
      </c>
      <c r="X505" s="4" t="e">
        <f t="shared" si="126"/>
        <v>#N/A</v>
      </c>
      <c r="Y505" s="4" t="e" cm="1">
        <f t="array" ref="Y505">IF(INDEX(Table2[],_xlfn.XMATCH($A505,Table2[Steel Member],0),_xlfn.XMATCH(Y$2,Table2[#Headers],0))=0,"",INDEX(Table2[],_xlfn.XMATCH($A505,Table2[Steel Member],0),_xlfn.XMATCH(Y$2,Table2[#Headers],0)))</f>
        <v>#N/A</v>
      </c>
      <c r="Z505" s="4" t="e" cm="1">
        <f t="array" ref="Z505">IF(INDEX(Table2[],_xlfn.XMATCH($A505,Table2[Steel Member],0),_xlfn.XMATCH(Z$2,Table2[#Headers],0))=0,"",INDEX(Table2[],_xlfn.XMATCH($A505,Table2[Steel Member],0),_xlfn.XMATCH(Z$2,Table2[#Headers],0)))</f>
        <v>#N/A</v>
      </c>
      <c r="AA505" s="4" t="e" cm="1">
        <f t="array" ref="AA505">IF(INDEX(Table2[],_xlfn.XMATCH($A505,Table2[Steel Member],0),_xlfn.XMATCH(AA$2,Table2[#Headers],0))=0,"",INDEX(Table2[],_xlfn.XMATCH($A505,Table2[Steel Member],0),_xlfn.XMATCH(AA$2,Table2[#Headers],0)))</f>
        <v>#N/A</v>
      </c>
      <c r="AB505" s="4" t="e" cm="1">
        <f t="array" ref="AB505">IF(INDEX(Table2[],_xlfn.XMATCH($A505,Table2[Steel Member],0),_xlfn.XMATCH(AB$2,Table2[#Headers],0))=0,"",INDEX(Table2[],_xlfn.XMATCH($A505,Table2[Steel Member],0),_xlfn.XMATCH(AB$2,Table2[#Headers],0)))</f>
        <v>#N/A</v>
      </c>
      <c r="AC505" s="4" t="str" cm="1">
        <f t="array" ref="AC505">IFERROR(INDEX(Table8[],_xlfn.XMATCH($O505,Table8[Dimension Name Category],0),_xlfn.XMATCH(AC$2&amp;IF($L505," w/ tag"," w/o tag"),Table8[#Headers],0)),"")</f>
        <v/>
      </c>
      <c r="AD505" s="59" t="str">
        <f t="shared" si="129"/>
        <v/>
      </c>
      <c r="AE505" s="4" t="str">
        <f t="shared" si="130"/>
        <v/>
      </c>
      <c r="AF505" s="4" t="str">
        <f t="shared" si="131"/>
        <v/>
      </c>
      <c r="AG505" s="4" t="str" cm="1">
        <f t="array" ref="AG505">IFERROR(INDEX(Table8[],_xlfn.XMATCH($O505,Table8[Dimension Name Category],0),_xlfn.XMATCH(AG$2&amp;IF($L505," w/ tag"," w/o tag"),Table8[#Headers],0)),"")</f>
        <v/>
      </c>
      <c r="AH505" s="59" t="str">
        <f t="shared" si="132"/>
        <v/>
      </c>
      <c r="AI505" s="4"/>
      <c r="AJ505" s="4" t="str">
        <f t="shared" si="133"/>
        <v/>
      </c>
      <c r="AK505" s="4" t="str">
        <f t="shared" si="134"/>
        <v/>
      </c>
      <c r="AL505" s="4" t="e" cm="1">
        <f t="array" ref="AL505">IF(INDEX(Table2[],_xlfn.XMATCH($A505,Table2[Steel Member],0),_xlfn.XMATCH(AL$2,Table2[#Headers],0))=0,"",INDEX(Table2[],_xlfn.XMATCH($A505,Table2[Steel Member],0),_xlfn.XMATCH(AL$2,Table2[#Headers],0)))</f>
        <v>#N/A</v>
      </c>
      <c r="AM505" s="4"/>
      <c r="AN505" s="4" t="str">
        <f t="shared" si="135"/>
        <v/>
      </c>
      <c r="AO505" s="4"/>
      <c r="AP505" s="4" t="e" cm="1">
        <f t="array" ref="AP505">IF(INDEX(Table2[],_xlfn.XMATCH($A505,Table2[Steel Member],0),_xlfn.XMATCH(AP$2,Table2[#Headers],0))=0,"",INDEX(Table2[],_xlfn.XMATCH($A505,Table2[Steel Member],0),_xlfn.XMATCH(AP$2,Table2[#Headers],0)))</f>
        <v>#N/A</v>
      </c>
      <c r="AQ505" s="4"/>
      <c r="AR505" s="4"/>
      <c r="AS505" s="4"/>
      <c r="AT505" s="4"/>
    </row>
    <row r="506" spans="1:46" x14ac:dyDescent="0.25">
      <c r="A506" s="52"/>
      <c r="B506" s="52"/>
      <c r="C506" s="52"/>
      <c r="D506" s="52"/>
      <c r="E506" s="52"/>
      <c r="F506" s="64" cm="1">
        <f t="array" ref="F506">IF(COUNT(FIND(PurlinsxGirthsxBracings,$C506))&gt;0,0,ROUNDUP(IF(D506=0,0,VLOOKUP(D506,'DATA SHEET'!$B:$D,2,FALSE)),2))</f>
        <v>0</v>
      </c>
      <c r="G506" s="64" cm="1">
        <f t="array" ref="G506">IF(COUNT(FIND(PurlinsxGirthsxBracings,$C506))&gt;0,0,ROUNDUP(IF(D506=0,0,VLOOKUP(D506,'DATA SHEET'!$B:$D,3,FALSE)),2))</f>
        <v>0</v>
      </c>
      <c r="H506" s="53"/>
      <c r="I506" s="66" cm="1">
        <f t="array" ref="I506">IF(AND(ISBLANK(B506),ISBLANK(C506),ISBLANK(E506)),0,IF(COUNT(FIND(PurlinsxGirthsxBracings,$C506))&gt;0,IF(B506=0,CONCATENATE(E506," ",C506),CONCATENATE(B506," - ",E506," ",C506)),IF(B506=0,IF(ISBLANK(C506),E506,CONCATENATE(D506,", ",F506,"kg/m, ",G506,"mm surface perimeter")),IF(AND(ISBLANK(C506),ISTEXT(E506)),CONCATENATE(B506," - ",E506),IF(AND(ISBLANK(C506),ISBLANK(E506)),B506,CONCATENATE(B506," - ",D506,", ",F506,"kg/m, ",G506,"mm surface perimeter"))))&amp;IF(ISBLANK(H506),"",H506)))</f>
        <v>0</v>
      </c>
      <c r="J506" s="53"/>
      <c r="L506" s="4" t="str" cm="1">
        <f t="array" ref="L506">IF(COUNT(FIND({0,1,2,3,4,5,6,7,8,9},B506))&gt;0,COUNT(FIND({0,1,2,3,4,5,6,7,8,9},B506))&gt;0,"")</f>
        <v/>
      </c>
      <c r="M506" s="4" t="str" cm="1">
        <f t="array" aca="1" ref="M506" ca="1">IFERROR(_xlfn.IFS(R506="Count",RANDBETWEEN(1,COUNTIF($R$11:$R$653,"Count")),R506="Length",RANDBETWEEN(1,COUNTIF($R$11:$R$653,"Length"))),"")</f>
        <v/>
      </c>
      <c r="N506" s="4" t="str">
        <f ca="1">IFERROR(_xlfn.RANK.EQ(M506,$M$11:$M$653)+COUNTIF($M$11:M506,M506)-1,"")</f>
        <v/>
      </c>
      <c r="O506" s="86" t="str">
        <f>IF(A506='DATA SHEET'!$L$36,C506,IFERROR(IF(AND(ISTEXT(I506),ISBLANK(C506)),"No details",VLOOKUP(C506,DimFolder,2,FALSE)),""))</f>
        <v/>
      </c>
      <c r="P506" s="4" t="str">
        <f t="shared" si="125"/>
        <v/>
      </c>
      <c r="Q506" s="58" t="str">
        <f t="shared" si="136"/>
        <v/>
      </c>
      <c r="R506" s="4" t="e" cm="1">
        <f t="array" ref="R506">IF(INDEX(Table2[],_xlfn.XMATCH($A506,Table2[Steel Member],0),_xlfn.XMATCH(R$2,Table2[#Headers],0))=0,"",INDEX(Table2[],_xlfn.XMATCH($A506,Table2[Steel Member],0),_xlfn.XMATCH(R$2,Table2[#Headers],0)))</f>
        <v>#N/A</v>
      </c>
      <c r="S506" s="4" t="e" cm="1">
        <f t="array" ref="S506">IF(INDEX(Table2[],_xlfn.XMATCH($A506,Table2[Steel Member],0),_xlfn.XMATCH(S$2,Table2[#Headers],0))=0,"",INDEX(Table2[],_xlfn.XMATCH($A506,Table2[Steel Member],0),_xlfn.XMATCH(S$2,Table2[#Headers],0)))</f>
        <v>#N/A</v>
      </c>
      <c r="T506" s="4" t="str">
        <f t="shared" si="127"/>
        <v/>
      </c>
      <c r="U506" s="4" t="e">
        <f ca="1">VLOOKUP(N506,'COLOR CODE'!$B:$D,2,FALSE)</f>
        <v>#N/A</v>
      </c>
      <c r="V506" s="4" t="str">
        <f t="shared" si="128"/>
        <v/>
      </c>
      <c r="W506" s="4" t="e" cm="1">
        <f t="array" ref="W506">IF(INDEX(Table2[],_xlfn.XMATCH($A506,Table2[Steel Member],0),_xlfn.XMATCH(W$2,Table2[#Headers],0))=0,"",INDEX(Table2[],_xlfn.XMATCH($A506,Table2[Steel Member],0),_xlfn.XMATCH(W$2,Table2[#Headers],0)))</f>
        <v>#N/A</v>
      </c>
      <c r="X506" s="4" t="e">
        <f t="shared" si="126"/>
        <v>#N/A</v>
      </c>
      <c r="Y506" s="4" t="e" cm="1">
        <f t="array" ref="Y506">IF(INDEX(Table2[],_xlfn.XMATCH($A506,Table2[Steel Member],0),_xlfn.XMATCH(Y$2,Table2[#Headers],0))=0,"",INDEX(Table2[],_xlfn.XMATCH($A506,Table2[Steel Member],0),_xlfn.XMATCH(Y$2,Table2[#Headers],0)))</f>
        <v>#N/A</v>
      </c>
      <c r="Z506" s="4" t="e" cm="1">
        <f t="array" ref="Z506">IF(INDEX(Table2[],_xlfn.XMATCH($A506,Table2[Steel Member],0),_xlfn.XMATCH(Z$2,Table2[#Headers],0))=0,"",INDEX(Table2[],_xlfn.XMATCH($A506,Table2[Steel Member],0),_xlfn.XMATCH(Z$2,Table2[#Headers],0)))</f>
        <v>#N/A</v>
      </c>
      <c r="AA506" s="4" t="e" cm="1">
        <f t="array" ref="AA506">IF(INDEX(Table2[],_xlfn.XMATCH($A506,Table2[Steel Member],0),_xlfn.XMATCH(AA$2,Table2[#Headers],0))=0,"",INDEX(Table2[],_xlfn.XMATCH($A506,Table2[Steel Member],0),_xlfn.XMATCH(AA$2,Table2[#Headers],0)))</f>
        <v>#N/A</v>
      </c>
      <c r="AB506" s="4" t="e" cm="1">
        <f t="array" ref="AB506">IF(INDEX(Table2[],_xlfn.XMATCH($A506,Table2[Steel Member],0),_xlfn.XMATCH(AB$2,Table2[#Headers],0))=0,"",INDEX(Table2[],_xlfn.XMATCH($A506,Table2[Steel Member],0),_xlfn.XMATCH(AB$2,Table2[#Headers],0)))</f>
        <v>#N/A</v>
      </c>
      <c r="AC506" s="4" t="str" cm="1">
        <f t="array" ref="AC506">IFERROR(INDEX(Table8[],_xlfn.XMATCH($O506,Table8[Dimension Name Category],0),_xlfn.XMATCH(AC$2&amp;IF($L506," w/ tag"," w/o tag"),Table8[#Headers],0)),"")</f>
        <v/>
      </c>
      <c r="AD506" s="59" t="str">
        <f t="shared" si="129"/>
        <v/>
      </c>
      <c r="AE506" s="4" t="str">
        <f t="shared" si="130"/>
        <v/>
      </c>
      <c r="AF506" s="4" t="str">
        <f t="shared" si="131"/>
        <v/>
      </c>
      <c r="AG506" s="4" t="str" cm="1">
        <f t="array" ref="AG506">IFERROR(INDEX(Table8[],_xlfn.XMATCH($O506,Table8[Dimension Name Category],0),_xlfn.XMATCH(AG$2&amp;IF($L506," w/ tag"," w/o tag"),Table8[#Headers],0)),"")</f>
        <v/>
      </c>
      <c r="AH506" s="59" t="str">
        <f t="shared" si="132"/>
        <v/>
      </c>
      <c r="AI506" s="4"/>
      <c r="AJ506" s="4" t="str">
        <f t="shared" si="133"/>
        <v/>
      </c>
      <c r="AK506" s="4" t="str">
        <f t="shared" si="134"/>
        <v/>
      </c>
      <c r="AL506" s="4" t="e" cm="1">
        <f t="array" ref="AL506">IF(INDEX(Table2[],_xlfn.XMATCH($A506,Table2[Steel Member],0),_xlfn.XMATCH(AL$2,Table2[#Headers],0))=0,"",INDEX(Table2[],_xlfn.XMATCH($A506,Table2[Steel Member],0),_xlfn.XMATCH(AL$2,Table2[#Headers],0)))</f>
        <v>#N/A</v>
      </c>
      <c r="AM506" s="4"/>
      <c r="AN506" s="4" t="str">
        <f t="shared" si="135"/>
        <v/>
      </c>
      <c r="AO506" s="4"/>
      <c r="AP506" s="4" t="e" cm="1">
        <f t="array" ref="AP506">IF(INDEX(Table2[],_xlfn.XMATCH($A506,Table2[Steel Member],0),_xlfn.XMATCH(AP$2,Table2[#Headers],0))=0,"",INDEX(Table2[],_xlfn.XMATCH($A506,Table2[Steel Member],0),_xlfn.XMATCH(AP$2,Table2[#Headers],0)))</f>
        <v>#N/A</v>
      </c>
      <c r="AQ506" s="4"/>
      <c r="AR506" s="4"/>
      <c r="AS506" s="4"/>
      <c r="AT506" s="4"/>
    </row>
    <row r="507" spans="1:46" x14ac:dyDescent="0.25">
      <c r="A507" s="52"/>
      <c r="B507" s="52"/>
      <c r="C507" s="52"/>
      <c r="D507" s="52"/>
      <c r="E507" s="52"/>
      <c r="F507" s="64" cm="1">
        <f t="array" ref="F507">IF(COUNT(FIND(PurlinsxGirthsxBracings,$C507))&gt;0,0,ROUNDUP(IF(D507=0,0,VLOOKUP(D507,'DATA SHEET'!$B:$D,2,FALSE)),2))</f>
        <v>0</v>
      </c>
      <c r="G507" s="64" cm="1">
        <f t="array" ref="G507">IF(COUNT(FIND(PurlinsxGirthsxBracings,$C507))&gt;0,0,ROUNDUP(IF(D507=0,0,VLOOKUP(D507,'DATA SHEET'!$B:$D,3,FALSE)),2))</f>
        <v>0</v>
      </c>
      <c r="H507" s="53"/>
      <c r="I507" s="66" cm="1">
        <f t="array" ref="I507">IF(AND(ISBLANK(B507),ISBLANK(C507),ISBLANK(E507)),0,IF(COUNT(FIND(PurlinsxGirthsxBracings,$C507))&gt;0,IF(B507=0,CONCATENATE(E507," ",C507),CONCATENATE(B507," - ",E507," ",C507)),IF(B507=0,IF(ISBLANK(C507),E507,CONCATENATE(D507,", ",F507,"kg/m, ",G507,"mm surface perimeter")),IF(AND(ISBLANK(C507),ISTEXT(E507)),CONCATENATE(B507," - ",E507),IF(AND(ISBLANK(C507),ISBLANK(E507)),B507,CONCATENATE(B507," - ",D507,", ",F507,"kg/m, ",G507,"mm surface perimeter"))))&amp;IF(ISBLANK(H507),"",H507)))</f>
        <v>0</v>
      </c>
      <c r="J507" s="53"/>
      <c r="L507" s="4" t="str" cm="1">
        <f t="array" ref="L507">IF(COUNT(FIND({0,1,2,3,4,5,6,7,8,9},B507))&gt;0,COUNT(FIND({0,1,2,3,4,5,6,7,8,9},B507))&gt;0,"")</f>
        <v/>
      </c>
      <c r="M507" s="4" t="str" cm="1">
        <f t="array" aca="1" ref="M507" ca="1">IFERROR(_xlfn.IFS(R507="Count",RANDBETWEEN(1,COUNTIF($R$11:$R$653,"Count")),R507="Length",RANDBETWEEN(1,COUNTIF($R$11:$R$653,"Length"))),"")</f>
        <v/>
      </c>
      <c r="N507" s="4" t="str">
        <f ca="1">IFERROR(_xlfn.RANK.EQ(M507,$M$11:$M$653)+COUNTIF($M$11:M507,M507)-1,"")</f>
        <v/>
      </c>
      <c r="O507" s="86" t="str">
        <f>IF(A507='DATA SHEET'!$L$36,C507,IFERROR(IF(AND(ISTEXT(I507),ISBLANK(C507)),"No details",VLOOKUP(C507,DimFolder,2,FALSE)),""))</f>
        <v/>
      </c>
      <c r="P507" s="4" t="str">
        <f t="shared" si="125"/>
        <v/>
      </c>
      <c r="Q507" s="58" t="str">
        <f t="shared" si="136"/>
        <v/>
      </c>
      <c r="R507" s="4" t="e" cm="1">
        <f t="array" ref="R507">IF(INDEX(Table2[],_xlfn.XMATCH($A507,Table2[Steel Member],0),_xlfn.XMATCH(R$2,Table2[#Headers],0))=0,"",INDEX(Table2[],_xlfn.XMATCH($A507,Table2[Steel Member],0),_xlfn.XMATCH(R$2,Table2[#Headers],0)))</f>
        <v>#N/A</v>
      </c>
      <c r="S507" s="4" t="e" cm="1">
        <f t="array" ref="S507">IF(INDEX(Table2[],_xlfn.XMATCH($A507,Table2[Steel Member],0),_xlfn.XMATCH(S$2,Table2[#Headers],0))=0,"",INDEX(Table2[],_xlfn.XMATCH($A507,Table2[Steel Member],0),_xlfn.XMATCH(S$2,Table2[#Headers],0)))</f>
        <v>#N/A</v>
      </c>
      <c r="T507" s="4" t="str">
        <f t="shared" si="127"/>
        <v/>
      </c>
      <c r="U507" s="4" t="e">
        <f ca="1">VLOOKUP(N507,'COLOR CODE'!$B:$D,2,FALSE)</f>
        <v>#N/A</v>
      </c>
      <c r="V507" s="4" t="str">
        <f t="shared" si="128"/>
        <v/>
      </c>
      <c r="W507" s="4" t="e" cm="1">
        <f t="array" ref="W507">IF(INDEX(Table2[],_xlfn.XMATCH($A507,Table2[Steel Member],0),_xlfn.XMATCH(W$2,Table2[#Headers],0))=0,"",INDEX(Table2[],_xlfn.XMATCH($A507,Table2[Steel Member],0),_xlfn.XMATCH(W$2,Table2[#Headers],0)))</f>
        <v>#N/A</v>
      </c>
      <c r="X507" s="4" t="e">
        <f t="shared" si="126"/>
        <v>#N/A</v>
      </c>
      <c r="Y507" s="4" t="e" cm="1">
        <f t="array" ref="Y507">IF(INDEX(Table2[],_xlfn.XMATCH($A507,Table2[Steel Member],0),_xlfn.XMATCH(Y$2,Table2[#Headers],0))=0,"",INDEX(Table2[],_xlfn.XMATCH($A507,Table2[Steel Member],0),_xlfn.XMATCH(Y$2,Table2[#Headers],0)))</f>
        <v>#N/A</v>
      </c>
      <c r="Z507" s="4" t="e" cm="1">
        <f t="array" ref="Z507">IF(INDEX(Table2[],_xlfn.XMATCH($A507,Table2[Steel Member],0),_xlfn.XMATCH(Z$2,Table2[#Headers],0))=0,"",INDEX(Table2[],_xlfn.XMATCH($A507,Table2[Steel Member],0),_xlfn.XMATCH(Z$2,Table2[#Headers],0)))</f>
        <v>#N/A</v>
      </c>
      <c r="AA507" s="4" t="e" cm="1">
        <f t="array" ref="AA507">IF(INDEX(Table2[],_xlfn.XMATCH($A507,Table2[Steel Member],0),_xlfn.XMATCH(AA$2,Table2[#Headers],0))=0,"",INDEX(Table2[],_xlfn.XMATCH($A507,Table2[Steel Member],0),_xlfn.XMATCH(AA$2,Table2[#Headers],0)))</f>
        <v>#N/A</v>
      </c>
      <c r="AB507" s="4" t="e" cm="1">
        <f t="array" ref="AB507">IF(INDEX(Table2[],_xlfn.XMATCH($A507,Table2[Steel Member],0),_xlfn.XMATCH(AB$2,Table2[#Headers],0))=0,"",INDEX(Table2[],_xlfn.XMATCH($A507,Table2[Steel Member],0),_xlfn.XMATCH(AB$2,Table2[#Headers],0)))</f>
        <v>#N/A</v>
      </c>
      <c r="AC507" s="4" t="str" cm="1">
        <f t="array" ref="AC507">IFERROR(INDEX(Table8[],_xlfn.XMATCH($O507,Table8[Dimension Name Category],0),_xlfn.XMATCH(AC$2&amp;IF($L507," w/ tag"," w/o tag"),Table8[#Headers],0)),"")</f>
        <v/>
      </c>
      <c r="AD507" s="59" t="str">
        <f t="shared" si="129"/>
        <v/>
      </c>
      <c r="AE507" s="4" t="str">
        <f t="shared" si="130"/>
        <v/>
      </c>
      <c r="AF507" s="4" t="str">
        <f t="shared" si="131"/>
        <v/>
      </c>
      <c r="AG507" s="4" t="str" cm="1">
        <f t="array" ref="AG507">IFERROR(INDEX(Table8[],_xlfn.XMATCH($O507,Table8[Dimension Name Category],0),_xlfn.XMATCH(AG$2&amp;IF($L507," w/ tag"," w/o tag"),Table8[#Headers],0)),"")</f>
        <v/>
      </c>
      <c r="AH507" s="59" t="str">
        <f t="shared" si="132"/>
        <v/>
      </c>
      <c r="AI507" s="4"/>
      <c r="AJ507" s="4" t="str">
        <f t="shared" si="133"/>
        <v/>
      </c>
      <c r="AK507" s="4" t="str">
        <f t="shared" si="134"/>
        <v/>
      </c>
      <c r="AL507" s="4" t="e" cm="1">
        <f t="array" ref="AL507">IF(INDEX(Table2[],_xlfn.XMATCH($A507,Table2[Steel Member],0),_xlfn.XMATCH(AL$2,Table2[#Headers],0))=0,"",INDEX(Table2[],_xlfn.XMATCH($A507,Table2[Steel Member],0),_xlfn.XMATCH(AL$2,Table2[#Headers],0)))</f>
        <v>#N/A</v>
      </c>
      <c r="AM507" s="4"/>
      <c r="AN507" s="4" t="str">
        <f t="shared" si="135"/>
        <v/>
      </c>
      <c r="AO507" s="4"/>
      <c r="AP507" s="4" t="e" cm="1">
        <f t="array" ref="AP507">IF(INDEX(Table2[],_xlfn.XMATCH($A507,Table2[Steel Member],0),_xlfn.XMATCH(AP$2,Table2[#Headers],0))=0,"",INDEX(Table2[],_xlfn.XMATCH($A507,Table2[Steel Member],0),_xlfn.XMATCH(AP$2,Table2[#Headers],0)))</f>
        <v>#N/A</v>
      </c>
      <c r="AQ507" s="4"/>
      <c r="AR507" s="4"/>
      <c r="AS507" s="4"/>
      <c r="AT507" s="4"/>
    </row>
    <row r="508" spans="1:46" x14ac:dyDescent="0.25">
      <c r="A508" s="52"/>
      <c r="B508" s="52"/>
      <c r="C508" s="52"/>
      <c r="D508" s="52"/>
      <c r="E508" s="52"/>
      <c r="F508" s="64" cm="1">
        <f t="array" ref="F508">IF(COUNT(FIND(PurlinsxGirthsxBracings,$C508))&gt;0,0,ROUNDUP(IF(D508=0,0,VLOOKUP(D508,'DATA SHEET'!$B:$D,2,FALSE)),2))</f>
        <v>0</v>
      </c>
      <c r="G508" s="64" cm="1">
        <f t="array" ref="G508">IF(COUNT(FIND(PurlinsxGirthsxBracings,$C508))&gt;0,0,ROUNDUP(IF(D508=0,0,VLOOKUP(D508,'DATA SHEET'!$B:$D,3,FALSE)),2))</f>
        <v>0</v>
      </c>
      <c r="H508" s="53"/>
      <c r="I508" s="66" cm="1">
        <f t="array" ref="I508">IF(AND(ISBLANK(B508),ISBLANK(C508),ISBLANK(E508)),0,IF(COUNT(FIND(PurlinsxGirthsxBracings,$C508))&gt;0,IF(B508=0,CONCATENATE(E508," ",C508),CONCATENATE(B508," - ",E508," ",C508)),IF(B508=0,IF(ISBLANK(C508),E508,CONCATENATE(D508,", ",F508,"kg/m, ",G508,"mm surface perimeter")),IF(AND(ISBLANK(C508),ISTEXT(E508)),CONCATENATE(B508," - ",E508),IF(AND(ISBLANK(C508),ISBLANK(E508)),B508,CONCATENATE(B508," - ",D508,", ",F508,"kg/m, ",G508,"mm surface perimeter"))))&amp;IF(ISBLANK(H508),"",H508)))</f>
        <v>0</v>
      </c>
      <c r="J508" s="53"/>
      <c r="L508" s="4" t="str" cm="1">
        <f t="array" ref="L508">IF(COUNT(FIND({0,1,2,3,4,5,6,7,8,9},B508))&gt;0,COUNT(FIND({0,1,2,3,4,5,6,7,8,9},B508))&gt;0,"")</f>
        <v/>
      </c>
      <c r="M508" s="4" t="str" cm="1">
        <f t="array" aca="1" ref="M508" ca="1">IFERROR(_xlfn.IFS(R508="Count",RANDBETWEEN(1,COUNTIF($R$11:$R$653,"Count")),R508="Length",RANDBETWEEN(1,COUNTIF($R$11:$R$653,"Length"))),"")</f>
        <v/>
      </c>
      <c r="N508" s="4" t="str">
        <f ca="1">IFERROR(_xlfn.RANK.EQ(M508,$M$11:$M$653)+COUNTIF($M$11:M508,M508)-1,"")</f>
        <v/>
      </c>
      <c r="O508" s="86" t="str">
        <f>IF(A508='DATA SHEET'!$L$36,C508,IFERROR(IF(AND(ISTEXT(I508),ISBLANK(C508)),"No details",VLOOKUP(C508,DimFolder,2,FALSE)),""))</f>
        <v/>
      </c>
      <c r="P508" s="4" t="str">
        <f t="shared" si="125"/>
        <v/>
      </c>
      <c r="Q508" s="58" t="str">
        <f t="shared" si="136"/>
        <v/>
      </c>
      <c r="R508" s="4" t="e" cm="1">
        <f t="array" ref="R508">IF(INDEX(Table2[],_xlfn.XMATCH($A508,Table2[Steel Member],0),_xlfn.XMATCH(R$2,Table2[#Headers],0))=0,"",INDEX(Table2[],_xlfn.XMATCH($A508,Table2[Steel Member],0),_xlfn.XMATCH(R$2,Table2[#Headers],0)))</f>
        <v>#N/A</v>
      </c>
      <c r="S508" s="4" t="e" cm="1">
        <f t="array" ref="S508">IF(INDEX(Table2[],_xlfn.XMATCH($A508,Table2[Steel Member],0),_xlfn.XMATCH(S$2,Table2[#Headers],0))=0,"",INDEX(Table2[],_xlfn.XMATCH($A508,Table2[Steel Member],0),_xlfn.XMATCH(S$2,Table2[#Headers],0)))</f>
        <v>#N/A</v>
      </c>
      <c r="T508" s="4" t="str">
        <f t="shared" si="127"/>
        <v/>
      </c>
      <c r="U508" s="4" t="e">
        <f ca="1">VLOOKUP(N508,'COLOR CODE'!$B:$D,2,FALSE)</f>
        <v>#N/A</v>
      </c>
      <c r="V508" s="4" t="str">
        <f t="shared" si="128"/>
        <v/>
      </c>
      <c r="W508" s="4" t="e" cm="1">
        <f t="array" ref="W508">IF(INDEX(Table2[],_xlfn.XMATCH($A508,Table2[Steel Member],0),_xlfn.XMATCH(W$2,Table2[#Headers],0))=0,"",INDEX(Table2[],_xlfn.XMATCH($A508,Table2[Steel Member],0),_xlfn.XMATCH(W$2,Table2[#Headers],0)))</f>
        <v>#N/A</v>
      </c>
      <c r="X508" s="4" t="e">
        <f t="shared" si="126"/>
        <v>#N/A</v>
      </c>
      <c r="Y508" s="4" t="e" cm="1">
        <f t="array" ref="Y508">IF(INDEX(Table2[],_xlfn.XMATCH($A508,Table2[Steel Member],0),_xlfn.XMATCH(Y$2,Table2[#Headers],0))=0,"",INDEX(Table2[],_xlfn.XMATCH($A508,Table2[Steel Member],0),_xlfn.XMATCH(Y$2,Table2[#Headers],0)))</f>
        <v>#N/A</v>
      </c>
      <c r="Z508" s="4" t="e" cm="1">
        <f t="array" ref="Z508">IF(INDEX(Table2[],_xlfn.XMATCH($A508,Table2[Steel Member],0),_xlfn.XMATCH(Z$2,Table2[#Headers],0))=0,"",INDEX(Table2[],_xlfn.XMATCH($A508,Table2[Steel Member],0),_xlfn.XMATCH(Z$2,Table2[#Headers],0)))</f>
        <v>#N/A</v>
      </c>
      <c r="AA508" s="4" t="e" cm="1">
        <f t="array" ref="AA508">IF(INDEX(Table2[],_xlfn.XMATCH($A508,Table2[Steel Member],0),_xlfn.XMATCH(AA$2,Table2[#Headers],0))=0,"",INDEX(Table2[],_xlfn.XMATCH($A508,Table2[Steel Member],0),_xlfn.XMATCH(AA$2,Table2[#Headers],0)))</f>
        <v>#N/A</v>
      </c>
      <c r="AB508" s="4" t="e" cm="1">
        <f t="array" ref="AB508">IF(INDEX(Table2[],_xlfn.XMATCH($A508,Table2[Steel Member],0),_xlfn.XMATCH(AB$2,Table2[#Headers],0))=0,"",INDEX(Table2[],_xlfn.XMATCH($A508,Table2[Steel Member],0),_xlfn.XMATCH(AB$2,Table2[#Headers],0)))</f>
        <v>#N/A</v>
      </c>
      <c r="AC508" s="4" t="str" cm="1">
        <f t="array" ref="AC508">IFERROR(INDEX(Table8[],_xlfn.XMATCH($O508,Table8[Dimension Name Category],0),_xlfn.XMATCH(AC$2&amp;IF($L508," w/ tag"," w/o tag"),Table8[#Headers],0)),"")</f>
        <v/>
      </c>
      <c r="AD508" s="59" t="str">
        <f t="shared" si="129"/>
        <v/>
      </c>
      <c r="AE508" s="4" t="str">
        <f t="shared" si="130"/>
        <v/>
      </c>
      <c r="AF508" s="4" t="str">
        <f t="shared" si="131"/>
        <v/>
      </c>
      <c r="AG508" s="4" t="str" cm="1">
        <f t="array" ref="AG508">IFERROR(INDEX(Table8[],_xlfn.XMATCH($O508,Table8[Dimension Name Category],0),_xlfn.XMATCH(AG$2&amp;IF($L508," w/ tag"," w/o tag"),Table8[#Headers],0)),"")</f>
        <v/>
      </c>
      <c r="AH508" s="59" t="str">
        <f t="shared" si="132"/>
        <v/>
      </c>
      <c r="AI508" s="4"/>
      <c r="AJ508" s="4" t="str">
        <f t="shared" si="133"/>
        <v/>
      </c>
      <c r="AK508" s="4" t="str">
        <f t="shared" si="134"/>
        <v/>
      </c>
      <c r="AL508" s="4" t="e" cm="1">
        <f t="array" ref="AL508">IF(INDEX(Table2[],_xlfn.XMATCH($A508,Table2[Steel Member],0),_xlfn.XMATCH(AL$2,Table2[#Headers],0))=0,"",INDEX(Table2[],_xlfn.XMATCH($A508,Table2[Steel Member],0),_xlfn.XMATCH(AL$2,Table2[#Headers],0)))</f>
        <v>#N/A</v>
      </c>
      <c r="AM508" s="4"/>
      <c r="AN508" s="4" t="str">
        <f t="shared" si="135"/>
        <v/>
      </c>
      <c r="AO508" s="4"/>
      <c r="AP508" s="4" t="e" cm="1">
        <f t="array" ref="AP508">IF(INDEX(Table2[],_xlfn.XMATCH($A508,Table2[Steel Member],0),_xlfn.XMATCH(AP$2,Table2[#Headers],0))=0,"",INDEX(Table2[],_xlfn.XMATCH($A508,Table2[Steel Member],0),_xlfn.XMATCH(AP$2,Table2[#Headers],0)))</f>
        <v>#N/A</v>
      </c>
      <c r="AQ508" s="4"/>
      <c r="AR508" s="4"/>
      <c r="AS508" s="4"/>
      <c r="AT508" s="4"/>
    </row>
    <row r="509" spans="1:46" x14ac:dyDescent="0.25">
      <c r="A509" s="52"/>
      <c r="B509" s="52"/>
      <c r="C509" s="52"/>
      <c r="D509" s="52"/>
      <c r="E509" s="52"/>
      <c r="F509" s="64" cm="1">
        <f t="array" ref="F509">IF(COUNT(FIND(PurlinsxGirthsxBracings,$C509))&gt;0,0,ROUNDUP(IF(D509=0,0,VLOOKUP(D509,'DATA SHEET'!$B:$D,2,FALSE)),2))</f>
        <v>0</v>
      </c>
      <c r="G509" s="64" cm="1">
        <f t="array" ref="G509">IF(COUNT(FIND(PurlinsxGirthsxBracings,$C509))&gt;0,0,ROUNDUP(IF(D509=0,0,VLOOKUP(D509,'DATA SHEET'!$B:$D,3,FALSE)),2))</f>
        <v>0</v>
      </c>
      <c r="H509" s="53"/>
      <c r="I509" s="66" cm="1">
        <f t="array" ref="I509">IF(AND(ISBLANK(B509),ISBLANK(C509),ISBLANK(E509)),0,IF(COUNT(FIND(PurlinsxGirthsxBracings,$C509))&gt;0,IF(B509=0,CONCATENATE(E509," ",C509),CONCATENATE(B509," - ",E509," ",C509)),IF(B509=0,IF(ISBLANK(C509),E509,CONCATENATE(D509,", ",F509,"kg/m, ",G509,"mm surface perimeter")),IF(AND(ISBLANK(C509),ISTEXT(E509)),CONCATENATE(B509," - ",E509),IF(AND(ISBLANK(C509),ISBLANK(E509)),B509,CONCATENATE(B509," - ",D509,", ",F509,"kg/m, ",G509,"mm surface perimeter"))))&amp;IF(ISBLANK(H509),"",H509)))</f>
        <v>0</v>
      </c>
      <c r="J509" s="53"/>
      <c r="L509" s="4" t="str" cm="1">
        <f t="array" ref="L509">IF(COUNT(FIND({0,1,2,3,4,5,6,7,8,9},B509))&gt;0,COUNT(FIND({0,1,2,3,4,5,6,7,8,9},B509))&gt;0,"")</f>
        <v/>
      </c>
      <c r="M509" s="4" t="str" cm="1">
        <f t="array" aca="1" ref="M509" ca="1">IFERROR(_xlfn.IFS(R509="Count",RANDBETWEEN(1,COUNTIF($R$11:$R$653,"Count")),R509="Length",RANDBETWEEN(1,COUNTIF($R$11:$R$653,"Length"))),"")</f>
        <v/>
      </c>
      <c r="N509" s="4" t="str">
        <f ca="1">IFERROR(_xlfn.RANK.EQ(M509,$M$11:$M$653)+COUNTIF($M$11:M509,M509)-1,"")</f>
        <v/>
      </c>
      <c r="O509" s="86" t="str">
        <f>IF(A509='DATA SHEET'!$L$36,C509,IFERROR(IF(AND(ISTEXT(I509),ISBLANK(C509)),"No details",VLOOKUP(C509,DimFolder,2,FALSE)),""))</f>
        <v/>
      </c>
      <c r="P509" s="4" t="str">
        <f t="shared" si="125"/>
        <v/>
      </c>
      <c r="Q509" s="58" t="str">
        <f t="shared" si="136"/>
        <v/>
      </c>
      <c r="R509" s="4" t="e" cm="1">
        <f t="array" ref="R509">IF(INDEX(Table2[],_xlfn.XMATCH($A509,Table2[Steel Member],0),_xlfn.XMATCH(R$2,Table2[#Headers],0))=0,"",INDEX(Table2[],_xlfn.XMATCH($A509,Table2[Steel Member],0),_xlfn.XMATCH(R$2,Table2[#Headers],0)))</f>
        <v>#N/A</v>
      </c>
      <c r="S509" s="4" t="e" cm="1">
        <f t="array" ref="S509">IF(INDEX(Table2[],_xlfn.XMATCH($A509,Table2[Steel Member],0),_xlfn.XMATCH(S$2,Table2[#Headers],0))=0,"",INDEX(Table2[],_xlfn.XMATCH($A509,Table2[Steel Member],0),_xlfn.XMATCH(S$2,Table2[#Headers],0)))</f>
        <v>#N/A</v>
      </c>
      <c r="T509" s="4" t="str">
        <f t="shared" si="127"/>
        <v/>
      </c>
      <c r="U509" s="4" t="e">
        <f ca="1">VLOOKUP(N509,'COLOR CODE'!$B:$D,2,FALSE)</f>
        <v>#N/A</v>
      </c>
      <c r="V509" s="4" t="str">
        <f t="shared" si="128"/>
        <v/>
      </c>
      <c r="W509" s="4" t="e" cm="1">
        <f t="array" ref="W509">IF(INDEX(Table2[],_xlfn.XMATCH($A509,Table2[Steel Member],0),_xlfn.XMATCH(W$2,Table2[#Headers],0))=0,"",INDEX(Table2[],_xlfn.XMATCH($A509,Table2[Steel Member],0),_xlfn.XMATCH(W$2,Table2[#Headers],0)))</f>
        <v>#N/A</v>
      </c>
      <c r="X509" s="4" t="e">
        <f t="shared" si="126"/>
        <v>#N/A</v>
      </c>
      <c r="Y509" s="4" t="e" cm="1">
        <f t="array" ref="Y509">IF(INDEX(Table2[],_xlfn.XMATCH($A509,Table2[Steel Member],0),_xlfn.XMATCH(Y$2,Table2[#Headers],0))=0,"",INDEX(Table2[],_xlfn.XMATCH($A509,Table2[Steel Member],0),_xlfn.XMATCH(Y$2,Table2[#Headers],0)))</f>
        <v>#N/A</v>
      </c>
      <c r="Z509" s="4" t="e" cm="1">
        <f t="array" ref="Z509">IF(INDEX(Table2[],_xlfn.XMATCH($A509,Table2[Steel Member],0),_xlfn.XMATCH(Z$2,Table2[#Headers],0))=0,"",INDEX(Table2[],_xlfn.XMATCH($A509,Table2[Steel Member],0),_xlfn.XMATCH(Z$2,Table2[#Headers],0)))</f>
        <v>#N/A</v>
      </c>
      <c r="AA509" s="4" t="e" cm="1">
        <f t="array" ref="AA509">IF(INDEX(Table2[],_xlfn.XMATCH($A509,Table2[Steel Member],0),_xlfn.XMATCH(AA$2,Table2[#Headers],0))=0,"",INDEX(Table2[],_xlfn.XMATCH($A509,Table2[Steel Member],0),_xlfn.XMATCH(AA$2,Table2[#Headers],0)))</f>
        <v>#N/A</v>
      </c>
      <c r="AB509" s="4" t="e" cm="1">
        <f t="array" ref="AB509">IF(INDEX(Table2[],_xlfn.XMATCH($A509,Table2[Steel Member],0),_xlfn.XMATCH(AB$2,Table2[#Headers],0))=0,"",INDEX(Table2[],_xlfn.XMATCH($A509,Table2[Steel Member],0),_xlfn.XMATCH(AB$2,Table2[#Headers],0)))</f>
        <v>#N/A</v>
      </c>
      <c r="AC509" s="4" t="str" cm="1">
        <f t="array" ref="AC509">IFERROR(INDEX(Table8[],_xlfn.XMATCH($O509,Table8[Dimension Name Category],0),_xlfn.XMATCH(AC$2&amp;IF($L509," w/ tag"," w/o tag"),Table8[#Headers],0)),"")</f>
        <v/>
      </c>
      <c r="AD509" s="59" t="str">
        <f t="shared" si="129"/>
        <v/>
      </c>
      <c r="AE509" s="4" t="str">
        <f t="shared" si="130"/>
        <v/>
      </c>
      <c r="AF509" s="4" t="str">
        <f t="shared" si="131"/>
        <v/>
      </c>
      <c r="AG509" s="4" t="str" cm="1">
        <f t="array" ref="AG509">IFERROR(INDEX(Table8[],_xlfn.XMATCH($O509,Table8[Dimension Name Category],0),_xlfn.XMATCH(AG$2&amp;IF($L509," w/ tag"," w/o tag"),Table8[#Headers],0)),"")</f>
        <v/>
      </c>
      <c r="AH509" s="59" t="str">
        <f t="shared" si="132"/>
        <v/>
      </c>
      <c r="AI509" s="4"/>
      <c r="AJ509" s="4" t="str">
        <f t="shared" si="133"/>
        <v/>
      </c>
      <c r="AK509" s="4" t="str">
        <f t="shared" si="134"/>
        <v/>
      </c>
      <c r="AL509" s="4" t="e" cm="1">
        <f t="array" ref="AL509">IF(INDEX(Table2[],_xlfn.XMATCH($A509,Table2[Steel Member],0),_xlfn.XMATCH(AL$2,Table2[#Headers],0))=0,"",INDEX(Table2[],_xlfn.XMATCH($A509,Table2[Steel Member],0),_xlfn.XMATCH(AL$2,Table2[#Headers],0)))</f>
        <v>#N/A</v>
      </c>
      <c r="AM509" s="4"/>
      <c r="AN509" s="4" t="str">
        <f t="shared" si="135"/>
        <v/>
      </c>
      <c r="AO509" s="4"/>
      <c r="AP509" s="4" t="e" cm="1">
        <f t="array" ref="AP509">IF(INDEX(Table2[],_xlfn.XMATCH($A509,Table2[Steel Member],0),_xlfn.XMATCH(AP$2,Table2[#Headers],0))=0,"",INDEX(Table2[],_xlfn.XMATCH($A509,Table2[Steel Member],0),_xlfn.XMATCH(AP$2,Table2[#Headers],0)))</f>
        <v>#N/A</v>
      </c>
      <c r="AQ509" s="4"/>
      <c r="AR509" s="4"/>
      <c r="AS509" s="4"/>
      <c r="AT509" s="4"/>
    </row>
    <row r="510" spans="1:46" x14ac:dyDescent="0.25">
      <c r="A510" s="52"/>
      <c r="B510" s="52"/>
      <c r="C510" s="52"/>
      <c r="D510" s="52"/>
      <c r="E510" s="52"/>
      <c r="F510" s="64" cm="1">
        <f t="array" ref="F510">IF(COUNT(FIND(PurlinsxGirthsxBracings,$C510))&gt;0,0,ROUNDUP(IF(D510=0,0,VLOOKUP(D510,'DATA SHEET'!$B:$D,2,FALSE)),2))</f>
        <v>0</v>
      </c>
      <c r="G510" s="64" cm="1">
        <f t="array" ref="G510">IF(COUNT(FIND(PurlinsxGirthsxBracings,$C510))&gt;0,0,ROUNDUP(IF(D510=0,0,VLOOKUP(D510,'DATA SHEET'!$B:$D,3,FALSE)),2))</f>
        <v>0</v>
      </c>
      <c r="H510" s="53"/>
      <c r="I510" s="66" cm="1">
        <f t="array" ref="I510">IF(AND(ISBLANK(B510),ISBLANK(C510),ISBLANK(E510)),0,IF(COUNT(FIND(PurlinsxGirthsxBracings,$C510))&gt;0,IF(B510=0,CONCATENATE(E510," ",C510),CONCATENATE(B510," - ",E510," ",C510)),IF(B510=0,IF(ISBLANK(C510),E510,CONCATENATE(D510,", ",F510,"kg/m, ",G510,"mm surface perimeter")),IF(AND(ISBLANK(C510),ISTEXT(E510)),CONCATENATE(B510," - ",E510),IF(AND(ISBLANK(C510),ISBLANK(E510)),B510,CONCATENATE(B510," - ",D510,", ",F510,"kg/m, ",G510,"mm surface perimeter"))))&amp;IF(ISBLANK(H510),"",H510)))</f>
        <v>0</v>
      </c>
      <c r="J510" s="53"/>
      <c r="L510" s="4" t="str" cm="1">
        <f t="array" ref="L510">IF(COUNT(FIND({0,1,2,3,4,5,6,7,8,9},B510))&gt;0,COUNT(FIND({0,1,2,3,4,5,6,7,8,9},B510))&gt;0,"")</f>
        <v/>
      </c>
      <c r="M510" s="4" t="str" cm="1">
        <f t="array" aca="1" ref="M510" ca="1">IFERROR(_xlfn.IFS(R510="Count",RANDBETWEEN(1,COUNTIF($R$11:$R$653,"Count")),R510="Length",RANDBETWEEN(1,COUNTIF($R$11:$R$653,"Length"))),"")</f>
        <v/>
      </c>
      <c r="N510" s="4" t="str">
        <f ca="1">IFERROR(_xlfn.RANK.EQ(M510,$M$11:$M$653)+COUNTIF($M$11:M510,M510)-1,"")</f>
        <v/>
      </c>
      <c r="O510" s="86" t="str">
        <f>IF(A510='DATA SHEET'!$L$36,C510,IFERROR(IF(AND(ISTEXT(I510),ISBLANK(C510)),"No details",VLOOKUP(C510,DimFolder,2,FALSE)),""))</f>
        <v/>
      </c>
      <c r="P510" s="4" t="str">
        <f t="shared" si="125"/>
        <v/>
      </c>
      <c r="Q510" s="58" t="str">
        <f t="shared" si="136"/>
        <v/>
      </c>
      <c r="R510" s="4" t="e" cm="1">
        <f t="array" ref="R510">IF(INDEX(Table2[],_xlfn.XMATCH($A510,Table2[Steel Member],0),_xlfn.XMATCH(R$2,Table2[#Headers],0))=0,"",INDEX(Table2[],_xlfn.XMATCH($A510,Table2[Steel Member],0),_xlfn.XMATCH(R$2,Table2[#Headers],0)))</f>
        <v>#N/A</v>
      </c>
      <c r="S510" s="4" t="e" cm="1">
        <f t="array" ref="S510">IF(INDEX(Table2[],_xlfn.XMATCH($A510,Table2[Steel Member],0),_xlfn.XMATCH(S$2,Table2[#Headers],0))=0,"",INDEX(Table2[],_xlfn.XMATCH($A510,Table2[Steel Member],0),_xlfn.XMATCH(S$2,Table2[#Headers],0)))</f>
        <v>#N/A</v>
      </c>
      <c r="T510" s="4" t="str">
        <f t="shared" si="127"/>
        <v/>
      </c>
      <c r="U510" s="4" t="e">
        <f ca="1">VLOOKUP(N510,'COLOR CODE'!$B:$D,2,FALSE)</f>
        <v>#N/A</v>
      </c>
      <c r="V510" s="4" t="str">
        <f t="shared" si="128"/>
        <v/>
      </c>
      <c r="W510" s="4" t="e" cm="1">
        <f t="array" ref="W510">IF(INDEX(Table2[],_xlfn.XMATCH($A510,Table2[Steel Member],0),_xlfn.XMATCH(W$2,Table2[#Headers],0))=0,"",INDEX(Table2[],_xlfn.XMATCH($A510,Table2[Steel Member],0),_xlfn.XMATCH(W$2,Table2[#Headers],0)))</f>
        <v>#N/A</v>
      </c>
      <c r="X510" s="4" t="e">
        <f t="shared" si="126"/>
        <v>#N/A</v>
      </c>
      <c r="Y510" s="4" t="e" cm="1">
        <f t="array" ref="Y510">IF(INDEX(Table2[],_xlfn.XMATCH($A510,Table2[Steel Member],0),_xlfn.XMATCH(Y$2,Table2[#Headers],0))=0,"",INDEX(Table2[],_xlfn.XMATCH($A510,Table2[Steel Member],0),_xlfn.XMATCH(Y$2,Table2[#Headers],0)))</f>
        <v>#N/A</v>
      </c>
      <c r="Z510" s="4" t="e" cm="1">
        <f t="array" ref="Z510">IF(INDEX(Table2[],_xlfn.XMATCH($A510,Table2[Steel Member],0),_xlfn.XMATCH(Z$2,Table2[#Headers],0))=0,"",INDEX(Table2[],_xlfn.XMATCH($A510,Table2[Steel Member],0),_xlfn.XMATCH(Z$2,Table2[#Headers],0)))</f>
        <v>#N/A</v>
      </c>
      <c r="AA510" s="4" t="e" cm="1">
        <f t="array" ref="AA510">IF(INDEX(Table2[],_xlfn.XMATCH($A510,Table2[Steel Member],0),_xlfn.XMATCH(AA$2,Table2[#Headers],0))=0,"",INDEX(Table2[],_xlfn.XMATCH($A510,Table2[Steel Member],0),_xlfn.XMATCH(AA$2,Table2[#Headers],0)))</f>
        <v>#N/A</v>
      </c>
      <c r="AB510" s="4" t="e" cm="1">
        <f t="array" ref="AB510">IF(INDEX(Table2[],_xlfn.XMATCH($A510,Table2[Steel Member],0),_xlfn.XMATCH(AB$2,Table2[#Headers],0))=0,"",INDEX(Table2[],_xlfn.XMATCH($A510,Table2[Steel Member],0),_xlfn.XMATCH(AB$2,Table2[#Headers],0)))</f>
        <v>#N/A</v>
      </c>
      <c r="AC510" s="4" t="str" cm="1">
        <f t="array" ref="AC510">IFERROR(INDEX(Table8[],_xlfn.XMATCH($O510,Table8[Dimension Name Category],0),_xlfn.XMATCH(AC$2&amp;IF($L510," w/ tag"," w/o tag"),Table8[#Headers],0)),"")</f>
        <v/>
      </c>
      <c r="AD510" s="59" t="str">
        <f t="shared" si="129"/>
        <v/>
      </c>
      <c r="AE510" s="4" t="str">
        <f t="shared" si="130"/>
        <v/>
      </c>
      <c r="AF510" s="4" t="str">
        <f t="shared" si="131"/>
        <v/>
      </c>
      <c r="AG510" s="4" t="str" cm="1">
        <f t="array" ref="AG510">IFERROR(INDEX(Table8[],_xlfn.XMATCH($O510,Table8[Dimension Name Category],0),_xlfn.XMATCH(AG$2&amp;IF($L510," w/ tag"," w/o tag"),Table8[#Headers],0)),"")</f>
        <v/>
      </c>
      <c r="AH510" s="59" t="str">
        <f t="shared" si="132"/>
        <v/>
      </c>
      <c r="AI510" s="4"/>
      <c r="AJ510" s="4" t="str">
        <f t="shared" si="133"/>
        <v/>
      </c>
      <c r="AK510" s="4" t="str">
        <f t="shared" si="134"/>
        <v/>
      </c>
      <c r="AL510" s="4" t="e" cm="1">
        <f t="array" ref="AL510">IF(INDEX(Table2[],_xlfn.XMATCH($A510,Table2[Steel Member],0),_xlfn.XMATCH(AL$2,Table2[#Headers],0))=0,"",INDEX(Table2[],_xlfn.XMATCH($A510,Table2[Steel Member],0),_xlfn.XMATCH(AL$2,Table2[#Headers],0)))</f>
        <v>#N/A</v>
      </c>
      <c r="AM510" s="4"/>
      <c r="AN510" s="4" t="str">
        <f t="shared" si="135"/>
        <v/>
      </c>
      <c r="AO510" s="4"/>
      <c r="AP510" s="4" t="e" cm="1">
        <f t="array" ref="AP510">IF(INDEX(Table2[],_xlfn.XMATCH($A510,Table2[Steel Member],0),_xlfn.XMATCH(AP$2,Table2[#Headers],0))=0,"",INDEX(Table2[],_xlfn.XMATCH($A510,Table2[Steel Member],0),_xlfn.XMATCH(AP$2,Table2[#Headers],0)))</f>
        <v>#N/A</v>
      </c>
      <c r="AQ510" s="4"/>
      <c r="AR510" s="4"/>
      <c r="AS510" s="4"/>
      <c r="AT510" s="4"/>
    </row>
    <row r="511" spans="1:46" x14ac:dyDescent="0.25">
      <c r="A511" s="52"/>
      <c r="B511" s="52"/>
      <c r="C511" s="52"/>
      <c r="D511" s="52"/>
      <c r="E511" s="52"/>
      <c r="F511" s="64" cm="1">
        <f t="array" ref="F511">IF(COUNT(FIND(PurlinsxGirthsxBracings,$C511))&gt;0,0,ROUNDUP(IF(D511=0,0,VLOOKUP(D511,'DATA SHEET'!$B:$D,2,FALSE)),2))</f>
        <v>0</v>
      </c>
      <c r="G511" s="64" cm="1">
        <f t="array" ref="G511">IF(COUNT(FIND(PurlinsxGirthsxBracings,$C511))&gt;0,0,ROUNDUP(IF(D511=0,0,VLOOKUP(D511,'DATA SHEET'!$B:$D,3,FALSE)),2))</f>
        <v>0</v>
      </c>
      <c r="H511" s="53"/>
      <c r="I511" s="66" cm="1">
        <f t="array" ref="I511">IF(AND(ISBLANK(B511),ISBLANK(C511),ISBLANK(E511)),0,IF(COUNT(FIND(PurlinsxGirthsxBracings,$C511))&gt;0,IF(B511=0,CONCATENATE(E511," ",C511),CONCATENATE(B511," - ",E511," ",C511)),IF(B511=0,IF(ISBLANK(C511),E511,CONCATENATE(D511,", ",F511,"kg/m, ",G511,"mm surface perimeter")),IF(AND(ISBLANK(C511),ISTEXT(E511)),CONCATENATE(B511," - ",E511),IF(AND(ISBLANK(C511),ISBLANK(E511)),B511,CONCATENATE(B511," - ",D511,", ",F511,"kg/m, ",G511,"mm surface perimeter"))))&amp;IF(ISBLANK(H511),"",H511)))</f>
        <v>0</v>
      </c>
      <c r="J511" s="53"/>
      <c r="L511" s="4" t="str" cm="1">
        <f t="array" ref="L511">IF(COUNT(FIND({0,1,2,3,4,5,6,7,8,9},B511))&gt;0,COUNT(FIND({0,1,2,3,4,5,6,7,8,9},B511))&gt;0,"")</f>
        <v/>
      </c>
      <c r="M511" s="4" t="str" cm="1">
        <f t="array" aca="1" ref="M511" ca="1">IFERROR(_xlfn.IFS(R511="Count",RANDBETWEEN(1,COUNTIF($R$11:$R$653,"Count")),R511="Length",RANDBETWEEN(1,COUNTIF($R$11:$R$653,"Length"))),"")</f>
        <v/>
      </c>
      <c r="N511" s="4" t="str">
        <f ca="1">IFERROR(_xlfn.RANK.EQ(M511,$M$11:$M$653)+COUNTIF($M$11:M511,M511)-1,"")</f>
        <v/>
      </c>
      <c r="O511" s="86" t="str">
        <f>IF(A511='DATA SHEET'!$L$36,C511,IFERROR(IF(AND(ISTEXT(I511),ISBLANK(C511)),"No details",VLOOKUP(C511,DimFolder,2,FALSE)),""))</f>
        <v/>
      </c>
      <c r="P511" s="4" t="str">
        <f t="shared" si="125"/>
        <v/>
      </c>
      <c r="Q511" s="58" t="str">
        <f t="shared" si="136"/>
        <v/>
      </c>
      <c r="R511" s="4" t="e" cm="1">
        <f t="array" ref="R511">IF(INDEX(Table2[],_xlfn.XMATCH($A511,Table2[Steel Member],0),_xlfn.XMATCH(R$2,Table2[#Headers],0))=0,"",INDEX(Table2[],_xlfn.XMATCH($A511,Table2[Steel Member],0),_xlfn.XMATCH(R$2,Table2[#Headers],0)))</f>
        <v>#N/A</v>
      </c>
      <c r="S511" s="4" t="e" cm="1">
        <f t="array" ref="S511">IF(INDEX(Table2[],_xlfn.XMATCH($A511,Table2[Steel Member],0),_xlfn.XMATCH(S$2,Table2[#Headers],0))=0,"",INDEX(Table2[],_xlfn.XMATCH($A511,Table2[Steel Member],0),_xlfn.XMATCH(S$2,Table2[#Headers],0)))</f>
        <v>#N/A</v>
      </c>
      <c r="T511" s="4" t="str">
        <f t="shared" si="127"/>
        <v/>
      </c>
      <c r="U511" s="4" t="e">
        <f ca="1">VLOOKUP(N511,'COLOR CODE'!$B:$D,2,FALSE)</f>
        <v>#N/A</v>
      </c>
      <c r="V511" s="4" t="str">
        <f t="shared" si="128"/>
        <v/>
      </c>
      <c r="W511" s="4" t="e" cm="1">
        <f t="array" ref="W511">IF(INDEX(Table2[],_xlfn.XMATCH($A511,Table2[Steel Member],0),_xlfn.XMATCH(W$2,Table2[#Headers],0))=0,"",INDEX(Table2[],_xlfn.XMATCH($A511,Table2[Steel Member],0),_xlfn.XMATCH(W$2,Table2[#Headers],0)))</f>
        <v>#N/A</v>
      </c>
      <c r="X511" s="4" t="e">
        <f t="shared" si="126"/>
        <v>#N/A</v>
      </c>
      <c r="Y511" s="4" t="e" cm="1">
        <f t="array" ref="Y511">IF(INDEX(Table2[],_xlfn.XMATCH($A511,Table2[Steel Member],0),_xlfn.XMATCH(Y$2,Table2[#Headers],0))=0,"",INDEX(Table2[],_xlfn.XMATCH($A511,Table2[Steel Member],0),_xlfn.XMATCH(Y$2,Table2[#Headers],0)))</f>
        <v>#N/A</v>
      </c>
      <c r="Z511" s="4" t="e" cm="1">
        <f t="array" ref="Z511">IF(INDEX(Table2[],_xlfn.XMATCH($A511,Table2[Steel Member],0),_xlfn.XMATCH(Z$2,Table2[#Headers],0))=0,"",INDEX(Table2[],_xlfn.XMATCH($A511,Table2[Steel Member],0),_xlfn.XMATCH(Z$2,Table2[#Headers],0)))</f>
        <v>#N/A</v>
      </c>
      <c r="AA511" s="4" t="e" cm="1">
        <f t="array" ref="AA511">IF(INDEX(Table2[],_xlfn.XMATCH($A511,Table2[Steel Member],0),_xlfn.XMATCH(AA$2,Table2[#Headers],0))=0,"",INDEX(Table2[],_xlfn.XMATCH($A511,Table2[Steel Member],0),_xlfn.XMATCH(AA$2,Table2[#Headers],0)))</f>
        <v>#N/A</v>
      </c>
      <c r="AB511" s="4" t="e" cm="1">
        <f t="array" ref="AB511">IF(INDEX(Table2[],_xlfn.XMATCH($A511,Table2[Steel Member],0),_xlfn.XMATCH(AB$2,Table2[#Headers],0))=0,"",INDEX(Table2[],_xlfn.XMATCH($A511,Table2[Steel Member],0),_xlfn.XMATCH(AB$2,Table2[#Headers],0)))</f>
        <v>#N/A</v>
      </c>
      <c r="AC511" s="4" t="str" cm="1">
        <f t="array" ref="AC511">IFERROR(INDEX(Table8[],_xlfn.XMATCH($O511,Table8[Dimension Name Category],0),_xlfn.XMATCH(AC$2&amp;IF($L511," w/ tag"," w/o tag"),Table8[#Headers],0)),"")</f>
        <v/>
      </c>
      <c r="AD511" s="59" t="str">
        <f t="shared" si="129"/>
        <v/>
      </c>
      <c r="AE511" s="4" t="str">
        <f t="shared" si="130"/>
        <v/>
      </c>
      <c r="AF511" s="4" t="str">
        <f t="shared" si="131"/>
        <v/>
      </c>
      <c r="AG511" s="4" t="str" cm="1">
        <f t="array" ref="AG511">IFERROR(INDEX(Table8[],_xlfn.XMATCH($O511,Table8[Dimension Name Category],0),_xlfn.XMATCH(AG$2&amp;IF($L511," w/ tag"," w/o tag"),Table8[#Headers],0)),"")</f>
        <v/>
      </c>
      <c r="AH511" s="59" t="str">
        <f t="shared" si="132"/>
        <v/>
      </c>
      <c r="AI511" s="4"/>
      <c r="AJ511" s="4" t="str">
        <f t="shared" si="133"/>
        <v/>
      </c>
      <c r="AK511" s="4" t="str">
        <f t="shared" si="134"/>
        <v/>
      </c>
      <c r="AL511" s="4" t="e" cm="1">
        <f t="array" ref="AL511">IF(INDEX(Table2[],_xlfn.XMATCH($A511,Table2[Steel Member],0),_xlfn.XMATCH(AL$2,Table2[#Headers],0))=0,"",INDEX(Table2[],_xlfn.XMATCH($A511,Table2[Steel Member],0),_xlfn.XMATCH(AL$2,Table2[#Headers],0)))</f>
        <v>#N/A</v>
      </c>
      <c r="AM511" s="4"/>
      <c r="AN511" s="4" t="str">
        <f t="shared" si="135"/>
        <v/>
      </c>
      <c r="AO511" s="4"/>
      <c r="AP511" s="4" t="e" cm="1">
        <f t="array" ref="AP511">IF(INDEX(Table2[],_xlfn.XMATCH($A511,Table2[Steel Member],0),_xlfn.XMATCH(AP$2,Table2[#Headers],0))=0,"",INDEX(Table2[],_xlfn.XMATCH($A511,Table2[Steel Member],0),_xlfn.XMATCH(AP$2,Table2[#Headers],0)))</f>
        <v>#N/A</v>
      </c>
      <c r="AQ511" s="4"/>
      <c r="AR511" s="4"/>
      <c r="AS511" s="4"/>
      <c r="AT511" s="4"/>
    </row>
    <row r="512" spans="1:46" x14ac:dyDescent="0.25">
      <c r="A512" s="52"/>
      <c r="B512" s="52"/>
      <c r="C512" s="52"/>
      <c r="D512" s="52"/>
      <c r="E512" s="52"/>
      <c r="F512" s="64" cm="1">
        <f t="array" ref="F512">IF(COUNT(FIND(PurlinsxGirthsxBracings,$C512))&gt;0,0,ROUNDUP(IF(D512=0,0,VLOOKUP(D512,'DATA SHEET'!$B:$D,2,FALSE)),2))</f>
        <v>0</v>
      </c>
      <c r="G512" s="64" cm="1">
        <f t="array" ref="G512">IF(COUNT(FIND(PurlinsxGirthsxBracings,$C512))&gt;0,0,ROUNDUP(IF(D512=0,0,VLOOKUP(D512,'DATA SHEET'!$B:$D,3,FALSE)),2))</f>
        <v>0</v>
      </c>
      <c r="H512" s="53"/>
      <c r="I512" s="66" cm="1">
        <f t="array" ref="I512">IF(AND(ISBLANK(B512),ISBLANK(C512),ISBLANK(E512)),0,IF(COUNT(FIND(PurlinsxGirthsxBracings,$C512))&gt;0,IF(B512=0,CONCATENATE(E512," ",C512),CONCATENATE(B512," - ",E512," ",C512)),IF(B512=0,IF(ISBLANK(C512),E512,CONCATENATE(D512,", ",F512,"kg/m, ",G512,"mm surface perimeter")),IF(AND(ISBLANK(C512),ISTEXT(E512)),CONCATENATE(B512," - ",E512),IF(AND(ISBLANK(C512),ISBLANK(E512)),B512,CONCATENATE(B512," - ",D512,", ",F512,"kg/m, ",G512,"mm surface perimeter"))))&amp;IF(ISBLANK(H512),"",H512)))</f>
        <v>0</v>
      </c>
      <c r="J512" s="53"/>
      <c r="L512" s="4" t="str" cm="1">
        <f t="array" ref="L512">IF(COUNT(FIND({0,1,2,3,4,5,6,7,8,9},B512))&gt;0,COUNT(FIND({0,1,2,3,4,5,6,7,8,9},B512))&gt;0,"")</f>
        <v/>
      </c>
      <c r="M512" s="4" t="str" cm="1">
        <f t="array" aca="1" ref="M512" ca="1">IFERROR(_xlfn.IFS(R512="Count",RANDBETWEEN(1,COUNTIF($R$11:$R$653,"Count")),R512="Length",RANDBETWEEN(1,COUNTIF($R$11:$R$653,"Length"))),"")</f>
        <v/>
      </c>
      <c r="N512" s="4" t="str">
        <f ca="1">IFERROR(_xlfn.RANK.EQ(M512,$M$11:$M$653)+COUNTIF($M$11:M512,M512)-1,"")</f>
        <v/>
      </c>
      <c r="O512" s="86" t="str">
        <f>IF(A512='DATA SHEET'!$L$36,C512,IFERROR(IF(AND(ISTEXT(I512),ISBLANK(C512)),"No details",VLOOKUP(C512,DimFolder,2,FALSE)),""))</f>
        <v/>
      </c>
      <c r="P512" s="4" t="str">
        <f t="shared" si="125"/>
        <v/>
      </c>
      <c r="Q512" s="58" t="str">
        <f t="shared" si="136"/>
        <v/>
      </c>
      <c r="R512" s="4" t="e" cm="1">
        <f t="array" ref="R512">IF(INDEX(Table2[],_xlfn.XMATCH($A512,Table2[Steel Member],0),_xlfn.XMATCH(R$2,Table2[#Headers],0))=0,"",INDEX(Table2[],_xlfn.XMATCH($A512,Table2[Steel Member],0),_xlfn.XMATCH(R$2,Table2[#Headers],0)))</f>
        <v>#N/A</v>
      </c>
      <c r="S512" s="4" t="e" cm="1">
        <f t="array" ref="S512">IF(INDEX(Table2[],_xlfn.XMATCH($A512,Table2[Steel Member],0),_xlfn.XMATCH(S$2,Table2[#Headers],0))=0,"",INDEX(Table2[],_xlfn.XMATCH($A512,Table2[Steel Member],0),_xlfn.XMATCH(S$2,Table2[#Headers],0)))</f>
        <v>#N/A</v>
      </c>
      <c r="T512" s="4" t="str">
        <f t="shared" si="127"/>
        <v/>
      </c>
      <c r="U512" s="4" t="e">
        <f ca="1">VLOOKUP(N512,'COLOR CODE'!$B:$D,2,FALSE)</f>
        <v>#N/A</v>
      </c>
      <c r="V512" s="4" t="str">
        <f t="shared" si="128"/>
        <v/>
      </c>
      <c r="W512" s="4" t="e" cm="1">
        <f t="array" ref="W512">IF(INDEX(Table2[],_xlfn.XMATCH($A512,Table2[Steel Member],0),_xlfn.XMATCH(W$2,Table2[#Headers],0))=0,"",INDEX(Table2[],_xlfn.XMATCH($A512,Table2[Steel Member],0),_xlfn.XMATCH(W$2,Table2[#Headers],0)))</f>
        <v>#N/A</v>
      </c>
      <c r="X512" s="4" t="e">
        <f t="shared" si="126"/>
        <v>#N/A</v>
      </c>
      <c r="Y512" s="4" t="e" cm="1">
        <f t="array" ref="Y512">IF(INDEX(Table2[],_xlfn.XMATCH($A512,Table2[Steel Member],0),_xlfn.XMATCH(Y$2,Table2[#Headers],0))=0,"",INDEX(Table2[],_xlfn.XMATCH($A512,Table2[Steel Member],0),_xlfn.XMATCH(Y$2,Table2[#Headers],0)))</f>
        <v>#N/A</v>
      </c>
      <c r="Z512" s="4" t="e" cm="1">
        <f t="array" ref="Z512">IF(INDEX(Table2[],_xlfn.XMATCH($A512,Table2[Steel Member],0),_xlfn.XMATCH(Z$2,Table2[#Headers],0))=0,"",INDEX(Table2[],_xlfn.XMATCH($A512,Table2[Steel Member],0),_xlfn.XMATCH(Z$2,Table2[#Headers],0)))</f>
        <v>#N/A</v>
      </c>
      <c r="AA512" s="4" t="e" cm="1">
        <f t="array" ref="AA512">IF(INDEX(Table2[],_xlfn.XMATCH($A512,Table2[Steel Member],0),_xlfn.XMATCH(AA$2,Table2[#Headers],0))=0,"",INDEX(Table2[],_xlfn.XMATCH($A512,Table2[Steel Member],0),_xlfn.XMATCH(AA$2,Table2[#Headers],0)))</f>
        <v>#N/A</v>
      </c>
      <c r="AB512" s="4" t="e" cm="1">
        <f t="array" ref="AB512">IF(INDEX(Table2[],_xlfn.XMATCH($A512,Table2[Steel Member],0),_xlfn.XMATCH(AB$2,Table2[#Headers],0))=0,"",INDEX(Table2[],_xlfn.XMATCH($A512,Table2[Steel Member],0),_xlfn.XMATCH(AB$2,Table2[#Headers],0)))</f>
        <v>#N/A</v>
      </c>
      <c r="AC512" s="4" t="str" cm="1">
        <f t="array" ref="AC512">IFERROR(INDEX(Table8[],_xlfn.XMATCH($O512,Table8[Dimension Name Category],0),_xlfn.XMATCH(AC$2&amp;IF($L512," w/ tag"," w/o tag"),Table8[#Headers],0)),"")</f>
        <v/>
      </c>
      <c r="AD512" s="59" t="str">
        <f t="shared" si="129"/>
        <v/>
      </c>
      <c r="AE512" s="4" t="str">
        <f t="shared" si="130"/>
        <v/>
      </c>
      <c r="AF512" s="4" t="str">
        <f t="shared" si="131"/>
        <v/>
      </c>
      <c r="AG512" s="4" t="str" cm="1">
        <f t="array" ref="AG512">IFERROR(INDEX(Table8[],_xlfn.XMATCH($O512,Table8[Dimension Name Category],0),_xlfn.XMATCH(AG$2&amp;IF($L512," w/ tag"," w/o tag"),Table8[#Headers],0)),"")</f>
        <v/>
      </c>
      <c r="AH512" s="59" t="str">
        <f t="shared" si="132"/>
        <v/>
      </c>
      <c r="AI512" s="4"/>
      <c r="AJ512" s="4" t="str">
        <f t="shared" si="133"/>
        <v/>
      </c>
      <c r="AK512" s="4" t="str">
        <f t="shared" si="134"/>
        <v/>
      </c>
      <c r="AL512" s="4" t="e" cm="1">
        <f t="array" ref="AL512">IF(INDEX(Table2[],_xlfn.XMATCH($A512,Table2[Steel Member],0),_xlfn.XMATCH(AL$2,Table2[#Headers],0))=0,"",INDEX(Table2[],_xlfn.XMATCH($A512,Table2[Steel Member],0),_xlfn.XMATCH(AL$2,Table2[#Headers],0)))</f>
        <v>#N/A</v>
      </c>
      <c r="AM512" s="4"/>
      <c r="AN512" s="4" t="str">
        <f t="shared" si="135"/>
        <v/>
      </c>
      <c r="AO512" s="4"/>
      <c r="AP512" s="4" t="e" cm="1">
        <f t="array" ref="AP512">IF(INDEX(Table2[],_xlfn.XMATCH($A512,Table2[Steel Member],0),_xlfn.XMATCH(AP$2,Table2[#Headers],0))=0,"",INDEX(Table2[],_xlfn.XMATCH($A512,Table2[Steel Member],0),_xlfn.XMATCH(AP$2,Table2[#Headers],0)))</f>
        <v>#N/A</v>
      </c>
      <c r="AQ512" s="4"/>
      <c r="AR512" s="4"/>
      <c r="AS512" s="4"/>
      <c r="AT512" s="4"/>
    </row>
    <row r="513" spans="1:46" x14ac:dyDescent="0.25">
      <c r="A513" s="52"/>
      <c r="B513" s="52"/>
      <c r="C513" s="52"/>
      <c r="D513" s="52"/>
      <c r="E513" s="52"/>
      <c r="F513" s="64" cm="1">
        <f t="array" ref="F513">IF(COUNT(FIND(PurlinsxGirthsxBracings,$C513))&gt;0,0,ROUNDUP(IF(D513=0,0,VLOOKUP(D513,'DATA SHEET'!$B:$D,2,FALSE)),2))</f>
        <v>0</v>
      </c>
      <c r="G513" s="64" cm="1">
        <f t="array" ref="G513">IF(COUNT(FIND(PurlinsxGirthsxBracings,$C513))&gt;0,0,ROUNDUP(IF(D513=0,0,VLOOKUP(D513,'DATA SHEET'!$B:$D,3,FALSE)),2))</f>
        <v>0</v>
      </c>
      <c r="H513" s="53"/>
      <c r="I513" s="66" cm="1">
        <f t="array" ref="I513">IF(AND(ISBLANK(B513),ISBLANK(C513),ISBLANK(E513)),0,IF(COUNT(FIND(PurlinsxGirthsxBracings,$C513))&gt;0,IF(B513=0,CONCATENATE(E513," ",C513),CONCATENATE(B513," - ",E513," ",C513)),IF(B513=0,IF(ISBLANK(C513),E513,CONCATENATE(D513,", ",F513,"kg/m, ",G513,"mm surface perimeter")),IF(AND(ISBLANK(C513),ISTEXT(E513)),CONCATENATE(B513," - ",E513),IF(AND(ISBLANK(C513),ISBLANK(E513)),B513,CONCATENATE(B513," - ",D513,", ",F513,"kg/m, ",G513,"mm surface perimeter"))))&amp;IF(ISBLANK(H513),"",H513)))</f>
        <v>0</v>
      </c>
      <c r="J513" s="53"/>
      <c r="L513" s="4" t="str" cm="1">
        <f t="array" ref="L513">IF(COUNT(FIND({0,1,2,3,4,5,6,7,8,9},B513))&gt;0,COUNT(FIND({0,1,2,3,4,5,6,7,8,9},B513))&gt;0,"")</f>
        <v/>
      </c>
      <c r="M513" s="4" t="str" cm="1">
        <f t="array" aca="1" ref="M513" ca="1">IFERROR(_xlfn.IFS(R513="Count",RANDBETWEEN(1,COUNTIF($R$11:$R$653,"Count")),R513="Length",RANDBETWEEN(1,COUNTIF($R$11:$R$653,"Length"))),"")</f>
        <v/>
      </c>
      <c r="N513" s="4" t="str">
        <f ca="1">IFERROR(_xlfn.RANK.EQ(M513,$M$11:$M$653)+COUNTIF($M$11:M513,M513)-1,"")</f>
        <v/>
      </c>
      <c r="O513" s="86" t="str">
        <f>IF(A513='DATA SHEET'!$L$36,C513,IFERROR(IF(AND(ISTEXT(I513),ISBLANK(C513)),"No details",VLOOKUP(C513,DimFolder,2,FALSE)),""))</f>
        <v/>
      </c>
      <c r="P513" s="4" t="str">
        <f t="shared" si="125"/>
        <v/>
      </c>
      <c r="Q513" s="58" t="str">
        <f t="shared" si="136"/>
        <v/>
      </c>
      <c r="R513" s="4" t="e" cm="1">
        <f t="array" ref="R513">IF(INDEX(Table2[],_xlfn.XMATCH($A513,Table2[Steel Member],0),_xlfn.XMATCH(R$2,Table2[#Headers],0))=0,"",INDEX(Table2[],_xlfn.XMATCH($A513,Table2[Steel Member],0),_xlfn.XMATCH(R$2,Table2[#Headers],0)))</f>
        <v>#N/A</v>
      </c>
      <c r="S513" s="4" t="e" cm="1">
        <f t="array" ref="S513">IF(INDEX(Table2[],_xlfn.XMATCH($A513,Table2[Steel Member],0),_xlfn.XMATCH(S$2,Table2[#Headers],0))=0,"",INDEX(Table2[],_xlfn.XMATCH($A513,Table2[Steel Member],0),_xlfn.XMATCH(S$2,Table2[#Headers],0)))</f>
        <v>#N/A</v>
      </c>
      <c r="T513" s="4" t="str">
        <f t="shared" si="127"/>
        <v/>
      </c>
      <c r="U513" s="4" t="e">
        <f ca="1">VLOOKUP(N513,'COLOR CODE'!$B:$D,2,FALSE)</f>
        <v>#N/A</v>
      </c>
      <c r="V513" s="4" t="str">
        <f t="shared" si="128"/>
        <v/>
      </c>
      <c r="W513" s="4" t="e" cm="1">
        <f t="array" ref="W513">IF(INDEX(Table2[],_xlfn.XMATCH($A513,Table2[Steel Member],0),_xlfn.XMATCH(W$2,Table2[#Headers],0))=0,"",INDEX(Table2[],_xlfn.XMATCH($A513,Table2[Steel Member],0),_xlfn.XMATCH(W$2,Table2[#Headers],0)))</f>
        <v>#N/A</v>
      </c>
      <c r="X513" s="4" t="e">
        <f t="shared" si="126"/>
        <v>#N/A</v>
      </c>
      <c r="Y513" s="4" t="e" cm="1">
        <f t="array" ref="Y513">IF(INDEX(Table2[],_xlfn.XMATCH($A513,Table2[Steel Member],0),_xlfn.XMATCH(Y$2,Table2[#Headers],0))=0,"",INDEX(Table2[],_xlfn.XMATCH($A513,Table2[Steel Member],0),_xlfn.XMATCH(Y$2,Table2[#Headers],0)))</f>
        <v>#N/A</v>
      </c>
      <c r="Z513" s="4" t="e" cm="1">
        <f t="array" ref="Z513">IF(INDEX(Table2[],_xlfn.XMATCH($A513,Table2[Steel Member],0),_xlfn.XMATCH(Z$2,Table2[#Headers],0))=0,"",INDEX(Table2[],_xlfn.XMATCH($A513,Table2[Steel Member],0),_xlfn.XMATCH(Z$2,Table2[#Headers],0)))</f>
        <v>#N/A</v>
      </c>
      <c r="AA513" s="4" t="e" cm="1">
        <f t="array" ref="AA513">IF(INDEX(Table2[],_xlfn.XMATCH($A513,Table2[Steel Member],0),_xlfn.XMATCH(AA$2,Table2[#Headers],0))=0,"",INDEX(Table2[],_xlfn.XMATCH($A513,Table2[Steel Member],0),_xlfn.XMATCH(AA$2,Table2[#Headers],0)))</f>
        <v>#N/A</v>
      </c>
      <c r="AB513" s="4" t="e" cm="1">
        <f t="array" ref="AB513">IF(INDEX(Table2[],_xlfn.XMATCH($A513,Table2[Steel Member],0),_xlfn.XMATCH(AB$2,Table2[#Headers],0))=0,"",INDEX(Table2[],_xlfn.XMATCH($A513,Table2[Steel Member],0),_xlfn.XMATCH(AB$2,Table2[#Headers],0)))</f>
        <v>#N/A</v>
      </c>
      <c r="AC513" s="4" t="str" cm="1">
        <f t="array" ref="AC513">IFERROR(INDEX(Table8[],_xlfn.XMATCH($O513,Table8[Dimension Name Category],0),_xlfn.XMATCH(AC$2&amp;IF($L513," w/ tag"," w/o tag"),Table8[#Headers],0)),"")</f>
        <v/>
      </c>
      <c r="AD513" s="59" t="str">
        <f t="shared" si="129"/>
        <v/>
      </c>
      <c r="AE513" s="4" t="str">
        <f t="shared" si="130"/>
        <v/>
      </c>
      <c r="AF513" s="4" t="str">
        <f t="shared" si="131"/>
        <v/>
      </c>
      <c r="AG513" s="4" t="str" cm="1">
        <f t="array" ref="AG513">IFERROR(INDEX(Table8[],_xlfn.XMATCH($O513,Table8[Dimension Name Category],0),_xlfn.XMATCH(AG$2&amp;IF($L513," w/ tag"," w/o tag"),Table8[#Headers],0)),"")</f>
        <v/>
      </c>
      <c r="AH513" s="59" t="str">
        <f t="shared" si="132"/>
        <v/>
      </c>
      <c r="AI513" s="4"/>
      <c r="AJ513" s="4" t="str">
        <f t="shared" si="133"/>
        <v/>
      </c>
      <c r="AK513" s="4" t="str">
        <f t="shared" si="134"/>
        <v/>
      </c>
      <c r="AL513" s="4" t="e" cm="1">
        <f t="array" ref="AL513">IF(INDEX(Table2[],_xlfn.XMATCH($A513,Table2[Steel Member],0),_xlfn.XMATCH(AL$2,Table2[#Headers],0))=0,"",INDEX(Table2[],_xlfn.XMATCH($A513,Table2[Steel Member],0),_xlfn.XMATCH(AL$2,Table2[#Headers],0)))</f>
        <v>#N/A</v>
      </c>
      <c r="AM513" s="4"/>
      <c r="AN513" s="4" t="str">
        <f t="shared" si="135"/>
        <v/>
      </c>
      <c r="AO513" s="4"/>
      <c r="AP513" s="4" t="e" cm="1">
        <f t="array" ref="AP513">IF(INDEX(Table2[],_xlfn.XMATCH($A513,Table2[Steel Member],0),_xlfn.XMATCH(AP$2,Table2[#Headers],0))=0,"",INDEX(Table2[],_xlfn.XMATCH($A513,Table2[Steel Member],0),_xlfn.XMATCH(AP$2,Table2[#Headers],0)))</f>
        <v>#N/A</v>
      </c>
      <c r="AQ513" s="4"/>
      <c r="AR513" s="4"/>
      <c r="AS513" s="4"/>
      <c r="AT513" s="4"/>
    </row>
    <row r="514" spans="1:46" x14ac:dyDescent="0.25">
      <c r="A514" s="52"/>
      <c r="B514" s="52"/>
      <c r="C514" s="52"/>
      <c r="D514" s="52"/>
      <c r="E514" s="52"/>
      <c r="F514" s="64" cm="1">
        <f t="array" ref="F514">IF(COUNT(FIND(PurlinsxGirthsxBracings,$C514))&gt;0,0,ROUNDUP(IF(D514=0,0,VLOOKUP(D514,'DATA SHEET'!$B:$D,2,FALSE)),2))</f>
        <v>0</v>
      </c>
      <c r="G514" s="64" cm="1">
        <f t="array" ref="G514">IF(COUNT(FIND(PurlinsxGirthsxBracings,$C514))&gt;0,0,ROUNDUP(IF(D514=0,0,VLOOKUP(D514,'DATA SHEET'!$B:$D,3,FALSE)),2))</f>
        <v>0</v>
      </c>
      <c r="H514" s="53"/>
      <c r="I514" s="66" cm="1">
        <f t="array" ref="I514">IF(AND(ISBLANK(B514),ISBLANK(C514),ISBLANK(E514)),0,IF(COUNT(FIND(PurlinsxGirthsxBracings,$C514))&gt;0,IF(B514=0,CONCATENATE(E514," ",C514),CONCATENATE(B514," - ",E514," ",C514)),IF(B514=0,IF(ISBLANK(C514),E514,CONCATENATE(D514,", ",F514,"kg/m, ",G514,"mm surface perimeter")),IF(AND(ISBLANK(C514),ISTEXT(E514)),CONCATENATE(B514," - ",E514),IF(AND(ISBLANK(C514),ISBLANK(E514)),B514,CONCATENATE(B514," - ",D514,", ",F514,"kg/m, ",G514,"mm surface perimeter"))))&amp;IF(ISBLANK(H514),"",H514)))</f>
        <v>0</v>
      </c>
      <c r="J514" s="53"/>
      <c r="L514" s="4" t="str" cm="1">
        <f t="array" ref="L514">IF(COUNT(FIND({0,1,2,3,4,5,6,7,8,9},B514))&gt;0,COUNT(FIND({0,1,2,3,4,5,6,7,8,9},B514))&gt;0,"")</f>
        <v/>
      </c>
      <c r="M514" s="4" t="str" cm="1">
        <f t="array" aca="1" ref="M514" ca="1">IFERROR(_xlfn.IFS(R514="Count",RANDBETWEEN(1,COUNTIF($R$11:$R$653,"Count")),R514="Length",RANDBETWEEN(1,COUNTIF($R$11:$R$653,"Length"))),"")</f>
        <v/>
      </c>
      <c r="N514" s="4" t="str">
        <f ca="1">IFERROR(_xlfn.RANK.EQ(M514,$M$11:$M$653)+COUNTIF($M$11:M514,M514)-1,"")</f>
        <v/>
      </c>
      <c r="O514" s="86" t="str">
        <f>IF(A514='DATA SHEET'!$L$36,C514,IFERROR(IF(AND(ISTEXT(I514),ISBLANK(C514)),"No details",VLOOKUP(C514,DimFolder,2,FALSE)),""))</f>
        <v/>
      </c>
      <c r="P514" s="4" t="str">
        <f t="shared" si="125"/>
        <v/>
      </c>
      <c r="Q514" s="58" t="str">
        <f t="shared" si="136"/>
        <v/>
      </c>
      <c r="R514" s="4" t="e" cm="1">
        <f t="array" ref="R514">IF(INDEX(Table2[],_xlfn.XMATCH($A514,Table2[Steel Member],0),_xlfn.XMATCH(R$2,Table2[#Headers],0))=0,"",INDEX(Table2[],_xlfn.XMATCH($A514,Table2[Steel Member],0),_xlfn.XMATCH(R$2,Table2[#Headers],0)))</f>
        <v>#N/A</v>
      </c>
      <c r="S514" s="4" t="e" cm="1">
        <f t="array" ref="S514">IF(INDEX(Table2[],_xlfn.XMATCH($A514,Table2[Steel Member],0),_xlfn.XMATCH(S$2,Table2[#Headers],0))=0,"",INDEX(Table2[],_xlfn.XMATCH($A514,Table2[Steel Member],0),_xlfn.XMATCH(S$2,Table2[#Headers],0)))</f>
        <v>#N/A</v>
      </c>
      <c r="T514" s="4" t="str">
        <f t="shared" si="127"/>
        <v/>
      </c>
      <c r="U514" s="4" t="e">
        <f ca="1">VLOOKUP(N514,'COLOR CODE'!$B:$D,2,FALSE)</f>
        <v>#N/A</v>
      </c>
      <c r="V514" s="4" t="str">
        <f t="shared" si="128"/>
        <v/>
      </c>
      <c r="W514" s="4" t="e" cm="1">
        <f t="array" ref="W514">IF(INDEX(Table2[],_xlfn.XMATCH($A514,Table2[Steel Member],0),_xlfn.XMATCH(W$2,Table2[#Headers],0))=0,"",INDEX(Table2[],_xlfn.XMATCH($A514,Table2[Steel Member],0),_xlfn.XMATCH(W$2,Table2[#Headers],0)))</f>
        <v>#N/A</v>
      </c>
      <c r="X514" s="4" t="e">
        <f t="shared" si="126"/>
        <v>#N/A</v>
      </c>
      <c r="Y514" s="4" t="e" cm="1">
        <f t="array" ref="Y514">IF(INDEX(Table2[],_xlfn.XMATCH($A514,Table2[Steel Member],0),_xlfn.XMATCH(Y$2,Table2[#Headers],0))=0,"",INDEX(Table2[],_xlfn.XMATCH($A514,Table2[Steel Member],0),_xlfn.XMATCH(Y$2,Table2[#Headers],0)))</f>
        <v>#N/A</v>
      </c>
      <c r="Z514" s="4" t="e" cm="1">
        <f t="array" ref="Z514">IF(INDEX(Table2[],_xlfn.XMATCH($A514,Table2[Steel Member],0),_xlfn.XMATCH(Z$2,Table2[#Headers],0))=0,"",INDEX(Table2[],_xlfn.XMATCH($A514,Table2[Steel Member],0),_xlfn.XMATCH(Z$2,Table2[#Headers],0)))</f>
        <v>#N/A</v>
      </c>
      <c r="AA514" s="4" t="e" cm="1">
        <f t="array" ref="AA514">IF(INDEX(Table2[],_xlfn.XMATCH($A514,Table2[Steel Member],0),_xlfn.XMATCH(AA$2,Table2[#Headers],0))=0,"",INDEX(Table2[],_xlfn.XMATCH($A514,Table2[Steel Member],0),_xlfn.XMATCH(AA$2,Table2[#Headers],0)))</f>
        <v>#N/A</v>
      </c>
      <c r="AB514" s="4" t="e" cm="1">
        <f t="array" ref="AB514">IF(INDEX(Table2[],_xlfn.XMATCH($A514,Table2[Steel Member],0),_xlfn.XMATCH(AB$2,Table2[#Headers],0))=0,"",INDEX(Table2[],_xlfn.XMATCH($A514,Table2[Steel Member],0),_xlfn.XMATCH(AB$2,Table2[#Headers],0)))</f>
        <v>#N/A</v>
      </c>
      <c r="AC514" s="4" t="str" cm="1">
        <f t="array" ref="AC514">IFERROR(INDEX(Table8[],_xlfn.XMATCH($O514,Table8[Dimension Name Category],0),_xlfn.XMATCH(AC$2&amp;IF($L514," w/ tag"," w/o tag"),Table8[#Headers],0)),"")</f>
        <v/>
      </c>
      <c r="AD514" s="59" t="str">
        <f t="shared" si="129"/>
        <v/>
      </c>
      <c r="AE514" s="4" t="str">
        <f t="shared" si="130"/>
        <v/>
      </c>
      <c r="AF514" s="4" t="str">
        <f t="shared" si="131"/>
        <v/>
      </c>
      <c r="AG514" s="4" t="str" cm="1">
        <f t="array" ref="AG514">IFERROR(INDEX(Table8[],_xlfn.XMATCH($O514,Table8[Dimension Name Category],0),_xlfn.XMATCH(AG$2&amp;IF($L514," w/ tag"," w/o tag"),Table8[#Headers],0)),"")</f>
        <v/>
      </c>
      <c r="AH514" s="59" t="str">
        <f t="shared" si="132"/>
        <v/>
      </c>
      <c r="AI514" s="4"/>
      <c r="AJ514" s="4" t="str">
        <f t="shared" si="133"/>
        <v/>
      </c>
      <c r="AK514" s="4" t="str">
        <f t="shared" si="134"/>
        <v/>
      </c>
      <c r="AL514" s="4" t="e" cm="1">
        <f t="array" ref="AL514">IF(INDEX(Table2[],_xlfn.XMATCH($A514,Table2[Steel Member],0),_xlfn.XMATCH(AL$2,Table2[#Headers],0))=0,"",INDEX(Table2[],_xlfn.XMATCH($A514,Table2[Steel Member],0),_xlfn.XMATCH(AL$2,Table2[#Headers],0)))</f>
        <v>#N/A</v>
      </c>
      <c r="AM514" s="4"/>
      <c r="AN514" s="4" t="str">
        <f t="shared" si="135"/>
        <v/>
      </c>
      <c r="AO514" s="4"/>
      <c r="AP514" s="4" t="e" cm="1">
        <f t="array" ref="AP514">IF(INDEX(Table2[],_xlfn.XMATCH($A514,Table2[Steel Member],0),_xlfn.XMATCH(AP$2,Table2[#Headers],0))=0,"",INDEX(Table2[],_xlfn.XMATCH($A514,Table2[Steel Member],0),_xlfn.XMATCH(AP$2,Table2[#Headers],0)))</f>
        <v>#N/A</v>
      </c>
      <c r="AQ514" s="4"/>
      <c r="AR514" s="4"/>
      <c r="AS514" s="4"/>
      <c r="AT514" s="4"/>
    </row>
    <row r="515" spans="1:46" x14ac:dyDescent="0.25">
      <c r="A515" s="52"/>
      <c r="B515" s="52"/>
      <c r="C515" s="52"/>
      <c r="D515" s="52"/>
      <c r="E515" s="52"/>
      <c r="F515" s="64" cm="1">
        <f t="array" ref="F515">IF(COUNT(FIND(PurlinsxGirthsxBracings,$C515))&gt;0,0,ROUNDUP(IF(D515=0,0,VLOOKUP(D515,'DATA SHEET'!$B:$D,2,FALSE)),2))</f>
        <v>0</v>
      </c>
      <c r="G515" s="64" cm="1">
        <f t="array" ref="G515">IF(COUNT(FIND(PurlinsxGirthsxBracings,$C515))&gt;0,0,ROUNDUP(IF(D515=0,0,VLOOKUP(D515,'DATA SHEET'!$B:$D,3,FALSE)),2))</f>
        <v>0</v>
      </c>
      <c r="H515" s="53"/>
      <c r="I515" s="66" cm="1">
        <f t="array" ref="I515">IF(AND(ISBLANK(B515),ISBLANK(C515),ISBLANK(E515)),0,IF(COUNT(FIND(PurlinsxGirthsxBracings,$C515))&gt;0,IF(B515=0,CONCATENATE(E515," ",C515),CONCATENATE(B515," - ",E515," ",C515)),IF(B515=0,IF(ISBLANK(C515),E515,CONCATENATE(D515,", ",F515,"kg/m, ",G515,"mm surface perimeter")),IF(AND(ISBLANK(C515),ISTEXT(E515)),CONCATENATE(B515," - ",E515),IF(AND(ISBLANK(C515),ISBLANK(E515)),B515,CONCATENATE(B515," - ",D515,", ",F515,"kg/m, ",G515,"mm surface perimeter"))))&amp;IF(ISBLANK(H515),"",H515)))</f>
        <v>0</v>
      </c>
      <c r="J515" s="53"/>
      <c r="L515" s="4" t="str" cm="1">
        <f t="array" ref="L515">IF(COUNT(FIND({0,1,2,3,4,5,6,7,8,9},B515))&gt;0,COUNT(FIND({0,1,2,3,4,5,6,7,8,9},B515))&gt;0,"")</f>
        <v/>
      </c>
      <c r="M515" s="4" t="str" cm="1">
        <f t="array" aca="1" ref="M515" ca="1">IFERROR(_xlfn.IFS(R515="Count",RANDBETWEEN(1,COUNTIF($R$11:$R$653,"Count")),R515="Length",RANDBETWEEN(1,COUNTIF($R$11:$R$653,"Length"))),"")</f>
        <v/>
      </c>
      <c r="N515" s="4" t="str">
        <f ca="1">IFERROR(_xlfn.RANK.EQ(M515,$M$11:$M$653)+COUNTIF($M$11:M515,M515)-1,"")</f>
        <v/>
      </c>
      <c r="O515" s="86" t="str">
        <f>IF(A515='DATA SHEET'!$L$36,C515,IFERROR(IF(AND(ISTEXT(I515),ISBLANK(C515)),"No details",VLOOKUP(C515,DimFolder,2,FALSE)),""))</f>
        <v/>
      </c>
      <c r="P515" s="4" t="str">
        <f t="shared" si="125"/>
        <v/>
      </c>
      <c r="Q515" s="58" t="str">
        <f t="shared" si="136"/>
        <v/>
      </c>
      <c r="R515" s="4" t="e" cm="1">
        <f t="array" ref="R515">IF(INDEX(Table2[],_xlfn.XMATCH($A515,Table2[Steel Member],0),_xlfn.XMATCH(R$2,Table2[#Headers],0))=0,"",INDEX(Table2[],_xlfn.XMATCH($A515,Table2[Steel Member],0),_xlfn.XMATCH(R$2,Table2[#Headers],0)))</f>
        <v>#N/A</v>
      </c>
      <c r="S515" s="4" t="e" cm="1">
        <f t="array" ref="S515">IF(INDEX(Table2[],_xlfn.XMATCH($A515,Table2[Steel Member],0),_xlfn.XMATCH(S$2,Table2[#Headers],0))=0,"",INDEX(Table2[],_xlfn.XMATCH($A515,Table2[Steel Member],0),_xlfn.XMATCH(S$2,Table2[#Headers],0)))</f>
        <v>#N/A</v>
      </c>
      <c r="T515" s="4" t="str">
        <f t="shared" si="127"/>
        <v/>
      </c>
      <c r="U515" s="4" t="e">
        <f ca="1">VLOOKUP(N515,'COLOR CODE'!$B:$D,2,FALSE)</f>
        <v>#N/A</v>
      </c>
      <c r="V515" s="4" t="str">
        <f t="shared" si="128"/>
        <v/>
      </c>
      <c r="W515" s="4" t="e" cm="1">
        <f t="array" ref="W515">IF(INDEX(Table2[],_xlfn.XMATCH($A515,Table2[Steel Member],0),_xlfn.XMATCH(W$2,Table2[#Headers],0))=0,"",INDEX(Table2[],_xlfn.XMATCH($A515,Table2[Steel Member],0),_xlfn.XMATCH(W$2,Table2[#Headers],0)))</f>
        <v>#N/A</v>
      </c>
      <c r="X515" s="4" t="e">
        <f t="shared" si="126"/>
        <v>#N/A</v>
      </c>
      <c r="Y515" s="4" t="e" cm="1">
        <f t="array" ref="Y515">IF(INDEX(Table2[],_xlfn.XMATCH($A515,Table2[Steel Member],0),_xlfn.XMATCH(Y$2,Table2[#Headers],0))=0,"",INDEX(Table2[],_xlfn.XMATCH($A515,Table2[Steel Member],0),_xlfn.XMATCH(Y$2,Table2[#Headers],0)))</f>
        <v>#N/A</v>
      </c>
      <c r="Z515" s="4" t="e" cm="1">
        <f t="array" ref="Z515">IF(INDEX(Table2[],_xlfn.XMATCH($A515,Table2[Steel Member],0),_xlfn.XMATCH(Z$2,Table2[#Headers],0))=0,"",INDEX(Table2[],_xlfn.XMATCH($A515,Table2[Steel Member],0),_xlfn.XMATCH(Z$2,Table2[#Headers],0)))</f>
        <v>#N/A</v>
      </c>
      <c r="AA515" s="4" t="e" cm="1">
        <f t="array" ref="AA515">IF(INDEX(Table2[],_xlfn.XMATCH($A515,Table2[Steel Member],0),_xlfn.XMATCH(AA$2,Table2[#Headers],0))=0,"",INDEX(Table2[],_xlfn.XMATCH($A515,Table2[Steel Member],0),_xlfn.XMATCH(AA$2,Table2[#Headers],0)))</f>
        <v>#N/A</v>
      </c>
      <c r="AB515" s="4" t="e" cm="1">
        <f t="array" ref="AB515">IF(INDEX(Table2[],_xlfn.XMATCH($A515,Table2[Steel Member],0),_xlfn.XMATCH(AB$2,Table2[#Headers],0))=0,"",INDEX(Table2[],_xlfn.XMATCH($A515,Table2[Steel Member],0),_xlfn.XMATCH(AB$2,Table2[#Headers],0)))</f>
        <v>#N/A</v>
      </c>
      <c r="AC515" s="4" t="str" cm="1">
        <f t="array" ref="AC515">IFERROR(INDEX(Table8[],_xlfn.XMATCH($O515,Table8[Dimension Name Category],0),_xlfn.XMATCH(AC$2&amp;IF($L515," w/ tag"," w/o tag"),Table8[#Headers],0)),"")</f>
        <v/>
      </c>
      <c r="AD515" s="59" t="str">
        <f t="shared" si="129"/>
        <v/>
      </c>
      <c r="AE515" s="4" t="str">
        <f t="shared" si="130"/>
        <v/>
      </c>
      <c r="AF515" s="4" t="str">
        <f t="shared" si="131"/>
        <v/>
      </c>
      <c r="AG515" s="4" t="str" cm="1">
        <f t="array" ref="AG515">IFERROR(INDEX(Table8[],_xlfn.XMATCH($O515,Table8[Dimension Name Category],0),_xlfn.XMATCH(AG$2&amp;IF($L515," w/ tag"," w/o tag"),Table8[#Headers],0)),"")</f>
        <v/>
      </c>
      <c r="AH515" s="59" t="str">
        <f t="shared" si="132"/>
        <v/>
      </c>
      <c r="AI515" s="4"/>
      <c r="AJ515" s="4" t="str">
        <f t="shared" si="133"/>
        <v/>
      </c>
      <c r="AK515" s="4" t="str">
        <f t="shared" si="134"/>
        <v/>
      </c>
      <c r="AL515" s="4" t="e" cm="1">
        <f t="array" ref="AL515">IF(INDEX(Table2[],_xlfn.XMATCH($A515,Table2[Steel Member],0),_xlfn.XMATCH(AL$2,Table2[#Headers],0))=0,"",INDEX(Table2[],_xlfn.XMATCH($A515,Table2[Steel Member],0),_xlfn.XMATCH(AL$2,Table2[#Headers],0)))</f>
        <v>#N/A</v>
      </c>
      <c r="AM515" s="4"/>
      <c r="AN515" s="4" t="str">
        <f t="shared" si="135"/>
        <v/>
      </c>
      <c r="AO515" s="4"/>
      <c r="AP515" s="4" t="e" cm="1">
        <f t="array" ref="AP515">IF(INDEX(Table2[],_xlfn.XMATCH($A515,Table2[Steel Member],0),_xlfn.XMATCH(AP$2,Table2[#Headers],0))=0,"",INDEX(Table2[],_xlfn.XMATCH($A515,Table2[Steel Member],0),_xlfn.XMATCH(AP$2,Table2[#Headers],0)))</f>
        <v>#N/A</v>
      </c>
      <c r="AQ515" s="4"/>
      <c r="AR515" s="4"/>
      <c r="AS515" s="4"/>
      <c r="AT515" s="4"/>
    </row>
    <row r="516" spans="1:46" x14ac:dyDescent="0.25">
      <c r="A516" s="52"/>
      <c r="B516" s="52"/>
      <c r="C516" s="52"/>
      <c r="D516" s="52"/>
      <c r="E516" s="52"/>
      <c r="F516" s="64" cm="1">
        <f t="array" ref="F516">IF(COUNT(FIND(PurlinsxGirthsxBracings,$C516))&gt;0,0,ROUNDUP(IF(D516=0,0,VLOOKUP(D516,'DATA SHEET'!$B:$D,2,FALSE)),2))</f>
        <v>0</v>
      </c>
      <c r="G516" s="64" cm="1">
        <f t="array" ref="G516">IF(COUNT(FIND(PurlinsxGirthsxBracings,$C516))&gt;0,0,ROUNDUP(IF(D516=0,0,VLOOKUP(D516,'DATA SHEET'!$B:$D,3,FALSE)),2))</f>
        <v>0</v>
      </c>
      <c r="H516" s="53"/>
      <c r="I516" s="66" cm="1">
        <f t="array" ref="I516">IF(AND(ISBLANK(B516),ISBLANK(C516),ISBLANK(E516)),0,IF(COUNT(FIND(PurlinsxGirthsxBracings,$C516))&gt;0,IF(B516=0,CONCATENATE(E516," ",C516),CONCATENATE(B516," - ",E516," ",C516)),IF(B516=0,IF(ISBLANK(C516),E516,CONCATENATE(D516,", ",F516,"kg/m, ",G516,"mm surface perimeter")),IF(AND(ISBLANK(C516),ISTEXT(E516)),CONCATENATE(B516," - ",E516),IF(AND(ISBLANK(C516),ISBLANK(E516)),B516,CONCATENATE(B516," - ",D516,", ",F516,"kg/m, ",G516,"mm surface perimeter"))))&amp;IF(ISBLANK(H516),"",H516)))</f>
        <v>0</v>
      </c>
      <c r="J516" s="53"/>
      <c r="L516" s="4" t="str" cm="1">
        <f t="array" ref="L516">IF(COUNT(FIND({0,1,2,3,4,5,6,7,8,9},B516))&gt;0,COUNT(FIND({0,1,2,3,4,5,6,7,8,9},B516))&gt;0,"")</f>
        <v/>
      </c>
      <c r="M516" s="4" t="str" cm="1">
        <f t="array" aca="1" ref="M516" ca="1">IFERROR(_xlfn.IFS(R516="Count",RANDBETWEEN(1,COUNTIF($R$11:$R$653,"Count")),R516="Length",RANDBETWEEN(1,COUNTIF($R$11:$R$653,"Length"))),"")</f>
        <v/>
      </c>
      <c r="N516" s="4" t="str">
        <f ca="1">IFERROR(_xlfn.RANK.EQ(M516,$M$11:$M$653)+COUNTIF($M$11:M516,M516)-1,"")</f>
        <v/>
      </c>
      <c r="O516" s="86" t="str">
        <f>IF(A516='DATA SHEET'!$L$36,C516,IFERROR(IF(AND(ISTEXT(I516),ISBLANK(C516)),"No details",VLOOKUP(C516,DimFolder,2,FALSE)),""))</f>
        <v/>
      </c>
      <c r="P516" s="4" t="str">
        <f t="shared" si="125"/>
        <v/>
      </c>
      <c r="Q516" s="58" t="str">
        <f t="shared" si="136"/>
        <v/>
      </c>
      <c r="R516" s="4" t="e" cm="1">
        <f t="array" ref="R516">IF(INDEX(Table2[],_xlfn.XMATCH($A516,Table2[Steel Member],0),_xlfn.XMATCH(R$2,Table2[#Headers],0))=0,"",INDEX(Table2[],_xlfn.XMATCH($A516,Table2[Steel Member],0),_xlfn.XMATCH(R$2,Table2[#Headers],0)))</f>
        <v>#N/A</v>
      </c>
      <c r="S516" s="4" t="e" cm="1">
        <f t="array" ref="S516">IF(INDEX(Table2[],_xlfn.XMATCH($A516,Table2[Steel Member],0),_xlfn.XMATCH(S$2,Table2[#Headers],0))=0,"",INDEX(Table2[],_xlfn.XMATCH($A516,Table2[Steel Member],0),_xlfn.XMATCH(S$2,Table2[#Headers],0)))</f>
        <v>#N/A</v>
      </c>
      <c r="T516" s="4" t="str">
        <f t="shared" si="127"/>
        <v/>
      </c>
      <c r="U516" s="4" t="e">
        <f ca="1">VLOOKUP(N516,'COLOR CODE'!$B:$D,2,FALSE)</f>
        <v>#N/A</v>
      </c>
      <c r="V516" s="4" t="str">
        <f t="shared" si="128"/>
        <v/>
      </c>
      <c r="W516" s="4" t="e" cm="1">
        <f t="array" ref="W516">IF(INDEX(Table2[],_xlfn.XMATCH($A516,Table2[Steel Member],0),_xlfn.XMATCH(W$2,Table2[#Headers],0))=0,"",INDEX(Table2[],_xlfn.XMATCH($A516,Table2[Steel Member],0),_xlfn.XMATCH(W$2,Table2[#Headers],0)))</f>
        <v>#N/A</v>
      </c>
      <c r="X516" s="4" t="e">
        <f t="shared" si="126"/>
        <v>#N/A</v>
      </c>
      <c r="Y516" s="4" t="e" cm="1">
        <f t="array" ref="Y516">IF(INDEX(Table2[],_xlfn.XMATCH($A516,Table2[Steel Member],0),_xlfn.XMATCH(Y$2,Table2[#Headers],0))=0,"",INDEX(Table2[],_xlfn.XMATCH($A516,Table2[Steel Member],0),_xlfn.XMATCH(Y$2,Table2[#Headers],0)))</f>
        <v>#N/A</v>
      </c>
      <c r="Z516" s="4" t="e" cm="1">
        <f t="array" ref="Z516">IF(INDEX(Table2[],_xlfn.XMATCH($A516,Table2[Steel Member],0),_xlfn.XMATCH(Z$2,Table2[#Headers],0))=0,"",INDEX(Table2[],_xlfn.XMATCH($A516,Table2[Steel Member],0),_xlfn.XMATCH(Z$2,Table2[#Headers],0)))</f>
        <v>#N/A</v>
      </c>
      <c r="AA516" s="4" t="e" cm="1">
        <f t="array" ref="AA516">IF(INDEX(Table2[],_xlfn.XMATCH($A516,Table2[Steel Member],0),_xlfn.XMATCH(AA$2,Table2[#Headers],0))=0,"",INDEX(Table2[],_xlfn.XMATCH($A516,Table2[Steel Member],0),_xlfn.XMATCH(AA$2,Table2[#Headers],0)))</f>
        <v>#N/A</v>
      </c>
      <c r="AB516" s="4" t="e" cm="1">
        <f t="array" ref="AB516">IF(INDEX(Table2[],_xlfn.XMATCH($A516,Table2[Steel Member],0),_xlfn.XMATCH(AB$2,Table2[#Headers],0))=0,"",INDEX(Table2[],_xlfn.XMATCH($A516,Table2[Steel Member],0),_xlfn.XMATCH(AB$2,Table2[#Headers],0)))</f>
        <v>#N/A</v>
      </c>
      <c r="AC516" s="4" t="str" cm="1">
        <f t="array" ref="AC516">IFERROR(INDEX(Table8[],_xlfn.XMATCH($O516,Table8[Dimension Name Category],0),_xlfn.XMATCH(AC$2&amp;IF($L516," w/ tag"," w/o tag"),Table8[#Headers],0)),"")</f>
        <v/>
      </c>
      <c r="AD516" s="59" t="str">
        <f t="shared" si="129"/>
        <v/>
      </c>
      <c r="AE516" s="4" t="str">
        <f t="shared" si="130"/>
        <v/>
      </c>
      <c r="AF516" s="4" t="str">
        <f t="shared" si="131"/>
        <v/>
      </c>
      <c r="AG516" s="4" t="str" cm="1">
        <f t="array" ref="AG516">IFERROR(INDEX(Table8[],_xlfn.XMATCH($O516,Table8[Dimension Name Category],0),_xlfn.XMATCH(AG$2&amp;IF($L516," w/ tag"," w/o tag"),Table8[#Headers],0)),"")</f>
        <v/>
      </c>
      <c r="AH516" s="59" t="str">
        <f t="shared" si="132"/>
        <v/>
      </c>
      <c r="AI516" s="4"/>
      <c r="AJ516" s="4" t="str">
        <f t="shared" si="133"/>
        <v/>
      </c>
      <c r="AK516" s="4" t="str">
        <f t="shared" si="134"/>
        <v/>
      </c>
      <c r="AL516" s="4" t="e" cm="1">
        <f t="array" ref="AL516">IF(INDEX(Table2[],_xlfn.XMATCH($A516,Table2[Steel Member],0),_xlfn.XMATCH(AL$2,Table2[#Headers],0))=0,"",INDEX(Table2[],_xlfn.XMATCH($A516,Table2[Steel Member],0),_xlfn.XMATCH(AL$2,Table2[#Headers],0)))</f>
        <v>#N/A</v>
      </c>
      <c r="AM516" s="4"/>
      <c r="AN516" s="4" t="str">
        <f t="shared" si="135"/>
        <v/>
      </c>
      <c r="AO516" s="4"/>
      <c r="AP516" s="4" t="e" cm="1">
        <f t="array" ref="AP516">IF(INDEX(Table2[],_xlfn.XMATCH($A516,Table2[Steel Member],0),_xlfn.XMATCH(AP$2,Table2[#Headers],0))=0,"",INDEX(Table2[],_xlfn.XMATCH($A516,Table2[Steel Member],0),_xlfn.XMATCH(AP$2,Table2[#Headers],0)))</f>
        <v>#N/A</v>
      </c>
      <c r="AQ516" s="4"/>
      <c r="AR516" s="4"/>
      <c r="AS516" s="4"/>
      <c r="AT516" s="4"/>
    </row>
    <row r="517" spans="1:46" x14ac:dyDescent="0.25">
      <c r="A517" s="52"/>
      <c r="B517" s="52"/>
      <c r="C517" s="52"/>
      <c r="D517" s="52"/>
      <c r="E517" s="52"/>
      <c r="F517" s="64" cm="1">
        <f t="array" ref="F517">IF(COUNT(FIND(PurlinsxGirthsxBracings,$C517))&gt;0,0,ROUNDUP(IF(D517=0,0,VLOOKUP(D517,'DATA SHEET'!$B:$D,2,FALSE)),2))</f>
        <v>0</v>
      </c>
      <c r="G517" s="64" cm="1">
        <f t="array" ref="G517">IF(COUNT(FIND(PurlinsxGirthsxBracings,$C517))&gt;0,0,ROUNDUP(IF(D517=0,0,VLOOKUP(D517,'DATA SHEET'!$B:$D,3,FALSE)),2))</f>
        <v>0</v>
      </c>
      <c r="H517" s="53"/>
      <c r="I517" s="66" cm="1">
        <f t="array" ref="I517">IF(AND(ISBLANK(B517),ISBLANK(C517),ISBLANK(E517)),0,IF(COUNT(FIND(PurlinsxGirthsxBracings,$C517))&gt;0,IF(B517=0,CONCATENATE(E517," ",C517),CONCATENATE(B517," - ",E517," ",C517)),IF(B517=0,IF(ISBLANK(C517),E517,CONCATENATE(D517,", ",F517,"kg/m, ",G517,"mm surface perimeter")),IF(AND(ISBLANK(C517),ISTEXT(E517)),CONCATENATE(B517," - ",E517),IF(AND(ISBLANK(C517),ISBLANK(E517)),B517,CONCATENATE(B517," - ",D517,", ",F517,"kg/m, ",G517,"mm surface perimeter"))))&amp;IF(ISBLANK(H517),"",H517)))</f>
        <v>0</v>
      </c>
      <c r="J517" s="53"/>
      <c r="L517" s="4" t="str" cm="1">
        <f t="array" ref="L517">IF(COUNT(FIND({0,1,2,3,4,5,6,7,8,9},B517))&gt;0,COUNT(FIND({0,1,2,3,4,5,6,7,8,9},B517))&gt;0,"")</f>
        <v/>
      </c>
      <c r="M517" s="4" t="str" cm="1">
        <f t="array" aca="1" ref="M517" ca="1">IFERROR(_xlfn.IFS(R517="Count",RANDBETWEEN(1,COUNTIF($R$11:$R$653,"Count")),R517="Length",RANDBETWEEN(1,COUNTIF($R$11:$R$653,"Length"))),"")</f>
        <v/>
      </c>
      <c r="N517" s="4" t="str">
        <f ca="1">IFERROR(_xlfn.RANK.EQ(M517,$M$11:$M$653)+COUNTIF($M$11:M517,M517)-1,"")</f>
        <v/>
      </c>
      <c r="O517" s="86" t="str">
        <f>IF(A517='DATA SHEET'!$L$36,C517,IFERROR(IF(AND(ISTEXT(I517),ISBLANK(C517)),"No details",VLOOKUP(C517,DimFolder,2,FALSE)),""))</f>
        <v/>
      </c>
      <c r="P517" s="4" t="str">
        <f t="shared" si="125"/>
        <v/>
      </c>
      <c r="Q517" s="58" t="str">
        <f t="shared" si="136"/>
        <v/>
      </c>
      <c r="R517" s="4" t="e" cm="1">
        <f t="array" ref="R517">IF(INDEX(Table2[],_xlfn.XMATCH($A517,Table2[Steel Member],0),_xlfn.XMATCH(R$2,Table2[#Headers],0))=0,"",INDEX(Table2[],_xlfn.XMATCH($A517,Table2[Steel Member],0),_xlfn.XMATCH(R$2,Table2[#Headers],0)))</f>
        <v>#N/A</v>
      </c>
      <c r="S517" s="4" t="e" cm="1">
        <f t="array" ref="S517">IF(INDEX(Table2[],_xlfn.XMATCH($A517,Table2[Steel Member],0),_xlfn.XMATCH(S$2,Table2[#Headers],0))=0,"",INDEX(Table2[],_xlfn.XMATCH($A517,Table2[Steel Member],0),_xlfn.XMATCH(S$2,Table2[#Headers],0)))</f>
        <v>#N/A</v>
      </c>
      <c r="T517" s="4" t="str">
        <f t="shared" si="127"/>
        <v/>
      </c>
      <c r="U517" s="4" t="e">
        <f ca="1">VLOOKUP(N517,'COLOR CODE'!$B:$D,2,FALSE)</f>
        <v>#N/A</v>
      </c>
      <c r="V517" s="4" t="str">
        <f t="shared" si="128"/>
        <v/>
      </c>
      <c r="W517" s="4" t="e" cm="1">
        <f t="array" ref="W517">IF(INDEX(Table2[],_xlfn.XMATCH($A517,Table2[Steel Member],0),_xlfn.XMATCH(W$2,Table2[#Headers],0))=0,"",INDEX(Table2[],_xlfn.XMATCH($A517,Table2[Steel Member],0),_xlfn.XMATCH(W$2,Table2[#Headers],0)))</f>
        <v>#N/A</v>
      </c>
      <c r="X517" s="4" t="e">
        <f t="shared" si="126"/>
        <v>#N/A</v>
      </c>
      <c r="Y517" s="4" t="e" cm="1">
        <f t="array" ref="Y517">IF(INDEX(Table2[],_xlfn.XMATCH($A517,Table2[Steel Member],0),_xlfn.XMATCH(Y$2,Table2[#Headers],0))=0,"",INDEX(Table2[],_xlfn.XMATCH($A517,Table2[Steel Member],0),_xlfn.XMATCH(Y$2,Table2[#Headers],0)))</f>
        <v>#N/A</v>
      </c>
      <c r="Z517" s="4" t="e" cm="1">
        <f t="array" ref="Z517">IF(INDEX(Table2[],_xlfn.XMATCH($A517,Table2[Steel Member],0),_xlfn.XMATCH(Z$2,Table2[#Headers],0))=0,"",INDEX(Table2[],_xlfn.XMATCH($A517,Table2[Steel Member],0),_xlfn.XMATCH(Z$2,Table2[#Headers],0)))</f>
        <v>#N/A</v>
      </c>
      <c r="AA517" s="4" t="e" cm="1">
        <f t="array" ref="AA517">IF(INDEX(Table2[],_xlfn.XMATCH($A517,Table2[Steel Member],0),_xlfn.XMATCH(AA$2,Table2[#Headers],0))=0,"",INDEX(Table2[],_xlfn.XMATCH($A517,Table2[Steel Member],0),_xlfn.XMATCH(AA$2,Table2[#Headers],0)))</f>
        <v>#N/A</v>
      </c>
      <c r="AB517" s="4" t="e" cm="1">
        <f t="array" ref="AB517">IF(INDEX(Table2[],_xlfn.XMATCH($A517,Table2[Steel Member],0),_xlfn.XMATCH(AB$2,Table2[#Headers],0))=0,"",INDEX(Table2[],_xlfn.XMATCH($A517,Table2[Steel Member],0),_xlfn.XMATCH(AB$2,Table2[#Headers],0)))</f>
        <v>#N/A</v>
      </c>
      <c r="AC517" s="4" t="str" cm="1">
        <f t="array" ref="AC517">IFERROR(INDEX(Table8[],_xlfn.XMATCH($O517,Table8[Dimension Name Category],0),_xlfn.XMATCH(AC$2&amp;IF($L517," w/ tag"," w/o tag"),Table8[#Headers],0)),"")</f>
        <v/>
      </c>
      <c r="AD517" s="59" t="str">
        <f t="shared" si="129"/>
        <v/>
      </c>
      <c r="AE517" s="4" t="str">
        <f t="shared" si="130"/>
        <v/>
      </c>
      <c r="AF517" s="4" t="str">
        <f t="shared" si="131"/>
        <v/>
      </c>
      <c r="AG517" s="4" t="str" cm="1">
        <f t="array" ref="AG517">IFERROR(INDEX(Table8[],_xlfn.XMATCH($O517,Table8[Dimension Name Category],0),_xlfn.XMATCH(AG$2&amp;IF($L517," w/ tag"," w/o tag"),Table8[#Headers],0)),"")</f>
        <v/>
      </c>
      <c r="AH517" s="59" t="str">
        <f t="shared" si="132"/>
        <v/>
      </c>
      <c r="AI517" s="4"/>
      <c r="AJ517" s="4" t="str">
        <f t="shared" si="133"/>
        <v/>
      </c>
      <c r="AK517" s="4" t="str">
        <f t="shared" si="134"/>
        <v/>
      </c>
      <c r="AL517" s="4" t="e" cm="1">
        <f t="array" ref="AL517">IF(INDEX(Table2[],_xlfn.XMATCH($A517,Table2[Steel Member],0),_xlfn.XMATCH(AL$2,Table2[#Headers],0))=0,"",INDEX(Table2[],_xlfn.XMATCH($A517,Table2[Steel Member],0),_xlfn.XMATCH(AL$2,Table2[#Headers],0)))</f>
        <v>#N/A</v>
      </c>
      <c r="AM517" s="4"/>
      <c r="AN517" s="4" t="str">
        <f t="shared" si="135"/>
        <v/>
      </c>
      <c r="AO517" s="4"/>
      <c r="AP517" s="4" t="e" cm="1">
        <f t="array" ref="AP517">IF(INDEX(Table2[],_xlfn.XMATCH($A517,Table2[Steel Member],0),_xlfn.XMATCH(AP$2,Table2[#Headers],0))=0,"",INDEX(Table2[],_xlfn.XMATCH($A517,Table2[Steel Member],0),_xlfn.XMATCH(AP$2,Table2[#Headers],0)))</f>
        <v>#N/A</v>
      </c>
      <c r="AQ517" s="4"/>
      <c r="AR517" s="4"/>
      <c r="AS517" s="4"/>
      <c r="AT517" s="4"/>
    </row>
    <row r="518" spans="1:46" x14ac:dyDescent="0.25">
      <c r="A518" s="52"/>
      <c r="B518" s="52"/>
      <c r="C518" s="52"/>
      <c r="D518" s="52"/>
      <c r="E518" s="52"/>
      <c r="F518" s="64" cm="1">
        <f t="array" ref="F518">IF(COUNT(FIND(PurlinsxGirthsxBracings,$C518))&gt;0,0,ROUNDUP(IF(D518=0,0,VLOOKUP(D518,'DATA SHEET'!$B:$D,2,FALSE)),2))</f>
        <v>0</v>
      </c>
      <c r="G518" s="64" cm="1">
        <f t="array" ref="G518">IF(COUNT(FIND(PurlinsxGirthsxBracings,$C518))&gt;0,0,ROUNDUP(IF(D518=0,0,VLOOKUP(D518,'DATA SHEET'!$B:$D,3,FALSE)),2))</f>
        <v>0</v>
      </c>
      <c r="H518" s="53"/>
      <c r="I518" s="66" cm="1">
        <f t="array" ref="I518">IF(AND(ISBLANK(B518),ISBLANK(C518),ISBLANK(E518)),0,IF(COUNT(FIND(PurlinsxGirthsxBracings,$C518))&gt;0,IF(B518=0,CONCATENATE(E518," ",C518),CONCATENATE(B518," - ",E518," ",C518)),IF(B518=0,IF(ISBLANK(C518),E518,CONCATENATE(D518,", ",F518,"kg/m, ",G518,"mm surface perimeter")),IF(AND(ISBLANK(C518),ISTEXT(E518)),CONCATENATE(B518," - ",E518),IF(AND(ISBLANK(C518),ISBLANK(E518)),B518,CONCATENATE(B518," - ",D518,", ",F518,"kg/m, ",G518,"mm surface perimeter"))))&amp;IF(ISBLANK(H518),"",H518)))</f>
        <v>0</v>
      </c>
      <c r="J518" s="53"/>
      <c r="L518" s="4" t="str" cm="1">
        <f t="array" ref="L518">IF(COUNT(FIND({0,1,2,3,4,5,6,7,8,9},B518))&gt;0,COUNT(FIND({0,1,2,3,4,5,6,7,8,9},B518))&gt;0,"")</f>
        <v/>
      </c>
      <c r="M518" s="4" t="str" cm="1">
        <f t="array" aca="1" ref="M518" ca="1">IFERROR(_xlfn.IFS(R518="Count",RANDBETWEEN(1,COUNTIF($R$11:$R$653,"Count")),R518="Length",RANDBETWEEN(1,COUNTIF($R$11:$R$653,"Length"))),"")</f>
        <v/>
      </c>
      <c r="N518" s="4" t="str">
        <f ca="1">IFERROR(_xlfn.RANK.EQ(M518,$M$11:$M$653)+COUNTIF($M$11:M518,M518)-1,"")</f>
        <v/>
      </c>
      <c r="O518" s="86" t="str">
        <f>IF(A518='DATA SHEET'!$L$36,C518,IFERROR(IF(AND(ISTEXT(I518),ISBLANK(C518)),"No details",VLOOKUP(C518,DimFolder,2,FALSE)),""))</f>
        <v/>
      </c>
      <c r="P518" s="4" t="str">
        <f t="shared" si="125"/>
        <v/>
      </c>
      <c r="Q518" s="58" t="str">
        <f t="shared" si="136"/>
        <v/>
      </c>
      <c r="R518" s="4" t="e" cm="1">
        <f t="array" ref="R518">IF(INDEX(Table2[],_xlfn.XMATCH($A518,Table2[Steel Member],0),_xlfn.XMATCH(R$2,Table2[#Headers],0))=0,"",INDEX(Table2[],_xlfn.XMATCH($A518,Table2[Steel Member],0),_xlfn.XMATCH(R$2,Table2[#Headers],0)))</f>
        <v>#N/A</v>
      </c>
      <c r="S518" s="4" t="e" cm="1">
        <f t="array" ref="S518">IF(INDEX(Table2[],_xlfn.XMATCH($A518,Table2[Steel Member],0),_xlfn.XMATCH(S$2,Table2[#Headers],0))=0,"",INDEX(Table2[],_xlfn.XMATCH($A518,Table2[Steel Member],0),_xlfn.XMATCH(S$2,Table2[#Headers],0)))</f>
        <v>#N/A</v>
      </c>
      <c r="T518" s="4" t="str">
        <f t="shared" si="127"/>
        <v/>
      </c>
      <c r="U518" s="4" t="e">
        <f ca="1">VLOOKUP(N518,'COLOR CODE'!$B:$D,2,FALSE)</f>
        <v>#N/A</v>
      </c>
      <c r="V518" s="4" t="str">
        <f t="shared" si="128"/>
        <v/>
      </c>
      <c r="W518" s="4" t="e" cm="1">
        <f t="array" ref="W518">IF(INDEX(Table2[],_xlfn.XMATCH($A518,Table2[Steel Member],0),_xlfn.XMATCH(W$2,Table2[#Headers],0))=0,"",INDEX(Table2[],_xlfn.XMATCH($A518,Table2[Steel Member],0),_xlfn.XMATCH(W$2,Table2[#Headers],0)))</f>
        <v>#N/A</v>
      </c>
      <c r="X518" s="4" t="e">
        <f t="shared" si="126"/>
        <v>#N/A</v>
      </c>
      <c r="Y518" s="4" t="e" cm="1">
        <f t="array" ref="Y518">IF(INDEX(Table2[],_xlfn.XMATCH($A518,Table2[Steel Member],0),_xlfn.XMATCH(Y$2,Table2[#Headers],0))=0,"",INDEX(Table2[],_xlfn.XMATCH($A518,Table2[Steel Member],0),_xlfn.XMATCH(Y$2,Table2[#Headers],0)))</f>
        <v>#N/A</v>
      </c>
      <c r="Z518" s="4" t="e" cm="1">
        <f t="array" ref="Z518">IF(INDEX(Table2[],_xlfn.XMATCH($A518,Table2[Steel Member],0),_xlfn.XMATCH(Z$2,Table2[#Headers],0))=0,"",INDEX(Table2[],_xlfn.XMATCH($A518,Table2[Steel Member],0),_xlfn.XMATCH(Z$2,Table2[#Headers],0)))</f>
        <v>#N/A</v>
      </c>
      <c r="AA518" s="4" t="e" cm="1">
        <f t="array" ref="AA518">IF(INDEX(Table2[],_xlfn.XMATCH($A518,Table2[Steel Member],0),_xlfn.XMATCH(AA$2,Table2[#Headers],0))=0,"",INDEX(Table2[],_xlfn.XMATCH($A518,Table2[Steel Member],0),_xlfn.XMATCH(AA$2,Table2[#Headers],0)))</f>
        <v>#N/A</v>
      </c>
      <c r="AB518" s="4" t="e" cm="1">
        <f t="array" ref="AB518">IF(INDEX(Table2[],_xlfn.XMATCH($A518,Table2[Steel Member],0),_xlfn.XMATCH(AB$2,Table2[#Headers],0))=0,"",INDEX(Table2[],_xlfn.XMATCH($A518,Table2[Steel Member],0),_xlfn.XMATCH(AB$2,Table2[#Headers],0)))</f>
        <v>#N/A</v>
      </c>
      <c r="AC518" s="4" t="str" cm="1">
        <f t="array" ref="AC518">IFERROR(INDEX(Table8[],_xlfn.XMATCH($O518,Table8[Dimension Name Category],0),_xlfn.XMATCH(AC$2&amp;IF($L518," w/ tag"," w/o tag"),Table8[#Headers],0)),"")</f>
        <v/>
      </c>
      <c r="AD518" s="59" t="str">
        <f t="shared" si="129"/>
        <v/>
      </c>
      <c r="AE518" s="4" t="str">
        <f t="shared" si="130"/>
        <v/>
      </c>
      <c r="AF518" s="4" t="str">
        <f t="shared" si="131"/>
        <v/>
      </c>
      <c r="AG518" s="4" t="str" cm="1">
        <f t="array" ref="AG518">IFERROR(INDEX(Table8[],_xlfn.XMATCH($O518,Table8[Dimension Name Category],0),_xlfn.XMATCH(AG$2&amp;IF($L518," w/ tag"," w/o tag"),Table8[#Headers],0)),"")</f>
        <v/>
      </c>
      <c r="AH518" s="59" t="str">
        <f t="shared" si="132"/>
        <v/>
      </c>
      <c r="AI518" s="4"/>
      <c r="AJ518" s="4" t="str">
        <f t="shared" si="133"/>
        <v/>
      </c>
      <c r="AK518" s="4" t="str">
        <f t="shared" si="134"/>
        <v/>
      </c>
      <c r="AL518" s="4" t="e" cm="1">
        <f t="array" ref="AL518">IF(INDEX(Table2[],_xlfn.XMATCH($A518,Table2[Steel Member],0),_xlfn.XMATCH(AL$2,Table2[#Headers],0))=0,"",INDEX(Table2[],_xlfn.XMATCH($A518,Table2[Steel Member],0),_xlfn.XMATCH(AL$2,Table2[#Headers],0)))</f>
        <v>#N/A</v>
      </c>
      <c r="AM518" s="4"/>
      <c r="AN518" s="4" t="str">
        <f t="shared" si="135"/>
        <v/>
      </c>
      <c r="AO518" s="4"/>
      <c r="AP518" s="4" t="e" cm="1">
        <f t="array" ref="AP518">IF(INDEX(Table2[],_xlfn.XMATCH($A518,Table2[Steel Member],0),_xlfn.XMATCH(AP$2,Table2[#Headers],0))=0,"",INDEX(Table2[],_xlfn.XMATCH($A518,Table2[Steel Member],0),_xlfn.XMATCH(AP$2,Table2[#Headers],0)))</f>
        <v>#N/A</v>
      </c>
      <c r="AQ518" s="4"/>
      <c r="AR518" s="4"/>
      <c r="AS518" s="4"/>
      <c r="AT518" s="4"/>
    </row>
    <row r="519" spans="1:46" x14ac:dyDescent="0.25">
      <c r="A519" s="52"/>
      <c r="B519" s="52"/>
      <c r="C519" s="52"/>
      <c r="D519" s="52"/>
      <c r="E519" s="52"/>
      <c r="F519" s="64" cm="1">
        <f t="array" ref="F519">IF(COUNT(FIND(PurlinsxGirthsxBracings,$C519))&gt;0,0,ROUNDUP(IF(D519=0,0,VLOOKUP(D519,'DATA SHEET'!$B:$D,2,FALSE)),2))</f>
        <v>0</v>
      </c>
      <c r="G519" s="64" cm="1">
        <f t="array" ref="G519">IF(COUNT(FIND(PurlinsxGirthsxBracings,$C519))&gt;0,0,ROUNDUP(IF(D519=0,0,VLOOKUP(D519,'DATA SHEET'!$B:$D,3,FALSE)),2))</f>
        <v>0</v>
      </c>
      <c r="H519" s="53"/>
      <c r="I519" s="66" cm="1">
        <f t="array" ref="I519">IF(AND(ISBLANK(B519),ISBLANK(C519),ISBLANK(E519)),0,IF(COUNT(FIND(PurlinsxGirthsxBracings,$C519))&gt;0,IF(B519=0,CONCATENATE(E519," ",C519),CONCATENATE(B519," - ",E519," ",C519)),IF(B519=0,IF(ISBLANK(C519),E519,CONCATENATE(D519,", ",F519,"kg/m, ",G519,"mm surface perimeter")),IF(AND(ISBLANK(C519),ISTEXT(E519)),CONCATENATE(B519," - ",E519),IF(AND(ISBLANK(C519),ISBLANK(E519)),B519,CONCATENATE(B519," - ",D519,", ",F519,"kg/m, ",G519,"mm surface perimeter"))))&amp;IF(ISBLANK(H519),"",H519)))</f>
        <v>0</v>
      </c>
      <c r="J519" s="53"/>
      <c r="L519" s="4" t="str" cm="1">
        <f t="array" ref="L519">IF(COUNT(FIND({0,1,2,3,4,5,6,7,8,9},B519))&gt;0,COUNT(FIND({0,1,2,3,4,5,6,7,8,9},B519))&gt;0,"")</f>
        <v/>
      </c>
      <c r="M519" s="4" t="str" cm="1">
        <f t="array" aca="1" ref="M519" ca="1">IFERROR(_xlfn.IFS(R519="Count",RANDBETWEEN(1,COUNTIF($R$11:$R$653,"Count")),R519="Length",RANDBETWEEN(1,COUNTIF($R$11:$R$653,"Length"))),"")</f>
        <v/>
      </c>
      <c r="N519" s="4" t="str">
        <f ca="1">IFERROR(_xlfn.RANK.EQ(M519,$M$11:$M$653)+COUNTIF($M$11:M519,M519)-1,"")</f>
        <v/>
      </c>
      <c r="O519" s="86" t="str">
        <f>IF(A519='DATA SHEET'!$L$36,C519,IFERROR(IF(AND(ISTEXT(I519),ISBLANK(C519)),"No details",VLOOKUP(C519,DimFolder,2,FALSE)),""))</f>
        <v/>
      </c>
      <c r="P519" s="4" t="str">
        <f t="shared" si="125"/>
        <v/>
      </c>
      <c r="Q519" s="58" t="str">
        <f t="shared" si="136"/>
        <v/>
      </c>
      <c r="R519" s="4" t="e" cm="1">
        <f t="array" ref="R519">IF(INDEX(Table2[],_xlfn.XMATCH($A519,Table2[Steel Member],0),_xlfn.XMATCH(R$2,Table2[#Headers],0))=0,"",INDEX(Table2[],_xlfn.XMATCH($A519,Table2[Steel Member],0),_xlfn.XMATCH(R$2,Table2[#Headers],0)))</f>
        <v>#N/A</v>
      </c>
      <c r="S519" s="4" t="e" cm="1">
        <f t="array" ref="S519">IF(INDEX(Table2[],_xlfn.XMATCH($A519,Table2[Steel Member],0),_xlfn.XMATCH(S$2,Table2[#Headers],0))=0,"",INDEX(Table2[],_xlfn.XMATCH($A519,Table2[Steel Member],0),_xlfn.XMATCH(S$2,Table2[#Headers],0)))</f>
        <v>#N/A</v>
      </c>
      <c r="T519" s="4" t="str">
        <f t="shared" si="127"/>
        <v/>
      </c>
      <c r="U519" s="4" t="e">
        <f ca="1">VLOOKUP(N519,'COLOR CODE'!$B:$D,2,FALSE)</f>
        <v>#N/A</v>
      </c>
      <c r="V519" s="4" t="str">
        <f t="shared" si="128"/>
        <v/>
      </c>
      <c r="W519" s="4" t="e" cm="1">
        <f t="array" ref="W519">IF(INDEX(Table2[],_xlfn.XMATCH($A519,Table2[Steel Member],0),_xlfn.XMATCH(W$2,Table2[#Headers],0))=0,"",INDEX(Table2[],_xlfn.XMATCH($A519,Table2[Steel Member],0),_xlfn.XMATCH(W$2,Table2[#Headers],0)))</f>
        <v>#N/A</v>
      </c>
      <c r="X519" s="4" t="e">
        <f t="shared" si="126"/>
        <v>#N/A</v>
      </c>
      <c r="Y519" s="4" t="e" cm="1">
        <f t="array" ref="Y519">IF(INDEX(Table2[],_xlfn.XMATCH($A519,Table2[Steel Member],0),_xlfn.XMATCH(Y$2,Table2[#Headers],0))=0,"",INDEX(Table2[],_xlfn.XMATCH($A519,Table2[Steel Member],0),_xlfn.XMATCH(Y$2,Table2[#Headers],0)))</f>
        <v>#N/A</v>
      </c>
      <c r="Z519" s="4" t="e" cm="1">
        <f t="array" ref="Z519">IF(INDEX(Table2[],_xlfn.XMATCH($A519,Table2[Steel Member],0),_xlfn.XMATCH(Z$2,Table2[#Headers],0))=0,"",INDEX(Table2[],_xlfn.XMATCH($A519,Table2[Steel Member],0),_xlfn.XMATCH(Z$2,Table2[#Headers],0)))</f>
        <v>#N/A</v>
      </c>
      <c r="AA519" s="4" t="e" cm="1">
        <f t="array" ref="AA519">IF(INDEX(Table2[],_xlfn.XMATCH($A519,Table2[Steel Member],0),_xlfn.XMATCH(AA$2,Table2[#Headers],0))=0,"",INDEX(Table2[],_xlfn.XMATCH($A519,Table2[Steel Member],0),_xlfn.XMATCH(AA$2,Table2[#Headers],0)))</f>
        <v>#N/A</v>
      </c>
      <c r="AB519" s="4" t="e" cm="1">
        <f t="array" ref="AB519">IF(INDEX(Table2[],_xlfn.XMATCH($A519,Table2[Steel Member],0),_xlfn.XMATCH(AB$2,Table2[#Headers],0))=0,"",INDEX(Table2[],_xlfn.XMATCH($A519,Table2[Steel Member],0),_xlfn.XMATCH(AB$2,Table2[#Headers],0)))</f>
        <v>#N/A</v>
      </c>
      <c r="AC519" s="4" t="str" cm="1">
        <f t="array" ref="AC519">IFERROR(INDEX(Table8[],_xlfn.XMATCH($O519,Table8[Dimension Name Category],0),_xlfn.XMATCH(AC$2&amp;IF($L519," w/ tag"," w/o tag"),Table8[#Headers],0)),"")</f>
        <v/>
      </c>
      <c r="AD519" s="59" t="str">
        <f t="shared" si="129"/>
        <v/>
      </c>
      <c r="AE519" s="4" t="str">
        <f t="shared" si="130"/>
        <v/>
      </c>
      <c r="AF519" s="4" t="str">
        <f t="shared" si="131"/>
        <v/>
      </c>
      <c r="AG519" s="4" t="str" cm="1">
        <f t="array" ref="AG519">IFERROR(INDEX(Table8[],_xlfn.XMATCH($O519,Table8[Dimension Name Category],0),_xlfn.XMATCH(AG$2&amp;IF($L519," w/ tag"," w/o tag"),Table8[#Headers],0)),"")</f>
        <v/>
      </c>
      <c r="AH519" s="59" t="str">
        <f t="shared" si="132"/>
        <v/>
      </c>
      <c r="AI519" s="4"/>
      <c r="AJ519" s="4" t="str">
        <f t="shared" si="133"/>
        <v/>
      </c>
      <c r="AK519" s="4" t="str">
        <f t="shared" si="134"/>
        <v/>
      </c>
      <c r="AL519" s="4" t="e" cm="1">
        <f t="array" ref="AL519">IF(INDEX(Table2[],_xlfn.XMATCH($A519,Table2[Steel Member],0),_xlfn.XMATCH(AL$2,Table2[#Headers],0))=0,"",INDEX(Table2[],_xlfn.XMATCH($A519,Table2[Steel Member],0),_xlfn.XMATCH(AL$2,Table2[#Headers],0)))</f>
        <v>#N/A</v>
      </c>
      <c r="AM519" s="4"/>
      <c r="AN519" s="4" t="str">
        <f t="shared" si="135"/>
        <v/>
      </c>
      <c r="AO519" s="4"/>
      <c r="AP519" s="4" t="e" cm="1">
        <f t="array" ref="AP519">IF(INDEX(Table2[],_xlfn.XMATCH($A519,Table2[Steel Member],0),_xlfn.XMATCH(AP$2,Table2[#Headers],0))=0,"",INDEX(Table2[],_xlfn.XMATCH($A519,Table2[Steel Member],0),_xlfn.XMATCH(AP$2,Table2[#Headers],0)))</f>
        <v>#N/A</v>
      </c>
      <c r="AQ519" s="4"/>
      <c r="AR519" s="4"/>
      <c r="AS519" s="4"/>
      <c r="AT519" s="4"/>
    </row>
    <row r="520" spans="1:46" x14ac:dyDescent="0.25">
      <c r="A520" s="52"/>
      <c r="B520" s="52"/>
      <c r="C520" s="52"/>
      <c r="D520" s="52"/>
      <c r="E520" s="52"/>
      <c r="F520" s="64" cm="1">
        <f t="array" ref="F520">IF(COUNT(FIND(PurlinsxGirthsxBracings,$C520))&gt;0,0,ROUNDUP(IF(D520=0,0,VLOOKUP(D520,'DATA SHEET'!$B:$D,2,FALSE)),2))</f>
        <v>0</v>
      </c>
      <c r="G520" s="64" cm="1">
        <f t="array" ref="G520">IF(COUNT(FIND(PurlinsxGirthsxBracings,$C520))&gt;0,0,ROUNDUP(IF(D520=0,0,VLOOKUP(D520,'DATA SHEET'!$B:$D,3,FALSE)),2))</f>
        <v>0</v>
      </c>
      <c r="H520" s="53"/>
      <c r="I520" s="66" cm="1">
        <f t="array" ref="I520">IF(AND(ISBLANK(B520),ISBLANK(C520),ISBLANK(E520)),0,IF(COUNT(FIND(PurlinsxGirthsxBracings,$C520))&gt;0,IF(B520=0,CONCATENATE(E520," ",C520),CONCATENATE(B520," - ",E520," ",C520)),IF(B520=0,IF(ISBLANK(C520),E520,CONCATENATE(D520,", ",F520,"kg/m, ",G520,"mm surface perimeter")),IF(AND(ISBLANK(C520),ISTEXT(E520)),CONCATENATE(B520," - ",E520),IF(AND(ISBLANK(C520),ISBLANK(E520)),B520,CONCATENATE(B520," - ",D520,", ",F520,"kg/m, ",G520,"mm surface perimeter"))))&amp;IF(ISBLANK(H520),"",H520)))</f>
        <v>0</v>
      </c>
      <c r="J520" s="53"/>
      <c r="L520" s="4" t="str" cm="1">
        <f t="array" ref="L520">IF(COUNT(FIND({0,1,2,3,4,5,6,7,8,9},B520))&gt;0,COUNT(FIND({0,1,2,3,4,5,6,7,8,9},B520))&gt;0,"")</f>
        <v/>
      </c>
      <c r="M520" s="4" t="str" cm="1">
        <f t="array" aca="1" ref="M520" ca="1">IFERROR(_xlfn.IFS(R520="Count",RANDBETWEEN(1,COUNTIF($R$11:$R$653,"Count")),R520="Length",RANDBETWEEN(1,COUNTIF($R$11:$R$653,"Length"))),"")</f>
        <v/>
      </c>
      <c r="N520" s="4" t="str">
        <f ca="1">IFERROR(_xlfn.RANK.EQ(M520,$M$11:$M$653)+COUNTIF($M$11:M520,M520)-1,"")</f>
        <v/>
      </c>
      <c r="O520" s="86" t="str">
        <f>IF(A520='DATA SHEET'!$L$36,C520,IFERROR(IF(AND(ISTEXT(I520),ISBLANK(C520)),"No details",VLOOKUP(C520,DimFolder,2,FALSE)),""))</f>
        <v/>
      </c>
      <c r="P520" s="4" t="str">
        <f t="shared" si="125"/>
        <v/>
      </c>
      <c r="Q520" s="58" t="str">
        <f t="shared" si="136"/>
        <v/>
      </c>
      <c r="R520" s="4" t="e" cm="1">
        <f t="array" ref="R520">IF(INDEX(Table2[],_xlfn.XMATCH($A520,Table2[Steel Member],0),_xlfn.XMATCH(R$2,Table2[#Headers],0))=0,"",INDEX(Table2[],_xlfn.XMATCH($A520,Table2[Steel Member],0),_xlfn.XMATCH(R$2,Table2[#Headers],0)))</f>
        <v>#N/A</v>
      </c>
      <c r="S520" s="4" t="e" cm="1">
        <f t="array" ref="S520">IF(INDEX(Table2[],_xlfn.XMATCH($A520,Table2[Steel Member],0),_xlfn.XMATCH(S$2,Table2[#Headers],0))=0,"",INDEX(Table2[],_xlfn.XMATCH($A520,Table2[Steel Member],0),_xlfn.XMATCH(S$2,Table2[#Headers],0)))</f>
        <v>#N/A</v>
      </c>
      <c r="T520" s="4" t="str">
        <f t="shared" si="127"/>
        <v/>
      </c>
      <c r="U520" s="4" t="e">
        <f ca="1">VLOOKUP(N520,'COLOR CODE'!$B:$D,2,FALSE)</f>
        <v>#N/A</v>
      </c>
      <c r="V520" s="4" t="str">
        <f t="shared" si="128"/>
        <v/>
      </c>
      <c r="W520" s="4" t="e" cm="1">
        <f t="array" ref="W520">IF(INDEX(Table2[],_xlfn.XMATCH($A520,Table2[Steel Member],0),_xlfn.XMATCH(W$2,Table2[#Headers],0))=0,"",INDEX(Table2[],_xlfn.XMATCH($A520,Table2[Steel Member],0),_xlfn.XMATCH(W$2,Table2[#Headers],0)))</f>
        <v>#N/A</v>
      </c>
      <c r="X520" s="4" t="e">
        <f t="shared" si="126"/>
        <v>#N/A</v>
      </c>
      <c r="Y520" s="4" t="e" cm="1">
        <f t="array" ref="Y520">IF(INDEX(Table2[],_xlfn.XMATCH($A520,Table2[Steel Member],0),_xlfn.XMATCH(Y$2,Table2[#Headers],0))=0,"",INDEX(Table2[],_xlfn.XMATCH($A520,Table2[Steel Member],0),_xlfn.XMATCH(Y$2,Table2[#Headers],0)))</f>
        <v>#N/A</v>
      </c>
      <c r="Z520" s="4" t="e" cm="1">
        <f t="array" ref="Z520">IF(INDEX(Table2[],_xlfn.XMATCH($A520,Table2[Steel Member],0),_xlfn.XMATCH(Z$2,Table2[#Headers],0))=0,"",INDEX(Table2[],_xlfn.XMATCH($A520,Table2[Steel Member],0),_xlfn.XMATCH(Z$2,Table2[#Headers],0)))</f>
        <v>#N/A</v>
      </c>
      <c r="AA520" s="4" t="e" cm="1">
        <f t="array" ref="AA520">IF(INDEX(Table2[],_xlfn.XMATCH($A520,Table2[Steel Member],0),_xlfn.XMATCH(AA$2,Table2[#Headers],0))=0,"",INDEX(Table2[],_xlfn.XMATCH($A520,Table2[Steel Member],0),_xlfn.XMATCH(AA$2,Table2[#Headers],0)))</f>
        <v>#N/A</v>
      </c>
      <c r="AB520" s="4" t="e" cm="1">
        <f t="array" ref="AB520">IF(INDEX(Table2[],_xlfn.XMATCH($A520,Table2[Steel Member],0),_xlfn.XMATCH(AB$2,Table2[#Headers],0))=0,"",INDEX(Table2[],_xlfn.XMATCH($A520,Table2[Steel Member],0),_xlfn.XMATCH(AB$2,Table2[#Headers],0)))</f>
        <v>#N/A</v>
      </c>
      <c r="AC520" s="4" t="str" cm="1">
        <f t="array" ref="AC520">IFERROR(INDEX(Table8[],_xlfn.XMATCH($O520,Table8[Dimension Name Category],0),_xlfn.XMATCH(AC$2&amp;IF($L520," w/ tag"," w/o tag"),Table8[#Headers],0)),"")</f>
        <v/>
      </c>
      <c r="AD520" s="59" t="str">
        <f t="shared" si="129"/>
        <v/>
      </c>
      <c r="AE520" s="4" t="str">
        <f t="shared" si="130"/>
        <v/>
      </c>
      <c r="AF520" s="4" t="str">
        <f t="shared" si="131"/>
        <v/>
      </c>
      <c r="AG520" s="4" t="str" cm="1">
        <f t="array" ref="AG520">IFERROR(INDEX(Table8[],_xlfn.XMATCH($O520,Table8[Dimension Name Category],0),_xlfn.XMATCH(AG$2&amp;IF($L520," w/ tag"," w/o tag"),Table8[#Headers],0)),"")</f>
        <v/>
      </c>
      <c r="AH520" s="59" t="str">
        <f t="shared" si="132"/>
        <v/>
      </c>
      <c r="AI520" s="4"/>
      <c r="AJ520" s="4" t="str">
        <f t="shared" si="133"/>
        <v/>
      </c>
      <c r="AK520" s="4" t="str">
        <f t="shared" si="134"/>
        <v/>
      </c>
      <c r="AL520" s="4" t="e" cm="1">
        <f t="array" ref="AL520">IF(INDEX(Table2[],_xlfn.XMATCH($A520,Table2[Steel Member],0),_xlfn.XMATCH(AL$2,Table2[#Headers],0))=0,"",INDEX(Table2[],_xlfn.XMATCH($A520,Table2[Steel Member],0),_xlfn.XMATCH(AL$2,Table2[#Headers],0)))</f>
        <v>#N/A</v>
      </c>
      <c r="AM520" s="4"/>
      <c r="AN520" s="4" t="str">
        <f t="shared" si="135"/>
        <v/>
      </c>
      <c r="AO520" s="4"/>
      <c r="AP520" s="4" t="e" cm="1">
        <f t="array" ref="AP520">IF(INDEX(Table2[],_xlfn.XMATCH($A520,Table2[Steel Member],0),_xlfn.XMATCH(AP$2,Table2[#Headers],0))=0,"",INDEX(Table2[],_xlfn.XMATCH($A520,Table2[Steel Member],0),_xlfn.XMATCH(AP$2,Table2[#Headers],0)))</f>
        <v>#N/A</v>
      </c>
      <c r="AQ520" s="4"/>
      <c r="AR520" s="4"/>
      <c r="AS520" s="4"/>
      <c r="AT520" s="4"/>
    </row>
    <row r="521" spans="1:46" x14ac:dyDescent="0.25">
      <c r="A521" s="52"/>
      <c r="B521" s="52"/>
      <c r="C521" s="52"/>
      <c r="D521" s="52"/>
      <c r="E521" s="52"/>
      <c r="F521" s="64" cm="1">
        <f t="array" ref="F521">IF(COUNT(FIND(PurlinsxGirthsxBracings,$C521))&gt;0,0,ROUNDUP(IF(D521=0,0,VLOOKUP(D521,'DATA SHEET'!$B:$D,2,FALSE)),2))</f>
        <v>0</v>
      </c>
      <c r="G521" s="64" cm="1">
        <f t="array" ref="G521">IF(COUNT(FIND(PurlinsxGirthsxBracings,$C521))&gt;0,0,ROUNDUP(IF(D521=0,0,VLOOKUP(D521,'DATA SHEET'!$B:$D,3,FALSE)),2))</f>
        <v>0</v>
      </c>
      <c r="H521" s="53"/>
      <c r="I521" s="66" cm="1">
        <f t="array" ref="I521">IF(AND(ISBLANK(B521),ISBLANK(C521),ISBLANK(E521)),0,IF(COUNT(FIND(PurlinsxGirthsxBracings,$C521))&gt;0,IF(B521=0,CONCATENATE(E521," ",C521),CONCATENATE(B521," - ",E521," ",C521)),IF(B521=0,IF(ISBLANK(C521),E521,CONCATENATE(D521,", ",F521,"kg/m, ",G521,"mm surface perimeter")),IF(AND(ISBLANK(C521),ISTEXT(E521)),CONCATENATE(B521," - ",E521),IF(AND(ISBLANK(C521),ISBLANK(E521)),B521,CONCATENATE(B521," - ",D521,", ",F521,"kg/m, ",G521,"mm surface perimeter"))))&amp;IF(ISBLANK(H521),"",H521)))</f>
        <v>0</v>
      </c>
      <c r="J521" s="53"/>
      <c r="L521" s="4" t="str" cm="1">
        <f t="array" ref="L521">IF(COUNT(FIND({0,1,2,3,4,5,6,7,8,9},B521))&gt;0,COUNT(FIND({0,1,2,3,4,5,6,7,8,9},B521))&gt;0,"")</f>
        <v/>
      </c>
      <c r="M521" s="4" t="str" cm="1">
        <f t="array" aca="1" ref="M521" ca="1">IFERROR(_xlfn.IFS(R521="Count",RANDBETWEEN(1,COUNTIF($R$11:$R$653,"Count")),R521="Length",RANDBETWEEN(1,COUNTIF($R$11:$R$653,"Length"))),"")</f>
        <v/>
      </c>
      <c r="N521" s="4" t="str">
        <f ca="1">IFERROR(_xlfn.RANK.EQ(M521,$M$11:$M$653)+COUNTIF($M$11:M521,M521)-1,"")</f>
        <v/>
      </c>
      <c r="O521" s="86" t="str">
        <f>IF(A521='DATA SHEET'!$L$36,C521,IFERROR(IF(AND(ISTEXT(I521),ISBLANK(C521)),"No details",VLOOKUP(C521,DimFolder,2,FALSE)),""))</f>
        <v/>
      </c>
      <c r="P521" s="4" t="str">
        <f t="shared" si="125"/>
        <v/>
      </c>
      <c r="Q521" s="58" t="str">
        <f t="shared" si="136"/>
        <v/>
      </c>
      <c r="R521" s="4" t="e" cm="1">
        <f t="array" ref="R521">IF(INDEX(Table2[],_xlfn.XMATCH($A521,Table2[Steel Member],0),_xlfn.XMATCH(R$2,Table2[#Headers],0))=0,"",INDEX(Table2[],_xlfn.XMATCH($A521,Table2[Steel Member],0),_xlfn.XMATCH(R$2,Table2[#Headers],0)))</f>
        <v>#N/A</v>
      </c>
      <c r="S521" s="4" t="e" cm="1">
        <f t="array" ref="S521">IF(INDEX(Table2[],_xlfn.XMATCH($A521,Table2[Steel Member],0),_xlfn.XMATCH(S$2,Table2[#Headers],0))=0,"",INDEX(Table2[],_xlfn.XMATCH($A521,Table2[Steel Member],0),_xlfn.XMATCH(S$2,Table2[#Headers],0)))</f>
        <v>#N/A</v>
      </c>
      <c r="T521" s="4" t="str">
        <f t="shared" si="127"/>
        <v/>
      </c>
      <c r="U521" s="4" t="e">
        <f ca="1">VLOOKUP(N521,'COLOR CODE'!$B:$D,2,FALSE)</f>
        <v>#N/A</v>
      </c>
      <c r="V521" s="4" t="str">
        <f t="shared" si="128"/>
        <v/>
      </c>
      <c r="W521" s="4" t="e" cm="1">
        <f t="array" ref="W521">IF(INDEX(Table2[],_xlfn.XMATCH($A521,Table2[Steel Member],0),_xlfn.XMATCH(W$2,Table2[#Headers],0))=0,"",INDEX(Table2[],_xlfn.XMATCH($A521,Table2[Steel Member],0),_xlfn.XMATCH(W$2,Table2[#Headers],0)))</f>
        <v>#N/A</v>
      </c>
      <c r="X521" s="4" t="e">
        <f t="shared" si="126"/>
        <v>#N/A</v>
      </c>
      <c r="Y521" s="4" t="e" cm="1">
        <f t="array" ref="Y521">IF(INDEX(Table2[],_xlfn.XMATCH($A521,Table2[Steel Member],0),_xlfn.XMATCH(Y$2,Table2[#Headers],0))=0,"",INDEX(Table2[],_xlfn.XMATCH($A521,Table2[Steel Member],0),_xlfn.XMATCH(Y$2,Table2[#Headers],0)))</f>
        <v>#N/A</v>
      </c>
      <c r="Z521" s="4" t="e" cm="1">
        <f t="array" ref="Z521">IF(INDEX(Table2[],_xlfn.XMATCH($A521,Table2[Steel Member],0),_xlfn.XMATCH(Z$2,Table2[#Headers],0))=0,"",INDEX(Table2[],_xlfn.XMATCH($A521,Table2[Steel Member],0),_xlfn.XMATCH(Z$2,Table2[#Headers],0)))</f>
        <v>#N/A</v>
      </c>
      <c r="AA521" s="4" t="e" cm="1">
        <f t="array" ref="AA521">IF(INDEX(Table2[],_xlfn.XMATCH($A521,Table2[Steel Member],0),_xlfn.XMATCH(AA$2,Table2[#Headers],0))=0,"",INDEX(Table2[],_xlfn.XMATCH($A521,Table2[Steel Member],0),_xlfn.XMATCH(AA$2,Table2[#Headers],0)))</f>
        <v>#N/A</v>
      </c>
      <c r="AB521" s="4" t="e" cm="1">
        <f t="array" ref="AB521">IF(INDEX(Table2[],_xlfn.XMATCH($A521,Table2[Steel Member],0),_xlfn.XMATCH(AB$2,Table2[#Headers],0))=0,"",INDEX(Table2[],_xlfn.XMATCH($A521,Table2[Steel Member],0),_xlfn.XMATCH(AB$2,Table2[#Headers],0)))</f>
        <v>#N/A</v>
      </c>
      <c r="AC521" s="4" t="str" cm="1">
        <f t="array" ref="AC521">IFERROR(INDEX(Table8[],_xlfn.XMATCH($O521,Table8[Dimension Name Category],0),_xlfn.XMATCH(AC$2&amp;IF($L521," w/ tag"," w/o tag"),Table8[#Headers],0)),"")</f>
        <v/>
      </c>
      <c r="AD521" s="59" t="str">
        <f t="shared" si="129"/>
        <v/>
      </c>
      <c r="AE521" s="4" t="str">
        <f t="shared" si="130"/>
        <v/>
      </c>
      <c r="AF521" s="4" t="str">
        <f t="shared" si="131"/>
        <v/>
      </c>
      <c r="AG521" s="4" t="str" cm="1">
        <f t="array" ref="AG521">IFERROR(INDEX(Table8[],_xlfn.XMATCH($O521,Table8[Dimension Name Category],0),_xlfn.XMATCH(AG$2&amp;IF($L521," w/ tag"," w/o tag"),Table8[#Headers],0)),"")</f>
        <v/>
      </c>
      <c r="AH521" s="59" t="str">
        <f t="shared" si="132"/>
        <v/>
      </c>
      <c r="AI521" s="4"/>
      <c r="AJ521" s="4" t="str">
        <f t="shared" si="133"/>
        <v/>
      </c>
      <c r="AK521" s="4" t="str">
        <f t="shared" si="134"/>
        <v/>
      </c>
      <c r="AL521" s="4" t="e" cm="1">
        <f t="array" ref="AL521">IF(INDEX(Table2[],_xlfn.XMATCH($A521,Table2[Steel Member],0),_xlfn.XMATCH(AL$2,Table2[#Headers],0))=0,"",INDEX(Table2[],_xlfn.XMATCH($A521,Table2[Steel Member],0),_xlfn.XMATCH(AL$2,Table2[#Headers],0)))</f>
        <v>#N/A</v>
      </c>
      <c r="AM521" s="4"/>
      <c r="AN521" s="4" t="str">
        <f t="shared" si="135"/>
        <v/>
      </c>
      <c r="AO521" s="4"/>
      <c r="AP521" s="4" t="e" cm="1">
        <f t="array" ref="AP521">IF(INDEX(Table2[],_xlfn.XMATCH($A521,Table2[Steel Member],0),_xlfn.XMATCH(AP$2,Table2[#Headers],0))=0,"",INDEX(Table2[],_xlfn.XMATCH($A521,Table2[Steel Member],0),_xlfn.XMATCH(AP$2,Table2[#Headers],0)))</f>
        <v>#N/A</v>
      </c>
      <c r="AQ521" s="4"/>
      <c r="AR521" s="4"/>
      <c r="AS521" s="4"/>
      <c r="AT521" s="4"/>
    </row>
    <row r="522" spans="1:46" x14ac:dyDescent="0.25">
      <c r="A522" s="52"/>
      <c r="B522" s="52"/>
      <c r="C522" s="52"/>
      <c r="D522" s="52"/>
      <c r="E522" s="52"/>
      <c r="F522" s="64" cm="1">
        <f t="array" ref="F522">IF(COUNT(FIND(PurlinsxGirthsxBracings,$C522))&gt;0,0,ROUNDUP(IF(D522=0,0,VLOOKUP(D522,'DATA SHEET'!$B:$D,2,FALSE)),2))</f>
        <v>0</v>
      </c>
      <c r="G522" s="64" cm="1">
        <f t="array" ref="G522">IF(COUNT(FIND(PurlinsxGirthsxBracings,$C522))&gt;0,0,ROUNDUP(IF(D522=0,0,VLOOKUP(D522,'DATA SHEET'!$B:$D,3,FALSE)),2))</f>
        <v>0</v>
      </c>
      <c r="H522" s="53"/>
      <c r="I522" s="66" cm="1">
        <f t="array" ref="I522">IF(AND(ISBLANK(B522),ISBLANK(C522),ISBLANK(E522)),0,IF(COUNT(FIND(PurlinsxGirthsxBracings,$C522))&gt;0,IF(B522=0,CONCATENATE(E522," ",C522),CONCATENATE(B522," - ",E522," ",C522)),IF(B522=0,IF(ISBLANK(C522),E522,CONCATENATE(D522,", ",F522,"kg/m, ",G522,"mm surface perimeter")),IF(AND(ISBLANK(C522),ISTEXT(E522)),CONCATENATE(B522," - ",E522),IF(AND(ISBLANK(C522),ISBLANK(E522)),B522,CONCATENATE(B522," - ",D522,", ",F522,"kg/m, ",G522,"mm surface perimeter"))))&amp;IF(ISBLANK(H522),"",H522)))</f>
        <v>0</v>
      </c>
      <c r="J522" s="53"/>
      <c r="L522" s="4" t="str" cm="1">
        <f t="array" ref="L522">IF(COUNT(FIND({0,1,2,3,4,5,6,7,8,9},B522))&gt;0,COUNT(FIND({0,1,2,3,4,5,6,7,8,9},B522))&gt;0,"")</f>
        <v/>
      </c>
      <c r="M522" s="4" t="str" cm="1">
        <f t="array" aca="1" ref="M522" ca="1">IFERROR(_xlfn.IFS(R522="Count",RANDBETWEEN(1,COUNTIF($R$11:$R$653,"Count")),R522="Length",RANDBETWEEN(1,COUNTIF($R$11:$R$653,"Length"))),"")</f>
        <v/>
      </c>
      <c r="N522" s="4" t="str">
        <f ca="1">IFERROR(_xlfn.RANK.EQ(M522,$M$11:$M$653)+COUNTIF($M$11:M522,M522)-1,"")</f>
        <v/>
      </c>
      <c r="O522" s="86" t="str">
        <f>IF(A522='DATA SHEET'!$L$36,C522,IFERROR(IF(AND(ISTEXT(I522),ISBLANK(C522)),"No details",VLOOKUP(C522,DimFolder,2,FALSE)),""))</f>
        <v/>
      </c>
      <c r="P522" s="4" t="str">
        <f t="shared" si="125"/>
        <v/>
      </c>
      <c r="Q522" s="58" t="str">
        <f t="shared" si="136"/>
        <v/>
      </c>
      <c r="R522" s="4" t="e" cm="1">
        <f t="array" ref="R522">IF(INDEX(Table2[],_xlfn.XMATCH($A522,Table2[Steel Member],0),_xlfn.XMATCH(R$2,Table2[#Headers],0))=0,"",INDEX(Table2[],_xlfn.XMATCH($A522,Table2[Steel Member],0),_xlfn.XMATCH(R$2,Table2[#Headers],0)))</f>
        <v>#N/A</v>
      </c>
      <c r="S522" s="4" t="e" cm="1">
        <f t="array" ref="S522">IF(INDEX(Table2[],_xlfn.XMATCH($A522,Table2[Steel Member],0),_xlfn.XMATCH(S$2,Table2[#Headers],0))=0,"",INDEX(Table2[],_xlfn.XMATCH($A522,Table2[Steel Member],0),_xlfn.XMATCH(S$2,Table2[#Headers],0)))</f>
        <v>#N/A</v>
      </c>
      <c r="T522" s="4" t="str">
        <f t="shared" si="127"/>
        <v/>
      </c>
      <c r="U522" s="4" t="e">
        <f ca="1">VLOOKUP(N522,'COLOR CODE'!$B:$D,2,FALSE)</f>
        <v>#N/A</v>
      </c>
      <c r="V522" s="4" t="str">
        <f t="shared" si="128"/>
        <v/>
      </c>
      <c r="W522" s="4" t="e" cm="1">
        <f t="array" ref="W522">IF(INDEX(Table2[],_xlfn.XMATCH($A522,Table2[Steel Member],0),_xlfn.XMATCH(W$2,Table2[#Headers],0))=0,"",INDEX(Table2[],_xlfn.XMATCH($A522,Table2[Steel Member],0),_xlfn.XMATCH(W$2,Table2[#Headers],0)))</f>
        <v>#N/A</v>
      </c>
      <c r="X522" s="4" t="e">
        <f t="shared" si="126"/>
        <v>#N/A</v>
      </c>
      <c r="Y522" s="4" t="e" cm="1">
        <f t="array" ref="Y522">IF(INDEX(Table2[],_xlfn.XMATCH($A522,Table2[Steel Member],0),_xlfn.XMATCH(Y$2,Table2[#Headers],0))=0,"",INDEX(Table2[],_xlfn.XMATCH($A522,Table2[Steel Member],0),_xlfn.XMATCH(Y$2,Table2[#Headers],0)))</f>
        <v>#N/A</v>
      </c>
      <c r="Z522" s="4" t="e" cm="1">
        <f t="array" ref="Z522">IF(INDEX(Table2[],_xlfn.XMATCH($A522,Table2[Steel Member],0),_xlfn.XMATCH(Z$2,Table2[#Headers],0))=0,"",INDEX(Table2[],_xlfn.XMATCH($A522,Table2[Steel Member],0),_xlfn.XMATCH(Z$2,Table2[#Headers],0)))</f>
        <v>#N/A</v>
      </c>
      <c r="AA522" s="4" t="e" cm="1">
        <f t="array" ref="AA522">IF(INDEX(Table2[],_xlfn.XMATCH($A522,Table2[Steel Member],0),_xlfn.XMATCH(AA$2,Table2[#Headers],0))=0,"",INDEX(Table2[],_xlfn.XMATCH($A522,Table2[Steel Member],0),_xlfn.XMATCH(AA$2,Table2[#Headers],0)))</f>
        <v>#N/A</v>
      </c>
      <c r="AB522" s="4" t="e" cm="1">
        <f t="array" ref="AB522">IF(INDEX(Table2[],_xlfn.XMATCH($A522,Table2[Steel Member],0),_xlfn.XMATCH(AB$2,Table2[#Headers],0))=0,"",INDEX(Table2[],_xlfn.XMATCH($A522,Table2[Steel Member],0),_xlfn.XMATCH(AB$2,Table2[#Headers],0)))</f>
        <v>#N/A</v>
      </c>
      <c r="AC522" s="4" t="str" cm="1">
        <f t="array" ref="AC522">IFERROR(INDEX(Table8[],_xlfn.XMATCH($O522,Table8[Dimension Name Category],0),_xlfn.XMATCH(AC$2&amp;IF($L522," w/ tag"," w/o tag"),Table8[#Headers],0)),"")</f>
        <v/>
      </c>
      <c r="AD522" s="59" t="str">
        <f t="shared" si="129"/>
        <v/>
      </c>
      <c r="AE522" s="4" t="str">
        <f t="shared" si="130"/>
        <v/>
      </c>
      <c r="AF522" s="4" t="str">
        <f t="shared" si="131"/>
        <v/>
      </c>
      <c r="AG522" s="4" t="str" cm="1">
        <f t="array" ref="AG522">IFERROR(INDEX(Table8[],_xlfn.XMATCH($O522,Table8[Dimension Name Category],0),_xlfn.XMATCH(AG$2&amp;IF($L522," w/ tag"," w/o tag"),Table8[#Headers],0)),"")</f>
        <v/>
      </c>
      <c r="AH522" s="59" t="str">
        <f t="shared" si="132"/>
        <v/>
      </c>
      <c r="AI522" s="4"/>
      <c r="AJ522" s="4" t="str">
        <f t="shared" si="133"/>
        <v/>
      </c>
      <c r="AK522" s="4" t="str">
        <f t="shared" si="134"/>
        <v/>
      </c>
      <c r="AL522" s="4" t="e" cm="1">
        <f t="array" ref="AL522">IF(INDEX(Table2[],_xlfn.XMATCH($A522,Table2[Steel Member],0),_xlfn.XMATCH(AL$2,Table2[#Headers],0))=0,"",INDEX(Table2[],_xlfn.XMATCH($A522,Table2[Steel Member],0),_xlfn.XMATCH(AL$2,Table2[#Headers],0)))</f>
        <v>#N/A</v>
      </c>
      <c r="AM522" s="4"/>
      <c r="AN522" s="4" t="str">
        <f t="shared" si="135"/>
        <v/>
      </c>
      <c r="AO522" s="4"/>
      <c r="AP522" s="4" t="e" cm="1">
        <f t="array" ref="AP522">IF(INDEX(Table2[],_xlfn.XMATCH($A522,Table2[Steel Member],0),_xlfn.XMATCH(AP$2,Table2[#Headers],0))=0,"",INDEX(Table2[],_xlfn.XMATCH($A522,Table2[Steel Member],0),_xlfn.XMATCH(AP$2,Table2[#Headers],0)))</f>
        <v>#N/A</v>
      </c>
      <c r="AQ522" s="4"/>
      <c r="AR522" s="4"/>
      <c r="AS522" s="4"/>
      <c r="AT522" s="4"/>
    </row>
    <row r="523" spans="1:46" x14ac:dyDescent="0.25">
      <c r="A523" s="52"/>
      <c r="B523" s="52"/>
      <c r="C523" s="52"/>
      <c r="D523" s="52"/>
      <c r="E523" s="52"/>
      <c r="F523" s="64" cm="1">
        <f t="array" ref="F523">IF(COUNT(FIND(PurlinsxGirthsxBracings,$C523))&gt;0,0,ROUNDUP(IF(D523=0,0,VLOOKUP(D523,'DATA SHEET'!$B:$D,2,FALSE)),2))</f>
        <v>0</v>
      </c>
      <c r="G523" s="64" cm="1">
        <f t="array" ref="G523">IF(COUNT(FIND(PurlinsxGirthsxBracings,$C523))&gt;0,0,ROUNDUP(IF(D523=0,0,VLOOKUP(D523,'DATA SHEET'!$B:$D,3,FALSE)),2))</f>
        <v>0</v>
      </c>
      <c r="H523" s="53"/>
      <c r="I523" s="66" cm="1">
        <f t="array" ref="I523">IF(AND(ISBLANK(B523),ISBLANK(C523),ISBLANK(E523)),0,IF(COUNT(FIND(PurlinsxGirthsxBracings,$C523))&gt;0,IF(B523=0,CONCATENATE(E523," ",C523),CONCATENATE(B523," - ",E523," ",C523)),IF(B523=0,IF(ISBLANK(C523),E523,CONCATENATE(D523,", ",F523,"kg/m, ",G523,"mm surface perimeter")),IF(AND(ISBLANK(C523),ISTEXT(E523)),CONCATENATE(B523," - ",E523),IF(AND(ISBLANK(C523),ISBLANK(E523)),B523,CONCATENATE(B523," - ",D523,", ",F523,"kg/m, ",G523,"mm surface perimeter"))))&amp;IF(ISBLANK(H523),"",H523)))</f>
        <v>0</v>
      </c>
      <c r="J523" s="53"/>
      <c r="L523" s="4" t="str" cm="1">
        <f t="array" ref="L523">IF(COUNT(FIND({0,1,2,3,4,5,6,7,8,9},B523))&gt;0,COUNT(FIND({0,1,2,3,4,5,6,7,8,9},B523))&gt;0,"")</f>
        <v/>
      </c>
      <c r="M523" s="4" t="str" cm="1">
        <f t="array" aca="1" ref="M523" ca="1">IFERROR(_xlfn.IFS(R523="Count",RANDBETWEEN(1,COUNTIF($R$11:$R$653,"Count")),R523="Length",RANDBETWEEN(1,COUNTIF($R$11:$R$653,"Length"))),"")</f>
        <v/>
      </c>
      <c r="N523" s="4" t="str">
        <f ca="1">IFERROR(_xlfn.RANK.EQ(M523,$M$11:$M$653)+COUNTIF($M$11:M523,M523)-1,"")</f>
        <v/>
      </c>
      <c r="O523" s="86" t="str">
        <f>IF(A523='DATA SHEET'!$L$36,C523,IFERROR(IF(AND(ISTEXT(I523),ISBLANK(C523)),"No details",VLOOKUP(C523,DimFolder,2,FALSE)),""))</f>
        <v/>
      </c>
      <c r="P523" s="4" t="str">
        <f t="shared" ref="P523:P586" si="137">IF(AND(ISBLANK(B523),ISBLANK(C523)),"",CONCATENATE("Structural\Structural Steel\",A523,"\",O523))</f>
        <v/>
      </c>
      <c r="Q523" s="58" t="str">
        <f t="shared" si="136"/>
        <v/>
      </c>
      <c r="R523" s="4" t="e" cm="1">
        <f t="array" ref="R523">IF(INDEX(Table2[],_xlfn.XMATCH($A523,Table2[Steel Member],0),_xlfn.XMATCH(R$2,Table2[#Headers],0))=0,"",INDEX(Table2[],_xlfn.XMATCH($A523,Table2[Steel Member],0),_xlfn.XMATCH(R$2,Table2[#Headers],0)))</f>
        <v>#N/A</v>
      </c>
      <c r="S523" s="4" t="e" cm="1">
        <f t="array" ref="S523">IF(INDEX(Table2[],_xlfn.XMATCH($A523,Table2[Steel Member],0),_xlfn.XMATCH(S$2,Table2[#Headers],0))=0,"",INDEX(Table2[],_xlfn.XMATCH($A523,Table2[Steel Member],0),_xlfn.XMATCH(S$2,Table2[#Headers],0)))</f>
        <v>#N/A</v>
      </c>
      <c r="T523" s="4" t="str">
        <f t="shared" si="127"/>
        <v/>
      </c>
      <c r="U523" s="4" t="e">
        <f ca="1">VLOOKUP(N523,'COLOR CODE'!$B:$D,2,FALSE)</f>
        <v>#N/A</v>
      </c>
      <c r="V523" s="4" t="str">
        <f t="shared" si="128"/>
        <v/>
      </c>
      <c r="W523" s="4" t="e" cm="1">
        <f t="array" ref="W523">IF(INDEX(Table2[],_xlfn.XMATCH($A523,Table2[Steel Member],0),_xlfn.XMATCH(W$2,Table2[#Headers],0))=0,"",INDEX(Table2[],_xlfn.XMATCH($A523,Table2[Steel Member],0),_xlfn.XMATCH(W$2,Table2[#Headers],0)))</f>
        <v>#N/A</v>
      </c>
      <c r="X523" s="4" t="e">
        <f t="shared" si="126"/>
        <v>#N/A</v>
      </c>
      <c r="Y523" s="4" t="e" cm="1">
        <f t="array" ref="Y523">IF(INDEX(Table2[],_xlfn.XMATCH($A523,Table2[Steel Member],0),_xlfn.XMATCH(Y$2,Table2[#Headers],0))=0,"",INDEX(Table2[],_xlfn.XMATCH($A523,Table2[Steel Member],0),_xlfn.XMATCH(Y$2,Table2[#Headers],0)))</f>
        <v>#N/A</v>
      </c>
      <c r="Z523" s="4" t="e" cm="1">
        <f t="array" ref="Z523">IF(INDEX(Table2[],_xlfn.XMATCH($A523,Table2[Steel Member],0),_xlfn.XMATCH(Z$2,Table2[#Headers],0))=0,"",INDEX(Table2[],_xlfn.XMATCH($A523,Table2[Steel Member],0),_xlfn.XMATCH(Z$2,Table2[#Headers],0)))</f>
        <v>#N/A</v>
      </c>
      <c r="AA523" s="4" t="e" cm="1">
        <f t="array" ref="AA523">IF(INDEX(Table2[],_xlfn.XMATCH($A523,Table2[Steel Member],0),_xlfn.XMATCH(AA$2,Table2[#Headers],0))=0,"",INDEX(Table2[],_xlfn.XMATCH($A523,Table2[Steel Member],0),_xlfn.XMATCH(AA$2,Table2[#Headers],0)))</f>
        <v>#N/A</v>
      </c>
      <c r="AB523" s="4" t="e" cm="1">
        <f t="array" ref="AB523">IF(INDEX(Table2[],_xlfn.XMATCH($A523,Table2[Steel Member],0),_xlfn.XMATCH(AB$2,Table2[#Headers],0))=0,"",INDEX(Table2[],_xlfn.XMATCH($A523,Table2[Steel Member],0),_xlfn.XMATCH(AB$2,Table2[#Headers],0)))</f>
        <v>#N/A</v>
      </c>
      <c r="AC523" s="4" t="str" cm="1">
        <f t="array" ref="AC523">IFERROR(INDEX(Table8[],_xlfn.XMATCH($O523,Table8[Dimension Name Category],0),_xlfn.XMATCH(AC$2&amp;IF($L523," w/ tag"," w/o tag"),Table8[#Headers],0)),"")</f>
        <v/>
      </c>
      <c r="AD523" s="59" t="str">
        <f t="shared" si="129"/>
        <v/>
      </c>
      <c r="AE523" s="4" t="str">
        <f t="shared" si="130"/>
        <v/>
      </c>
      <c r="AF523" s="4" t="str">
        <f t="shared" si="131"/>
        <v/>
      </c>
      <c r="AG523" s="4" t="str" cm="1">
        <f t="array" ref="AG523">IFERROR(INDEX(Table8[],_xlfn.XMATCH($O523,Table8[Dimension Name Category],0),_xlfn.XMATCH(AG$2&amp;IF($L523," w/ tag"," w/o tag"),Table8[#Headers],0)),"")</f>
        <v/>
      </c>
      <c r="AH523" s="59" t="str">
        <f t="shared" si="132"/>
        <v/>
      </c>
      <c r="AI523" s="4"/>
      <c r="AJ523" s="4" t="str">
        <f t="shared" si="133"/>
        <v/>
      </c>
      <c r="AK523" s="4" t="str">
        <f t="shared" si="134"/>
        <v/>
      </c>
      <c r="AL523" s="4" t="e" cm="1">
        <f t="array" ref="AL523">IF(INDEX(Table2[],_xlfn.XMATCH($A523,Table2[Steel Member],0),_xlfn.XMATCH(AL$2,Table2[#Headers],0))=0,"",INDEX(Table2[],_xlfn.XMATCH($A523,Table2[Steel Member],0),_xlfn.XMATCH(AL$2,Table2[#Headers],0)))</f>
        <v>#N/A</v>
      </c>
      <c r="AM523" s="4"/>
      <c r="AN523" s="4" t="str">
        <f t="shared" si="135"/>
        <v/>
      </c>
      <c r="AO523" s="4"/>
      <c r="AP523" s="4" t="e" cm="1">
        <f t="array" ref="AP523">IF(INDEX(Table2[],_xlfn.XMATCH($A523,Table2[Steel Member],0),_xlfn.XMATCH(AP$2,Table2[#Headers],0))=0,"",INDEX(Table2[],_xlfn.XMATCH($A523,Table2[Steel Member],0),_xlfn.XMATCH(AP$2,Table2[#Headers],0)))</f>
        <v>#N/A</v>
      </c>
      <c r="AQ523" s="4"/>
      <c r="AR523" s="4"/>
      <c r="AS523" s="4"/>
      <c r="AT523" s="4"/>
    </row>
    <row r="524" spans="1:46" x14ac:dyDescent="0.25">
      <c r="A524" s="52"/>
      <c r="B524" s="52"/>
      <c r="C524" s="52"/>
      <c r="D524" s="52"/>
      <c r="E524" s="52"/>
      <c r="F524" s="64" cm="1">
        <f t="array" ref="F524">IF(COUNT(FIND(PurlinsxGirthsxBracings,$C524))&gt;0,0,ROUNDUP(IF(D524=0,0,VLOOKUP(D524,'DATA SHEET'!$B:$D,2,FALSE)),2))</f>
        <v>0</v>
      </c>
      <c r="G524" s="64" cm="1">
        <f t="array" ref="G524">IF(COUNT(FIND(PurlinsxGirthsxBracings,$C524))&gt;0,0,ROUNDUP(IF(D524=0,0,VLOOKUP(D524,'DATA SHEET'!$B:$D,3,FALSE)),2))</f>
        <v>0</v>
      </c>
      <c r="H524" s="53"/>
      <c r="I524" s="66" cm="1">
        <f t="array" ref="I524">IF(AND(ISBLANK(B524),ISBLANK(C524),ISBLANK(E524)),0,IF(COUNT(FIND(PurlinsxGirthsxBracings,$C524))&gt;0,IF(B524=0,CONCATENATE(E524," ",C524),CONCATENATE(B524," - ",E524," ",C524)),IF(B524=0,IF(ISBLANK(C524),E524,CONCATENATE(D524,", ",F524,"kg/m, ",G524,"mm surface perimeter")),IF(AND(ISBLANK(C524),ISTEXT(E524)),CONCATENATE(B524," - ",E524),IF(AND(ISBLANK(C524),ISBLANK(E524)),B524,CONCATENATE(B524," - ",D524,", ",F524,"kg/m, ",G524,"mm surface perimeter"))))&amp;IF(ISBLANK(H524),"",H524)))</f>
        <v>0</v>
      </c>
      <c r="J524" s="53"/>
      <c r="L524" s="4" t="str" cm="1">
        <f t="array" ref="L524">IF(COUNT(FIND({0,1,2,3,4,5,6,7,8,9},B524))&gt;0,COUNT(FIND({0,1,2,3,4,5,6,7,8,9},B524))&gt;0,"")</f>
        <v/>
      </c>
      <c r="M524" s="4" t="str" cm="1">
        <f t="array" aca="1" ref="M524" ca="1">IFERROR(_xlfn.IFS(R524="Count",RANDBETWEEN(1,COUNTIF($R$11:$R$653,"Count")),R524="Length",RANDBETWEEN(1,COUNTIF($R$11:$R$653,"Length"))),"")</f>
        <v/>
      </c>
      <c r="N524" s="4" t="str">
        <f ca="1">IFERROR(_xlfn.RANK.EQ(M524,$M$11:$M$653)+COUNTIF($M$11:M524,M524)-1,"")</f>
        <v/>
      </c>
      <c r="O524" s="86" t="str">
        <f>IF(A524='DATA SHEET'!$L$36,C524,IFERROR(IF(AND(ISTEXT(I524),ISBLANK(C524)),"No details",VLOOKUP(C524,DimFolder,2,FALSE)),""))</f>
        <v/>
      </c>
      <c r="P524" s="4" t="str">
        <f t="shared" si="137"/>
        <v/>
      </c>
      <c r="Q524" s="58" t="str">
        <f t="shared" si="136"/>
        <v/>
      </c>
      <c r="R524" s="4" t="e" cm="1">
        <f t="array" ref="R524">IF(INDEX(Table2[],_xlfn.XMATCH($A524,Table2[Steel Member],0),_xlfn.XMATCH(R$2,Table2[#Headers],0))=0,"",INDEX(Table2[],_xlfn.XMATCH($A524,Table2[Steel Member],0),_xlfn.XMATCH(R$2,Table2[#Headers],0)))</f>
        <v>#N/A</v>
      </c>
      <c r="S524" s="4" t="e" cm="1">
        <f t="array" ref="S524">IF(INDEX(Table2[],_xlfn.XMATCH($A524,Table2[Steel Member],0),_xlfn.XMATCH(S$2,Table2[#Headers],0))=0,"",INDEX(Table2[],_xlfn.XMATCH($A524,Table2[Steel Member],0),_xlfn.XMATCH(S$2,Table2[#Headers],0)))</f>
        <v>#N/A</v>
      </c>
      <c r="T524" s="4" t="str">
        <f t="shared" si="127"/>
        <v/>
      </c>
      <c r="U524" s="4" t="e">
        <f ca="1">VLOOKUP(N524,'COLOR CODE'!$B:$D,2,FALSE)</f>
        <v>#N/A</v>
      </c>
      <c r="V524" s="4" t="str">
        <f t="shared" si="128"/>
        <v/>
      </c>
      <c r="W524" s="4" t="e" cm="1">
        <f t="array" ref="W524">IF(INDEX(Table2[],_xlfn.XMATCH($A524,Table2[Steel Member],0),_xlfn.XMATCH(W$2,Table2[#Headers],0))=0,"",INDEX(Table2[],_xlfn.XMATCH($A524,Table2[Steel Member],0),_xlfn.XMATCH(W$2,Table2[#Headers],0)))</f>
        <v>#N/A</v>
      </c>
      <c r="X524" s="4" t="e">
        <f t="shared" si="126"/>
        <v>#N/A</v>
      </c>
      <c r="Y524" s="4" t="e" cm="1">
        <f t="array" ref="Y524">IF(INDEX(Table2[],_xlfn.XMATCH($A524,Table2[Steel Member],0),_xlfn.XMATCH(Y$2,Table2[#Headers],0))=0,"",INDEX(Table2[],_xlfn.XMATCH($A524,Table2[Steel Member],0),_xlfn.XMATCH(Y$2,Table2[#Headers],0)))</f>
        <v>#N/A</v>
      </c>
      <c r="Z524" s="4" t="e" cm="1">
        <f t="array" ref="Z524">IF(INDEX(Table2[],_xlfn.XMATCH($A524,Table2[Steel Member],0),_xlfn.XMATCH(Z$2,Table2[#Headers],0))=0,"",INDEX(Table2[],_xlfn.XMATCH($A524,Table2[Steel Member],0),_xlfn.XMATCH(Z$2,Table2[#Headers],0)))</f>
        <v>#N/A</v>
      </c>
      <c r="AA524" s="4" t="e" cm="1">
        <f t="array" ref="AA524">IF(INDEX(Table2[],_xlfn.XMATCH($A524,Table2[Steel Member],0),_xlfn.XMATCH(AA$2,Table2[#Headers],0))=0,"",INDEX(Table2[],_xlfn.XMATCH($A524,Table2[Steel Member],0),_xlfn.XMATCH(AA$2,Table2[#Headers],0)))</f>
        <v>#N/A</v>
      </c>
      <c r="AB524" s="4" t="e" cm="1">
        <f t="array" ref="AB524">IF(INDEX(Table2[],_xlfn.XMATCH($A524,Table2[Steel Member],0),_xlfn.XMATCH(AB$2,Table2[#Headers],0))=0,"",INDEX(Table2[],_xlfn.XMATCH($A524,Table2[Steel Member],0),_xlfn.XMATCH(AB$2,Table2[#Headers],0)))</f>
        <v>#N/A</v>
      </c>
      <c r="AC524" s="4" t="str" cm="1">
        <f t="array" ref="AC524">IFERROR(INDEX(Table8[],_xlfn.XMATCH($O524,Table8[Dimension Name Category],0),_xlfn.XMATCH(AC$2&amp;IF($L524," w/ tag"," w/o tag"),Table8[#Headers],0)),"")</f>
        <v/>
      </c>
      <c r="AD524" s="59" t="str">
        <f t="shared" si="129"/>
        <v/>
      </c>
      <c r="AE524" s="4" t="str">
        <f t="shared" si="130"/>
        <v/>
      </c>
      <c r="AF524" s="4" t="str">
        <f t="shared" si="131"/>
        <v/>
      </c>
      <c r="AG524" s="4" t="str" cm="1">
        <f t="array" ref="AG524">IFERROR(INDEX(Table8[],_xlfn.XMATCH($O524,Table8[Dimension Name Category],0),_xlfn.XMATCH(AG$2&amp;IF($L524," w/ tag"," w/o tag"),Table8[#Headers],0)),"")</f>
        <v/>
      </c>
      <c r="AH524" s="59" t="str">
        <f t="shared" si="132"/>
        <v/>
      </c>
      <c r="AI524" s="4"/>
      <c r="AJ524" s="4" t="str">
        <f t="shared" si="133"/>
        <v/>
      </c>
      <c r="AK524" s="4" t="str">
        <f t="shared" si="134"/>
        <v/>
      </c>
      <c r="AL524" s="4" t="e" cm="1">
        <f t="array" ref="AL524">IF(INDEX(Table2[],_xlfn.XMATCH($A524,Table2[Steel Member],0),_xlfn.XMATCH(AL$2,Table2[#Headers],0))=0,"",INDEX(Table2[],_xlfn.XMATCH($A524,Table2[Steel Member],0),_xlfn.XMATCH(AL$2,Table2[#Headers],0)))</f>
        <v>#N/A</v>
      </c>
      <c r="AM524" s="4"/>
      <c r="AN524" s="4" t="str">
        <f t="shared" si="135"/>
        <v/>
      </c>
      <c r="AO524" s="4"/>
      <c r="AP524" s="4" t="e" cm="1">
        <f t="array" ref="AP524">IF(INDEX(Table2[],_xlfn.XMATCH($A524,Table2[Steel Member],0),_xlfn.XMATCH(AP$2,Table2[#Headers],0))=0,"",INDEX(Table2[],_xlfn.XMATCH($A524,Table2[Steel Member],0),_xlfn.XMATCH(AP$2,Table2[#Headers],0)))</f>
        <v>#N/A</v>
      </c>
      <c r="AQ524" s="4"/>
      <c r="AR524" s="4"/>
      <c r="AS524" s="4"/>
      <c r="AT524" s="4"/>
    </row>
    <row r="525" spans="1:46" x14ac:dyDescent="0.25">
      <c r="A525" s="52"/>
      <c r="B525" s="52"/>
      <c r="C525" s="52"/>
      <c r="D525" s="52"/>
      <c r="E525" s="52"/>
      <c r="F525" s="64" cm="1">
        <f t="array" ref="F525">IF(COUNT(FIND(PurlinsxGirthsxBracings,$C525))&gt;0,0,ROUNDUP(IF(D525=0,0,VLOOKUP(D525,'DATA SHEET'!$B:$D,2,FALSE)),2))</f>
        <v>0</v>
      </c>
      <c r="G525" s="64" cm="1">
        <f t="array" ref="G525">IF(COUNT(FIND(PurlinsxGirthsxBracings,$C525))&gt;0,0,ROUNDUP(IF(D525=0,0,VLOOKUP(D525,'DATA SHEET'!$B:$D,3,FALSE)),2))</f>
        <v>0</v>
      </c>
      <c r="H525" s="53"/>
      <c r="I525" s="66" cm="1">
        <f t="array" ref="I525">IF(AND(ISBLANK(B525),ISBLANK(C525),ISBLANK(E525)),0,IF(COUNT(FIND(PurlinsxGirthsxBracings,$C525))&gt;0,IF(B525=0,CONCATENATE(E525," ",C525),CONCATENATE(B525," - ",E525," ",C525)),IF(B525=0,IF(ISBLANK(C525),E525,CONCATENATE(D525,", ",F525,"kg/m, ",G525,"mm surface perimeter")),IF(AND(ISBLANK(C525),ISTEXT(E525)),CONCATENATE(B525," - ",E525),IF(AND(ISBLANK(C525),ISBLANK(E525)),B525,CONCATENATE(B525," - ",D525,", ",F525,"kg/m, ",G525,"mm surface perimeter"))))&amp;IF(ISBLANK(H525),"",H525)))</f>
        <v>0</v>
      </c>
      <c r="J525" s="53"/>
      <c r="L525" s="4" t="str" cm="1">
        <f t="array" ref="L525">IF(COUNT(FIND({0,1,2,3,4,5,6,7,8,9},B525))&gt;0,COUNT(FIND({0,1,2,3,4,5,6,7,8,9},B525))&gt;0,"")</f>
        <v/>
      </c>
      <c r="M525" s="4" t="str" cm="1">
        <f t="array" aca="1" ref="M525" ca="1">IFERROR(_xlfn.IFS(R525="Count",RANDBETWEEN(1,COUNTIF($R$11:$R$653,"Count")),R525="Length",RANDBETWEEN(1,COUNTIF($R$11:$R$653,"Length"))),"")</f>
        <v/>
      </c>
      <c r="N525" s="4" t="str">
        <f ca="1">IFERROR(_xlfn.RANK.EQ(M525,$M$11:$M$653)+COUNTIF($M$11:M525,M525)-1,"")</f>
        <v/>
      </c>
      <c r="O525" s="86" t="str">
        <f>IF(A525='DATA SHEET'!$L$36,C525,IFERROR(IF(AND(ISTEXT(I525),ISBLANK(C525)),"No details",VLOOKUP(C525,DimFolder,2,FALSE)),""))</f>
        <v/>
      </c>
      <c r="P525" s="4" t="str">
        <f t="shared" si="137"/>
        <v/>
      </c>
      <c r="Q525" s="58" t="str">
        <f t="shared" si="136"/>
        <v/>
      </c>
      <c r="R525" s="4" t="e" cm="1">
        <f t="array" ref="R525">IF(INDEX(Table2[],_xlfn.XMATCH($A525,Table2[Steel Member],0),_xlfn.XMATCH(R$2,Table2[#Headers],0))=0,"",INDEX(Table2[],_xlfn.XMATCH($A525,Table2[Steel Member],0),_xlfn.XMATCH(R$2,Table2[#Headers],0)))</f>
        <v>#N/A</v>
      </c>
      <c r="S525" s="4" t="e" cm="1">
        <f t="array" ref="S525">IF(INDEX(Table2[],_xlfn.XMATCH($A525,Table2[Steel Member],0),_xlfn.XMATCH(S$2,Table2[#Headers],0))=0,"",INDEX(Table2[],_xlfn.XMATCH($A525,Table2[Steel Member],0),_xlfn.XMATCH(S$2,Table2[#Headers],0)))</f>
        <v>#N/A</v>
      </c>
      <c r="T525" s="4" t="str">
        <f t="shared" si="127"/>
        <v/>
      </c>
      <c r="U525" s="4" t="e">
        <f ca="1">VLOOKUP(N525,'COLOR CODE'!$B:$D,2,FALSE)</f>
        <v>#N/A</v>
      </c>
      <c r="V525" s="4" t="str">
        <f t="shared" si="128"/>
        <v/>
      </c>
      <c r="W525" s="4" t="e" cm="1">
        <f t="array" ref="W525">IF(INDEX(Table2[],_xlfn.XMATCH($A525,Table2[Steel Member],0),_xlfn.XMATCH(W$2,Table2[#Headers],0))=0,"",INDEX(Table2[],_xlfn.XMATCH($A525,Table2[Steel Member],0),_xlfn.XMATCH(W$2,Table2[#Headers],0)))</f>
        <v>#N/A</v>
      </c>
      <c r="X525" s="4" t="e">
        <f t="shared" si="126"/>
        <v>#N/A</v>
      </c>
      <c r="Y525" s="4" t="e" cm="1">
        <f t="array" ref="Y525">IF(INDEX(Table2[],_xlfn.XMATCH($A525,Table2[Steel Member],0),_xlfn.XMATCH(Y$2,Table2[#Headers],0))=0,"",INDEX(Table2[],_xlfn.XMATCH($A525,Table2[Steel Member],0),_xlfn.XMATCH(Y$2,Table2[#Headers],0)))</f>
        <v>#N/A</v>
      </c>
      <c r="Z525" s="4" t="e" cm="1">
        <f t="array" ref="Z525">IF(INDEX(Table2[],_xlfn.XMATCH($A525,Table2[Steel Member],0),_xlfn.XMATCH(Z$2,Table2[#Headers],0))=0,"",INDEX(Table2[],_xlfn.XMATCH($A525,Table2[Steel Member],0),_xlfn.XMATCH(Z$2,Table2[#Headers],0)))</f>
        <v>#N/A</v>
      </c>
      <c r="AA525" s="4" t="e" cm="1">
        <f t="array" ref="AA525">IF(INDEX(Table2[],_xlfn.XMATCH($A525,Table2[Steel Member],0),_xlfn.XMATCH(AA$2,Table2[#Headers],0))=0,"",INDEX(Table2[],_xlfn.XMATCH($A525,Table2[Steel Member],0),_xlfn.XMATCH(AA$2,Table2[#Headers],0)))</f>
        <v>#N/A</v>
      </c>
      <c r="AB525" s="4" t="e" cm="1">
        <f t="array" ref="AB525">IF(INDEX(Table2[],_xlfn.XMATCH($A525,Table2[Steel Member],0),_xlfn.XMATCH(AB$2,Table2[#Headers],0))=0,"",INDEX(Table2[],_xlfn.XMATCH($A525,Table2[Steel Member],0),_xlfn.XMATCH(AB$2,Table2[#Headers],0)))</f>
        <v>#N/A</v>
      </c>
      <c r="AC525" s="4" t="str" cm="1">
        <f t="array" ref="AC525">IFERROR(INDEX(Table8[],_xlfn.XMATCH($O525,Table8[Dimension Name Category],0),_xlfn.XMATCH(AC$2&amp;IF($L525," w/ tag"," w/o tag"),Table8[#Headers],0)),"")</f>
        <v/>
      </c>
      <c r="AD525" s="59" t="str">
        <f t="shared" si="129"/>
        <v/>
      </c>
      <c r="AE525" s="4" t="str">
        <f t="shared" si="130"/>
        <v/>
      </c>
      <c r="AF525" s="4" t="str">
        <f t="shared" si="131"/>
        <v/>
      </c>
      <c r="AG525" s="4" t="str" cm="1">
        <f t="array" ref="AG525">IFERROR(INDEX(Table8[],_xlfn.XMATCH($O525,Table8[Dimension Name Category],0),_xlfn.XMATCH(AG$2&amp;IF($L525," w/ tag"," w/o tag"),Table8[#Headers],0)),"")</f>
        <v/>
      </c>
      <c r="AH525" s="59" t="str">
        <f t="shared" si="132"/>
        <v/>
      </c>
      <c r="AI525" s="4"/>
      <c r="AJ525" s="4" t="str">
        <f t="shared" si="133"/>
        <v/>
      </c>
      <c r="AK525" s="4" t="str">
        <f t="shared" si="134"/>
        <v/>
      </c>
      <c r="AL525" s="4" t="e" cm="1">
        <f t="array" ref="AL525">IF(INDEX(Table2[],_xlfn.XMATCH($A525,Table2[Steel Member],0),_xlfn.XMATCH(AL$2,Table2[#Headers],0))=0,"",INDEX(Table2[],_xlfn.XMATCH($A525,Table2[Steel Member],0),_xlfn.XMATCH(AL$2,Table2[#Headers],0)))</f>
        <v>#N/A</v>
      </c>
      <c r="AM525" s="4"/>
      <c r="AN525" s="4" t="str">
        <f t="shared" si="135"/>
        <v/>
      </c>
      <c r="AO525" s="4"/>
      <c r="AP525" s="4" t="e" cm="1">
        <f t="array" ref="AP525">IF(INDEX(Table2[],_xlfn.XMATCH($A525,Table2[Steel Member],0),_xlfn.XMATCH(AP$2,Table2[#Headers],0))=0,"",INDEX(Table2[],_xlfn.XMATCH($A525,Table2[Steel Member],0),_xlfn.XMATCH(AP$2,Table2[#Headers],0)))</f>
        <v>#N/A</v>
      </c>
      <c r="AQ525" s="4"/>
      <c r="AR525" s="4"/>
      <c r="AS525" s="4"/>
      <c r="AT525" s="4"/>
    </row>
    <row r="526" spans="1:46" x14ac:dyDescent="0.25">
      <c r="A526" s="52"/>
      <c r="B526" s="52"/>
      <c r="C526" s="52"/>
      <c r="D526" s="52"/>
      <c r="E526" s="52"/>
      <c r="F526" s="64" cm="1">
        <f t="array" ref="F526">IF(COUNT(FIND(PurlinsxGirthsxBracings,$C526))&gt;0,0,ROUNDUP(IF(D526=0,0,VLOOKUP(D526,'DATA SHEET'!$B:$D,2,FALSE)),2))</f>
        <v>0</v>
      </c>
      <c r="G526" s="64" cm="1">
        <f t="array" ref="G526">IF(COUNT(FIND(PurlinsxGirthsxBracings,$C526))&gt;0,0,ROUNDUP(IF(D526=0,0,VLOOKUP(D526,'DATA SHEET'!$B:$D,3,FALSE)),2))</f>
        <v>0</v>
      </c>
      <c r="H526" s="53"/>
      <c r="I526" s="66" cm="1">
        <f t="array" ref="I526">IF(AND(ISBLANK(B526),ISBLANK(C526),ISBLANK(E526)),0,IF(COUNT(FIND(PurlinsxGirthsxBracings,$C526))&gt;0,IF(B526=0,CONCATENATE(E526," ",C526),CONCATENATE(B526," - ",E526," ",C526)),IF(B526=0,IF(ISBLANK(C526),E526,CONCATENATE(D526,", ",F526,"kg/m, ",G526,"mm surface perimeter")),IF(AND(ISBLANK(C526),ISTEXT(E526)),CONCATENATE(B526," - ",E526),IF(AND(ISBLANK(C526),ISBLANK(E526)),B526,CONCATENATE(B526," - ",D526,", ",F526,"kg/m, ",G526,"mm surface perimeter"))))&amp;IF(ISBLANK(H526),"",H526)))</f>
        <v>0</v>
      </c>
      <c r="J526" s="53"/>
      <c r="L526" s="4" t="str" cm="1">
        <f t="array" ref="L526">IF(COUNT(FIND({0,1,2,3,4,5,6,7,8,9},B526))&gt;0,COUNT(FIND({0,1,2,3,4,5,6,7,8,9},B526))&gt;0,"")</f>
        <v/>
      </c>
      <c r="M526" s="4" t="str" cm="1">
        <f t="array" aca="1" ref="M526" ca="1">IFERROR(_xlfn.IFS(R526="Count",RANDBETWEEN(1,COUNTIF($R$11:$R$653,"Count")),R526="Length",RANDBETWEEN(1,COUNTIF($R$11:$R$653,"Length"))),"")</f>
        <v/>
      </c>
      <c r="N526" s="4" t="str">
        <f ca="1">IFERROR(_xlfn.RANK.EQ(M526,$M$11:$M$653)+COUNTIF($M$11:M526,M526)-1,"")</f>
        <v/>
      </c>
      <c r="O526" s="86" t="str">
        <f>IF(A526='DATA SHEET'!$L$36,C526,IFERROR(IF(AND(ISTEXT(I526),ISBLANK(C526)),"No details",VLOOKUP(C526,DimFolder,2,FALSE)),""))</f>
        <v/>
      </c>
      <c r="P526" s="4" t="str">
        <f t="shared" si="137"/>
        <v/>
      </c>
      <c r="Q526" s="58" t="str">
        <f t="shared" si="136"/>
        <v/>
      </c>
      <c r="R526" s="4" t="e" cm="1">
        <f t="array" ref="R526">IF(INDEX(Table2[],_xlfn.XMATCH($A526,Table2[Steel Member],0),_xlfn.XMATCH(R$2,Table2[#Headers],0))=0,"",INDEX(Table2[],_xlfn.XMATCH($A526,Table2[Steel Member],0),_xlfn.XMATCH(R$2,Table2[#Headers],0)))</f>
        <v>#N/A</v>
      </c>
      <c r="S526" s="4" t="e" cm="1">
        <f t="array" ref="S526">IF(INDEX(Table2[],_xlfn.XMATCH($A526,Table2[Steel Member],0),_xlfn.XMATCH(S$2,Table2[#Headers],0))=0,"",INDEX(Table2[],_xlfn.XMATCH($A526,Table2[Steel Member],0),_xlfn.XMATCH(S$2,Table2[#Headers],0)))</f>
        <v>#N/A</v>
      </c>
      <c r="T526" s="4" t="str">
        <f t="shared" si="127"/>
        <v/>
      </c>
      <c r="U526" s="4" t="e">
        <f ca="1">VLOOKUP(N526,'COLOR CODE'!$B:$D,2,FALSE)</f>
        <v>#N/A</v>
      </c>
      <c r="V526" s="4" t="str">
        <f t="shared" si="128"/>
        <v/>
      </c>
      <c r="W526" s="4" t="e" cm="1">
        <f t="array" ref="W526">IF(INDEX(Table2[],_xlfn.XMATCH($A526,Table2[Steel Member],0),_xlfn.XMATCH(W$2,Table2[#Headers],0))=0,"",INDEX(Table2[],_xlfn.XMATCH($A526,Table2[Steel Member],0),_xlfn.XMATCH(W$2,Table2[#Headers],0)))</f>
        <v>#N/A</v>
      </c>
      <c r="X526" s="4" t="e">
        <f t="shared" si="126"/>
        <v>#N/A</v>
      </c>
      <c r="Y526" s="4" t="e" cm="1">
        <f t="array" ref="Y526">IF(INDEX(Table2[],_xlfn.XMATCH($A526,Table2[Steel Member],0),_xlfn.XMATCH(Y$2,Table2[#Headers],0))=0,"",INDEX(Table2[],_xlfn.XMATCH($A526,Table2[Steel Member],0),_xlfn.XMATCH(Y$2,Table2[#Headers],0)))</f>
        <v>#N/A</v>
      </c>
      <c r="Z526" s="4" t="e" cm="1">
        <f t="array" ref="Z526">IF(INDEX(Table2[],_xlfn.XMATCH($A526,Table2[Steel Member],0),_xlfn.XMATCH(Z$2,Table2[#Headers],0))=0,"",INDEX(Table2[],_xlfn.XMATCH($A526,Table2[Steel Member],0),_xlfn.XMATCH(Z$2,Table2[#Headers],0)))</f>
        <v>#N/A</v>
      </c>
      <c r="AA526" s="4" t="e" cm="1">
        <f t="array" ref="AA526">IF(INDEX(Table2[],_xlfn.XMATCH($A526,Table2[Steel Member],0),_xlfn.XMATCH(AA$2,Table2[#Headers],0))=0,"",INDEX(Table2[],_xlfn.XMATCH($A526,Table2[Steel Member],0),_xlfn.XMATCH(AA$2,Table2[#Headers],0)))</f>
        <v>#N/A</v>
      </c>
      <c r="AB526" s="4" t="e" cm="1">
        <f t="array" ref="AB526">IF(INDEX(Table2[],_xlfn.XMATCH($A526,Table2[Steel Member],0),_xlfn.XMATCH(AB$2,Table2[#Headers],0))=0,"",INDEX(Table2[],_xlfn.XMATCH($A526,Table2[Steel Member],0),_xlfn.XMATCH(AB$2,Table2[#Headers],0)))</f>
        <v>#N/A</v>
      </c>
      <c r="AC526" s="4" t="str" cm="1">
        <f t="array" ref="AC526">IFERROR(INDEX(Table8[],_xlfn.XMATCH($O526,Table8[Dimension Name Category],0),_xlfn.XMATCH(AC$2&amp;IF($L526," w/ tag"," w/o tag"),Table8[#Headers],0)),"")</f>
        <v/>
      </c>
      <c r="AD526" s="59" t="str">
        <f t="shared" si="129"/>
        <v/>
      </c>
      <c r="AE526" s="4" t="str">
        <f t="shared" si="130"/>
        <v/>
      </c>
      <c r="AF526" s="4" t="str">
        <f t="shared" si="131"/>
        <v/>
      </c>
      <c r="AG526" s="4" t="str" cm="1">
        <f t="array" ref="AG526">IFERROR(INDEX(Table8[],_xlfn.XMATCH($O526,Table8[Dimension Name Category],0),_xlfn.XMATCH(AG$2&amp;IF($L526," w/ tag"," w/o tag"),Table8[#Headers],0)),"")</f>
        <v/>
      </c>
      <c r="AH526" s="59" t="str">
        <f t="shared" si="132"/>
        <v/>
      </c>
      <c r="AI526" s="4"/>
      <c r="AJ526" s="4" t="str">
        <f t="shared" si="133"/>
        <v/>
      </c>
      <c r="AK526" s="4" t="str">
        <f t="shared" si="134"/>
        <v/>
      </c>
      <c r="AL526" s="4" t="e" cm="1">
        <f t="array" ref="AL526">IF(INDEX(Table2[],_xlfn.XMATCH($A526,Table2[Steel Member],0),_xlfn.XMATCH(AL$2,Table2[#Headers],0))=0,"",INDEX(Table2[],_xlfn.XMATCH($A526,Table2[Steel Member],0),_xlfn.XMATCH(AL$2,Table2[#Headers],0)))</f>
        <v>#N/A</v>
      </c>
      <c r="AM526" s="4"/>
      <c r="AN526" s="4" t="str">
        <f t="shared" si="135"/>
        <v/>
      </c>
      <c r="AO526" s="4"/>
      <c r="AP526" s="4" t="e" cm="1">
        <f t="array" ref="AP526">IF(INDEX(Table2[],_xlfn.XMATCH($A526,Table2[Steel Member],0),_xlfn.XMATCH(AP$2,Table2[#Headers],0))=0,"",INDEX(Table2[],_xlfn.XMATCH($A526,Table2[Steel Member],0),_xlfn.XMATCH(AP$2,Table2[#Headers],0)))</f>
        <v>#N/A</v>
      </c>
      <c r="AQ526" s="4"/>
      <c r="AR526" s="4"/>
      <c r="AS526" s="4"/>
      <c r="AT526" s="4"/>
    </row>
    <row r="527" spans="1:46" x14ac:dyDescent="0.25">
      <c r="A527" s="52"/>
      <c r="B527" s="52"/>
      <c r="C527" s="52"/>
      <c r="D527" s="52"/>
      <c r="E527" s="52"/>
      <c r="F527" s="64" cm="1">
        <f t="array" ref="F527">IF(COUNT(FIND(PurlinsxGirthsxBracings,$C527))&gt;0,0,ROUNDUP(IF(D527=0,0,VLOOKUP(D527,'DATA SHEET'!$B:$D,2,FALSE)),2))</f>
        <v>0</v>
      </c>
      <c r="G527" s="64" cm="1">
        <f t="array" ref="G527">IF(COUNT(FIND(PurlinsxGirthsxBracings,$C527))&gt;0,0,ROUNDUP(IF(D527=0,0,VLOOKUP(D527,'DATA SHEET'!$B:$D,3,FALSE)),2))</f>
        <v>0</v>
      </c>
      <c r="H527" s="53"/>
      <c r="I527" s="66" cm="1">
        <f t="array" ref="I527">IF(AND(ISBLANK(B527),ISBLANK(C527),ISBLANK(E527)),0,IF(COUNT(FIND(PurlinsxGirthsxBracings,$C527))&gt;0,IF(B527=0,CONCATENATE(E527," ",C527),CONCATENATE(B527," - ",E527," ",C527)),IF(B527=0,IF(ISBLANK(C527),E527,CONCATENATE(D527,", ",F527,"kg/m, ",G527,"mm surface perimeter")),IF(AND(ISBLANK(C527),ISTEXT(E527)),CONCATENATE(B527," - ",E527),IF(AND(ISBLANK(C527),ISBLANK(E527)),B527,CONCATENATE(B527," - ",D527,", ",F527,"kg/m, ",G527,"mm surface perimeter"))))&amp;IF(ISBLANK(H527),"",H527)))</f>
        <v>0</v>
      </c>
      <c r="J527" s="53"/>
      <c r="L527" s="4" t="str" cm="1">
        <f t="array" ref="L527">IF(COUNT(FIND({0,1,2,3,4,5,6,7,8,9},B527))&gt;0,COUNT(FIND({0,1,2,3,4,5,6,7,8,9},B527))&gt;0,"")</f>
        <v/>
      </c>
      <c r="M527" s="4" t="str" cm="1">
        <f t="array" aca="1" ref="M527" ca="1">IFERROR(_xlfn.IFS(R527="Count",RANDBETWEEN(1,COUNTIF($R$11:$R$653,"Count")),R527="Length",RANDBETWEEN(1,COUNTIF($R$11:$R$653,"Length"))),"")</f>
        <v/>
      </c>
      <c r="N527" s="4" t="str">
        <f ca="1">IFERROR(_xlfn.RANK.EQ(M527,$M$11:$M$653)+COUNTIF($M$11:M527,M527)-1,"")</f>
        <v/>
      </c>
      <c r="O527" s="86" t="str">
        <f>IF(A527='DATA SHEET'!$L$36,C527,IFERROR(IF(AND(ISTEXT(I527),ISBLANK(C527)),"No details",VLOOKUP(C527,DimFolder,2,FALSE)),""))</f>
        <v/>
      </c>
      <c r="P527" s="4" t="str">
        <f t="shared" si="137"/>
        <v/>
      </c>
      <c r="Q527" s="58" t="str">
        <f t="shared" si="136"/>
        <v/>
      </c>
      <c r="R527" s="4" t="e" cm="1">
        <f t="array" ref="R527">IF(INDEX(Table2[],_xlfn.XMATCH($A527,Table2[Steel Member],0),_xlfn.XMATCH(R$2,Table2[#Headers],0))=0,"",INDEX(Table2[],_xlfn.XMATCH($A527,Table2[Steel Member],0),_xlfn.XMATCH(R$2,Table2[#Headers],0)))</f>
        <v>#N/A</v>
      </c>
      <c r="S527" s="4" t="e" cm="1">
        <f t="array" ref="S527">IF(INDEX(Table2[],_xlfn.XMATCH($A527,Table2[Steel Member],0),_xlfn.XMATCH(S$2,Table2[#Headers],0))=0,"",INDEX(Table2[],_xlfn.XMATCH($A527,Table2[Steel Member],0),_xlfn.XMATCH(S$2,Table2[#Headers],0)))</f>
        <v>#N/A</v>
      </c>
      <c r="T527" s="4" t="str">
        <f t="shared" si="127"/>
        <v/>
      </c>
      <c r="U527" s="4" t="e">
        <f ca="1">VLOOKUP(N527,'COLOR CODE'!$B:$D,2,FALSE)</f>
        <v>#N/A</v>
      </c>
      <c r="V527" s="4" t="str">
        <f t="shared" si="128"/>
        <v/>
      </c>
      <c r="W527" s="4" t="e" cm="1">
        <f t="array" ref="W527">IF(INDEX(Table2[],_xlfn.XMATCH($A527,Table2[Steel Member],0),_xlfn.XMATCH(W$2,Table2[#Headers],0))=0,"",INDEX(Table2[],_xlfn.XMATCH($A527,Table2[Steel Member],0),_xlfn.XMATCH(W$2,Table2[#Headers],0)))</f>
        <v>#N/A</v>
      </c>
      <c r="X527" s="4" t="e">
        <f t="shared" ref="X527:X590" si="138">W527</f>
        <v>#N/A</v>
      </c>
      <c r="Y527" s="4" t="e" cm="1">
        <f t="array" ref="Y527">IF(INDEX(Table2[],_xlfn.XMATCH($A527,Table2[Steel Member],0),_xlfn.XMATCH(Y$2,Table2[#Headers],0))=0,"",INDEX(Table2[],_xlfn.XMATCH($A527,Table2[Steel Member],0),_xlfn.XMATCH(Y$2,Table2[#Headers],0)))</f>
        <v>#N/A</v>
      </c>
      <c r="Z527" s="4" t="e" cm="1">
        <f t="array" ref="Z527">IF(INDEX(Table2[],_xlfn.XMATCH($A527,Table2[Steel Member],0),_xlfn.XMATCH(Z$2,Table2[#Headers],0))=0,"",INDEX(Table2[],_xlfn.XMATCH($A527,Table2[Steel Member],0),_xlfn.XMATCH(Z$2,Table2[#Headers],0)))</f>
        <v>#N/A</v>
      </c>
      <c r="AA527" s="4" t="e" cm="1">
        <f t="array" ref="AA527">IF(INDEX(Table2[],_xlfn.XMATCH($A527,Table2[Steel Member],0),_xlfn.XMATCH(AA$2,Table2[#Headers],0))=0,"",INDEX(Table2[],_xlfn.XMATCH($A527,Table2[Steel Member],0),_xlfn.XMATCH(AA$2,Table2[#Headers],0)))</f>
        <v>#N/A</v>
      </c>
      <c r="AB527" s="4" t="e" cm="1">
        <f t="array" ref="AB527">IF(INDEX(Table2[],_xlfn.XMATCH($A527,Table2[Steel Member],0),_xlfn.XMATCH(AB$2,Table2[#Headers],0))=0,"",INDEX(Table2[],_xlfn.XMATCH($A527,Table2[Steel Member],0),_xlfn.XMATCH(AB$2,Table2[#Headers],0)))</f>
        <v>#N/A</v>
      </c>
      <c r="AC527" s="4" t="str" cm="1">
        <f t="array" ref="AC527">IFERROR(INDEX(Table8[],_xlfn.XMATCH($O527,Table8[Dimension Name Category],0),_xlfn.XMATCH(AC$2&amp;IF($L527," w/ tag"," w/o tag"),Table8[#Headers],0)),"")</f>
        <v/>
      </c>
      <c r="AD527" s="59" t="str">
        <f t="shared" si="129"/>
        <v/>
      </c>
      <c r="AE527" s="4" t="str">
        <f t="shared" si="130"/>
        <v/>
      </c>
      <c r="AF527" s="4" t="str">
        <f t="shared" si="131"/>
        <v/>
      </c>
      <c r="AG527" s="4" t="str" cm="1">
        <f t="array" ref="AG527">IFERROR(INDEX(Table8[],_xlfn.XMATCH($O527,Table8[Dimension Name Category],0),_xlfn.XMATCH(AG$2&amp;IF($L527," w/ tag"," w/o tag"),Table8[#Headers],0)),"")</f>
        <v/>
      </c>
      <c r="AH527" s="59" t="str">
        <f t="shared" si="132"/>
        <v/>
      </c>
      <c r="AI527" s="4"/>
      <c r="AJ527" s="4" t="str">
        <f t="shared" si="133"/>
        <v/>
      </c>
      <c r="AK527" s="4" t="str">
        <f t="shared" si="134"/>
        <v/>
      </c>
      <c r="AL527" s="4" t="e" cm="1">
        <f t="array" ref="AL527">IF(INDEX(Table2[],_xlfn.XMATCH($A527,Table2[Steel Member],0),_xlfn.XMATCH(AL$2,Table2[#Headers],0))=0,"",INDEX(Table2[],_xlfn.XMATCH($A527,Table2[Steel Member],0),_xlfn.XMATCH(AL$2,Table2[#Headers],0)))</f>
        <v>#N/A</v>
      </c>
      <c r="AM527" s="4"/>
      <c r="AN527" s="4" t="str">
        <f t="shared" si="135"/>
        <v/>
      </c>
      <c r="AO527" s="4"/>
      <c r="AP527" s="4" t="e" cm="1">
        <f t="array" ref="AP527">IF(INDEX(Table2[],_xlfn.XMATCH($A527,Table2[Steel Member],0),_xlfn.XMATCH(AP$2,Table2[#Headers],0))=0,"",INDEX(Table2[],_xlfn.XMATCH($A527,Table2[Steel Member],0),_xlfn.XMATCH(AP$2,Table2[#Headers],0)))</f>
        <v>#N/A</v>
      </c>
      <c r="AQ527" s="4"/>
      <c r="AR527" s="4"/>
      <c r="AS527" s="4"/>
      <c r="AT527" s="4"/>
    </row>
    <row r="528" spans="1:46" x14ac:dyDescent="0.25">
      <c r="A528" s="52"/>
      <c r="B528" s="52"/>
      <c r="C528" s="52"/>
      <c r="D528" s="52"/>
      <c r="E528" s="52"/>
      <c r="F528" s="64" cm="1">
        <f t="array" ref="F528">IF(COUNT(FIND(PurlinsxGirthsxBracings,$C528))&gt;0,0,ROUNDUP(IF(D528=0,0,VLOOKUP(D528,'DATA SHEET'!$B:$D,2,FALSE)),2))</f>
        <v>0</v>
      </c>
      <c r="G528" s="64" cm="1">
        <f t="array" ref="G528">IF(COUNT(FIND(PurlinsxGirthsxBracings,$C528))&gt;0,0,ROUNDUP(IF(D528=0,0,VLOOKUP(D528,'DATA SHEET'!$B:$D,3,FALSE)),2))</f>
        <v>0</v>
      </c>
      <c r="H528" s="53"/>
      <c r="I528" s="66" cm="1">
        <f t="array" ref="I528">IF(AND(ISBLANK(B528),ISBLANK(C528),ISBLANK(E528)),0,IF(COUNT(FIND(PurlinsxGirthsxBracings,$C528))&gt;0,IF(B528=0,CONCATENATE(E528," ",C528),CONCATENATE(B528," - ",E528," ",C528)),IF(B528=0,IF(ISBLANK(C528),E528,CONCATENATE(D528,", ",F528,"kg/m, ",G528,"mm surface perimeter")),IF(AND(ISBLANK(C528),ISTEXT(E528)),CONCATENATE(B528," - ",E528),IF(AND(ISBLANK(C528),ISBLANK(E528)),B528,CONCATENATE(B528," - ",D528,", ",F528,"kg/m, ",G528,"mm surface perimeter"))))&amp;IF(ISBLANK(H528),"",H528)))</f>
        <v>0</v>
      </c>
      <c r="J528" s="53"/>
      <c r="L528" s="4" t="str" cm="1">
        <f t="array" ref="L528">IF(COUNT(FIND({0,1,2,3,4,5,6,7,8,9},B528))&gt;0,COUNT(FIND({0,1,2,3,4,5,6,7,8,9},B528))&gt;0,"")</f>
        <v/>
      </c>
      <c r="M528" s="4" t="str" cm="1">
        <f t="array" aca="1" ref="M528" ca="1">IFERROR(_xlfn.IFS(R528="Count",RANDBETWEEN(1,COUNTIF($R$11:$R$653,"Count")),R528="Length",RANDBETWEEN(1,COUNTIF($R$11:$R$653,"Length"))),"")</f>
        <v/>
      </c>
      <c r="N528" s="4" t="str">
        <f ca="1">IFERROR(_xlfn.RANK.EQ(M528,$M$11:$M$653)+COUNTIF($M$11:M528,M528)-1,"")</f>
        <v/>
      </c>
      <c r="O528" s="86" t="str">
        <f>IF(A528='DATA SHEET'!$L$36,C528,IFERROR(IF(AND(ISTEXT(I528),ISBLANK(C528)),"No details",VLOOKUP(C528,DimFolder,2,FALSE)),""))</f>
        <v/>
      </c>
      <c r="P528" s="4" t="str">
        <f t="shared" si="137"/>
        <v/>
      </c>
      <c r="Q528" s="58" t="str">
        <f t="shared" si="136"/>
        <v/>
      </c>
      <c r="R528" s="4" t="e" cm="1">
        <f t="array" ref="R528">IF(INDEX(Table2[],_xlfn.XMATCH($A528,Table2[Steel Member],0),_xlfn.XMATCH(R$2,Table2[#Headers],0))=0,"",INDEX(Table2[],_xlfn.XMATCH($A528,Table2[Steel Member],0),_xlfn.XMATCH(R$2,Table2[#Headers],0)))</f>
        <v>#N/A</v>
      </c>
      <c r="S528" s="4" t="e" cm="1">
        <f t="array" ref="S528">IF(INDEX(Table2[],_xlfn.XMATCH($A528,Table2[Steel Member],0),_xlfn.XMATCH(S$2,Table2[#Headers],0))=0,"",INDEX(Table2[],_xlfn.XMATCH($A528,Table2[Steel Member],0),_xlfn.XMATCH(S$2,Table2[#Headers],0)))</f>
        <v>#N/A</v>
      </c>
      <c r="T528" s="4" t="str">
        <f t="shared" si="127"/>
        <v/>
      </c>
      <c r="U528" s="4" t="e">
        <f ca="1">VLOOKUP(N528,'COLOR CODE'!$B:$D,2,FALSE)</f>
        <v>#N/A</v>
      </c>
      <c r="V528" s="4" t="str">
        <f t="shared" si="128"/>
        <v/>
      </c>
      <c r="W528" s="4" t="e" cm="1">
        <f t="array" ref="W528">IF(INDEX(Table2[],_xlfn.XMATCH($A528,Table2[Steel Member],0),_xlfn.XMATCH(W$2,Table2[#Headers],0))=0,"",INDEX(Table2[],_xlfn.XMATCH($A528,Table2[Steel Member],0),_xlfn.XMATCH(W$2,Table2[#Headers],0)))</f>
        <v>#N/A</v>
      </c>
      <c r="X528" s="4" t="e">
        <f t="shared" si="138"/>
        <v>#N/A</v>
      </c>
      <c r="Y528" s="4" t="e" cm="1">
        <f t="array" ref="Y528">IF(INDEX(Table2[],_xlfn.XMATCH($A528,Table2[Steel Member],0),_xlfn.XMATCH(Y$2,Table2[#Headers],0))=0,"",INDEX(Table2[],_xlfn.XMATCH($A528,Table2[Steel Member],0),_xlfn.XMATCH(Y$2,Table2[#Headers],0)))</f>
        <v>#N/A</v>
      </c>
      <c r="Z528" s="4" t="e" cm="1">
        <f t="array" ref="Z528">IF(INDEX(Table2[],_xlfn.XMATCH($A528,Table2[Steel Member],0),_xlfn.XMATCH(Z$2,Table2[#Headers],0))=0,"",INDEX(Table2[],_xlfn.XMATCH($A528,Table2[Steel Member],0),_xlfn.XMATCH(Z$2,Table2[#Headers],0)))</f>
        <v>#N/A</v>
      </c>
      <c r="AA528" s="4" t="e" cm="1">
        <f t="array" ref="AA528">IF(INDEX(Table2[],_xlfn.XMATCH($A528,Table2[Steel Member],0),_xlfn.XMATCH(AA$2,Table2[#Headers],0))=0,"",INDEX(Table2[],_xlfn.XMATCH($A528,Table2[Steel Member],0),_xlfn.XMATCH(AA$2,Table2[#Headers],0)))</f>
        <v>#N/A</v>
      </c>
      <c r="AB528" s="4" t="e" cm="1">
        <f t="array" ref="AB528">IF(INDEX(Table2[],_xlfn.XMATCH($A528,Table2[Steel Member],0),_xlfn.XMATCH(AB$2,Table2[#Headers],0))=0,"",INDEX(Table2[],_xlfn.XMATCH($A528,Table2[Steel Member],0),_xlfn.XMATCH(AB$2,Table2[#Headers],0)))</f>
        <v>#N/A</v>
      </c>
      <c r="AC528" s="4" t="str" cm="1">
        <f t="array" ref="AC528">IFERROR(INDEX(Table8[],_xlfn.XMATCH($O528,Table8[Dimension Name Category],0),_xlfn.XMATCH(AC$2&amp;IF($L528," w/ tag"," w/o tag"),Table8[#Headers],0)),"")</f>
        <v/>
      </c>
      <c r="AD528" s="59" t="str">
        <f t="shared" si="129"/>
        <v/>
      </c>
      <c r="AE528" s="4" t="str">
        <f t="shared" si="130"/>
        <v/>
      </c>
      <c r="AF528" s="4" t="str">
        <f t="shared" si="131"/>
        <v/>
      </c>
      <c r="AG528" s="4" t="str" cm="1">
        <f t="array" ref="AG528">IFERROR(INDEX(Table8[],_xlfn.XMATCH($O528,Table8[Dimension Name Category],0),_xlfn.XMATCH(AG$2&amp;IF($L528," w/ tag"," w/o tag"),Table8[#Headers],0)),"")</f>
        <v/>
      </c>
      <c r="AH528" s="59" t="str">
        <f t="shared" si="132"/>
        <v/>
      </c>
      <c r="AI528" s="4"/>
      <c r="AJ528" s="4" t="str">
        <f t="shared" si="133"/>
        <v/>
      </c>
      <c r="AK528" s="4" t="str">
        <f t="shared" si="134"/>
        <v/>
      </c>
      <c r="AL528" s="4" t="e" cm="1">
        <f t="array" ref="AL528">IF(INDEX(Table2[],_xlfn.XMATCH($A528,Table2[Steel Member],0),_xlfn.XMATCH(AL$2,Table2[#Headers],0))=0,"",INDEX(Table2[],_xlfn.XMATCH($A528,Table2[Steel Member],0),_xlfn.XMATCH(AL$2,Table2[#Headers],0)))</f>
        <v>#N/A</v>
      </c>
      <c r="AM528" s="4"/>
      <c r="AN528" s="4" t="str">
        <f t="shared" si="135"/>
        <v/>
      </c>
      <c r="AO528" s="4"/>
      <c r="AP528" s="4" t="e" cm="1">
        <f t="array" ref="AP528">IF(INDEX(Table2[],_xlfn.XMATCH($A528,Table2[Steel Member],0),_xlfn.XMATCH(AP$2,Table2[#Headers],0))=0,"",INDEX(Table2[],_xlfn.XMATCH($A528,Table2[Steel Member],0),_xlfn.XMATCH(AP$2,Table2[#Headers],0)))</f>
        <v>#N/A</v>
      </c>
      <c r="AQ528" s="4"/>
      <c r="AR528" s="4"/>
      <c r="AS528" s="4"/>
      <c r="AT528" s="4"/>
    </row>
    <row r="529" spans="1:46" x14ac:dyDescent="0.25">
      <c r="A529" s="52"/>
      <c r="B529" s="52"/>
      <c r="C529" s="52"/>
      <c r="D529" s="52"/>
      <c r="E529" s="52"/>
      <c r="F529" s="64" cm="1">
        <f t="array" ref="F529">IF(COUNT(FIND(PurlinsxGirthsxBracings,$C529))&gt;0,0,ROUNDUP(IF(D529=0,0,VLOOKUP(D529,'DATA SHEET'!$B:$D,2,FALSE)),2))</f>
        <v>0</v>
      </c>
      <c r="G529" s="64" cm="1">
        <f t="array" ref="G529">IF(COUNT(FIND(PurlinsxGirthsxBracings,$C529))&gt;0,0,ROUNDUP(IF(D529=0,0,VLOOKUP(D529,'DATA SHEET'!$B:$D,3,FALSE)),2))</f>
        <v>0</v>
      </c>
      <c r="H529" s="53"/>
      <c r="I529" s="66" cm="1">
        <f t="array" ref="I529">IF(AND(ISBLANK(B529),ISBLANK(C529),ISBLANK(E529)),0,IF(COUNT(FIND(PurlinsxGirthsxBracings,$C529))&gt;0,IF(B529=0,CONCATENATE(E529," ",C529),CONCATENATE(B529," - ",E529," ",C529)),IF(B529=0,IF(ISBLANK(C529),E529,CONCATENATE(D529,", ",F529,"kg/m, ",G529,"mm surface perimeter")),IF(AND(ISBLANK(C529),ISTEXT(E529)),CONCATENATE(B529," - ",E529),IF(AND(ISBLANK(C529),ISBLANK(E529)),B529,CONCATENATE(B529," - ",D529,", ",F529,"kg/m, ",G529,"mm surface perimeter"))))&amp;IF(ISBLANK(H529),"",H529)))</f>
        <v>0</v>
      </c>
      <c r="J529" s="53"/>
      <c r="L529" s="4" t="str" cm="1">
        <f t="array" ref="L529">IF(COUNT(FIND({0,1,2,3,4,5,6,7,8,9},B529))&gt;0,COUNT(FIND({0,1,2,3,4,5,6,7,8,9},B529))&gt;0,"")</f>
        <v/>
      </c>
      <c r="M529" s="4" t="str" cm="1">
        <f t="array" aca="1" ref="M529" ca="1">IFERROR(_xlfn.IFS(R529="Count",RANDBETWEEN(1,COUNTIF($R$11:$R$653,"Count")),R529="Length",RANDBETWEEN(1,COUNTIF($R$11:$R$653,"Length"))),"")</f>
        <v/>
      </c>
      <c r="N529" s="4" t="str">
        <f ca="1">IFERROR(_xlfn.RANK.EQ(M529,$M$11:$M$653)+COUNTIF($M$11:M529,M529)-1,"")</f>
        <v/>
      </c>
      <c r="O529" s="86" t="str">
        <f>IF(A529='DATA SHEET'!$L$36,C529,IFERROR(IF(AND(ISTEXT(I529),ISBLANK(C529)),"No details",VLOOKUP(C529,DimFolder,2,FALSE)),""))</f>
        <v/>
      </c>
      <c r="P529" s="4" t="str">
        <f t="shared" si="137"/>
        <v/>
      </c>
      <c r="Q529" s="58" t="str">
        <f t="shared" si="136"/>
        <v/>
      </c>
      <c r="R529" s="4" t="e" cm="1">
        <f t="array" ref="R529">IF(INDEX(Table2[],_xlfn.XMATCH($A529,Table2[Steel Member],0),_xlfn.XMATCH(R$2,Table2[#Headers],0))=0,"",INDEX(Table2[],_xlfn.XMATCH($A529,Table2[Steel Member],0),_xlfn.XMATCH(R$2,Table2[#Headers],0)))</f>
        <v>#N/A</v>
      </c>
      <c r="S529" s="4" t="e" cm="1">
        <f t="array" ref="S529">IF(INDEX(Table2[],_xlfn.XMATCH($A529,Table2[Steel Member],0),_xlfn.XMATCH(S$2,Table2[#Headers],0))=0,"",INDEX(Table2[],_xlfn.XMATCH($A529,Table2[Steel Member],0),_xlfn.XMATCH(S$2,Table2[#Headers],0)))</f>
        <v>#N/A</v>
      </c>
      <c r="T529" s="4" t="str">
        <f t="shared" si="127"/>
        <v/>
      </c>
      <c r="U529" s="4" t="e">
        <f ca="1">VLOOKUP(N529,'COLOR CODE'!$B:$D,2,FALSE)</f>
        <v>#N/A</v>
      </c>
      <c r="V529" s="4" t="str">
        <f t="shared" si="128"/>
        <v/>
      </c>
      <c r="W529" s="4" t="e" cm="1">
        <f t="array" ref="W529">IF(INDEX(Table2[],_xlfn.XMATCH($A529,Table2[Steel Member],0),_xlfn.XMATCH(W$2,Table2[#Headers],0))=0,"",INDEX(Table2[],_xlfn.XMATCH($A529,Table2[Steel Member],0),_xlfn.XMATCH(W$2,Table2[#Headers],0)))</f>
        <v>#N/A</v>
      </c>
      <c r="X529" s="4" t="e">
        <f t="shared" si="138"/>
        <v>#N/A</v>
      </c>
      <c r="Y529" s="4" t="e" cm="1">
        <f t="array" ref="Y529">IF(INDEX(Table2[],_xlfn.XMATCH($A529,Table2[Steel Member],0),_xlfn.XMATCH(Y$2,Table2[#Headers],0))=0,"",INDEX(Table2[],_xlfn.XMATCH($A529,Table2[Steel Member],0),_xlfn.XMATCH(Y$2,Table2[#Headers],0)))</f>
        <v>#N/A</v>
      </c>
      <c r="Z529" s="4" t="e" cm="1">
        <f t="array" ref="Z529">IF(INDEX(Table2[],_xlfn.XMATCH($A529,Table2[Steel Member],0),_xlfn.XMATCH(Z$2,Table2[#Headers],0))=0,"",INDEX(Table2[],_xlfn.XMATCH($A529,Table2[Steel Member],0),_xlfn.XMATCH(Z$2,Table2[#Headers],0)))</f>
        <v>#N/A</v>
      </c>
      <c r="AA529" s="4" t="e" cm="1">
        <f t="array" ref="AA529">IF(INDEX(Table2[],_xlfn.XMATCH($A529,Table2[Steel Member],0),_xlfn.XMATCH(AA$2,Table2[#Headers],0))=0,"",INDEX(Table2[],_xlfn.XMATCH($A529,Table2[Steel Member],0),_xlfn.XMATCH(AA$2,Table2[#Headers],0)))</f>
        <v>#N/A</v>
      </c>
      <c r="AB529" s="4" t="e" cm="1">
        <f t="array" ref="AB529">IF(INDEX(Table2[],_xlfn.XMATCH($A529,Table2[Steel Member],0),_xlfn.XMATCH(AB$2,Table2[#Headers],0))=0,"",INDEX(Table2[],_xlfn.XMATCH($A529,Table2[Steel Member],0),_xlfn.XMATCH(AB$2,Table2[#Headers],0)))</f>
        <v>#N/A</v>
      </c>
      <c r="AC529" s="4" t="str" cm="1">
        <f t="array" ref="AC529">IFERROR(INDEX(Table8[],_xlfn.XMATCH($O529,Table8[Dimension Name Category],0),_xlfn.XMATCH(AC$2&amp;IF($L529," w/ tag"," w/o tag"),Table8[#Headers],0)),"")</f>
        <v/>
      </c>
      <c r="AD529" s="59" t="str">
        <f t="shared" si="129"/>
        <v/>
      </c>
      <c r="AE529" s="4" t="str">
        <f t="shared" si="130"/>
        <v/>
      </c>
      <c r="AF529" s="4" t="str">
        <f t="shared" si="131"/>
        <v/>
      </c>
      <c r="AG529" s="4" t="str" cm="1">
        <f t="array" ref="AG529">IFERROR(INDEX(Table8[],_xlfn.XMATCH($O529,Table8[Dimension Name Category],0),_xlfn.XMATCH(AG$2&amp;IF($L529," w/ tag"," w/o tag"),Table8[#Headers],0)),"")</f>
        <v/>
      </c>
      <c r="AH529" s="59" t="str">
        <f t="shared" si="132"/>
        <v/>
      </c>
      <c r="AI529" s="4"/>
      <c r="AJ529" s="4" t="str">
        <f t="shared" si="133"/>
        <v/>
      </c>
      <c r="AK529" s="4" t="str">
        <f t="shared" si="134"/>
        <v/>
      </c>
      <c r="AL529" s="4" t="e" cm="1">
        <f t="array" ref="AL529">IF(INDEX(Table2[],_xlfn.XMATCH($A529,Table2[Steel Member],0),_xlfn.XMATCH(AL$2,Table2[#Headers],0))=0,"",INDEX(Table2[],_xlfn.XMATCH($A529,Table2[Steel Member],0),_xlfn.XMATCH(AL$2,Table2[#Headers],0)))</f>
        <v>#N/A</v>
      </c>
      <c r="AM529" s="4"/>
      <c r="AN529" s="4" t="str">
        <f t="shared" si="135"/>
        <v/>
      </c>
      <c r="AO529" s="4"/>
      <c r="AP529" s="4" t="e" cm="1">
        <f t="array" ref="AP529">IF(INDEX(Table2[],_xlfn.XMATCH($A529,Table2[Steel Member],0),_xlfn.XMATCH(AP$2,Table2[#Headers],0))=0,"",INDEX(Table2[],_xlfn.XMATCH($A529,Table2[Steel Member],0),_xlfn.XMATCH(AP$2,Table2[#Headers],0)))</f>
        <v>#N/A</v>
      </c>
      <c r="AQ529" s="4"/>
      <c r="AR529" s="4"/>
      <c r="AS529" s="4"/>
      <c r="AT529" s="4"/>
    </row>
    <row r="530" spans="1:46" x14ac:dyDescent="0.25">
      <c r="A530" s="52"/>
      <c r="B530" s="52"/>
      <c r="C530" s="52"/>
      <c r="D530" s="52"/>
      <c r="E530" s="52"/>
      <c r="F530" s="64" cm="1">
        <f t="array" ref="F530">IF(COUNT(FIND(PurlinsxGirthsxBracings,$C530))&gt;0,0,ROUNDUP(IF(D530=0,0,VLOOKUP(D530,'DATA SHEET'!$B:$D,2,FALSE)),2))</f>
        <v>0</v>
      </c>
      <c r="G530" s="64" cm="1">
        <f t="array" ref="G530">IF(COUNT(FIND(PurlinsxGirthsxBracings,$C530))&gt;0,0,ROUNDUP(IF(D530=0,0,VLOOKUP(D530,'DATA SHEET'!$B:$D,3,FALSE)),2))</f>
        <v>0</v>
      </c>
      <c r="H530" s="53"/>
      <c r="I530" s="66" cm="1">
        <f t="array" ref="I530">IF(AND(ISBLANK(B530),ISBLANK(C530),ISBLANK(E530)),0,IF(COUNT(FIND(PurlinsxGirthsxBracings,$C530))&gt;0,IF(B530=0,CONCATENATE(E530," ",C530),CONCATENATE(B530," - ",E530," ",C530)),IF(B530=0,IF(ISBLANK(C530),E530,CONCATENATE(D530,", ",F530,"kg/m, ",G530,"mm surface perimeter")),IF(AND(ISBLANK(C530),ISTEXT(E530)),CONCATENATE(B530," - ",E530),IF(AND(ISBLANK(C530),ISBLANK(E530)),B530,CONCATENATE(B530," - ",D530,", ",F530,"kg/m, ",G530,"mm surface perimeter"))))&amp;IF(ISBLANK(H530),"",H530)))</f>
        <v>0</v>
      </c>
      <c r="J530" s="53"/>
      <c r="L530" s="4" t="str" cm="1">
        <f t="array" ref="L530">IF(COUNT(FIND({0,1,2,3,4,5,6,7,8,9},B530))&gt;0,COUNT(FIND({0,1,2,3,4,5,6,7,8,9},B530))&gt;0,"")</f>
        <v/>
      </c>
      <c r="M530" s="4" t="str" cm="1">
        <f t="array" aca="1" ref="M530" ca="1">IFERROR(_xlfn.IFS(R530="Count",RANDBETWEEN(1,COUNTIF($R$11:$R$653,"Count")),R530="Length",RANDBETWEEN(1,COUNTIF($R$11:$R$653,"Length"))),"")</f>
        <v/>
      </c>
      <c r="N530" s="4" t="str">
        <f ca="1">IFERROR(_xlfn.RANK.EQ(M530,$M$11:$M$653)+COUNTIF($M$11:M530,M530)-1,"")</f>
        <v/>
      </c>
      <c r="O530" s="86" t="str">
        <f>IF(A530='DATA SHEET'!$L$36,C530,IFERROR(IF(AND(ISTEXT(I530),ISBLANK(C530)),"No details",VLOOKUP(C530,DimFolder,2,FALSE)),""))</f>
        <v/>
      </c>
      <c r="P530" s="4" t="str">
        <f t="shared" si="137"/>
        <v/>
      </c>
      <c r="Q530" s="58" t="str">
        <f t="shared" si="136"/>
        <v/>
      </c>
      <c r="R530" s="4" t="e" cm="1">
        <f t="array" ref="R530">IF(INDEX(Table2[],_xlfn.XMATCH($A530,Table2[Steel Member],0),_xlfn.XMATCH(R$2,Table2[#Headers],0))=0,"",INDEX(Table2[],_xlfn.XMATCH($A530,Table2[Steel Member],0),_xlfn.XMATCH(R$2,Table2[#Headers],0)))</f>
        <v>#N/A</v>
      </c>
      <c r="S530" s="4" t="e" cm="1">
        <f t="array" ref="S530">IF(INDEX(Table2[],_xlfn.XMATCH($A530,Table2[Steel Member],0),_xlfn.XMATCH(S$2,Table2[#Headers],0))=0,"",INDEX(Table2[],_xlfn.XMATCH($A530,Table2[Steel Member],0),_xlfn.XMATCH(S$2,Table2[#Headers],0)))</f>
        <v>#N/A</v>
      </c>
      <c r="T530" s="4" t="str">
        <f t="shared" si="127"/>
        <v/>
      </c>
      <c r="U530" s="4" t="e">
        <f ca="1">VLOOKUP(N530,'COLOR CODE'!$B:$D,2,FALSE)</f>
        <v>#N/A</v>
      </c>
      <c r="V530" s="4" t="str">
        <f t="shared" si="128"/>
        <v/>
      </c>
      <c r="W530" s="4" t="e" cm="1">
        <f t="array" ref="W530">IF(INDEX(Table2[],_xlfn.XMATCH($A530,Table2[Steel Member],0),_xlfn.XMATCH(W$2,Table2[#Headers],0))=0,"",INDEX(Table2[],_xlfn.XMATCH($A530,Table2[Steel Member],0),_xlfn.XMATCH(W$2,Table2[#Headers],0)))</f>
        <v>#N/A</v>
      </c>
      <c r="X530" s="4" t="e">
        <f t="shared" si="138"/>
        <v>#N/A</v>
      </c>
      <c r="Y530" s="4" t="e" cm="1">
        <f t="array" ref="Y530">IF(INDEX(Table2[],_xlfn.XMATCH($A530,Table2[Steel Member],0),_xlfn.XMATCH(Y$2,Table2[#Headers],0))=0,"",INDEX(Table2[],_xlfn.XMATCH($A530,Table2[Steel Member],0),_xlfn.XMATCH(Y$2,Table2[#Headers],0)))</f>
        <v>#N/A</v>
      </c>
      <c r="Z530" s="4" t="e" cm="1">
        <f t="array" ref="Z530">IF(INDEX(Table2[],_xlfn.XMATCH($A530,Table2[Steel Member],0),_xlfn.XMATCH(Z$2,Table2[#Headers],0))=0,"",INDEX(Table2[],_xlfn.XMATCH($A530,Table2[Steel Member],0),_xlfn.XMATCH(Z$2,Table2[#Headers],0)))</f>
        <v>#N/A</v>
      </c>
      <c r="AA530" s="4" t="e" cm="1">
        <f t="array" ref="AA530">IF(INDEX(Table2[],_xlfn.XMATCH($A530,Table2[Steel Member],0),_xlfn.XMATCH(AA$2,Table2[#Headers],0))=0,"",INDEX(Table2[],_xlfn.XMATCH($A530,Table2[Steel Member],0),_xlfn.XMATCH(AA$2,Table2[#Headers],0)))</f>
        <v>#N/A</v>
      </c>
      <c r="AB530" s="4" t="e" cm="1">
        <f t="array" ref="AB530">IF(INDEX(Table2[],_xlfn.XMATCH($A530,Table2[Steel Member],0),_xlfn.XMATCH(AB$2,Table2[#Headers],0))=0,"",INDEX(Table2[],_xlfn.XMATCH($A530,Table2[Steel Member],0),_xlfn.XMATCH(AB$2,Table2[#Headers],0)))</f>
        <v>#N/A</v>
      </c>
      <c r="AC530" s="4" t="str" cm="1">
        <f t="array" ref="AC530">IFERROR(INDEX(Table8[],_xlfn.XMATCH($O530,Table8[Dimension Name Category],0),_xlfn.XMATCH(AC$2&amp;IF($L530," w/ tag"," w/o tag"),Table8[#Headers],0)),"")</f>
        <v/>
      </c>
      <c r="AD530" s="59" t="str">
        <f t="shared" si="129"/>
        <v/>
      </c>
      <c r="AE530" s="4" t="str">
        <f t="shared" si="130"/>
        <v/>
      </c>
      <c r="AF530" s="4" t="str">
        <f t="shared" si="131"/>
        <v/>
      </c>
      <c r="AG530" s="4" t="str" cm="1">
        <f t="array" ref="AG530">IFERROR(INDEX(Table8[],_xlfn.XMATCH($O530,Table8[Dimension Name Category],0),_xlfn.XMATCH(AG$2&amp;IF($L530," w/ tag"," w/o tag"),Table8[#Headers],0)),"")</f>
        <v/>
      </c>
      <c r="AH530" s="59" t="str">
        <f t="shared" si="132"/>
        <v/>
      </c>
      <c r="AI530" s="4"/>
      <c r="AJ530" s="4" t="str">
        <f t="shared" si="133"/>
        <v/>
      </c>
      <c r="AK530" s="4" t="str">
        <f t="shared" si="134"/>
        <v/>
      </c>
      <c r="AL530" s="4" t="e" cm="1">
        <f t="array" ref="AL530">IF(INDEX(Table2[],_xlfn.XMATCH($A530,Table2[Steel Member],0),_xlfn.XMATCH(AL$2,Table2[#Headers],0))=0,"",INDEX(Table2[],_xlfn.XMATCH($A530,Table2[Steel Member],0),_xlfn.XMATCH(AL$2,Table2[#Headers],0)))</f>
        <v>#N/A</v>
      </c>
      <c r="AM530" s="4"/>
      <c r="AN530" s="4" t="str">
        <f t="shared" si="135"/>
        <v/>
      </c>
      <c r="AO530" s="4"/>
      <c r="AP530" s="4" t="e" cm="1">
        <f t="array" ref="AP530">IF(INDEX(Table2[],_xlfn.XMATCH($A530,Table2[Steel Member],0),_xlfn.XMATCH(AP$2,Table2[#Headers],0))=0,"",INDEX(Table2[],_xlfn.XMATCH($A530,Table2[Steel Member],0),_xlfn.XMATCH(AP$2,Table2[#Headers],0)))</f>
        <v>#N/A</v>
      </c>
      <c r="AQ530" s="4"/>
      <c r="AR530" s="4"/>
      <c r="AS530" s="4"/>
      <c r="AT530" s="4"/>
    </row>
    <row r="531" spans="1:46" x14ac:dyDescent="0.25">
      <c r="A531" s="52"/>
      <c r="B531" s="52"/>
      <c r="C531" s="52"/>
      <c r="D531" s="52"/>
      <c r="E531" s="52"/>
      <c r="F531" s="64" cm="1">
        <f t="array" ref="F531">IF(COUNT(FIND(PurlinsxGirthsxBracings,$C531))&gt;0,0,ROUNDUP(IF(D531=0,0,VLOOKUP(D531,'DATA SHEET'!$B:$D,2,FALSE)),2))</f>
        <v>0</v>
      </c>
      <c r="G531" s="64" cm="1">
        <f t="array" ref="G531">IF(COUNT(FIND(PurlinsxGirthsxBracings,$C531))&gt;0,0,ROUNDUP(IF(D531=0,0,VLOOKUP(D531,'DATA SHEET'!$B:$D,3,FALSE)),2))</f>
        <v>0</v>
      </c>
      <c r="H531" s="53"/>
      <c r="I531" s="66" cm="1">
        <f t="array" ref="I531">IF(AND(ISBLANK(B531),ISBLANK(C531),ISBLANK(E531)),0,IF(COUNT(FIND(PurlinsxGirthsxBracings,$C531))&gt;0,IF(B531=0,CONCATENATE(E531," ",C531),CONCATENATE(B531," - ",E531," ",C531)),IF(B531=0,IF(ISBLANK(C531),E531,CONCATENATE(D531,", ",F531,"kg/m, ",G531,"mm surface perimeter")),IF(AND(ISBLANK(C531),ISTEXT(E531)),CONCATENATE(B531," - ",E531),IF(AND(ISBLANK(C531),ISBLANK(E531)),B531,CONCATENATE(B531," - ",D531,", ",F531,"kg/m, ",G531,"mm surface perimeter"))))&amp;IF(ISBLANK(H531),"",H531)))</f>
        <v>0</v>
      </c>
      <c r="J531" s="53"/>
      <c r="L531" s="4" t="str" cm="1">
        <f t="array" ref="L531">IF(COUNT(FIND({0,1,2,3,4,5,6,7,8,9},B531))&gt;0,COUNT(FIND({0,1,2,3,4,5,6,7,8,9},B531))&gt;0,"")</f>
        <v/>
      </c>
      <c r="M531" s="4" t="str" cm="1">
        <f t="array" aca="1" ref="M531" ca="1">IFERROR(_xlfn.IFS(R531="Count",RANDBETWEEN(1,COUNTIF($R$11:$R$653,"Count")),R531="Length",RANDBETWEEN(1,COUNTIF($R$11:$R$653,"Length"))),"")</f>
        <v/>
      </c>
      <c r="N531" s="4" t="str">
        <f ca="1">IFERROR(_xlfn.RANK.EQ(M531,$M$11:$M$653)+COUNTIF($M$11:M531,M531)-1,"")</f>
        <v/>
      </c>
      <c r="O531" s="86" t="str">
        <f>IF(A531='DATA SHEET'!$L$36,C531,IFERROR(IF(AND(ISTEXT(I531),ISBLANK(C531)),"No details",VLOOKUP(C531,DimFolder,2,FALSE)),""))</f>
        <v/>
      </c>
      <c r="P531" s="4" t="str">
        <f t="shared" si="137"/>
        <v/>
      </c>
      <c r="Q531" s="58" t="str">
        <f t="shared" si="136"/>
        <v/>
      </c>
      <c r="R531" s="4" t="e" cm="1">
        <f t="array" ref="R531">IF(INDEX(Table2[],_xlfn.XMATCH($A531,Table2[Steel Member],0),_xlfn.XMATCH(R$2,Table2[#Headers],0))=0,"",INDEX(Table2[],_xlfn.XMATCH($A531,Table2[Steel Member],0),_xlfn.XMATCH(R$2,Table2[#Headers],0)))</f>
        <v>#N/A</v>
      </c>
      <c r="S531" s="4" t="e" cm="1">
        <f t="array" ref="S531">IF(INDEX(Table2[],_xlfn.XMATCH($A531,Table2[Steel Member],0),_xlfn.XMATCH(S$2,Table2[#Headers],0))=0,"",INDEX(Table2[],_xlfn.XMATCH($A531,Table2[Steel Member],0),_xlfn.XMATCH(S$2,Table2[#Headers],0)))</f>
        <v>#N/A</v>
      </c>
      <c r="T531" s="4" t="str">
        <f t="shared" si="127"/>
        <v/>
      </c>
      <c r="U531" s="4" t="e">
        <f ca="1">VLOOKUP(N531,'COLOR CODE'!$B:$D,2,FALSE)</f>
        <v>#N/A</v>
      </c>
      <c r="V531" s="4" t="str">
        <f t="shared" si="128"/>
        <v/>
      </c>
      <c r="W531" s="4" t="e" cm="1">
        <f t="array" ref="W531">IF(INDEX(Table2[],_xlfn.XMATCH($A531,Table2[Steel Member],0),_xlfn.XMATCH(W$2,Table2[#Headers],0))=0,"",INDEX(Table2[],_xlfn.XMATCH($A531,Table2[Steel Member],0),_xlfn.XMATCH(W$2,Table2[#Headers],0)))</f>
        <v>#N/A</v>
      </c>
      <c r="X531" s="4" t="e">
        <f t="shared" si="138"/>
        <v>#N/A</v>
      </c>
      <c r="Y531" s="4" t="e" cm="1">
        <f t="array" ref="Y531">IF(INDEX(Table2[],_xlfn.XMATCH($A531,Table2[Steel Member],0),_xlfn.XMATCH(Y$2,Table2[#Headers],0))=0,"",INDEX(Table2[],_xlfn.XMATCH($A531,Table2[Steel Member],0),_xlfn.XMATCH(Y$2,Table2[#Headers],0)))</f>
        <v>#N/A</v>
      </c>
      <c r="Z531" s="4" t="e" cm="1">
        <f t="array" ref="Z531">IF(INDEX(Table2[],_xlfn.XMATCH($A531,Table2[Steel Member],0),_xlfn.XMATCH(Z$2,Table2[#Headers],0))=0,"",INDEX(Table2[],_xlfn.XMATCH($A531,Table2[Steel Member],0),_xlfn.XMATCH(Z$2,Table2[#Headers],0)))</f>
        <v>#N/A</v>
      </c>
      <c r="AA531" s="4" t="e" cm="1">
        <f t="array" ref="AA531">IF(INDEX(Table2[],_xlfn.XMATCH($A531,Table2[Steel Member],0),_xlfn.XMATCH(AA$2,Table2[#Headers],0))=0,"",INDEX(Table2[],_xlfn.XMATCH($A531,Table2[Steel Member],0),_xlfn.XMATCH(AA$2,Table2[#Headers],0)))</f>
        <v>#N/A</v>
      </c>
      <c r="AB531" s="4" t="e" cm="1">
        <f t="array" ref="AB531">IF(INDEX(Table2[],_xlfn.XMATCH($A531,Table2[Steel Member],0),_xlfn.XMATCH(AB$2,Table2[#Headers],0))=0,"",INDEX(Table2[],_xlfn.XMATCH($A531,Table2[Steel Member],0),_xlfn.XMATCH(AB$2,Table2[#Headers],0)))</f>
        <v>#N/A</v>
      </c>
      <c r="AC531" s="4" t="str" cm="1">
        <f t="array" ref="AC531">IFERROR(INDEX(Table8[],_xlfn.XMATCH($O531,Table8[Dimension Name Category],0),_xlfn.XMATCH(AC$2&amp;IF($L531," w/ tag"," w/o tag"),Table8[#Headers],0)),"")</f>
        <v/>
      </c>
      <c r="AD531" s="59" t="str">
        <f t="shared" si="129"/>
        <v/>
      </c>
      <c r="AE531" s="4" t="str">
        <f t="shared" si="130"/>
        <v/>
      </c>
      <c r="AF531" s="4" t="str">
        <f t="shared" si="131"/>
        <v/>
      </c>
      <c r="AG531" s="4" t="str" cm="1">
        <f t="array" ref="AG531">IFERROR(INDEX(Table8[],_xlfn.XMATCH($O531,Table8[Dimension Name Category],0),_xlfn.XMATCH(AG$2&amp;IF($L531," w/ tag"," w/o tag"),Table8[#Headers],0)),"")</f>
        <v/>
      </c>
      <c r="AH531" s="59" t="str">
        <f t="shared" si="132"/>
        <v/>
      </c>
      <c r="AI531" s="4"/>
      <c r="AJ531" s="4" t="str">
        <f t="shared" si="133"/>
        <v/>
      </c>
      <c r="AK531" s="4" t="str">
        <f t="shared" si="134"/>
        <v/>
      </c>
      <c r="AL531" s="4" t="e" cm="1">
        <f t="array" ref="AL531">IF(INDEX(Table2[],_xlfn.XMATCH($A531,Table2[Steel Member],0),_xlfn.XMATCH(AL$2,Table2[#Headers],0))=0,"",INDEX(Table2[],_xlfn.XMATCH($A531,Table2[Steel Member],0),_xlfn.XMATCH(AL$2,Table2[#Headers],0)))</f>
        <v>#N/A</v>
      </c>
      <c r="AM531" s="4"/>
      <c r="AN531" s="4" t="str">
        <f t="shared" si="135"/>
        <v/>
      </c>
      <c r="AO531" s="4"/>
      <c r="AP531" s="4" t="e" cm="1">
        <f t="array" ref="AP531">IF(INDEX(Table2[],_xlfn.XMATCH($A531,Table2[Steel Member],0),_xlfn.XMATCH(AP$2,Table2[#Headers],0))=0,"",INDEX(Table2[],_xlfn.XMATCH($A531,Table2[Steel Member],0),_xlfn.XMATCH(AP$2,Table2[#Headers],0)))</f>
        <v>#N/A</v>
      </c>
      <c r="AQ531" s="4"/>
      <c r="AR531" s="4"/>
      <c r="AS531" s="4"/>
      <c r="AT531" s="4"/>
    </row>
    <row r="532" spans="1:46" x14ac:dyDescent="0.25">
      <c r="A532" s="52"/>
      <c r="B532" s="52"/>
      <c r="C532" s="52"/>
      <c r="D532" s="52"/>
      <c r="E532" s="52"/>
      <c r="F532" s="64" cm="1">
        <f t="array" ref="F532">IF(COUNT(FIND(PurlinsxGirthsxBracings,$C532))&gt;0,0,ROUNDUP(IF(D532=0,0,VLOOKUP(D532,'DATA SHEET'!$B:$D,2,FALSE)),2))</f>
        <v>0</v>
      </c>
      <c r="G532" s="64" cm="1">
        <f t="array" ref="G532">IF(COUNT(FIND(PurlinsxGirthsxBracings,$C532))&gt;0,0,ROUNDUP(IF(D532=0,0,VLOOKUP(D532,'DATA SHEET'!$B:$D,3,FALSE)),2))</f>
        <v>0</v>
      </c>
      <c r="H532" s="53"/>
      <c r="I532" s="66" cm="1">
        <f t="array" ref="I532">IF(AND(ISBLANK(B532),ISBLANK(C532),ISBLANK(E532)),0,IF(COUNT(FIND(PurlinsxGirthsxBracings,$C532))&gt;0,IF(B532=0,CONCATENATE(E532," ",C532),CONCATENATE(B532," - ",E532," ",C532)),IF(B532=0,IF(ISBLANK(C532),E532,CONCATENATE(D532,", ",F532,"kg/m, ",G532,"mm surface perimeter")),IF(AND(ISBLANK(C532),ISTEXT(E532)),CONCATENATE(B532," - ",E532),IF(AND(ISBLANK(C532),ISBLANK(E532)),B532,CONCATENATE(B532," - ",D532,", ",F532,"kg/m, ",G532,"mm surface perimeter"))))&amp;IF(ISBLANK(H532),"",H532)))</f>
        <v>0</v>
      </c>
      <c r="J532" s="53"/>
      <c r="L532" s="4" t="str" cm="1">
        <f t="array" ref="L532">IF(COUNT(FIND({0,1,2,3,4,5,6,7,8,9},B532))&gt;0,COUNT(FIND({0,1,2,3,4,5,6,7,8,9},B532))&gt;0,"")</f>
        <v/>
      </c>
      <c r="M532" s="4" t="str" cm="1">
        <f t="array" aca="1" ref="M532" ca="1">IFERROR(_xlfn.IFS(R532="Count",RANDBETWEEN(1,COUNTIF($R$11:$R$653,"Count")),R532="Length",RANDBETWEEN(1,COUNTIF($R$11:$R$653,"Length"))),"")</f>
        <v/>
      </c>
      <c r="N532" s="4" t="str">
        <f ca="1">IFERROR(_xlfn.RANK.EQ(M532,$M$11:$M$653)+COUNTIF($M$11:M532,M532)-1,"")</f>
        <v/>
      </c>
      <c r="O532" s="86" t="str">
        <f>IF(A532='DATA SHEET'!$L$36,C532,IFERROR(IF(AND(ISTEXT(I532),ISBLANK(C532)),"No details",VLOOKUP(C532,DimFolder,2,FALSE)),""))</f>
        <v/>
      </c>
      <c r="P532" s="4" t="str">
        <f t="shared" si="137"/>
        <v/>
      </c>
      <c r="Q532" s="58" t="str">
        <f t="shared" si="136"/>
        <v/>
      </c>
      <c r="R532" s="4" t="e" cm="1">
        <f t="array" ref="R532">IF(INDEX(Table2[],_xlfn.XMATCH($A532,Table2[Steel Member],0),_xlfn.XMATCH(R$2,Table2[#Headers],0))=0,"",INDEX(Table2[],_xlfn.XMATCH($A532,Table2[Steel Member],0),_xlfn.XMATCH(R$2,Table2[#Headers],0)))</f>
        <v>#N/A</v>
      </c>
      <c r="S532" s="4" t="e" cm="1">
        <f t="array" ref="S532">IF(INDEX(Table2[],_xlfn.XMATCH($A532,Table2[Steel Member],0),_xlfn.XMATCH(S$2,Table2[#Headers],0))=0,"",INDEX(Table2[],_xlfn.XMATCH($A532,Table2[Steel Member],0),_xlfn.XMATCH(S$2,Table2[#Headers],0)))</f>
        <v>#N/A</v>
      </c>
      <c r="T532" s="4" t="str">
        <f t="shared" si="127"/>
        <v/>
      </c>
      <c r="U532" s="4" t="e">
        <f ca="1">VLOOKUP(N532,'COLOR CODE'!$B:$D,2,FALSE)</f>
        <v>#N/A</v>
      </c>
      <c r="V532" s="4" t="str">
        <f t="shared" si="128"/>
        <v/>
      </c>
      <c r="W532" s="4" t="e" cm="1">
        <f t="array" ref="W532">IF(INDEX(Table2[],_xlfn.XMATCH($A532,Table2[Steel Member],0),_xlfn.XMATCH(W$2,Table2[#Headers],0))=0,"",INDEX(Table2[],_xlfn.XMATCH($A532,Table2[Steel Member],0),_xlfn.XMATCH(W$2,Table2[#Headers],0)))</f>
        <v>#N/A</v>
      </c>
      <c r="X532" s="4" t="e">
        <f t="shared" si="138"/>
        <v>#N/A</v>
      </c>
      <c r="Y532" s="4" t="e" cm="1">
        <f t="array" ref="Y532">IF(INDEX(Table2[],_xlfn.XMATCH($A532,Table2[Steel Member],0),_xlfn.XMATCH(Y$2,Table2[#Headers],0))=0,"",INDEX(Table2[],_xlfn.XMATCH($A532,Table2[Steel Member],0),_xlfn.XMATCH(Y$2,Table2[#Headers],0)))</f>
        <v>#N/A</v>
      </c>
      <c r="Z532" s="4" t="e" cm="1">
        <f t="array" ref="Z532">IF(INDEX(Table2[],_xlfn.XMATCH($A532,Table2[Steel Member],0),_xlfn.XMATCH(Z$2,Table2[#Headers],0))=0,"",INDEX(Table2[],_xlfn.XMATCH($A532,Table2[Steel Member],0),_xlfn.XMATCH(Z$2,Table2[#Headers],0)))</f>
        <v>#N/A</v>
      </c>
      <c r="AA532" s="4" t="e" cm="1">
        <f t="array" ref="AA532">IF(INDEX(Table2[],_xlfn.XMATCH($A532,Table2[Steel Member],0),_xlfn.XMATCH(AA$2,Table2[#Headers],0))=0,"",INDEX(Table2[],_xlfn.XMATCH($A532,Table2[Steel Member],0),_xlfn.XMATCH(AA$2,Table2[#Headers],0)))</f>
        <v>#N/A</v>
      </c>
      <c r="AB532" s="4" t="e" cm="1">
        <f t="array" ref="AB532">IF(INDEX(Table2[],_xlfn.XMATCH($A532,Table2[Steel Member],0),_xlfn.XMATCH(AB$2,Table2[#Headers],0))=0,"",INDEX(Table2[],_xlfn.XMATCH($A532,Table2[Steel Member],0),_xlfn.XMATCH(AB$2,Table2[#Headers],0)))</f>
        <v>#N/A</v>
      </c>
      <c r="AC532" s="4" t="str" cm="1">
        <f t="array" ref="AC532">IFERROR(INDEX(Table8[],_xlfn.XMATCH($O532,Table8[Dimension Name Category],0),_xlfn.XMATCH(AC$2&amp;IF($L532," w/ tag"," w/o tag"),Table8[#Headers],0)),"")</f>
        <v/>
      </c>
      <c r="AD532" s="59" t="str">
        <f t="shared" si="129"/>
        <v/>
      </c>
      <c r="AE532" s="4" t="str">
        <f t="shared" si="130"/>
        <v/>
      </c>
      <c r="AF532" s="4" t="str">
        <f t="shared" si="131"/>
        <v/>
      </c>
      <c r="AG532" s="4" t="str" cm="1">
        <f t="array" ref="AG532">IFERROR(INDEX(Table8[],_xlfn.XMATCH($O532,Table8[Dimension Name Category],0),_xlfn.XMATCH(AG$2&amp;IF($L532," w/ tag"," w/o tag"),Table8[#Headers],0)),"")</f>
        <v/>
      </c>
      <c r="AH532" s="59" t="str">
        <f t="shared" si="132"/>
        <v/>
      </c>
      <c r="AI532" s="4"/>
      <c r="AJ532" s="4" t="str">
        <f t="shared" si="133"/>
        <v/>
      </c>
      <c r="AK532" s="4" t="str">
        <f t="shared" si="134"/>
        <v/>
      </c>
      <c r="AL532" s="4" t="e" cm="1">
        <f t="array" ref="AL532">IF(INDEX(Table2[],_xlfn.XMATCH($A532,Table2[Steel Member],0),_xlfn.XMATCH(AL$2,Table2[#Headers],0))=0,"",INDEX(Table2[],_xlfn.XMATCH($A532,Table2[Steel Member],0),_xlfn.XMATCH(AL$2,Table2[#Headers],0)))</f>
        <v>#N/A</v>
      </c>
      <c r="AM532" s="4"/>
      <c r="AN532" s="4" t="str">
        <f t="shared" si="135"/>
        <v/>
      </c>
      <c r="AO532" s="4"/>
      <c r="AP532" s="4" t="e" cm="1">
        <f t="array" ref="AP532">IF(INDEX(Table2[],_xlfn.XMATCH($A532,Table2[Steel Member],0),_xlfn.XMATCH(AP$2,Table2[#Headers],0))=0,"",INDEX(Table2[],_xlfn.XMATCH($A532,Table2[Steel Member],0),_xlfn.XMATCH(AP$2,Table2[#Headers],0)))</f>
        <v>#N/A</v>
      </c>
      <c r="AQ532" s="4"/>
      <c r="AR532" s="4"/>
      <c r="AS532" s="4"/>
      <c r="AT532" s="4"/>
    </row>
    <row r="533" spans="1:46" x14ac:dyDescent="0.25">
      <c r="A533" s="52"/>
      <c r="B533" s="52"/>
      <c r="C533" s="52"/>
      <c r="D533" s="52"/>
      <c r="E533" s="52"/>
      <c r="F533" s="64" cm="1">
        <f t="array" ref="F533">IF(COUNT(FIND(PurlinsxGirthsxBracings,$C533))&gt;0,0,ROUNDUP(IF(D533=0,0,VLOOKUP(D533,'DATA SHEET'!$B:$D,2,FALSE)),2))</f>
        <v>0</v>
      </c>
      <c r="G533" s="64" cm="1">
        <f t="array" ref="G533">IF(COUNT(FIND(PurlinsxGirthsxBracings,$C533))&gt;0,0,ROUNDUP(IF(D533=0,0,VLOOKUP(D533,'DATA SHEET'!$B:$D,3,FALSE)),2))</f>
        <v>0</v>
      </c>
      <c r="H533" s="53"/>
      <c r="I533" s="66" cm="1">
        <f t="array" ref="I533">IF(AND(ISBLANK(B533),ISBLANK(C533),ISBLANK(E533)),0,IF(COUNT(FIND(PurlinsxGirthsxBracings,$C533))&gt;0,IF(B533=0,CONCATENATE(E533," ",C533),CONCATENATE(B533," - ",E533," ",C533)),IF(B533=0,IF(ISBLANK(C533),E533,CONCATENATE(D533,", ",F533,"kg/m, ",G533,"mm surface perimeter")),IF(AND(ISBLANK(C533),ISTEXT(E533)),CONCATENATE(B533," - ",E533),IF(AND(ISBLANK(C533),ISBLANK(E533)),B533,CONCATENATE(B533," - ",D533,", ",F533,"kg/m, ",G533,"mm surface perimeter"))))&amp;IF(ISBLANK(H533),"",H533)))</f>
        <v>0</v>
      </c>
      <c r="J533" s="53"/>
      <c r="L533" s="4" t="str" cm="1">
        <f t="array" ref="L533">IF(COUNT(FIND({0,1,2,3,4,5,6,7,8,9},B533))&gt;0,COUNT(FIND({0,1,2,3,4,5,6,7,8,9},B533))&gt;0,"")</f>
        <v/>
      </c>
      <c r="M533" s="4" t="str" cm="1">
        <f t="array" aca="1" ref="M533" ca="1">IFERROR(_xlfn.IFS(R533="Count",RANDBETWEEN(1,COUNTIF($R$11:$R$653,"Count")),R533="Length",RANDBETWEEN(1,COUNTIF($R$11:$R$653,"Length"))),"")</f>
        <v/>
      </c>
      <c r="N533" s="4" t="str">
        <f ca="1">IFERROR(_xlfn.RANK.EQ(M533,$M$11:$M$653)+COUNTIF($M$11:M533,M533)-1,"")</f>
        <v/>
      </c>
      <c r="O533" s="86" t="str">
        <f>IF(A533='DATA SHEET'!$L$36,C533,IFERROR(IF(AND(ISTEXT(I533),ISBLANK(C533)),"No details",VLOOKUP(C533,DimFolder,2,FALSE)),""))</f>
        <v/>
      </c>
      <c r="P533" s="4" t="str">
        <f t="shared" si="137"/>
        <v/>
      </c>
      <c r="Q533" s="58" t="str">
        <f t="shared" si="136"/>
        <v/>
      </c>
      <c r="R533" s="4" t="e" cm="1">
        <f t="array" ref="R533">IF(INDEX(Table2[],_xlfn.XMATCH($A533,Table2[Steel Member],0),_xlfn.XMATCH(R$2,Table2[#Headers],0))=0,"",INDEX(Table2[],_xlfn.XMATCH($A533,Table2[Steel Member],0),_xlfn.XMATCH(R$2,Table2[#Headers],0)))</f>
        <v>#N/A</v>
      </c>
      <c r="S533" s="4" t="e" cm="1">
        <f t="array" ref="S533">IF(INDEX(Table2[],_xlfn.XMATCH($A533,Table2[Steel Member],0),_xlfn.XMATCH(S$2,Table2[#Headers],0))=0,"",INDEX(Table2[],_xlfn.XMATCH($A533,Table2[Steel Member],0),_xlfn.XMATCH(S$2,Table2[#Headers],0)))</f>
        <v>#N/A</v>
      </c>
      <c r="T533" s="4" t="str">
        <f t="shared" si="127"/>
        <v/>
      </c>
      <c r="U533" s="4" t="e">
        <f ca="1">VLOOKUP(N533,'COLOR CODE'!$B:$D,2,FALSE)</f>
        <v>#N/A</v>
      </c>
      <c r="V533" s="4" t="str">
        <f t="shared" si="128"/>
        <v/>
      </c>
      <c r="W533" s="4" t="e" cm="1">
        <f t="array" ref="W533">IF(INDEX(Table2[],_xlfn.XMATCH($A533,Table2[Steel Member],0),_xlfn.XMATCH(W$2,Table2[#Headers],0))=0,"",INDEX(Table2[],_xlfn.XMATCH($A533,Table2[Steel Member],0),_xlfn.XMATCH(W$2,Table2[#Headers],0)))</f>
        <v>#N/A</v>
      </c>
      <c r="X533" s="4" t="e">
        <f t="shared" si="138"/>
        <v>#N/A</v>
      </c>
      <c r="Y533" s="4" t="e" cm="1">
        <f t="array" ref="Y533">IF(INDEX(Table2[],_xlfn.XMATCH($A533,Table2[Steel Member],0),_xlfn.XMATCH(Y$2,Table2[#Headers],0))=0,"",INDEX(Table2[],_xlfn.XMATCH($A533,Table2[Steel Member],0),_xlfn.XMATCH(Y$2,Table2[#Headers],0)))</f>
        <v>#N/A</v>
      </c>
      <c r="Z533" s="4" t="e" cm="1">
        <f t="array" ref="Z533">IF(INDEX(Table2[],_xlfn.XMATCH($A533,Table2[Steel Member],0),_xlfn.XMATCH(Z$2,Table2[#Headers],0))=0,"",INDEX(Table2[],_xlfn.XMATCH($A533,Table2[Steel Member],0),_xlfn.XMATCH(Z$2,Table2[#Headers],0)))</f>
        <v>#N/A</v>
      </c>
      <c r="AA533" s="4" t="e" cm="1">
        <f t="array" ref="AA533">IF(INDEX(Table2[],_xlfn.XMATCH($A533,Table2[Steel Member],0),_xlfn.XMATCH(AA$2,Table2[#Headers],0))=0,"",INDEX(Table2[],_xlfn.XMATCH($A533,Table2[Steel Member],0),_xlfn.XMATCH(AA$2,Table2[#Headers],0)))</f>
        <v>#N/A</v>
      </c>
      <c r="AB533" s="4" t="e" cm="1">
        <f t="array" ref="AB533">IF(INDEX(Table2[],_xlfn.XMATCH($A533,Table2[Steel Member],0),_xlfn.XMATCH(AB$2,Table2[#Headers],0))=0,"",INDEX(Table2[],_xlfn.XMATCH($A533,Table2[Steel Member],0),_xlfn.XMATCH(AB$2,Table2[#Headers],0)))</f>
        <v>#N/A</v>
      </c>
      <c r="AC533" s="4" t="str" cm="1">
        <f t="array" ref="AC533">IFERROR(INDEX(Table8[],_xlfn.XMATCH($O533,Table8[Dimension Name Category],0),_xlfn.XMATCH(AC$2&amp;IF($L533," w/ tag"," w/o tag"),Table8[#Headers],0)),"")</f>
        <v/>
      </c>
      <c r="AD533" s="59" t="str">
        <f t="shared" si="129"/>
        <v/>
      </c>
      <c r="AE533" s="4" t="str">
        <f t="shared" si="130"/>
        <v/>
      </c>
      <c r="AF533" s="4" t="str">
        <f t="shared" si="131"/>
        <v/>
      </c>
      <c r="AG533" s="4" t="str" cm="1">
        <f t="array" ref="AG533">IFERROR(INDEX(Table8[],_xlfn.XMATCH($O533,Table8[Dimension Name Category],0),_xlfn.XMATCH(AG$2&amp;IF($L533," w/ tag"," w/o tag"),Table8[#Headers],0)),"")</f>
        <v/>
      </c>
      <c r="AH533" s="59" t="str">
        <f t="shared" si="132"/>
        <v/>
      </c>
      <c r="AI533" s="4"/>
      <c r="AJ533" s="4" t="str">
        <f t="shared" si="133"/>
        <v/>
      </c>
      <c r="AK533" s="4" t="str">
        <f t="shared" si="134"/>
        <v/>
      </c>
      <c r="AL533" s="4" t="e" cm="1">
        <f t="array" ref="AL533">IF(INDEX(Table2[],_xlfn.XMATCH($A533,Table2[Steel Member],0),_xlfn.XMATCH(AL$2,Table2[#Headers],0))=0,"",INDEX(Table2[],_xlfn.XMATCH($A533,Table2[Steel Member],0),_xlfn.XMATCH(AL$2,Table2[#Headers],0)))</f>
        <v>#N/A</v>
      </c>
      <c r="AM533" s="4"/>
      <c r="AN533" s="4" t="str">
        <f t="shared" si="135"/>
        <v/>
      </c>
      <c r="AO533" s="4"/>
      <c r="AP533" s="4" t="e" cm="1">
        <f t="array" ref="AP533">IF(INDEX(Table2[],_xlfn.XMATCH($A533,Table2[Steel Member],0),_xlfn.XMATCH(AP$2,Table2[#Headers],0))=0,"",INDEX(Table2[],_xlfn.XMATCH($A533,Table2[Steel Member],0),_xlfn.XMATCH(AP$2,Table2[#Headers],0)))</f>
        <v>#N/A</v>
      </c>
      <c r="AQ533" s="4"/>
      <c r="AR533" s="4"/>
      <c r="AS533" s="4"/>
      <c r="AT533" s="4"/>
    </row>
    <row r="534" spans="1:46" x14ac:dyDescent="0.25">
      <c r="A534" s="52"/>
      <c r="B534" s="52"/>
      <c r="C534" s="52"/>
      <c r="D534" s="52"/>
      <c r="E534" s="52"/>
      <c r="F534" s="64" cm="1">
        <f t="array" ref="F534">IF(COUNT(FIND(PurlinsxGirthsxBracings,$C534))&gt;0,0,ROUNDUP(IF(D534=0,0,VLOOKUP(D534,'DATA SHEET'!$B:$D,2,FALSE)),2))</f>
        <v>0</v>
      </c>
      <c r="G534" s="64" cm="1">
        <f t="array" ref="G534">IF(COUNT(FIND(PurlinsxGirthsxBracings,$C534))&gt;0,0,ROUNDUP(IF(D534=0,0,VLOOKUP(D534,'DATA SHEET'!$B:$D,3,FALSE)),2))</f>
        <v>0</v>
      </c>
      <c r="H534" s="53"/>
      <c r="I534" s="66" cm="1">
        <f t="array" ref="I534">IF(AND(ISBLANK(B534),ISBLANK(C534),ISBLANK(E534)),0,IF(COUNT(FIND(PurlinsxGirthsxBracings,$C534))&gt;0,IF(B534=0,CONCATENATE(E534," ",C534),CONCATENATE(B534," - ",E534," ",C534)),IF(B534=0,IF(ISBLANK(C534),E534,CONCATENATE(D534,", ",F534,"kg/m, ",G534,"mm surface perimeter")),IF(AND(ISBLANK(C534),ISTEXT(E534)),CONCATENATE(B534," - ",E534),IF(AND(ISBLANK(C534),ISBLANK(E534)),B534,CONCATENATE(B534," - ",D534,", ",F534,"kg/m, ",G534,"mm surface perimeter"))))&amp;IF(ISBLANK(H534),"",H534)))</f>
        <v>0</v>
      </c>
      <c r="J534" s="53"/>
      <c r="L534" s="4" t="str" cm="1">
        <f t="array" ref="L534">IF(COUNT(FIND({0,1,2,3,4,5,6,7,8,9},B534))&gt;0,COUNT(FIND({0,1,2,3,4,5,6,7,8,9},B534))&gt;0,"")</f>
        <v/>
      </c>
      <c r="M534" s="4" t="str" cm="1">
        <f t="array" aca="1" ref="M534" ca="1">IFERROR(_xlfn.IFS(R534="Count",RANDBETWEEN(1,COUNTIF($R$11:$R$653,"Count")),R534="Length",RANDBETWEEN(1,COUNTIF($R$11:$R$653,"Length"))),"")</f>
        <v/>
      </c>
      <c r="N534" s="4" t="str">
        <f ca="1">IFERROR(_xlfn.RANK.EQ(M534,$M$11:$M$653)+COUNTIF($M$11:M534,M534)-1,"")</f>
        <v/>
      </c>
      <c r="O534" s="86" t="str">
        <f>IF(A534='DATA SHEET'!$L$36,C534,IFERROR(IF(AND(ISTEXT(I534),ISBLANK(C534)),"No details",VLOOKUP(C534,DimFolder,2,FALSE)),""))</f>
        <v/>
      </c>
      <c r="P534" s="4" t="str">
        <f t="shared" si="137"/>
        <v/>
      </c>
      <c r="Q534" s="58" t="str">
        <f t="shared" si="136"/>
        <v/>
      </c>
      <c r="R534" s="4" t="e" cm="1">
        <f t="array" ref="R534">IF(INDEX(Table2[],_xlfn.XMATCH($A534,Table2[Steel Member],0),_xlfn.XMATCH(R$2,Table2[#Headers],0))=0,"",INDEX(Table2[],_xlfn.XMATCH($A534,Table2[Steel Member],0),_xlfn.XMATCH(R$2,Table2[#Headers],0)))</f>
        <v>#N/A</v>
      </c>
      <c r="S534" s="4" t="e" cm="1">
        <f t="array" ref="S534">IF(INDEX(Table2[],_xlfn.XMATCH($A534,Table2[Steel Member],0),_xlfn.XMATCH(S$2,Table2[#Headers],0))=0,"",INDEX(Table2[],_xlfn.XMATCH($A534,Table2[Steel Member],0),_xlfn.XMATCH(S$2,Table2[#Headers],0)))</f>
        <v>#N/A</v>
      </c>
      <c r="T534" s="4" t="str">
        <f t="shared" si="127"/>
        <v/>
      </c>
      <c r="U534" s="4" t="e">
        <f ca="1">VLOOKUP(N534,'COLOR CODE'!$B:$D,2,FALSE)</f>
        <v>#N/A</v>
      </c>
      <c r="V534" s="4" t="str">
        <f t="shared" si="128"/>
        <v/>
      </c>
      <c r="W534" s="4" t="e" cm="1">
        <f t="array" ref="W534">IF(INDEX(Table2[],_xlfn.XMATCH($A534,Table2[Steel Member],0),_xlfn.XMATCH(W$2,Table2[#Headers],0))=0,"",INDEX(Table2[],_xlfn.XMATCH($A534,Table2[Steel Member],0),_xlfn.XMATCH(W$2,Table2[#Headers],0)))</f>
        <v>#N/A</v>
      </c>
      <c r="X534" s="4" t="e">
        <f t="shared" si="138"/>
        <v>#N/A</v>
      </c>
      <c r="Y534" s="4" t="e" cm="1">
        <f t="array" ref="Y534">IF(INDEX(Table2[],_xlfn.XMATCH($A534,Table2[Steel Member],0),_xlfn.XMATCH(Y$2,Table2[#Headers],0))=0,"",INDEX(Table2[],_xlfn.XMATCH($A534,Table2[Steel Member],0),_xlfn.XMATCH(Y$2,Table2[#Headers],0)))</f>
        <v>#N/A</v>
      </c>
      <c r="Z534" s="4" t="e" cm="1">
        <f t="array" ref="Z534">IF(INDEX(Table2[],_xlfn.XMATCH($A534,Table2[Steel Member],0),_xlfn.XMATCH(Z$2,Table2[#Headers],0))=0,"",INDEX(Table2[],_xlfn.XMATCH($A534,Table2[Steel Member],0),_xlfn.XMATCH(Z$2,Table2[#Headers],0)))</f>
        <v>#N/A</v>
      </c>
      <c r="AA534" s="4" t="e" cm="1">
        <f t="array" ref="AA534">IF(INDEX(Table2[],_xlfn.XMATCH($A534,Table2[Steel Member],0),_xlfn.XMATCH(AA$2,Table2[#Headers],0))=0,"",INDEX(Table2[],_xlfn.XMATCH($A534,Table2[Steel Member],0),_xlfn.XMATCH(AA$2,Table2[#Headers],0)))</f>
        <v>#N/A</v>
      </c>
      <c r="AB534" s="4" t="e" cm="1">
        <f t="array" ref="AB534">IF(INDEX(Table2[],_xlfn.XMATCH($A534,Table2[Steel Member],0),_xlfn.XMATCH(AB$2,Table2[#Headers],0))=0,"",INDEX(Table2[],_xlfn.XMATCH($A534,Table2[Steel Member],0),_xlfn.XMATCH(AB$2,Table2[#Headers],0)))</f>
        <v>#N/A</v>
      </c>
      <c r="AC534" s="4" t="str" cm="1">
        <f t="array" ref="AC534">IFERROR(INDEX(Table8[],_xlfn.XMATCH($O534,Table8[Dimension Name Category],0),_xlfn.XMATCH(AC$2&amp;IF($L534," w/ tag"," w/o tag"),Table8[#Headers],0)),"")</f>
        <v/>
      </c>
      <c r="AD534" s="59" t="str">
        <f t="shared" si="129"/>
        <v/>
      </c>
      <c r="AE534" s="4" t="str">
        <f t="shared" si="130"/>
        <v/>
      </c>
      <c r="AF534" s="4" t="str">
        <f t="shared" si="131"/>
        <v/>
      </c>
      <c r="AG534" s="4" t="str" cm="1">
        <f t="array" ref="AG534">IFERROR(INDEX(Table8[],_xlfn.XMATCH($O534,Table8[Dimension Name Category],0),_xlfn.XMATCH(AG$2&amp;IF($L534," w/ tag"," w/o tag"),Table8[#Headers],0)),"")</f>
        <v/>
      </c>
      <c r="AH534" s="59" t="str">
        <f t="shared" si="132"/>
        <v/>
      </c>
      <c r="AI534" s="4"/>
      <c r="AJ534" s="4" t="str">
        <f t="shared" si="133"/>
        <v/>
      </c>
      <c r="AK534" s="4" t="str">
        <f t="shared" si="134"/>
        <v/>
      </c>
      <c r="AL534" s="4" t="e" cm="1">
        <f t="array" ref="AL534">IF(INDEX(Table2[],_xlfn.XMATCH($A534,Table2[Steel Member],0),_xlfn.XMATCH(AL$2,Table2[#Headers],0))=0,"",INDEX(Table2[],_xlfn.XMATCH($A534,Table2[Steel Member],0),_xlfn.XMATCH(AL$2,Table2[#Headers],0)))</f>
        <v>#N/A</v>
      </c>
      <c r="AM534" s="4"/>
      <c r="AN534" s="4" t="str">
        <f t="shared" si="135"/>
        <v/>
      </c>
      <c r="AO534" s="4"/>
      <c r="AP534" s="4" t="e" cm="1">
        <f t="array" ref="AP534">IF(INDEX(Table2[],_xlfn.XMATCH($A534,Table2[Steel Member],0),_xlfn.XMATCH(AP$2,Table2[#Headers],0))=0,"",INDEX(Table2[],_xlfn.XMATCH($A534,Table2[Steel Member],0),_xlfn.XMATCH(AP$2,Table2[#Headers],0)))</f>
        <v>#N/A</v>
      </c>
      <c r="AQ534" s="4"/>
      <c r="AR534" s="4"/>
      <c r="AS534" s="4"/>
      <c r="AT534" s="4"/>
    </row>
    <row r="535" spans="1:46" x14ac:dyDescent="0.25">
      <c r="A535" s="52"/>
      <c r="B535" s="52"/>
      <c r="C535" s="52"/>
      <c r="D535" s="52"/>
      <c r="E535" s="52"/>
      <c r="F535" s="64" cm="1">
        <f t="array" ref="F535">IF(COUNT(FIND(PurlinsxGirthsxBracings,$C535))&gt;0,0,ROUNDUP(IF(D535=0,0,VLOOKUP(D535,'DATA SHEET'!$B:$D,2,FALSE)),2))</f>
        <v>0</v>
      </c>
      <c r="G535" s="64" cm="1">
        <f t="array" ref="G535">IF(COUNT(FIND(PurlinsxGirthsxBracings,$C535))&gt;0,0,ROUNDUP(IF(D535=0,0,VLOOKUP(D535,'DATA SHEET'!$B:$D,3,FALSE)),2))</f>
        <v>0</v>
      </c>
      <c r="H535" s="53"/>
      <c r="I535" s="66" cm="1">
        <f t="array" ref="I535">IF(AND(ISBLANK(B535),ISBLANK(C535),ISBLANK(E535)),0,IF(COUNT(FIND(PurlinsxGirthsxBracings,$C535))&gt;0,IF(B535=0,CONCATENATE(E535," ",C535),CONCATENATE(B535," - ",E535," ",C535)),IF(B535=0,IF(ISBLANK(C535),E535,CONCATENATE(D535,", ",F535,"kg/m, ",G535,"mm surface perimeter")),IF(AND(ISBLANK(C535),ISTEXT(E535)),CONCATENATE(B535," - ",E535),IF(AND(ISBLANK(C535),ISBLANK(E535)),B535,CONCATENATE(B535," - ",D535,", ",F535,"kg/m, ",G535,"mm surface perimeter"))))&amp;IF(ISBLANK(H535),"",H535)))</f>
        <v>0</v>
      </c>
      <c r="J535" s="53"/>
      <c r="L535" s="4" t="str" cm="1">
        <f t="array" ref="L535">IF(COUNT(FIND({0,1,2,3,4,5,6,7,8,9},B535))&gt;0,COUNT(FIND({0,1,2,3,4,5,6,7,8,9},B535))&gt;0,"")</f>
        <v/>
      </c>
      <c r="M535" s="4" t="str" cm="1">
        <f t="array" aca="1" ref="M535" ca="1">IFERROR(_xlfn.IFS(R535="Count",RANDBETWEEN(1,COUNTIF($R$11:$R$653,"Count")),R535="Length",RANDBETWEEN(1,COUNTIF($R$11:$R$653,"Length"))),"")</f>
        <v/>
      </c>
      <c r="N535" s="4" t="str">
        <f ca="1">IFERROR(_xlfn.RANK.EQ(M535,$M$11:$M$653)+COUNTIF($M$11:M535,M535)-1,"")</f>
        <v/>
      </c>
      <c r="O535" s="86" t="str">
        <f>IF(A535='DATA SHEET'!$L$36,C535,IFERROR(IF(AND(ISTEXT(I535),ISBLANK(C535)),"No details",VLOOKUP(C535,DimFolder,2,FALSE)),""))</f>
        <v/>
      </c>
      <c r="P535" s="4" t="str">
        <f t="shared" si="137"/>
        <v/>
      </c>
      <c r="Q535" s="58" t="str">
        <f t="shared" si="136"/>
        <v/>
      </c>
      <c r="R535" s="4" t="e" cm="1">
        <f t="array" ref="R535">IF(INDEX(Table2[],_xlfn.XMATCH($A535,Table2[Steel Member],0),_xlfn.XMATCH(R$2,Table2[#Headers],0))=0,"",INDEX(Table2[],_xlfn.XMATCH($A535,Table2[Steel Member],0),_xlfn.XMATCH(R$2,Table2[#Headers],0)))</f>
        <v>#N/A</v>
      </c>
      <c r="S535" s="4" t="e" cm="1">
        <f t="array" ref="S535">IF(INDEX(Table2[],_xlfn.XMATCH($A535,Table2[Steel Member],0),_xlfn.XMATCH(S$2,Table2[#Headers],0))=0,"",INDEX(Table2[],_xlfn.XMATCH($A535,Table2[Steel Member],0),_xlfn.XMATCH(S$2,Table2[#Headers],0)))</f>
        <v>#N/A</v>
      </c>
      <c r="T535" s="4" t="str">
        <f t="shared" si="127"/>
        <v/>
      </c>
      <c r="U535" s="4" t="e">
        <f ca="1">VLOOKUP(N535,'COLOR CODE'!$B:$D,2,FALSE)</f>
        <v>#N/A</v>
      </c>
      <c r="V535" s="4" t="str">
        <f t="shared" si="128"/>
        <v/>
      </c>
      <c r="W535" s="4" t="e" cm="1">
        <f t="array" ref="W535">IF(INDEX(Table2[],_xlfn.XMATCH($A535,Table2[Steel Member],0),_xlfn.XMATCH(W$2,Table2[#Headers],0))=0,"",INDEX(Table2[],_xlfn.XMATCH($A535,Table2[Steel Member],0),_xlfn.XMATCH(W$2,Table2[#Headers],0)))</f>
        <v>#N/A</v>
      </c>
      <c r="X535" s="4" t="e">
        <f t="shared" si="138"/>
        <v>#N/A</v>
      </c>
      <c r="Y535" s="4" t="e" cm="1">
        <f t="array" ref="Y535">IF(INDEX(Table2[],_xlfn.XMATCH($A535,Table2[Steel Member],0),_xlfn.XMATCH(Y$2,Table2[#Headers],0))=0,"",INDEX(Table2[],_xlfn.XMATCH($A535,Table2[Steel Member],0),_xlfn.XMATCH(Y$2,Table2[#Headers],0)))</f>
        <v>#N/A</v>
      </c>
      <c r="Z535" s="4" t="e" cm="1">
        <f t="array" ref="Z535">IF(INDEX(Table2[],_xlfn.XMATCH($A535,Table2[Steel Member],0),_xlfn.XMATCH(Z$2,Table2[#Headers],0))=0,"",INDEX(Table2[],_xlfn.XMATCH($A535,Table2[Steel Member],0),_xlfn.XMATCH(Z$2,Table2[#Headers],0)))</f>
        <v>#N/A</v>
      </c>
      <c r="AA535" s="4" t="e" cm="1">
        <f t="array" ref="AA535">IF(INDEX(Table2[],_xlfn.XMATCH($A535,Table2[Steel Member],0),_xlfn.XMATCH(AA$2,Table2[#Headers],0))=0,"",INDEX(Table2[],_xlfn.XMATCH($A535,Table2[Steel Member],0),_xlfn.XMATCH(AA$2,Table2[#Headers],0)))</f>
        <v>#N/A</v>
      </c>
      <c r="AB535" s="4" t="e" cm="1">
        <f t="array" ref="AB535">IF(INDEX(Table2[],_xlfn.XMATCH($A535,Table2[Steel Member],0),_xlfn.XMATCH(AB$2,Table2[#Headers],0))=0,"",INDEX(Table2[],_xlfn.XMATCH($A535,Table2[Steel Member],0),_xlfn.XMATCH(AB$2,Table2[#Headers],0)))</f>
        <v>#N/A</v>
      </c>
      <c r="AC535" s="4" t="str" cm="1">
        <f t="array" ref="AC535">IFERROR(INDEX(Table8[],_xlfn.XMATCH($O535,Table8[Dimension Name Category],0),_xlfn.XMATCH(AC$2&amp;IF($L535," w/ tag"," w/o tag"),Table8[#Headers],0)),"")</f>
        <v/>
      </c>
      <c r="AD535" s="59" t="str">
        <f t="shared" si="129"/>
        <v/>
      </c>
      <c r="AE535" s="4" t="str">
        <f t="shared" si="130"/>
        <v/>
      </c>
      <c r="AF535" s="4" t="str">
        <f t="shared" si="131"/>
        <v/>
      </c>
      <c r="AG535" s="4" t="str" cm="1">
        <f t="array" ref="AG535">IFERROR(INDEX(Table8[],_xlfn.XMATCH($O535,Table8[Dimension Name Category],0),_xlfn.XMATCH(AG$2&amp;IF($L535," w/ tag"," w/o tag"),Table8[#Headers],0)),"")</f>
        <v/>
      </c>
      <c r="AH535" s="59" t="str">
        <f t="shared" si="132"/>
        <v/>
      </c>
      <c r="AI535" s="4"/>
      <c r="AJ535" s="4" t="str">
        <f t="shared" si="133"/>
        <v/>
      </c>
      <c r="AK535" s="4" t="str">
        <f t="shared" si="134"/>
        <v/>
      </c>
      <c r="AL535" s="4" t="e" cm="1">
        <f t="array" ref="AL535">IF(INDEX(Table2[],_xlfn.XMATCH($A535,Table2[Steel Member],0),_xlfn.XMATCH(AL$2,Table2[#Headers],0))=0,"",INDEX(Table2[],_xlfn.XMATCH($A535,Table2[Steel Member],0),_xlfn.XMATCH(AL$2,Table2[#Headers],0)))</f>
        <v>#N/A</v>
      </c>
      <c r="AM535" s="4"/>
      <c r="AN535" s="4" t="str">
        <f t="shared" si="135"/>
        <v/>
      </c>
      <c r="AO535" s="4"/>
      <c r="AP535" s="4" t="e" cm="1">
        <f t="array" ref="AP535">IF(INDEX(Table2[],_xlfn.XMATCH($A535,Table2[Steel Member],0),_xlfn.XMATCH(AP$2,Table2[#Headers],0))=0,"",INDEX(Table2[],_xlfn.XMATCH($A535,Table2[Steel Member],0),_xlfn.XMATCH(AP$2,Table2[#Headers],0)))</f>
        <v>#N/A</v>
      </c>
      <c r="AQ535" s="4"/>
      <c r="AR535" s="4"/>
      <c r="AS535" s="4"/>
      <c r="AT535" s="4"/>
    </row>
    <row r="536" spans="1:46" x14ac:dyDescent="0.25">
      <c r="A536" s="52"/>
      <c r="B536" s="52"/>
      <c r="C536" s="52"/>
      <c r="D536" s="52"/>
      <c r="E536" s="52"/>
      <c r="F536" s="64" cm="1">
        <f t="array" ref="F536">IF(COUNT(FIND(PurlinsxGirthsxBracings,$C536))&gt;0,0,ROUNDUP(IF(D536=0,0,VLOOKUP(D536,'DATA SHEET'!$B:$D,2,FALSE)),2))</f>
        <v>0</v>
      </c>
      <c r="G536" s="64" cm="1">
        <f t="array" ref="G536">IF(COUNT(FIND(PurlinsxGirthsxBracings,$C536))&gt;0,0,ROUNDUP(IF(D536=0,0,VLOOKUP(D536,'DATA SHEET'!$B:$D,3,FALSE)),2))</f>
        <v>0</v>
      </c>
      <c r="H536" s="53"/>
      <c r="I536" s="66" cm="1">
        <f t="array" ref="I536">IF(AND(ISBLANK(B536),ISBLANK(C536),ISBLANK(E536)),0,IF(COUNT(FIND(PurlinsxGirthsxBracings,$C536))&gt;0,IF(B536=0,CONCATENATE(E536," ",C536),CONCATENATE(B536," - ",E536," ",C536)),IF(B536=0,IF(ISBLANK(C536),E536,CONCATENATE(D536,", ",F536,"kg/m, ",G536,"mm surface perimeter")),IF(AND(ISBLANK(C536),ISTEXT(E536)),CONCATENATE(B536," - ",E536),IF(AND(ISBLANK(C536),ISBLANK(E536)),B536,CONCATENATE(B536," - ",D536,", ",F536,"kg/m, ",G536,"mm surface perimeter"))))&amp;IF(ISBLANK(H536),"",H536)))</f>
        <v>0</v>
      </c>
      <c r="J536" s="53"/>
      <c r="L536" s="4" t="str" cm="1">
        <f t="array" ref="L536">IF(COUNT(FIND({0,1,2,3,4,5,6,7,8,9},B536))&gt;0,COUNT(FIND({0,1,2,3,4,5,6,7,8,9},B536))&gt;0,"")</f>
        <v/>
      </c>
      <c r="M536" s="4" t="str" cm="1">
        <f t="array" aca="1" ref="M536" ca="1">IFERROR(_xlfn.IFS(R536="Count",RANDBETWEEN(1,COUNTIF($R$11:$R$653,"Count")),R536="Length",RANDBETWEEN(1,COUNTIF($R$11:$R$653,"Length"))),"")</f>
        <v/>
      </c>
      <c r="N536" s="4" t="str">
        <f ca="1">IFERROR(_xlfn.RANK.EQ(M536,$M$11:$M$653)+COUNTIF($M$11:M536,M536)-1,"")</f>
        <v/>
      </c>
      <c r="O536" s="86" t="str">
        <f>IF(A536='DATA SHEET'!$L$36,C536,IFERROR(IF(AND(ISTEXT(I536),ISBLANK(C536)),"No details",VLOOKUP(C536,DimFolder,2,FALSE)),""))</f>
        <v/>
      </c>
      <c r="P536" s="4" t="str">
        <f t="shared" si="137"/>
        <v/>
      </c>
      <c r="Q536" s="58" t="str">
        <f t="shared" si="136"/>
        <v/>
      </c>
      <c r="R536" s="4" t="e" cm="1">
        <f t="array" ref="R536">IF(INDEX(Table2[],_xlfn.XMATCH($A536,Table2[Steel Member],0),_xlfn.XMATCH(R$2,Table2[#Headers],0))=0,"",INDEX(Table2[],_xlfn.XMATCH($A536,Table2[Steel Member],0),_xlfn.XMATCH(R$2,Table2[#Headers],0)))</f>
        <v>#N/A</v>
      </c>
      <c r="S536" s="4" t="e" cm="1">
        <f t="array" ref="S536">IF(INDEX(Table2[],_xlfn.XMATCH($A536,Table2[Steel Member],0),_xlfn.XMATCH(S$2,Table2[#Headers],0))=0,"",INDEX(Table2[],_xlfn.XMATCH($A536,Table2[Steel Member],0),_xlfn.XMATCH(S$2,Table2[#Headers],0)))</f>
        <v>#N/A</v>
      </c>
      <c r="T536" s="4" t="str">
        <f t="shared" si="127"/>
        <v/>
      </c>
      <c r="U536" s="4" t="e">
        <f ca="1">VLOOKUP(N536,'COLOR CODE'!$B:$D,2,FALSE)</f>
        <v>#N/A</v>
      </c>
      <c r="V536" s="4" t="str">
        <f t="shared" si="128"/>
        <v/>
      </c>
      <c r="W536" s="4" t="e" cm="1">
        <f t="array" ref="W536">IF(INDEX(Table2[],_xlfn.XMATCH($A536,Table2[Steel Member],0),_xlfn.XMATCH(W$2,Table2[#Headers],0))=0,"",INDEX(Table2[],_xlfn.XMATCH($A536,Table2[Steel Member],0),_xlfn.XMATCH(W$2,Table2[#Headers],0)))</f>
        <v>#N/A</v>
      </c>
      <c r="X536" s="4" t="e">
        <f t="shared" si="138"/>
        <v>#N/A</v>
      </c>
      <c r="Y536" s="4" t="e" cm="1">
        <f t="array" ref="Y536">IF(INDEX(Table2[],_xlfn.XMATCH($A536,Table2[Steel Member],0),_xlfn.XMATCH(Y$2,Table2[#Headers],0))=0,"",INDEX(Table2[],_xlfn.XMATCH($A536,Table2[Steel Member],0),_xlfn.XMATCH(Y$2,Table2[#Headers],0)))</f>
        <v>#N/A</v>
      </c>
      <c r="Z536" s="4" t="e" cm="1">
        <f t="array" ref="Z536">IF(INDEX(Table2[],_xlfn.XMATCH($A536,Table2[Steel Member],0),_xlfn.XMATCH(Z$2,Table2[#Headers],0))=0,"",INDEX(Table2[],_xlfn.XMATCH($A536,Table2[Steel Member],0),_xlfn.XMATCH(Z$2,Table2[#Headers],0)))</f>
        <v>#N/A</v>
      </c>
      <c r="AA536" s="4" t="e" cm="1">
        <f t="array" ref="AA536">IF(INDEX(Table2[],_xlfn.XMATCH($A536,Table2[Steel Member],0),_xlfn.XMATCH(AA$2,Table2[#Headers],0))=0,"",INDEX(Table2[],_xlfn.XMATCH($A536,Table2[Steel Member],0),_xlfn.XMATCH(AA$2,Table2[#Headers],0)))</f>
        <v>#N/A</v>
      </c>
      <c r="AB536" s="4" t="e" cm="1">
        <f t="array" ref="AB536">IF(INDEX(Table2[],_xlfn.XMATCH($A536,Table2[Steel Member],0),_xlfn.XMATCH(AB$2,Table2[#Headers],0))=0,"",INDEX(Table2[],_xlfn.XMATCH($A536,Table2[Steel Member],0),_xlfn.XMATCH(AB$2,Table2[#Headers],0)))</f>
        <v>#N/A</v>
      </c>
      <c r="AC536" s="4" t="str" cm="1">
        <f t="array" ref="AC536">IFERROR(INDEX(Table8[],_xlfn.XMATCH($O536,Table8[Dimension Name Category],0),_xlfn.XMATCH(AC$2&amp;IF($L536," w/ tag"," w/o tag"),Table8[#Headers],0)),"")</f>
        <v/>
      </c>
      <c r="AD536" s="59" t="str">
        <f t="shared" si="129"/>
        <v/>
      </c>
      <c r="AE536" s="4" t="str">
        <f t="shared" si="130"/>
        <v/>
      </c>
      <c r="AF536" s="4" t="str">
        <f t="shared" si="131"/>
        <v/>
      </c>
      <c r="AG536" s="4" t="str" cm="1">
        <f t="array" ref="AG536">IFERROR(INDEX(Table8[],_xlfn.XMATCH($O536,Table8[Dimension Name Category],0),_xlfn.XMATCH(AG$2&amp;IF($L536," w/ tag"," w/o tag"),Table8[#Headers],0)),"")</f>
        <v/>
      </c>
      <c r="AH536" s="59" t="str">
        <f t="shared" si="132"/>
        <v/>
      </c>
      <c r="AI536" s="4"/>
      <c r="AJ536" s="4" t="str">
        <f t="shared" si="133"/>
        <v/>
      </c>
      <c r="AK536" s="4" t="str">
        <f t="shared" si="134"/>
        <v/>
      </c>
      <c r="AL536" s="4" t="e" cm="1">
        <f t="array" ref="AL536">IF(INDEX(Table2[],_xlfn.XMATCH($A536,Table2[Steel Member],0),_xlfn.XMATCH(AL$2,Table2[#Headers],0))=0,"",INDEX(Table2[],_xlfn.XMATCH($A536,Table2[Steel Member],0),_xlfn.XMATCH(AL$2,Table2[#Headers],0)))</f>
        <v>#N/A</v>
      </c>
      <c r="AM536" s="4"/>
      <c r="AN536" s="4" t="str">
        <f t="shared" si="135"/>
        <v/>
      </c>
      <c r="AO536" s="4"/>
      <c r="AP536" s="4" t="e" cm="1">
        <f t="array" ref="AP536">IF(INDEX(Table2[],_xlfn.XMATCH($A536,Table2[Steel Member],0),_xlfn.XMATCH(AP$2,Table2[#Headers],0))=0,"",INDEX(Table2[],_xlfn.XMATCH($A536,Table2[Steel Member],0),_xlfn.XMATCH(AP$2,Table2[#Headers],0)))</f>
        <v>#N/A</v>
      </c>
      <c r="AQ536" s="4"/>
      <c r="AR536" s="4"/>
      <c r="AS536" s="4"/>
      <c r="AT536" s="4"/>
    </row>
    <row r="537" spans="1:46" x14ac:dyDescent="0.25">
      <c r="A537" s="52"/>
      <c r="B537" s="52"/>
      <c r="C537" s="52"/>
      <c r="D537" s="52"/>
      <c r="E537" s="52"/>
      <c r="F537" s="64" cm="1">
        <f t="array" ref="F537">IF(COUNT(FIND(PurlinsxGirthsxBracings,$C537))&gt;0,0,ROUNDUP(IF(D537=0,0,VLOOKUP(D537,'DATA SHEET'!$B:$D,2,FALSE)),2))</f>
        <v>0</v>
      </c>
      <c r="G537" s="64" cm="1">
        <f t="array" ref="G537">IF(COUNT(FIND(PurlinsxGirthsxBracings,$C537))&gt;0,0,ROUNDUP(IF(D537=0,0,VLOOKUP(D537,'DATA SHEET'!$B:$D,3,FALSE)),2))</f>
        <v>0</v>
      </c>
      <c r="H537" s="53"/>
      <c r="I537" s="66" cm="1">
        <f t="array" ref="I537">IF(AND(ISBLANK(B537),ISBLANK(C537),ISBLANK(E537)),0,IF(COUNT(FIND(PurlinsxGirthsxBracings,$C537))&gt;0,IF(B537=0,CONCATENATE(E537," ",C537),CONCATENATE(B537," - ",E537," ",C537)),IF(B537=0,IF(ISBLANK(C537),E537,CONCATENATE(D537,", ",F537,"kg/m, ",G537,"mm surface perimeter")),IF(AND(ISBLANK(C537),ISTEXT(E537)),CONCATENATE(B537," - ",E537),IF(AND(ISBLANK(C537),ISBLANK(E537)),B537,CONCATENATE(B537," - ",D537,", ",F537,"kg/m, ",G537,"mm surface perimeter"))))&amp;IF(ISBLANK(H537),"",H537)))</f>
        <v>0</v>
      </c>
      <c r="J537" s="53"/>
      <c r="L537" s="4" t="str" cm="1">
        <f t="array" ref="L537">IF(COUNT(FIND({0,1,2,3,4,5,6,7,8,9},B537))&gt;0,COUNT(FIND({0,1,2,3,4,5,6,7,8,9},B537))&gt;0,"")</f>
        <v/>
      </c>
      <c r="M537" s="4" t="str" cm="1">
        <f t="array" aca="1" ref="M537" ca="1">IFERROR(_xlfn.IFS(R537="Count",RANDBETWEEN(1,COUNTIF($R$11:$R$653,"Count")),R537="Length",RANDBETWEEN(1,COUNTIF($R$11:$R$653,"Length"))),"")</f>
        <v/>
      </c>
      <c r="N537" s="4" t="str">
        <f ca="1">IFERROR(_xlfn.RANK.EQ(M537,$M$11:$M$653)+COUNTIF($M$11:M537,M537)-1,"")</f>
        <v/>
      </c>
      <c r="O537" s="86" t="str">
        <f>IF(A537='DATA SHEET'!$L$36,C537,IFERROR(IF(AND(ISTEXT(I537),ISBLANK(C537)),"No details",VLOOKUP(C537,DimFolder,2,FALSE)),""))</f>
        <v/>
      </c>
      <c r="P537" s="4" t="str">
        <f t="shared" si="137"/>
        <v/>
      </c>
      <c r="Q537" s="58" t="str">
        <f t="shared" si="136"/>
        <v/>
      </c>
      <c r="R537" s="4" t="e" cm="1">
        <f t="array" ref="R537">IF(INDEX(Table2[],_xlfn.XMATCH($A537,Table2[Steel Member],0),_xlfn.XMATCH(R$2,Table2[#Headers],0))=0,"",INDEX(Table2[],_xlfn.XMATCH($A537,Table2[Steel Member],0),_xlfn.XMATCH(R$2,Table2[#Headers],0)))</f>
        <v>#N/A</v>
      </c>
      <c r="S537" s="4" t="e" cm="1">
        <f t="array" ref="S537">IF(INDEX(Table2[],_xlfn.XMATCH($A537,Table2[Steel Member],0),_xlfn.XMATCH(S$2,Table2[#Headers],0))=0,"",INDEX(Table2[],_xlfn.XMATCH($A537,Table2[Steel Member],0),_xlfn.XMATCH(S$2,Table2[#Headers],0)))</f>
        <v>#N/A</v>
      </c>
      <c r="T537" s="4" t="str">
        <f t="shared" si="127"/>
        <v/>
      </c>
      <c r="U537" s="4" t="e">
        <f ca="1">VLOOKUP(N537,'COLOR CODE'!$B:$D,2,FALSE)</f>
        <v>#N/A</v>
      </c>
      <c r="V537" s="4" t="str">
        <f t="shared" si="128"/>
        <v/>
      </c>
      <c r="W537" s="4" t="e" cm="1">
        <f t="array" ref="W537">IF(INDEX(Table2[],_xlfn.XMATCH($A537,Table2[Steel Member],0),_xlfn.XMATCH(W$2,Table2[#Headers],0))=0,"",INDEX(Table2[],_xlfn.XMATCH($A537,Table2[Steel Member],0),_xlfn.XMATCH(W$2,Table2[#Headers],0)))</f>
        <v>#N/A</v>
      </c>
      <c r="X537" s="4" t="e">
        <f t="shared" si="138"/>
        <v>#N/A</v>
      </c>
      <c r="Y537" s="4" t="e" cm="1">
        <f t="array" ref="Y537">IF(INDEX(Table2[],_xlfn.XMATCH($A537,Table2[Steel Member],0),_xlfn.XMATCH(Y$2,Table2[#Headers],0))=0,"",INDEX(Table2[],_xlfn.XMATCH($A537,Table2[Steel Member],0),_xlfn.XMATCH(Y$2,Table2[#Headers],0)))</f>
        <v>#N/A</v>
      </c>
      <c r="Z537" s="4" t="e" cm="1">
        <f t="array" ref="Z537">IF(INDEX(Table2[],_xlfn.XMATCH($A537,Table2[Steel Member],0),_xlfn.XMATCH(Z$2,Table2[#Headers],0))=0,"",INDEX(Table2[],_xlfn.XMATCH($A537,Table2[Steel Member],0),_xlfn.XMATCH(Z$2,Table2[#Headers],0)))</f>
        <v>#N/A</v>
      </c>
      <c r="AA537" s="4" t="e" cm="1">
        <f t="array" ref="AA537">IF(INDEX(Table2[],_xlfn.XMATCH($A537,Table2[Steel Member],0),_xlfn.XMATCH(AA$2,Table2[#Headers],0))=0,"",INDEX(Table2[],_xlfn.XMATCH($A537,Table2[Steel Member],0),_xlfn.XMATCH(AA$2,Table2[#Headers],0)))</f>
        <v>#N/A</v>
      </c>
      <c r="AB537" s="4" t="e" cm="1">
        <f t="array" ref="AB537">IF(INDEX(Table2[],_xlfn.XMATCH($A537,Table2[Steel Member],0),_xlfn.XMATCH(AB$2,Table2[#Headers],0))=0,"",INDEX(Table2[],_xlfn.XMATCH($A537,Table2[Steel Member],0),_xlfn.XMATCH(AB$2,Table2[#Headers],0)))</f>
        <v>#N/A</v>
      </c>
      <c r="AC537" s="4" t="str" cm="1">
        <f t="array" ref="AC537">IFERROR(INDEX(Table8[],_xlfn.XMATCH($O537,Table8[Dimension Name Category],0),_xlfn.XMATCH(AC$2&amp;IF($L537," w/ tag"," w/o tag"),Table8[#Headers],0)),"")</f>
        <v/>
      </c>
      <c r="AD537" s="59" t="str">
        <f t="shared" si="129"/>
        <v/>
      </c>
      <c r="AE537" s="4" t="str">
        <f t="shared" si="130"/>
        <v/>
      </c>
      <c r="AF537" s="4" t="str">
        <f t="shared" si="131"/>
        <v/>
      </c>
      <c r="AG537" s="4" t="str" cm="1">
        <f t="array" ref="AG537">IFERROR(INDEX(Table8[],_xlfn.XMATCH($O537,Table8[Dimension Name Category],0),_xlfn.XMATCH(AG$2&amp;IF($L537," w/ tag"," w/o tag"),Table8[#Headers],0)),"")</f>
        <v/>
      </c>
      <c r="AH537" s="59" t="str">
        <f t="shared" si="132"/>
        <v/>
      </c>
      <c r="AI537" s="4"/>
      <c r="AJ537" s="4" t="str">
        <f t="shared" si="133"/>
        <v/>
      </c>
      <c r="AK537" s="4" t="str">
        <f t="shared" si="134"/>
        <v/>
      </c>
      <c r="AL537" s="4" t="e" cm="1">
        <f t="array" ref="AL537">IF(INDEX(Table2[],_xlfn.XMATCH($A537,Table2[Steel Member],0),_xlfn.XMATCH(AL$2,Table2[#Headers],0))=0,"",INDEX(Table2[],_xlfn.XMATCH($A537,Table2[Steel Member],0),_xlfn.XMATCH(AL$2,Table2[#Headers],0)))</f>
        <v>#N/A</v>
      </c>
      <c r="AM537" s="4"/>
      <c r="AN537" s="4" t="str">
        <f t="shared" si="135"/>
        <v/>
      </c>
      <c r="AO537" s="4"/>
      <c r="AP537" s="4" t="e" cm="1">
        <f t="array" ref="AP537">IF(INDEX(Table2[],_xlfn.XMATCH($A537,Table2[Steel Member],0),_xlfn.XMATCH(AP$2,Table2[#Headers],0))=0,"",INDEX(Table2[],_xlfn.XMATCH($A537,Table2[Steel Member],0),_xlfn.XMATCH(AP$2,Table2[#Headers],0)))</f>
        <v>#N/A</v>
      </c>
      <c r="AQ537" s="4"/>
      <c r="AR537" s="4"/>
      <c r="AS537" s="4"/>
      <c r="AT537" s="4"/>
    </row>
    <row r="538" spans="1:46" x14ac:dyDescent="0.25">
      <c r="A538" s="52"/>
      <c r="B538" s="52"/>
      <c r="C538" s="52"/>
      <c r="D538" s="52"/>
      <c r="E538" s="52"/>
      <c r="F538" s="64" cm="1">
        <f t="array" ref="F538">IF(COUNT(FIND(PurlinsxGirthsxBracings,$C538))&gt;0,0,ROUNDUP(IF(D538=0,0,VLOOKUP(D538,'DATA SHEET'!$B:$D,2,FALSE)),2))</f>
        <v>0</v>
      </c>
      <c r="G538" s="64" cm="1">
        <f t="array" ref="G538">IF(COUNT(FIND(PurlinsxGirthsxBracings,$C538))&gt;0,0,ROUNDUP(IF(D538=0,0,VLOOKUP(D538,'DATA SHEET'!$B:$D,3,FALSE)),2))</f>
        <v>0</v>
      </c>
      <c r="H538" s="53"/>
      <c r="I538" s="66" cm="1">
        <f t="array" ref="I538">IF(AND(ISBLANK(B538),ISBLANK(C538),ISBLANK(E538)),0,IF(COUNT(FIND(PurlinsxGirthsxBracings,$C538))&gt;0,IF(B538=0,CONCATENATE(E538," ",C538),CONCATENATE(B538," - ",E538," ",C538)),IF(B538=0,IF(ISBLANK(C538),E538,CONCATENATE(D538,", ",F538,"kg/m, ",G538,"mm surface perimeter")),IF(AND(ISBLANK(C538),ISTEXT(E538)),CONCATENATE(B538," - ",E538),IF(AND(ISBLANK(C538),ISBLANK(E538)),B538,CONCATENATE(B538," - ",D538,", ",F538,"kg/m, ",G538,"mm surface perimeter"))))&amp;IF(ISBLANK(H538),"",H538)))</f>
        <v>0</v>
      </c>
      <c r="J538" s="53"/>
      <c r="L538" s="4" t="str" cm="1">
        <f t="array" ref="L538">IF(COUNT(FIND({0,1,2,3,4,5,6,7,8,9},B538))&gt;0,COUNT(FIND({0,1,2,3,4,5,6,7,8,9},B538))&gt;0,"")</f>
        <v/>
      </c>
      <c r="M538" s="4" t="str" cm="1">
        <f t="array" aca="1" ref="M538" ca="1">IFERROR(_xlfn.IFS(R538="Count",RANDBETWEEN(1,COUNTIF($R$11:$R$653,"Count")),R538="Length",RANDBETWEEN(1,COUNTIF($R$11:$R$653,"Length"))),"")</f>
        <v/>
      </c>
      <c r="N538" s="4" t="str">
        <f ca="1">IFERROR(_xlfn.RANK.EQ(M538,$M$11:$M$653)+COUNTIF($M$11:M538,M538)-1,"")</f>
        <v/>
      </c>
      <c r="O538" s="86" t="str">
        <f>IF(A538='DATA SHEET'!$L$36,C538,IFERROR(IF(AND(ISTEXT(I538),ISBLANK(C538)),"No details",VLOOKUP(C538,DimFolder,2,FALSE)),""))</f>
        <v/>
      </c>
      <c r="P538" s="4" t="str">
        <f t="shared" si="137"/>
        <v/>
      </c>
      <c r="Q538" s="58" t="str">
        <f t="shared" si="136"/>
        <v/>
      </c>
      <c r="R538" s="4" t="e" cm="1">
        <f t="array" ref="R538">IF(INDEX(Table2[],_xlfn.XMATCH($A538,Table2[Steel Member],0),_xlfn.XMATCH(R$2,Table2[#Headers],0))=0,"",INDEX(Table2[],_xlfn.XMATCH($A538,Table2[Steel Member],0),_xlfn.XMATCH(R$2,Table2[#Headers],0)))</f>
        <v>#N/A</v>
      </c>
      <c r="S538" s="4" t="e" cm="1">
        <f t="array" ref="S538">IF(INDEX(Table2[],_xlfn.XMATCH($A538,Table2[Steel Member],0),_xlfn.XMATCH(S$2,Table2[#Headers],0))=0,"",INDEX(Table2[],_xlfn.XMATCH($A538,Table2[Steel Member],0),_xlfn.XMATCH(S$2,Table2[#Headers],0)))</f>
        <v>#N/A</v>
      </c>
      <c r="T538" s="4" t="str">
        <f t="shared" si="127"/>
        <v/>
      </c>
      <c r="U538" s="4" t="e">
        <f ca="1">VLOOKUP(N538,'COLOR CODE'!$B:$D,2,FALSE)</f>
        <v>#N/A</v>
      </c>
      <c r="V538" s="4" t="str">
        <f t="shared" si="128"/>
        <v/>
      </c>
      <c r="W538" s="4" t="e" cm="1">
        <f t="array" ref="W538">IF(INDEX(Table2[],_xlfn.XMATCH($A538,Table2[Steel Member],0),_xlfn.XMATCH(W$2,Table2[#Headers],0))=0,"",INDEX(Table2[],_xlfn.XMATCH($A538,Table2[Steel Member],0),_xlfn.XMATCH(W$2,Table2[#Headers],0)))</f>
        <v>#N/A</v>
      </c>
      <c r="X538" s="4" t="e">
        <f t="shared" si="138"/>
        <v>#N/A</v>
      </c>
      <c r="Y538" s="4" t="e" cm="1">
        <f t="array" ref="Y538">IF(INDEX(Table2[],_xlfn.XMATCH($A538,Table2[Steel Member],0),_xlfn.XMATCH(Y$2,Table2[#Headers],0))=0,"",INDEX(Table2[],_xlfn.XMATCH($A538,Table2[Steel Member],0),_xlfn.XMATCH(Y$2,Table2[#Headers],0)))</f>
        <v>#N/A</v>
      </c>
      <c r="Z538" s="4" t="e" cm="1">
        <f t="array" ref="Z538">IF(INDEX(Table2[],_xlfn.XMATCH($A538,Table2[Steel Member],0),_xlfn.XMATCH(Z$2,Table2[#Headers],0))=0,"",INDEX(Table2[],_xlfn.XMATCH($A538,Table2[Steel Member],0),_xlfn.XMATCH(Z$2,Table2[#Headers],0)))</f>
        <v>#N/A</v>
      </c>
      <c r="AA538" s="4" t="e" cm="1">
        <f t="array" ref="AA538">IF(INDEX(Table2[],_xlfn.XMATCH($A538,Table2[Steel Member],0),_xlfn.XMATCH(AA$2,Table2[#Headers],0))=0,"",INDEX(Table2[],_xlfn.XMATCH($A538,Table2[Steel Member],0),_xlfn.XMATCH(AA$2,Table2[#Headers],0)))</f>
        <v>#N/A</v>
      </c>
      <c r="AB538" s="4" t="e" cm="1">
        <f t="array" ref="AB538">IF(INDEX(Table2[],_xlfn.XMATCH($A538,Table2[Steel Member],0),_xlfn.XMATCH(AB$2,Table2[#Headers],0))=0,"",INDEX(Table2[],_xlfn.XMATCH($A538,Table2[Steel Member],0),_xlfn.XMATCH(AB$2,Table2[#Headers],0)))</f>
        <v>#N/A</v>
      </c>
      <c r="AC538" s="4" t="str" cm="1">
        <f t="array" ref="AC538">IFERROR(INDEX(Table8[],_xlfn.XMATCH($O538,Table8[Dimension Name Category],0),_xlfn.XMATCH(AC$2&amp;IF($L538," w/ tag"," w/o tag"),Table8[#Headers],0)),"")</f>
        <v/>
      </c>
      <c r="AD538" s="59" t="str">
        <f t="shared" si="129"/>
        <v/>
      </c>
      <c r="AE538" s="4" t="str">
        <f t="shared" si="130"/>
        <v/>
      </c>
      <c r="AF538" s="4" t="str">
        <f t="shared" si="131"/>
        <v/>
      </c>
      <c r="AG538" s="4" t="str" cm="1">
        <f t="array" ref="AG538">IFERROR(INDEX(Table8[],_xlfn.XMATCH($O538,Table8[Dimension Name Category],0),_xlfn.XMATCH(AG$2&amp;IF($L538," w/ tag"," w/o tag"),Table8[#Headers],0)),"")</f>
        <v/>
      </c>
      <c r="AH538" s="59" t="str">
        <f t="shared" si="132"/>
        <v/>
      </c>
      <c r="AI538" s="4"/>
      <c r="AJ538" s="4" t="str">
        <f t="shared" si="133"/>
        <v/>
      </c>
      <c r="AK538" s="4" t="str">
        <f t="shared" si="134"/>
        <v/>
      </c>
      <c r="AL538" s="4" t="e" cm="1">
        <f t="array" ref="AL538">IF(INDEX(Table2[],_xlfn.XMATCH($A538,Table2[Steel Member],0),_xlfn.XMATCH(AL$2,Table2[#Headers],0))=0,"",INDEX(Table2[],_xlfn.XMATCH($A538,Table2[Steel Member],0),_xlfn.XMATCH(AL$2,Table2[#Headers],0)))</f>
        <v>#N/A</v>
      </c>
      <c r="AM538" s="4"/>
      <c r="AN538" s="4" t="str">
        <f t="shared" si="135"/>
        <v/>
      </c>
      <c r="AO538" s="4"/>
      <c r="AP538" s="4" t="e" cm="1">
        <f t="array" ref="AP538">IF(INDEX(Table2[],_xlfn.XMATCH($A538,Table2[Steel Member],0),_xlfn.XMATCH(AP$2,Table2[#Headers],0))=0,"",INDEX(Table2[],_xlfn.XMATCH($A538,Table2[Steel Member],0),_xlfn.XMATCH(AP$2,Table2[#Headers],0)))</f>
        <v>#N/A</v>
      </c>
      <c r="AQ538" s="4"/>
      <c r="AR538" s="4"/>
      <c r="AS538" s="4"/>
      <c r="AT538" s="4"/>
    </row>
    <row r="539" spans="1:46" x14ac:dyDescent="0.25">
      <c r="A539" s="52"/>
      <c r="B539" s="52"/>
      <c r="C539" s="52"/>
      <c r="D539" s="52"/>
      <c r="E539" s="52"/>
      <c r="F539" s="64" cm="1">
        <f t="array" ref="F539">IF(COUNT(FIND(PurlinsxGirthsxBracings,$C539))&gt;0,0,ROUNDUP(IF(D539=0,0,VLOOKUP(D539,'DATA SHEET'!$B:$D,2,FALSE)),2))</f>
        <v>0</v>
      </c>
      <c r="G539" s="64" cm="1">
        <f t="array" ref="G539">IF(COUNT(FIND(PurlinsxGirthsxBracings,$C539))&gt;0,0,ROUNDUP(IF(D539=0,0,VLOOKUP(D539,'DATA SHEET'!$B:$D,3,FALSE)),2))</f>
        <v>0</v>
      </c>
      <c r="H539" s="53"/>
      <c r="I539" s="66" cm="1">
        <f t="array" ref="I539">IF(AND(ISBLANK(B539),ISBLANK(C539),ISBLANK(E539)),0,IF(COUNT(FIND(PurlinsxGirthsxBracings,$C539))&gt;0,IF(B539=0,CONCATENATE(E539," ",C539),CONCATENATE(B539," - ",E539," ",C539)),IF(B539=0,IF(ISBLANK(C539),E539,CONCATENATE(D539,", ",F539,"kg/m, ",G539,"mm surface perimeter")),IF(AND(ISBLANK(C539),ISTEXT(E539)),CONCATENATE(B539," - ",E539),IF(AND(ISBLANK(C539),ISBLANK(E539)),B539,CONCATENATE(B539," - ",D539,", ",F539,"kg/m, ",G539,"mm surface perimeter"))))&amp;IF(ISBLANK(H539),"",H539)))</f>
        <v>0</v>
      </c>
      <c r="J539" s="53"/>
      <c r="L539" s="4" t="str" cm="1">
        <f t="array" ref="L539">IF(COUNT(FIND({0,1,2,3,4,5,6,7,8,9},B539))&gt;0,COUNT(FIND({0,1,2,3,4,5,6,7,8,9},B539))&gt;0,"")</f>
        <v/>
      </c>
      <c r="M539" s="4" t="str" cm="1">
        <f t="array" aca="1" ref="M539" ca="1">IFERROR(_xlfn.IFS(R539="Count",RANDBETWEEN(1,COUNTIF($R$11:$R$653,"Count")),R539="Length",RANDBETWEEN(1,COUNTIF($R$11:$R$653,"Length"))),"")</f>
        <v/>
      </c>
      <c r="N539" s="4" t="str">
        <f ca="1">IFERROR(_xlfn.RANK.EQ(M539,$M$11:$M$653)+COUNTIF($M$11:M539,M539)-1,"")</f>
        <v/>
      </c>
      <c r="O539" s="86" t="str">
        <f>IF(A539='DATA SHEET'!$L$36,C539,IFERROR(IF(AND(ISTEXT(I539),ISBLANK(C539)),"No details",VLOOKUP(C539,DimFolder,2,FALSE)),""))</f>
        <v/>
      </c>
      <c r="P539" s="4" t="str">
        <f t="shared" si="137"/>
        <v/>
      </c>
      <c r="Q539" s="58" t="str">
        <f t="shared" si="136"/>
        <v/>
      </c>
      <c r="R539" s="4" t="e" cm="1">
        <f t="array" ref="R539">IF(INDEX(Table2[],_xlfn.XMATCH($A539,Table2[Steel Member],0),_xlfn.XMATCH(R$2,Table2[#Headers],0))=0,"",INDEX(Table2[],_xlfn.XMATCH($A539,Table2[Steel Member],0),_xlfn.XMATCH(R$2,Table2[#Headers],0)))</f>
        <v>#N/A</v>
      </c>
      <c r="S539" s="4" t="e" cm="1">
        <f t="array" ref="S539">IF(INDEX(Table2[],_xlfn.XMATCH($A539,Table2[Steel Member],0),_xlfn.XMATCH(S$2,Table2[#Headers],0))=0,"",INDEX(Table2[],_xlfn.XMATCH($A539,Table2[Steel Member],0),_xlfn.XMATCH(S$2,Table2[#Headers],0)))</f>
        <v>#N/A</v>
      </c>
      <c r="T539" s="4" t="str">
        <f t="shared" si="127"/>
        <v/>
      </c>
      <c r="U539" s="4" t="e">
        <f ca="1">VLOOKUP(N539,'COLOR CODE'!$B:$D,2,FALSE)</f>
        <v>#N/A</v>
      </c>
      <c r="V539" s="4" t="str">
        <f t="shared" si="128"/>
        <v/>
      </c>
      <c r="W539" s="4" t="e" cm="1">
        <f t="array" ref="W539">IF(INDEX(Table2[],_xlfn.XMATCH($A539,Table2[Steel Member],0),_xlfn.XMATCH(W$2,Table2[#Headers],0))=0,"",INDEX(Table2[],_xlfn.XMATCH($A539,Table2[Steel Member],0),_xlfn.XMATCH(W$2,Table2[#Headers],0)))</f>
        <v>#N/A</v>
      </c>
      <c r="X539" s="4" t="e">
        <f t="shared" si="138"/>
        <v>#N/A</v>
      </c>
      <c r="Y539" s="4" t="e" cm="1">
        <f t="array" ref="Y539">IF(INDEX(Table2[],_xlfn.XMATCH($A539,Table2[Steel Member],0),_xlfn.XMATCH(Y$2,Table2[#Headers],0))=0,"",INDEX(Table2[],_xlfn.XMATCH($A539,Table2[Steel Member],0),_xlfn.XMATCH(Y$2,Table2[#Headers],0)))</f>
        <v>#N/A</v>
      </c>
      <c r="Z539" s="4" t="e" cm="1">
        <f t="array" ref="Z539">IF(INDEX(Table2[],_xlfn.XMATCH($A539,Table2[Steel Member],0),_xlfn.XMATCH(Z$2,Table2[#Headers],0))=0,"",INDEX(Table2[],_xlfn.XMATCH($A539,Table2[Steel Member],0),_xlfn.XMATCH(Z$2,Table2[#Headers],0)))</f>
        <v>#N/A</v>
      </c>
      <c r="AA539" s="4" t="e" cm="1">
        <f t="array" ref="AA539">IF(INDEX(Table2[],_xlfn.XMATCH($A539,Table2[Steel Member],0),_xlfn.XMATCH(AA$2,Table2[#Headers],0))=0,"",INDEX(Table2[],_xlfn.XMATCH($A539,Table2[Steel Member],0),_xlfn.XMATCH(AA$2,Table2[#Headers],0)))</f>
        <v>#N/A</v>
      </c>
      <c r="AB539" s="4" t="e" cm="1">
        <f t="array" ref="AB539">IF(INDEX(Table2[],_xlfn.XMATCH($A539,Table2[Steel Member],0),_xlfn.XMATCH(AB$2,Table2[#Headers],0))=0,"",INDEX(Table2[],_xlfn.XMATCH($A539,Table2[Steel Member],0),_xlfn.XMATCH(AB$2,Table2[#Headers],0)))</f>
        <v>#N/A</v>
      </c>
      <c r="AC539" s="4" t="str" cm="1">
        <f t="array" ref="AC539">IFERROR(INDEX(Table8[],_xlfn.XMATCH($O539,Table8[Dimension Name Category],0),_xlfn.XMATCH(AC$2&amp;IF($L539," w/ tag"," w/o tag"),Table8[#Headers],0)),"")</f>
        <v/>
      </c>
      <c r="AD539" s="59" t="str">
        <f t="shared" si="129"/>
        <v/>
      </c>
      <c r="AE539" s="4" t="str">
        <f t="shared" si="130"/>
        <v/>
      </c>
      <c r="AF539" s="4" t="str">
        <f t="shared" si="131"/>
        <v/>
      </c>
      <c r="AG539" s="4" t="str" cm="1">
        <f t="array" ref="AG539">IFERROR(INDEX(Table8[],_xlfn.XMATCH($O539,Table8[Dimension Name Category],0),_xlfn.XMATCH(AG$2&amp;IF($L539," w/ tag"," w/o tag"),Table8[#Headers],0)),"")</f>
        <v/>
      </c>
      <c r="AH539" s="59" t="str">
        <f t="shared" si="132"/>
        <v/>
      </c>
      <c r="AI539" s="4"/>
      <c r="AJ539" s="4" t="str">
        <f t="shared" si="133"/>
        <v/>
      </c>
      <c r="AK539" s="4" t="str">
        <f t="shared" si="134"/>
        <v/>
      </c>
      <c r="AL539" s="4" t="e" cm="1">
        <f t="array" ref="AL539">IF(INDEX(Table2[],_xlfn.XMATCH($A539,Table2[Steel Member],0),_xlfn.XMATCH(AL$2,Table2[#Headers],0))=0,"",INDEX(Table2[],_xlfn.XMATCH($A539,Table2[Steel Member],0),_xlfn.XMATCH(AL$2,Table2[#Headers],0)))</f>
        <v>#N/A</v>
      </c>
      <c r="AM539" s="4"/>
      <c r="AN539" s="4" t="str">
        <f t="shared" si="135"/>
        <v/>
      </c>
      <c r="AO539" s="4"/>
      <c r="AP539" s="4" t="e" cm="1">
        <f t="array" ref="AP539">IF(INDEX(Table2[],_xlfn.XMATCH($A539,Table2[Steel Member],0),_xlfn.XMATCH(AP$2,Table2[#Headers],0))=0,"",INDEX(Table2[],_xlfn.XMATCH($A539,Table2[Steel Member],0),_xlfn.XMATCH(AP$2,Table2[#Headers],0)))</f>
        <v>#N/A</v>
      </c>
      <c r="AQ539" s="4"/>
      <c r="AR539" s="4"/>
      <c r="AS539" s="4"/>
      <c r="AT539" s="4"/>
    </row>
    <row r="540" spans="1:46" x14ac:dyDescent="0.25">
      <c r="A540" s="52"/>
      <c r="B540" s="52"/>
      <c r="C540" s="52"/>
      <c r="D540" s="52"/>
      <c r="E540" s="52"/>
      <c r="F540" s="64" cm="1">
        <f t="array" ref="F540">IF(COUNT(FIND(PurlinsxGirthsxBracings,$C540))&gt;0,0,ROUNDUP(IF(D540=0,0,VLOOKUP(D540,'DATA SHEET'!$B:$D,2,FALSE)),2))</f>
        <v>0</v>
      </c>
      <c r="G540" s="64" cm="1">
        <f t="array" ref="G540">IF(COUNT(FIND(PurlinsxGirthsxBracings,$C540))&gt;0,0,ROUNDUP(IF(D540=0,0,VLOOKUP(D540,'DATA SHEET'!$B:$D,3,FALSE)),2))</f>
        <v>0</v>
      </c>
      <c r="H540" s="53"/>
      <c r="I540" s="66" cm="1">
        <f t="array" ref="I540">IF(AND(ISBLANK(B540),ISBLANK(C540),ISBLANK(E540)),0,IF(COUNT(FIND(PurlinsxGirthsxBracings,$C540))&gt;0,IF(B540=0,CONCATENATE(E540," ",C540),CONCATENATE(B540," - ",E540," ",C540)),IF(B540=0,IF(ISBLANK(C540),E540,CONCATENATE(D540,", ",F540,"kg/m, ",G540,"mm surface perimeter")),IF(AND(ISBLANK(C540),ISTEXT(E540)),CONCATENATE(B540," - ",E540),IF(AND(ISBLANK(C540),ISBLANK(E540)),B540,CONCATENATE(B540," - ",D540,", ",F540,"kg/m, ",G540,"mm surface perimeter"))))&amp;IF(ISBLANK(H540),"",H540)))</f>
        <v>0</v>
      </c>
      <c r="J540" s="53"/>
      <c r="L540" s="4" t="str" cm="1">
        <f t="array" ref="L540">IF(COUNT(FIND({0,1,2,3,4,5,6,7,8,9},B540))&gt;0,COUNT(FIND({0,1,2,3,4,5,6,7,8,9},B540))&gt;0,"")</f>
        <v/>
      </c>
      <c r="M540" s="4" t="str" cm="1">
        <f t="array" aca="1" ref="M540" ca="1">IFERROR(_xlfn.IFS(R540="Count",RANDBETWEEN(1,COUNTIF($R$11:$R$653,"Count")),R540="Length",RANDBETWEEN(1,COUNTIF($R$11:$R$653,"Length"))),"")</f>
        <v/>
      </c>
      <c r="N540" s="4" t="str">
        <f ca="1">IFERROR(_xlfn.RANK.EQ(M540,$M$11:$M$653)+COUNTIF($M$11:M540,M540)-1,"")</f>
        <v/>
      </c>
      <c r="O540" s="86" t="str">
        <f>IF(A540='DATA SHEET'!$L$36,C540,IFERROR(IF(AND(ISTEXT(I540),ISBLANK(C540)),"No details",VLOOKUP(C540,DimFolder,2,FALSE)),""))</f>
        <v/>
      </c>
      <c r="P540" s="4" t="str">
        <f t="shared" si="137"/>
        <v/>
      </c>
      <c r="Q540" s="58" t="str">
        <f t="shared" si="136"/>
        <v/>
      </c>
      <c r="R540" s="4" t="e" cm="1">
        <f t="array" ref="R540">IF(INDEX(Table2[],_xlfn.XMATCH($A540,Table2[Steel Member],0),_xlfn.XMATCH(R$2,Table2[#Headers],0))=0,"",INDEX(Table2[],_xlfn.XMATCH($A540,Table2[Steel Member],0),_xlfn.XMATCH(R$2,Table2[#Headers],0)))</f>
        <v>#N/A</v>
      </c>
      <c r="S540" s="4" t="e" cm="1">
        <f t="array" ref="S540">IF(INDEX(Table2[],_xlfn.XMATCH($A540,Table2[Steel Member],0),_xlfn.XMATCH(S$2,Table2[#Headers],0))=0,"",INDEX(Table2[],_xlfn.XMATCH($A540,Table2[Steel Member],0),_xlfn.XMATCH(S$2,Table2[#Headers],0)))</f>
        <v>#N/A</v>
      </c>
      <c r="T540" s="4" t="str">
        <f t="shared" si="127"/>
        <v/>
      </c>
      <c r="U540" s="4" t="e">
        <f ca="1">VLOOKUP(N540,'COLOR CODE'!$B:$D,2,FALSE)</f>
        <v>#N/A</v>
      </c>
      <c r="V540" s="4" t="str">
        <f t="shared" si="128"/>
        <v/>
      </c>
      <c r="W540" s="4" t="e" cm="1">
        <f t="array" ref="W540">IF(INDEX(Table2[],_xlfn.XMATCH($A540,Table2[Steel Member],0),_xlfn.XMATCH(W$2,Table2[#Headers],0))=0,"",INDEX(Table2[],_xlfn.XMATCH($A540,Table2[Steel Member],0),_xlfn.XMATCH(W$2,Table2[#Headers],0)))</f>
        <v>#N/A</v>
      </c>
      <c r="X540" s="4" t="e">
        <f t="shared" si="138"/>
        <v>#N/A</v>
      </c>
      <c r="Y540" s="4" t="e" cm="1">
        <f t="array" ref="Y540">IF(INDEX(Table2[],_xlfn.XMATCH($A540,Table2[Steel Member],0),_xlfn.XMATCH(Y$2,Table2[#Headers],0))=0,"",INDEX(Table2[],_xlfn.XMATCH($A540,Table2[Steel Member],0),_xlfn.XMATCH(Y$2,Table2[#Headers],0)))</f>
        <v>#N/A</v>
      </c>
      <c r="Z540" s="4" t="e" cm="1">
        <f t="array" ref="Z540">IF(INDEX(Table2[],_xlfn.XMATCH($A540,Table2[Steel Member],0),_xlfn.XMATCH(Z$2,Table2[#Headers],0))=0,"",INDEX(Table2[],_xlfn.XMATCH($A540,Table2[Steel Member],0),_xlfn.XMATCH(Z$2,Table2[#Headers],0)))</f>
        <v>#N/A</v>
      </c>
      <c r="AA540" s="4" t="e" cm="1">
        <f t="array" ref="AA540">IF(INDEX(Table2[],_xlfn.XMATCH($A540,Table2[Steel Member],0),_xlfn.XMATCH(AA$2,Table2[#Headers],0))=0,"",INDEX(Table2[],_xlfn.XMATCH($A540,Table2[Steel Member],0),_xlfn.XMATCH(AA$2,Table2[#Headers],0)))</f>
        <v>#N/A</v>
      </c>
      <c r="AB540" s="4" t="e" cm="1">
        <f t="array" ref="AB540">IF(INDEX(Table2[],_xlfn.XMATCH($A540,Table2[Steel Member],0),_xlfn.XMATCH(AB$2,Table2[#Headers],0))=0,"",INDEX(Table2[],_xlfn.XMATCH($A540,Table2[Steel Member],0),_xlfn.XMATCH(AB$2,Table2[#Headers],0)))</f>
        <v>#N/A</v>
      </c>
      <c r="AC540" s="4" t="str" cm="1">
        <f t="array" ref="AC540">IFERROR(INDEX(Table8[],_xlfn.XMATCH($O540,Table8[Dimension Name Category],0),_xlfn.XMATCH(AC$2&amp;IF($L540," w/ tag"," w/o tag"),Table8[#Headers],0)),"")</f>
        <v/>
      </c>
      <c r="AD540" s="59" t="str">
        <f t="shared" si="129"/>
        <v/>
      </c>
      <c r="AE540" s="4" t="str">
        <f t="shared" si="130"/>
        <v/>
      </c>
      <c r="AF540" s="4" t="str">
        <f t="shared" si="131"/>
        <v/>
      </c>
      <c r="AG540" s="4" t="str" cm="1">
        <f t="array" ref="AG540">IFERROR(INDEX(Table8[],_xlfn.XMATCH($O540,Table8[Dimension Name Category],0),_xlfn.XMATCH(AG$2&amp;IF($L540," w/ tag"," w/o tag"),Table8[#Headers],0)),"")</f>
        <v/>
      </c>
      <c r="AH540" s="59" t="str">
        <f t="shared" si="132"/>
        <v/>
      </c>
      <c r="AI540" s="4"/>
      <c r="AJ540" s="4" t="str">
        <f t="shared" si="133"/>
        <v/>
      </c>
      <c r="AK540" s="4" t="str">
        <f t="shared" si="134"/>
        <v/>
      </c>
      <c r="AL540" s="4" t="e" cm="1">
        <f t="array" ref="AL540">IF(INDEX(Table2[],_xlfn.XMATCH($A540,Table2[Steel Member],0),_xlfn.XMATCH(AL$2,Table2[#Headers],0))=0,"",INDEX(Table2[],_xlfn.XMATCH($A540,Table2[Steel Member],0),_xlfn.XMATCH(AL$2,Table2[#Headers],0)))</f>
        <v>#N/A</v>
      </c>
      <c r="AM540" s="4"/>
      <c r="AN540" s="4" t="str">
        <f t="shared" si="135"/>
        <v/>
      </c>
      <c r="AO540" s="4"/>
      <c r="AP540" s="4" t="e" cm="1">
        <f t="array" ref="AP540">IF(INDEX(Table2[],_xlfn.XMATCH($A540,Table2[Steel Member],0),_xlfn.XMATCH(AP$2,Table2[#Headers],0))=0,"",INDEX(Table2[],_xlfn.XMATCH($A540,Table2[Steel Member],0),_xlfn.XMATCH(AP$2,Table2[#Headers],0)))</f>
        <v>#N/A</v>
      </c>
      <c r="AQ540" s="4"/>
      <c r="AR540" s="4"/>
      <c r="AS540" s="4"/>
      <c r="AT540" s="4"/>
    </row>
    <row r="541" spans="1:46" x14ac:dyDescent="0.25">
      <c r="A541" s="52"/>
      <c r="B541" s="52"/>
      <c r="C541" s="52"/>
      <c r="D541" s="52"/>
      <c r="E541" s="52"/>
      <c r="F541" s="64" cm="1">
        <f t="array" ref="F541">IF(COUNT(FIND(PurlinsxGirthsxBracings,$C541))&gt;0,0,ROUNDUP(IF(D541=0,0,VLOOKUP(D541,'DATA SHEET'!$B:$D,2,FALSE)),2))</f>
        <v>0</v>
      </c>
      <c r="G541" s="64" cm="1">
        <f t="array" ref="G541">IF(COUNT(FIND(PurlinsxGirthsxBracings,$C541))&gt;0,0,ROUNDUP(IF(D541=0,0,VLOOKUP(D541,'DATA SHEET'!$B:$D,3,FALSE)),2))</f>
        <v>0</v>
      </c>
      <c r="H541" s="53"/>
      <c r="I541" s="66" cm="1">
        <f t="array" ref="I541">IF(AND(ISBLANK(B541),ISBLANK(C541),ISBLANK(E541)),0,IF(COUNT(FIND(PurlinsxGirthsxBracings,$C541))&gt;0,IF(B541=0,CONCATENATE(E541," ",C541),CONCATENATE(B541," - ",E541," ",C541)),IF(B541=0,IF(ISBLANK(C541),E541,CONCATENATE(D541,", ",F541,"kg/m, ",G541,"mm surface perimeter")),IF(AND(ISBLANK(C541),ISTEXT(E541)),CONCATENATE(B541," - ",E541),IF(AND(ISBLANK(C541),ISBLANK(E541)),B541,CONCATENATE(B541," - ",D541,", ",F541,"kg/m, ",G541,"mm surface perimeter"))))&amp;IF(ISBLANK(H541),"",H541)))</f>
        <v>0</v>
      </c>
      <c r="J541" s="53"/>
      <c r="L541" s="4" t="str" cm="1">
        <f t="array" ref="L541">IF(COUNT(FIND({0,1,2,3,4,5,6,7,8,9},B541))&gt;0,COUNT(FIND({0,1,2,3,4,5,6,7,8,9},B541))&gt;0,"")</f>
        <v/>
      </c>
      <c r="M541" s="4" t="str" cm="1">
        <f t="array" aca="1" ref="M541" ca="1">IFERROR(_xlfn.IFS(R541="Count",RANDBETWEEN(1,COUNTIF($R$11:$R$653,"Count")),R541="Length",RANDBETWEEN(1,COUNTIF($R$11:$R$653,"Length"))),"")</f>
        <v/>
      </c>
      <c r="N541" s="4" t="str">
        <f ca="1">IFERROR(_xlfn.RANK.EQ(M541,$M$11:$M$653)+COUNTIF($M$11:M541,M541)-1,"")</f>
        <v/>
      </c>
      <c r="O541" s="86" t="str">
        <f>IF(A541='DATA SHEET'!$L$36,C541,IFERROR(IF(AND(ISTEXT(I541),ISBLANK(C541)),"No details",VLOOKUP(C541,DimFolder,2,FALSE)),""))</f>
        <v/>
      </c>
      <c r="P541" s="4" t="str">
        <f t="shared" si="137"/>
        <v/>
      </c>
      <c r="Q541" s="58" t="str">
        <f t="shared" si="136"/>
        <v/>
      </c>
      <c r="R541" s="4" t="e" cm="1">
        <f t="array" ref="R541">IF(INDEX(Table2[],_xlfn.XMATCH($A541,Table2[Steel Member],0),_xlfn.XMATCH(R$2,Table2[#Headers],0))=0,"",INDEX(Table2[],_xlfn.XMATCH($A541,Table2[Steel Member],0),_xlfn.XMATCH(R$2,Table2[#Headers],0)))</f>
        <v>#N/A</v>
      </c>
      <c r="S541" s="4" t="e" cm="1">
        <f t="array" ref="S541">IF(INDEX(Table2[],_xlfn.XMATCH($A541,Table2[Steel Member],0),_xlfn.XMATCH(S$2,Table2[#Headers],0))=0,"",INDEX(Table2[],_xlfn.XMATCH($A541,Table2[Steel Member],0),_xlfn.XMATCH(S$2,Table2[#Headers],0)))</f>
        <v>#N/A</v>
      </c>
      <c r="T541" s="4" t="str">
        <f t="shared" si="127"/>
        <v/>
      </c>
      <c r="U541" s="4" t="e">
        <f ca="1">VLOOKUP(N541,'COLOR CODE'!$B:$D,2,FALSE)</f>
        <v>#N/A</v>
      </c>
      <c r="V541" s="4" t="str">
        <f t="shared" si="128"/>
        <v/>
      </c>
      <c r="W541" s="4" t="e" cm="1">
        <f t="array" ref="W541">IF(INDEX(Table2[],_xlfn.XMATCH($A541,Table2[Steel Member],0),_xlfn.XMATCH(W$2,Table2[#Headers],0))=0,"",INDEX(Table2[],_xlfn.XMATCH($A541,Table2[Steel Member],0),_xlfn.XMATCH(W$2,Table2[#Headers],0)))</f>
        <v>#N/A</v>
      </c>
      <c r="X541" s="4" t="e">
        <f t="shared" si="138"/>
        <v>#N/A</v>
      </c>
      <c r="Y541" s="4" t="e" cm="1">
        <f t="array" ref="Y541">IF(INDEX(Table2[],_xlfn.XMATCH($A541,Table2[Steel Member],0),_xlfn.XMATCH(Y$2,Table2[#Headers],0))=0,"",INDEX(Table2[],_xlfn.XMATCH($A541,Table2[Steel Member],0),_xlfn.XMATCH(Y$2,Table2[#Headers],0)))</f>
        <v>#N/A</v>
      </c>
      <c r="Z541" s="4" t="e" cm="1">
        <f t="array" ref="Z541">IF(INDEX(Table2[],_xlfn.XMATCH($A541,Table2[Steel Member],0),_xlfn.XMATCH(Z$2,Table2[#Headers],0))=0,"",INDEX(Table2[],_xlfn.XMATCH($A541,Table2[Steel Member],0),_xlfn.XMATCH(Z$2,Table2[#Headers],0)))</f>
        <v>#N/A</v>
      </c>
      <c r="AA541" s="4" t="e" cm="1">
        <f t="array" ref="AA541">IF(INDEX(Table2[],_xlfn.XMATCH($A541,Table2[Steel Member],0),_xlfn.XMATCH(AA$2,Table2[#Headers],0))=0,"",INDEX(Table2[],_xlfn.XMATCH($A541,Table2[Steel Member],0),_xlfn.XMATCH(AA$2,Table2[#Headers],0)))</f>
        <v>#N/A</v>
      </c>
      <c r="AB541" s="4" t="e" cm="1">
        <f t="array" ref="AB541">IF(INDEX(Table2[],_xlfn.XMATCH($A541,Table2[Steel Member],0),_xlfn.XMATCH(AB$2,Table2[#Headers],0))=0,"",INDEX(Table2[],_xlfn.XMATCH($A541,Table2[Steel Member],0),_xlfn.XMATCH(AB$2,Table2[#Headers],0)))</f>
        <v>#N/A</v>
      </c>
      <c r="AC541" s="4" t="str" cm="1">
        <f t="array" ref="AC541">IFERROR(INDEX(Table8[],_xlfn.XMATCH($O541,Table8[Dimension Name Category],0),_xlfn.XMATCH(AC$2&amp;IF($L541," w/ tag"," w/o tag"),Table8[#Headers],0)),"")</f>
        <v/>
      </c>
      <c r="AD541" s="59" t="str">
        <f t="shared" si="129"/>
        <v/>
      </c>
      <c r="AE541" s="4" t="str">
        <f t="shared" si="130"/>
        <v/>
      </c>
      <c r="AF541" s="4" t="str">
        <f t="shared" si="131"/>
        <v/>
      </c>
      <c r="AG541" s="4" t="str" cm="1">
        <f t="array" ref="AG541">IFERROR(INDEX(Table8[],_xlfn.XMATCH($O541,Table8[Dimension Name Category],0),_xlfn.XMATCH(AG$2&amp;IF($L541," w/ tag"," w/o tag"),Table8[#Headers],0)),"")</f>
        <v/>
      </c>
      <c r="AH541" s="59" t="str">
        <f t="shared" si="132"/>
        <v/>
      </c>
      <c r="AI541" s="4"/>
      <c r="AJ541" s="4" t="str">
        <f t="shared" si="133"/>
        <v/>
      </c>
      <c r="AK541" s="4" t="str">
        <f t="shared" si="134"/>
        <v/>
      </c>
      <c r="AL541" s="4" t="e" cm="1">
        <f t="array" ref="AL541">IF(INDEX(Table2[],_xlfn.XMATCH($A541,Table2[Steel Member],0),_xlfn.XMATCH(AL$2,Table2[#Headers],0))=0,"",INDEX(Table2[],_xlfn.XMATCH($A541,Table2[Steel Member],0),_xlfn.XMATCH(AL$2,Table2[#Headers],0)))</f>
        <v>#N/A</v>
      </c>
      <c r="AM541" s="4"/>
      <c r="AN541" s="4" t="str">
        <f t="shared" si="135"/>
        <v/>
      </c>
      <c r="AO541" s="4"/>
      <c r="AP541" s="4" t="e" cm="1">
        <f t="array" ref="AP541">IF(INDEX(Table2[],_xlfn.XMATCH($A541,Table2[Steel Member],0),_xlfn.XMATCH(AP$2,Table2[#Headers],0))=0,"",INDEX(Table2[],_xlfn.XMATCH($A541,Table2[Steel Member],0),_xlfn.XMATCH(AP$2,Table2[#Headers],0)))</f>
        <v>#N/A</v>
      </c>
      <c r="AQ541" s="4"/>
      <c r="AR541" s="4"/>
      <c r="AS541" s="4"/>
      <c r="AT541" s="4"/>
    </row>
    <row r="542" spans="1:46" x14ac:dyDescent="0.25">
      <c r="A542" s="52"/>
      <c r="B542" s="52"/>
      <c r="C542" s="52"/>
      <c r="D542" s="52"/>
      <c r="E542" s="52"/>
      <c r="F542" s="64" cm="1">
        <f t="array" ref="F542">IF(COUNT(FIND(PurlinsxGirthsxBracings,$C542))&gt;0,0,ROUNDUP(IF(D542=0,0,VLOOKUP(D542,'DATA SHEET'!$B:$D,2,FALSE)),2))</f>
        <v>0</v>
      </c>
      <c r="G542" s="64" cm="1">
        <f t="array" ref="G542">IF(COUNT(FIND(PurlinsxGirthsxBracings,$C542))&gt;0,0,ROUNDUP(IF(D542=0,0,VLOOKUP(D542,'DATA SHEET'!$B:$D,3,FALSE)),2))</f>
        <v>0</v>
      </c>
      <c r="H542" s="53"/>
      <c r="I542" s="66" cm="1">
        <f t="array" ref="I542">IF(AND(ISBLANK(B542),ISBLANK(C542),ISBLANK(E542)),0,IF(COUNT(FIND(PurlinsxGirthsxBracings,$C542))&gt;0,IF(B542=0,CONCATENATE(E542," ",C542),CONCATENATE(B542," - ",E542," ",C542)),IF(B542=0,IF(ISBLANK(C542),E542,CONCATENATE(D542,", ",F542,"kg/m, ",G542,"mm surface perimeter")),IF(AND(ISBLANK(C542),ISTEXT(E542)),CONCATENATE(B542," - ",E542),IF(AND(ISBLANK(C542),ISBLANK(E542)),B542,CONCATENATE(B542," - ",D542,", ",F542,"kg/m, ",G542,"mm surface perimeter"))))&amp;IF(ISBLANK(H542),"",H542)))</f>
        <v>0</v>
      </c>
      <c r="J542" s="53"/>
      <c r="L542" s="4" t="str" cm="1">
        <f t="array" ref="L542">IF(COUNT(FIND({0,1,2,3,4,5,6,7,8,9},B542))&gt;0,COUNT(FIND({0,1,2,3,4,5,6,7,8,9},B542))&gt;0,"")</f>
        <v/>
      </c>
      <c r="M542" s="4" t="str" cm="1">
        <f t="array" aca="1" ref="M542" ca="1">IFERROR(_xlfn.IFS(R542="Count",RANDBETWEEN(1,COUNTIF($R$11:$R$653,"Count")),R542="Length",RANDBETWEEN(1,COUNTIF($R$11:$R$653,"Length"))),"")</f>
        <v/>
      </c>
      <c r="N542" s="4" t="str">
        <f ca="1">IFERROR(_xlfn.RANK.EQ(M542,$M$11:$M$653)+COUNTIF($M$11:M542,M542)-1,"")</f>
        <v/>
      </c>
      <c r="O542" s="86" t="str">
        <f>IF(A542='DATA SHEET'!$L$36,C542,IFERROR(IF(AND(ISTEXT(I542),ISBLANK(C542)),"No details",VLOOKUP(C542,DimFolder,2,FALSE)),""))</f>
        <v/>
      </c>
      <c r="P542" s="4" t="str">
        <f t="shared" si="137"/>
        <v/>
      </c>
      <c r="Q542" s="58" t="str">
        <f t="shared" si="136"/>
        <v/>
      </c>
      <c r="R542" s="4" t="e" cm="1">
        <f t="array" ref="R542">IF(INDEX(Table2[],_xlfn.XMATCH($A542,Table2[Steel Member],0),_xlfn.XMATCH(R$2,Table2[#Headers],0))=0,"",INDEX(Table2[],_xlfn.XMATCH($A542,Table2[Steel Member],0),_xlfn.XMATCH(R$2,Table2[#Headers],0)))</f>
        <v>#N/A</v>
      </c>
      <c r="S542" s="4" t="e" cm="1">
        <f t="array" ref="S542">IF(INDEX(Table2[],_xlfn.XMATCH($A542,Table2[Steel Member],0),_xlfn.XMATCH(S$2,Table2[#Headers],0))=0,"",INDEX(Table2[],_xlfn.XMATCH($A542,Table2[Steel Member],0),_xlfn.XMATCH(S$2,Table2[#Headers],0)))</f>
        <v>#N/A</v>
      </c>
      <c r="T542" s="4" t="str">
        <f t="shared" si="127"/>
        <v/>
      </c>
      <c r="U542" s="4" t="e">
        <f ca="1">VLOOKUP(N542,'COLOR CODE'!$B:$D,2,FALSE)</f>
        <v>#N/A</v>
      </c>
      <c r="V542" s="4" t="str">
        <f t="shared" si="128"/>
        <v/>
      </c>
      <c r="W542" s="4" t="e" cm="1">
        <f t="array" ref="W542">IF(INDEX(Table2[],_xlfn.XMATCH($A542,Table2[Steel Member],0),_xlfn.XMATCH(W$2,Table2[#Headers],0))=0,"",INDEX(Table2[],_xlfn.XMATCH($A542,Table2[Steel Member],0),_xlfn.XMATCH(W$2,Table2[#Headers],0)))</f>
        <v>#N/A</v>
      </c>
      <c r="X542" s="4" t="e">
        <f t="shared" si="138"/>
        <v>#N/A</v>
      </c>
      <c r="Y542" s="4" t="e" cm="1">
        <f t="array" ref="Y542">IF(INDEX(Table2[],_xlfn.XMATCH($A542,Table2[Steel Member],0),_xlfn.XMATCH(Y$2,Table2[#Headers],0))=0,"",INDEX(Table2[],_xlfn.XMATCH($A542,Table2[Steel Member],0),_xlfn.XMATCH(Y$2,Table2[#Headers],0)))</f>
        <v>#N/A</v>
      </c>
      <c r="Z542" s="4" t="e" cm="1">
        <f t="array" ref="Z542">IF(INDEX(Table2[],_xlfn.XMATCH($A542,Table2[Steel Member],0),_xlfn.XMATCH(Z$2,Table2[#Headers],0))=0,"",INDEX(Table2[],_xlfn.XMATCH($A542,Table2[Steel Member],0),_xlfn.XMATCH(Z$2,Table2[#Headers],0)))</f>
        <v>#N/A</v>
      </c>
      <c r="AA542" s="4" t="e" cm="1">
        <f t="array" ref="AA542">IF(INDEX(Table2[],_xlfn.XMATCH($A542,Table2[Steel Member],0),_xlfn.XMATCH(AA$2,Table2[#Headers],0))=0,"",INDEX(Table2[],_xlfn.XMATCH($A542,Table2[Steel Member],0),_xlfn.XMATCH(AA$2,Table2[#Headers],0)))</f>
        <v>#N/A</v>
      </c>
      <c r="AB542" s="4" t="e" cm="1">
        <f t="array" ref="AB542">IF(INDEX(Table2[],_xlfn.XMATCH($A542,Table2[Steel Member],0),_xlfn.XMATCH(AB$2,Table2[#Headers],0))=0,"",INDEX(Table2[],_xlfn.XMATCH($A542,Table2[Steel Member],0),_xlfn.XMATCH(AB$2,Table2[#Headers],0)))</f>
        <v>#N/A</v>
      </c>
      <c r="AC542" s="4" t="str" cm="1">
        <f t="array" ref="AC542">IFERROR(INDEX(Table8[],_xlfn.XMATCH($O542,Table8[Dimension Name Category],0),_xlfn.XMATCH(AC$2&amp;IF($L542," w/ tag"," w/o tag"),Table8[#Headers],0)),"")</f>
        <v/>
      </c>
      <c r="AD542" s="59" t="str">
        <f t="shared" si="129"/>
        <v/>
      </c>
      <c r="AE542" s="4" t="str">
        <f t="shared" si="130"/>
        <v/>
      </c>
      <c r="AF542" s="4" t="str">
        <f t="shared" si="131"/>
        <v/>
      </c>
      <c r="AG542" s="4" t="str" cm="1">
        <f t="array" ref="AG542">IFERROR(INDEX(Table8[],_xlfn.XMATCH($O542,Table8[Dimension Name Category],0),_xlfn.XMATCH(AG$2&amp;IF($L542," w/ tag"," w/o tag"),Table8[#Headers],0)),"")</f>
        <v/>
      </c>
      <c r="AH542" s="59" t="str">
        <f t="shared" si="132"/>
        <v/>
      </c>
      <c r="AI542" s="4"/>
      <c r="AJ542" s="4" t="str">
        <f t="shared" si="133"/>
        <v/>
      </c>
      <c r="AK542" s="4" t="str">
        <f t="shared" si="134"/>
        <v/>
      </c>
      <c r="AL542" s="4" t="e" cm="1">
        <f t="array" ref="AL542">IF(INDEX(Table2[],_xlfn.XMATCH($A542,Table2[Steel Member],0),_xlfn.XMATCH(AL$2,Table2[#Headers],0))=0,"",INDEX(Table2[],_xlfn.XMATCH($A542,Table2[Steel Member],0),_xlfn.XMATCH(AL$2,Table2[#Headers],0)))</f>
        <v>#N/A</v>
      </c>
      <c r="AM542" s="4"/>
      <c r="AN542" s="4" t="str">
        <f t="shared" si="135"/>
        <v/>
      </c>
      <c r="AO542" s="4"/>
      <c r="AP542" s="4" t="e" cm="1">
        <f t="array" ref="AP542">IF(INDEX(Table2[],_xlfn.XMATCH($A542,Table2[Steel Member],0),_xlfn.XMATCH(AP$2,Table2[#Headers],0))=0,"",INDEX(Table2[],_xlfn.XMATCH($A542,Table2[Steel Member],0),_xlfn.XMATCH(AP$2,Table2[#Headers],0)))</f>
        <v>#N/A</v>
      </c>
      <c r="AQ542" s="4"/>
      <c r="AR542" s="4"/>
      <c r="AS542" s="4"/>
      <c r="AT542" s="4"/>
    </row>
    <row r="543" spans="1:46" x14ac:dyDescent="0.25">
      <c r="A543" s="52"/>
      <c r="B543" s="52"/>
      <c r="C543" s="52"/>
      <c r="D543" s="52"/>
      <c r="E543" s="52"/>
      <c r="F543" s="64" cm="1">
        <f t="array" ref="F543">IF(COUNT(FIND(PurlinsxGirthsxBracings,$C543))&gt;0,0,ROUNDUP(IF(D543=0,0,VLOOKUP(D543,'DATA SHEET'!$B:$D,2,FALSE)),2))</f>
        <v>0</v>
      </c>
      <c r="G543" s="64" cm="1">
        <f t="array" ref="G543">IF(COUNT(FIND(PurlinsxGirthsxBracings,$C543))&gt;0,0,ROUNDUP(IF(D543=0,0,VLOOKUP(D543,'DATA SHEET'!$B:$D,3,FALSE)),2))</f>
        <v>0</v>
      </c>
      <c r="H543" s="53"/>
      <c r="I543" s="66" cm="1">
        <f t="array" ref="I543">IF(AND(ISBLANK(B543),ISBLANK(C543),ISBLANK(E543)),0,IF(COUNT(FIND(PurlinsxGirthsxBracings,$C543))&gt;0,IF(B543=0,CONCATENATE(E543," ",C543),CONCATENATE(B543," - ",E543," ",C543)),IF(B543=0,IF(ISBLANK(C543),E543,CONCATENATE(D543,", ",F543,"kg/m, ",G543,"mm surface perimeter")),IF(AND(ISBLANK(C543),ISTEXT(E543)),CONCATENATE(B543," - ",E543),IF(AND(ISBLANK(C543),ISBLANK(E543)),B543,CONCATENATE(B543," - ",D543,", ",F543,"kg/m, ",G543,"mm surface perimeter"))))&amp;IF(ISBLANK(H543),"",H543)))</f>
        <v>0</v>
      </c>
      <c r="J543" s="53"/>
      <c r="L543" s="4" t="str" cm="1">
        <f t="array" ref="L543">IF(COUNT(FIND({0,1,2,3,4,5,6,7,8,9},B543))&gt;0,COUNT(FIND({0,1,2,3,4,5,6,7,8,9},B543))&gt;0,"")</f>
        <v/>
      </c>
      <c r="M543" s="4" t="str" cm="1">
        <f t="array" aca="1" ref="M543" ca="1">IFERROR(_xlfn.IFS(R543="Count",RANDBETWEEN(1,COUNTIF($R$11:$R$653,"Count")),R543="Length",RANDBETWEEN(1,COUNTIF($R$11:$R$653,"Length"))),"")</f>
        <v/>
      </c>
      <c r="N543" s="4" t="str">
        <f ca="1">IFERROR(_xlfn.RANK.EQ(M543,$M$11:$M$653)+COUNTIF($M$11:M543,M543)-1,"")</f>
        <v/>
      </c>
      <c r="O543" s="86" t="str">
        <f>IF(A543='DATA SHEET'!$L$36,C543,IFERROR(IF(AND(ISTEXT(I543),ISBLANK(C543)),"No details",VLOOKUP(C543,DimFolder,2,FALSE)),""))</f>
        <v/>
      </c>
      <c r="P543" s="4" t="str">
        <f t="shared" si="137"/>
        <v/>
      </c>
      <c r="Q543" s="58" t="str">
        <f t="shared" si="136"/>
        <v/>
      </c>
      <c r="R543" s="4" t="e" cm="1">
        <f t="array" ref="R543">IF(INDEX(Table2[],_xlfn.XMATCH($A543,Table2[Steel Member],0),_xlfn.XMATCH(R$2,Table2[#Headers],0))=0,"",INDEX(Table2[],_xlfn.XMATCH($A543,Table2[Steel Member],0),_xlfn.XMATCH(R$2,Table2[#Headers],0)))</f>
        <v>#N/A</v>
      </c>
      <c r="S543" s="4" t="e" cm="1">
        <f t="array" ref="S543">IF(INDEX(Table2[],_xlfn.XMATCH($A543,Table2[Steel Member],0),_xlfn.XMATCH(S$2,Table2[#Headers],0))=0,"",INDEX(Table2[],_xlfn.XMATCH($A543,Table2[Steel Member],0),_xlfn.XMATCH(S$2,Table2[#Headers],0)))</f>
        <v>#N/A</v>
      </c>
      <c r="T543" s="4" t="str">
        <f t="shared" si="127"/>
        <v/>
      </c>
      <c r="U543" s="4" t="e">
        <f ca="1">VLOOKUP(N543,'COLOR CODE'!$B:$D,2,FALSE)</f>
        <v>#N/A</v>
      </c>
      <c r="V543" s="4" t="str">
        <f t="shared" si="128"/>
        <v/>
      </c>
      <c r="W543" s="4" t="e" cm="1">
        <f t="array" ref="W543">IF(INDEX(Table2[],_xlfn.XMATCH($A543,Table2[Steel Member],0),_xlfn.XMATCH(W$2,Table2[#Headers],0))=0,"",INDEX(Table2[],_xlfn.XMATCH($A543,Table2[Steel Member],0),_xlfn.XMATCH(W$2,Table2[#Headers],0)))</f>
        <v>#N/A</v>
      </c>
      <c r="X543" s="4" t="e">
        <f t="shared" si="138"/>
        <v>#N/A</v>
      </c>
      <c r="Y543" s="4" t="e" cm="1">
        <f t="array" ref="Y543">IF(INDEX(Table2[],_xlfn.XMATCH($A543,Table2[Steel Member],0),_xlfn.XMATCH(Y$2,Table2[#Headers],0))=0,"",INDEX(Table2[],_xlfn.XMATCH($A543,Table2[Steel Member],0),_xlfn.XMATCH(Y$2,Table2[#Headers],0)))</f>
        <v>#N/A</v>
      </c>
      <c r="Z543" s="4" t="e" cm="1">
        <f t="array" ref="Z543">IF(INDEX(Table2[],_xlfn.XMATCH($A543,Table2[Steel Member],0),_xlfn.XMATCH(Z$2,Table2[#Headers],0))=0,"",INDEX(Table2[],_xlfn.XMATCH($A543,Table2[Steel Member],0),_xlfn.XMATCH(Z$2,Table2[#Headers],0)))</f>
        <v>#N/A</v>
      </c>
      <c r="AA543" s="4" t="e" cm="1">
        <f t="array" ref="AA543">IF(INDEX(Table2[],_xlfn.XMATCH($A543,Table2[Steel Member],0),_xlfn.XMATCH(AA$2,Table2[#Headers],0))=0,"",INDEX(Table2[],_xlfn.XMATCH($A543,Table2[Steel Member],0),_xlfn.XMATCH(AA$2,Table2[#Headers],0)))</f>
        <v>#N/A</v>
      </c>
      <c r="AB543" s="4" t="e" cm="1">
        <f t="array" ref="AB543">IF(INDEX(Table2[],_xlfn.XMATCH($A543,Table2[Steel Member],0),_xlfn.XMATCH(AB$2,Table2[#Headers],0))=0,"",INDEX(Table2[],_xlfn.XMATCH($A543,Table2[Steel Member],0),_xlfn.XMATCH(AB$2,Table2[#Headers],0)))</f>
        <v>#N/A</v>
      </c>
      <c r="AC543" s="4" t="str" cm="1">
        <f t="array" ref="AC543">IFERROR(INDEX(Table8[],_xlfn.XMATCH($O543,Table8[Dimension Name Category],0),_xlfn.XMATCH(AC$2&amp;IF($L543," w/ tag"," w/o tag"),Table8[#Headers],0)),"")</f>
        <v/>
      </c>
      <c r="AD543" s="59" t="str">
        <f t="shared" si="129"/>
        <v/>
      </c>
      <c r="AE543" s="4" t="str">
        <f t="shared" si="130"/>
        <v/>
      </c>
      <c r="AF543" s="4" t="str">
        <f t="shared" si="131"/>
        <v/>
      </c>
      <c r="AG543" s="4" t="str" cm="1">
        <f t="array" ref="AG543">IFERROR(INDEX(Table8[],_xlfn.XMATCH($O543,Table8[Dimension Name Category],0),_xlfn.XMATCH(AG$2&amp;IF($L543," w/ tag"," w/o tag"),Table8[#Headers],0)),"")</f>
        <v/>
      </c>
      <c r="AH543" s="59" t="str">
        <f t="shared" si="132"/>
        <v/>
      </c>
      <c r="AI543" s="4"/>
      <c r="AJ543" s="4" t="str">
        <f t="shared" si="133"/>
        <v/>
      </c>
      <c r="AK543" s="4" t="str">
        <f t="shared" si="134"/>
        <v/>
      </c>
      <c r="AL543" s="4" t="e" cm="1">
        <f t="array" ref="AL543">IF(INDEX(Table2[],_xlfn.XMATCH($A543,Table2[Steel Member],0),_xlfn.XMATCH(AL$2,Table2[#Headers],0))=0,"",INDEX(Table2[],_xlfn.XMATCH($A543,Table2[Steel Member],0),_xlfn.XMATCH(AL$2,Table2[#Headers],0)))</f>
        <v>#N/A</v>
      </c>
      <c r="AM543" s="4"/>
      <c r="AN543" s="4" t="str">
        <f t="shared" si="135"/>
        <v/>
      </c>
      <c r="AO543" s="4"/>
      <c r="AP543" s="4" t="e" cm="1">
        <f t="array" ref="AP543">IF(INDEX(Table2[],_xlfn.XMATCH($A543,Table2[Steel Member],0),_xlfn.XMATCH(AP$2,Table2[#Headers],0))=0,"",INDEX(Table2[],_xlfn.XMATCH($A543,Table2[Steel Member],0),_xlfn.XMATCH(AP$2,Table2[#Headers],0)))</f>
        <v>#N/A</v>
      </c>
      <c r="AQ543" s="4"/>
      <c r="AR543" s="4"/>
      <c r="AS543" s="4"/>
      <c r="AT543" s="4"/>
    </row>
    <row r="544" spans="1:46" x14ac:dyDescent="0.25">
      <c r="A544" s="52"/>
      <c r="B544" s="52"/>
      <c r="C544" s="52"/>
      <c r="D544" s="52"/>
      <c r="E544" s="52"/>
      <c r="F544" s="64" cm="1">
        <f t="array" ref="F544">IF(COUNT(FIND(PurlinsxGirthsxBracings,$C544))&gt;0,0,ROUNDUP(IF(D544=0,0,VLOOKUP(D544,'DATA SHEET'!$B:$D,2,FALSE)),2))</f>
        <v>0</v>
      </c>
      <c r="G544" s="64" cm="1">
        <f t="array" ref="G544">IF(COUNT(FIND(PurlinsxGirthsxBracings,$C544))&gt;0,0,ROUNDUP(IF(D544=0,0,VLOOKUP(D544,'DATA SHEET'!$B:$D,3,FALSE)),2))</f>
        <v>0</v>
      </c>
      <c r="H544" s="53"/>
      <c r="I544" s="66" cm="1">
        <f t="array" ref="I544">IF(AND(ISBLANK(B544),ISBLANK(C544),ISBLANK(E544)),0,IF(COUNT(FIND(PurlinsxGirthsxBracings,$C544))&gt;0,IF(B544=0,CONCATENATE(E544," ",C544),CONCATENATE(B544," - ",E544," ",C544)),IF(B544=0,IF(ISBLANK(C544),E544,CONCATENATE(D544,", ",F544,"kg/m, ",G544,"mm surface perimeter")),IF(AND(ISBLANK(C544),ISTEXT(E544)),CONCATENATE(B544," - ",E544),IF(AND(ISBLANK(C544),ISBLANK(E544)),B544,CONCATENATE(B544," - ",D544,", ",F544,"kg/m, ",G544,"mm surface perimeter"))))&amp;IF(ISBLANK(H544),"",H544)))</f>
        <v>0</v>
      </c>
      <c r="J544" s="53"/>
      <c r="L544" s="4" t="str" cm="1">
        <f t="array" ref="L544">IF(COUNT(FIND({0,1,2,3,4,5,6,7,8,9},B544))&gt;0,COUNT(FIND({0,1,2,3,4,5,6,7,8,9},B544))&gt;0,"")</f>
        <v/>
      </c>
      <c r="M544" s="4" t="str" cm="1">
        <f t="array" aca="1" ref="M544" ca="1">IFERROR(_xlfn.IFS(R544="Count",RANDBETWEEN(1,COUNTIF($R$11:$R$653,"Count")),R544="Length",RANDBETWEEN(1,COUNTIF($R$11:$R$653,"Length"))),"")</f>
        <v/>
      </c>
      <c r="N544" s="4" t="str">
        <f ca="1">IFERROR(_xlfn.RANK.EQ(M544,$M$11:$M$653)+COUNTIF($M$11:M544,M544)-1,"")</f>
        <v/>
      </c>
      <c r="O544" s="86" t="str">
        <f>IF(A544='DATA SHEET'!$L$36,C544,IFERROR(IF(AND(ISTEXT(I544),ISBLANK(C544)),"No details",VLOOKUP(C544,DimFolder,2,FALSE)),""))</f>
        <v/>
      </c>
      <c r="P544" s="4" t="str">
        <f t="shared" si="137"/>
        <v/>
      </c>
      <c r="Q544" s="58" t="str">
        <f t="shared" si="136"/>
        <v/>
      </c>
      <c r="R544" s="4" t="e" cm="1">
        <f t="array" ref="R544">IF(INDEX(Table2[],_xlfn.XMATCH($A544,Table2[Steel Member],0),_xlfn.XMATCH(R$2,Table2[#Headers],0))=0,"",INDEX(Table2[],_xlfn.XMATCH($A544,Table2[Steel Member],0),_xlfn.XMATCH(R$2,Table2[#Headers],0)))</f>
        <v>#N/A</v>
      </c>
      <c r="S544" s="4" t="e" cm="1">
        <f t="array" ref="S544">IF(INDEX(Table2[],_xlfn.XMATCH($A544,Table2[Steel Member],0),_xlfn.XMATCH(S$2,Table2[#Headers],0))=0,"",INDEX(Table2[],_xlfn.XMATCH($A544,Table2[Steel Member],0),_xlfn.XMATCH(S$2,Table2[#Headers],0)))</f>
        <v>#N/A</v>
      </c>
      <c r="T544" s="4" t="str">
        <f t="shared" si="127"/>
        <v/>
      </c>
      <c r="U544" s="4" t="e">
        <f ca="1">VLOOKUP(N544,'COLOR CODE'!$B:$D,2,FALSE)</f>
        <v>#N/A</v>
      </c>
      <c r="V544" s="4" t="str">
        <f t="shared" si="128"/>
        <v/>
      </c>
      <c r="W544" s="4" t="e" cm="1">
        <f t="array" ref="W544">IF(INDEX(Table2[],_xlfn.XMATCH($A544,Table2[Steel Member],0),_xlfn.XMATCH(W$2,Table2[#Headers],0))=0,"",INDEX(Table2[],_xlfn.XMATCH($A544,Table2[Steel Member],0),_xlfn.XMATCH(W$2,Table2[#Headers],0)))</f>
        <v>#N/A</v>
      </c>
      <c r="X544" s="4" t="e">
        <f t="shared" si="138"/>
        <v>#N/A</v>
      </c>
      <c r="Y544" s="4" t="e" cm="1">
        <f t="array" ref="Y544">IF(INDEX(Table2[],_xlfn.XMATCH($A544,Table2[Steel Member],0),_xlfn.XMATCH(Y$2,Table2[#Headers],0))=0,"",INDEX(Table2[],_xlfn.XMATCH($A544,Table2[Steel Member],0),_xlfn.XMATCH(Y$2,Table2[#Headers],0)))</f>
        <v>#N/A</v>
      </c>
      <c r="Z544" s="4" t="e" cm="1">
        <f t="array" ref="Z544">IF(INDEX(Table2[],_xlfn.XMATCH($A544,Table2[Steel Member],0),_xlfn.XMATCH(Z$2,Table2[#Headers],0))=0,"",INDEX(Table2[],_xlfn.XMATCH($A544,Table2[Steel Member],0),_xlfn.XMATCH(Z$2,Table2[#Headers],0)))</f>
        <v>#N/A</v>
      </c>
      <c r="AA544" s="4" t="e" cm="1">
        <f t="array" ref="AA544">IF(INDEX(Table2[],_xlfn.XMATCH($A544,Table2[Steel Member],0),_xlfn.XMATCH(AA$2,Table2[#Headers],0))=0,"",INDEX(Table2[],_xlfn.XMATCH($A544,Table2[Steel Member],0),_xlfn.XMATCH(AA$2,Table2[#Headers],0)))</f>
        <v>#N/A</v>
      </c>
      <c r="AB544" s="4" t="e" cm="1">
        <f t="array" ref="AB544">IF(INDEX(Table2[],_xlfn.XMATCH($A544,Table2[Steel Member],0),_xlfn.XMATCH(AB$2,Table2[#Headers],0))=0,"",INDEX(Table2[],_xlfn.XMATCH($A544,Table2[Steel Member],0),_xlfn.XMATCH(AB$2,Table2[#Headers],0)))</f>
        <v>#N/A</v>
      </c>
      <c r="AC544" s="4" t="str" cm="1">
        <f t="array" ref="AC544">IFERROR(INDEX(Table8[],_xlfn.XMATCH($O544,Table8[Dimension Name Category],0),_xlfn.XMATCH(AC$2&amp;IF($L544," w/ tag"," w/o tag"),Table8[#Headers],0)),"")</f>
        <v/>
      </c>
      <c r="AD544" s="59" t="str">
        <f t="shared" si="129"/>
        <v/>
      </c>
      <c r="AE544" s="4" t="str">
        <f t="shared" si="130"/>
        <v/>
      </c>
      <c r="AF544" s="4" t="str">
        <f t="shared" si="131"/>
        <v/>
      </c>
      <c r="AG544" s="4" t="str" cm="1">
        <f t="array" ref="AG544">IFERROR(INDEX(Table8[],_xlfn.XMATCH($O544,Table8[Dimension Name Category],0),_xlfn.XMATCH(AG$2&amp;IF($L544," w/ tag"," w/o tag"),Table8[#Headers],0)),"")</f>
        <v/>
      </c>
      <c r="AH544" s="59" t="str">
        <f t="shared" si="132"/>
        <v/>
      </c>
      <c r="AI544" s="4"/>
      <c r="AJ544" s="4" t="str">
        <f t="shared" si="133"/>
        <v/>
      </c>
      <c r="AK544" s="4" t="str">
        <f t="shared" si="134"/>
        <v/>
      </c>
      <c r="AL544" s="4" t="e" cm="1">
        <f t="array" ref="AL544">IF(INDEX(Table2[],_xlfn.XMATCH($A544,Table2[Steel Member],0),_xlfn.XMATCH(AL$2,Table2[#Headers],0))=0,"",INDEX(Table2[],_xlfn.XMATCH($A544,Table2[Steel Member],0),_xlfn.XMATCH(AL$2,Table2[#Headers],0)))</f>
        <v>#N/A</v>
      </c>
      <c r="AM544" s="4"/>
      <c r="AN544" s="4" t="str">
        <f t="shared" si="135"/>
        <v/>
      </c>
      <c r="AO544" s="4"/>
      <c r="AP544" s="4" t="e" cm="1">
        <f t="array" ref="AP544">IF(INDEX(Table2[],_xlfn.XMATCH($A544,Table2[Steel Member],0),_xlfn.XMATCH(AP$2,Table2[#Headers],0))=0,"",INDEX(Table2[],_xlfn.XMATCH($A544,Table2[Steel Member],0),_xlfn.XMATCH(AP$2,Table2[#Headers],0)))</f>
        <v>#N/A</v>
      </c>
      <c r="AQ544" s="4"/>
      <c r="AR544" s="4"/>
      <c r="AS544" s="4"/>
      <c r="AT544" s="4"/>
    </row>
    <row r="545" spans="1:46" x14ac:dyDescent="0.25">
      <c r="A545" s="52"/>
      <c r="B545" s="52"/>
      <c r="C545" s="52"/>
      <c r="D545" s="52"/>
      <c r="E545" s="52"/>
      <c r="F545" s="64" cm="1">
        <f t="array" ref="F545">IF(COUNT(FIND(PurlinsxGirthsxBracings,$C545))&gt;0,0,ROUNDUP(IF(D545=0,0,VLOOKUP(D545,'DATA SHEET'!$B:$D,2,FALSE)),2))</f>
        <v>0</v>
      </c>
      <c r="G545" s="64" cm="1">
        <f t="array" ref="G545">IF(COUNT(FIND(PurlinsxGirthsxBracings,$C545))&gt;0,0,ROUNDUP(IF(D545=0,0,VLOOKUP(D545,'DATA SHEET'!$B:$D,3,FALSE)),2))</f>
        <v>0</v>
      </c>
      <c r="H545" s="53"/>
      <c r="I545" s="66" cm="1">
        <f t="array" ref="I545">IF(AND(ISBLANK(B545),ISBLANK(C545),ISBLANK(E545)),0,IF(COUNT(FIND(PurlinsxGirthsxBracings,$C545))&gt;0,IF(B545=0,CONCATENATE(E545," ",C545),CONCATENATE(B545," - ",E545," ",C545)),IF(B545=0,IF(ISBLANK(C545),E545,CONCATENATE(D545,", ",F545,"kg/m, ",G545,"mm surface perimeter")),IF(AND(ISBLANK(C545),ISTEXT(E545)),CONCATENATE(B545," - ",E545),IF(AND(ISBLANK(C545),ISBLANK(E545)),B545,CONCATENATE(B545," - ",D545,", ",F545,"kg/m, ",G545,"mm surface perimeter"))))&amp;IF(ISBLANK(H545),"",H545)))</f>
        <v>0</v>
      </c>
      <c r="J545" s="53"/>
      <c r="L545" s="4" t="str" cm="1">
        <f t="array" ref="L545">IF(COUNT(FIND({0,1,2,3,4,5,6,7,8,9},B545))&gt;0,COUNT(FIND({0,1,2,3,4,5,6,7,8,9},B545))&gt;0,"")</f>
        <v/>
      </c>
      <c r="M545" s="4" t="str" cm="1">
        <f t="array" aca="1" ref="M545" ca="1">IFERROR(_xlfn.IFS(R545="Count",RANDBETWEEN(1,COUNTIF($R$11:$R$653,"Count")),R545="Length",RANDBETWEEN(1,COUNTIF($R$11:$R$653,"Length"))),"")</f>
        <v/>
      </c>
      <c r="N545" s="4" t="str">
        <f ca="1">IFERROR(_xlfn.RANK.EQ(M545,$M$11:$M$653)+COUNTIF($M$11:M545,M545)-1,"")</f>
        <v/>
      </c>
      <c r="O545" s="86" t="str">
        <f>IF(A545='DATA SHEET'!$L$36,C545,IFERROR(IF(AND(ISTEXT(I545),ISBLANK(C545)),"No details",VLOOKUP(C545,DimFolder,2,FALSE)),""))</f>
        <v/>
      </c>
      <c r="P545" s="4" t="str">
        <f t="shared" si="137"/>
        <v/>
      </c>
      <c r="Q545" s="58" t="str">
        <f t="shared" si="136"/>
        <v/>
      </c>
      <c r="R545" s="4" t="e" cm="1">
        <f t="array" ref="R545">IF(INDEX(Table2[],_xlfn.XMATCH($A545,Table2[Steel Member],0),_xlfn.XMATCH(R$2,Table2[#Headers],0))=0,"",INDEX(Table2[],_xlfn.XMATCH($A545,Table2[Steel Member],0),_xlfn.XMATCH(R$2,Table2[#Headers],0)))</f>
        <v>#N/A</v>
      </c>
      <c r="S545" s="4" t="e" cm="1">
        <f t="array" ref="S545">IF(INDEX(Table2[],_xlfn.XMATCH($A545,Table2[Steel Member],0),_xlfn.XMATCH(S$2,Table2[#Headers],0))=0,"",INDEX(Table2[],_xlfn.XMATCH($A545,Table2[Steel Member],0),_xlfn.XMATCH(S$2,Table2[#Headers],0)))</f>
        <v>#N/A</v>
      </c>
      <c r="T545" s="4" t="str">
        <f t="shared" si="127"/>
        <v/>
      </c>
      <c r="U545" s="4" t="e">
        <f ca="1">VLOOKUP(N545,'COLOR CODE'!$B:$D,2,FALSE)</f>
        <v>#N/A</v>
      </c>
      <c r="V545" s="4" t="str">
        <f t="shared" si="128"/>
        <v/>
      </c>
      <c r="W545" s="4" t="e" cm="1">
        <f t="array" ref="W545">IF(INDEX(Table2[],_xlfn.XMATCH($A545,Table2[Steel Member],0),_xlfn.XMATCH(W$2,Table2[#Headers],0))=0,"",INDEX(Table2[],_xlfn.XMATCH($A545,Table2[Steel Member],0),_xlfn.XMATCH(W$2,Table2[#Headers],0)))</f>
        <v>#N/A</v>
      </c>
      <c r="X545" s="4" t="e">
        <f t="shared" si="138"/>
        <v>#N/A</v>
      </c>
      <c r="Y545" s="4" t="e" cm="1">
        <f t="array" ref="Y545">IF(INDEX(Table2[],_xlfn.XMATCH($A545,Table2[Steel Member],0),_xlfn.XMATCH(Y$2,Table2[#Headers],0))=0,"",INDEX(Table2[],_xlfn.XMATCH($A545,Table2[Steel Member],0),_xlfn.XMATCH(Y$2,Table2[#Headers],0)))</f>
        <v>#N/A</v>
      </c>
      <c r="Z545" s="4" t="e" cm="1">
        <f t="array" ref="Z545">IF(INDEX(Table2[],_xlfn.XMATCH($A545,Table2[Steel Member],0),_xlfn.XMATCH(Z$2,Table2[#Headers],0))=0,"",INDEX(Table2[],_xlfn.XMATCH($A545,Table2[Steel Member],0),_xlfn.XMATCH(Z$2,Table2[#Headers],0)))</f>
        <v>#N/A</v>
      </c>
      <c r="AA545" s="4" t="e" cm="1">
        <f t="array" ref="AA545">IF(INDEX(Table2[],_xlfn.XMATCH($A545,Table2[Steel Member],0),_xlfn.XMATCH(AA$2,Table2[#Headers],0))=0,"",INDEX(Table2[],_xlfn.XMATCH($A545,Table2[Steel Member],0),_xlfn.XMATCH(AA$2,Table2[#Headers],0)))</f>
        <v>#N/A</v>
      </c>
      <c r="AB545" s="4" t="e" cm="1">
        <f t="array" ref="AB545">IF(INDEX(Table2[],_xlfn.XMATCH($A545,Table2[Steel Member],0),_xlfn.XMATCH(AB$2,Table2[#Headers],0))=0,"",INDEX(Table2[],_xlfn.XMATCH($A545,Table2[Steel Member],0),_xlfn.XMATCH(AB$2,Table2[#Headers],0)))</f>
        <v>#N/A</v>
      </c>
      <c r="AC545" s="4" t="str" cm="1">
        <f t="array" ref="AC545">IFERROR(INDEX(Table8[],_xlfn.XMATCH($O545,Table8[Dimension Name Category],0),_xlfn.XMATCH(AC$2&amp;IF($L545," w/ tag"," w/o tag"),Table8[#Headers],0)),"")</f>
        <v/>
      </c>
      <c r="AD545" s="59" t="str">
        <f t="shared" si="129"/>
        <v/>
      </c>
      <c r="AE545" s="4" t="str">
        <f t="shared" si="130"/>
        <v/>
      </c>
      <c r="AF545" s="4" t="str">
        <f t="shared" si="131"/>
        <v/>
      </c>
      <c r="AG545" s="4" t="str" cm="1">
        <f t="array" ref="AG545">IFERROR(INDEX(Table8[],_xlfn.XMATCH($O545,Table8[Dimension Name Category],0),_xlfn.XMATCH(AG$2&amp;IF($L545," w/ tag"," w/o tag"),Table8[#Headers],0)),"")</f>
        <v/>
      </c>
      <c r="AH545" s="59" t="str">
        <f t="shared" si="132"/>
        <v/>
      </c>
      <c r="AI545" s="4"/>
      <c r="AJ545" s="4" t="str">
        <f t="shared" si="133"/>
        <v/>
      </c>
      <c r="AK545" s="4" t="str">
        <f t="shared" si="134"/>
        <v/>
      </c>
      <c r="AL545" s="4" t="e" cm="1">
        <f t="array" ref="AL545">IF(INDEX(Table2[],_xlfn.XMATCH($A545,Table2[Steel Member],0),_xlfn.XMATCH(AL$2,Table2[#Headers],0))=0,"",INDEX(Table2[],_xlfn.XMATCH($A545,Table2[Steel Member],0),_xlfn.XMATCH(AL$2,Table2[#Headers],0)))</f>
        <v>#N/A</v>
      </c>
      <c r="AM545" s="4"/>
      <c r="AN545" s="4" t="str">
        <f t="shared" si="135"/>
        <v/>
      </c>
      <c r="AO545" s="4"/>
      <c r="AP545" s="4" t="e" cm="1">
        <f t="array" ref="AP545">IF(INDEX(Table2[],_xlfn.XMATCH($A545,Table2[Steel Member],0),_xlfn.XMATCH(AP$2,Table2[#Headers],0))=0,"",INDEX(Table2[],_xlfn.XMATCH($A545,Table2[Steel Member],0),_xlfn.XMATCH(AP$2,Table2[#Headers],0)))</f>
        <v>#N/A</v>
      </c>
      <c r="AQ545" s="4"/>
      <c r="AR545" s="4"/>
      <c r="AS545" s="4"/>
      <c r="AT545" s="4"/>
    </row>
    <row r="546" spans="1:46" x14ac:dyDescent="0.25">
      <c r="A546" s="52"/>
      <c r="B546" s="52"/>
      <c r="C546" s="52"/>
      <c r="D546" s="52"/>
      <c r="E546" s="52"/>
      <c r="F546" s="64" cm="1">
        <f t="array" ref="F546">IF(COUNT(FIND(PurlinsxGirthsxBracings,$C546))&gt;0,0,ROUNDUP(IF(D546=0,0,VLOOKUP(D546,'DATA SHEET'!$B:$D,2,FALSE)),2))</f>
        <v>0</v>
      </c>
      <c r="G546" s="64" cm="1">
        <f t="array" ref="G546">IF(COUNT(FIND(PurlinsxGirthsxBracings,$C546))&gt;0,0,ROUNDUP(IF(D546=0,0,VLOOKUP(D546,'DATA SHEET'!$B:$D,3,FALSE)),2))</f>
        <v>0</v>
      </c>
      <c r="H546" s="53"/>
      <c r="I546" s="66" cm="1">
        <f t="array" ref="I546">IF(AND(ISBLANK(B546),ISBLANK(C546),ISBLANK(E546)),0,IF(COUNT(FIND(PurlinsxGirthsxBracings,$C546))&gt;0,IF(B546=0,CONCATENATE(E546," ",C546),CONCATENATE(B546," - ",E546," ",C546)),IF(B546=0,IF(ISBLANK(C546),E546,CONCATENATE(D546,", ",F546,"kg/m, ",G546,"mm surface perimeter")),IF(AND(ISBLANK(C546),ISTEXT(E546)),CONCATENATE(B546," - ",E546),IF(AND(ISBLANK(C546),ISBLANK(E546)),B546,CONCATENATE(B546," - ",D546,", ",F546,"kg/m, ",G546,"mm surface perimeter"))))&amp;IF(ISBLANK(H546),"",H546)))</f>
        <v>0</v>
      </c>
      <c r="J546" s="53"/>
      <c r="L546" s="4" t="str" cm="1">
        <f t="array" ref="L546">IF(COUNT(FIND({0,1,2,3,4,5,6,7,8,9},B546))&gt;0,COUNT(FIND({0,1,2,3,4,5,6,7,8,9},B546))&gt;0,"")</f>
        <v/>
      </c>
      <c r="M546" s="4" t="str" cm="1">
        <f t="array" aca="1" ref="M546" ca="1">IFERROR(_xlfn.IFS(R546="Count",RANDBETWEEN(1,COUNTIF($R$11:$R$653,"Count")),R546="Length",RANDBETWEEN(1,COUNTIF($R$11:$R$653,"Length"))),"")</f>
        <v/>
      </c>
      <c r="N546" s="4" t="str">
        <f ca="1">IFERROR(_xlfn.RANK.EQ(M546,$M$11:$M$653)+COUNTIF($M$11:M546,M546)-1,"")</f>
        <v/>
      </c>
      <c r="O546" s="86" t="str">
        <f>IF(A546='DATA SHEET'!$L$36,C546,IFERROR(IF(AND(ISTEXT(I546),ISBLANK(C546)),"No details",VLOOKUP(C546,DimFolder,2,FALSE)),""))</f>
        <v/>
      </c>
      <c r="P546" s="4" t="str">
        <f t="shared" si="137"/>
        <v/>
      </c>
      <c r="Q546" s="58" t="str">
        <f t="shared" si="136"/>
        <v/>
      </c>
      <c r="R546" s="4" t="e" cm="1">
        <f t="array" ref="R546">IF(INDEX(Table2[],_xlfn.XMATCH($A546,Table2[Steel Member],0),_xlfn.XMATCH(R$2,Table2[#Headers],0))=0,"",INDEX(Table2[],_xlfn.XMATCH($A546,Table2[Steel Member],0),_xlfn.XMATCH(R$2,Table2[#Headers],0)))</f>
        <v>#N/A</v>
      </c>
      <c r="S546" s="4" t="e" cm="1">
        <f t="array" ref="S546">IF(INDEX(Table2[],_xlfn.XMATCH($A546,Table2[Steel Member],0),_xlfn.XMATCH(S$2,Table2[#Headers],0))=0,"",INDEX(Table2[],_xlfn.XMATCH($A546,Table2[Steel Member],0),_xlfn.XMATCH(S$2,Table2[#Headers],0)))</f>
        <v>#N/A</v>
      </c>
      <c r="T546" s="4" t="str">
        <f t="shared" si="127"/>
        <v/>
      </c>
      <c r="U546" s="4" t="e">
        <f ca="1">VLOOKUP(N546,'COLOR CODE'!$B:$D,2,FALSE)</f>
        <v>#N/A</v>
      </c>
      <c r="V546" s="4" t="str">
        <f t="shared" si="128"/>
        <v/>
      </c>
      <c r="W546" s="4" t="e" cm="1">
        <f t="array" ref="W546">IF(INDEX(Table2[],_xlfn.XMATCH($A546,Table2[Steel Member],0),_xlfn.XMATCH(W$2,Table2[#Headers],0))=0,"",INDEX(Table2[],_xlfn.XMATCH($A546,Table2[Steel Member],0),_xlfn.XMATCH(W$2,Table2[#Headers],0)))</f>
        <v>#N/A</v>
      </c>
      <c r="X546" s="4" t="e">
        <f t="shared" si="138"/>
        <v>#N/A</v>
      </c>
      <c r="Y546" s="4" t="e" cm="1">
        <f t="array" ref="Y546">IF(INDEX(Table2[],_xlfn.XMATCH($A546,Table2[Steel Member],0),_xlfn.XMATCH(Y$2,Table2[#Headers],0))=0,"",INDEX(Table2[],_xlfn.XMATCH($A546,Table2[Steel Member],0),_xlfn.XMATCH(Y$2,Table2[#Headers],0)))</f>
        <v>#N/A</v>
      </c>
      <c r="Z546" s="4" t="e" cm="1">
        <f t="array" ref="Z546">IF(INDEX(Table2[],_xlfn.XMATCH($A546,Table2[Steel Member],0),_xlfn.XMATCH(Z$2,Table2[#Headers],0))=0,"",INDEX(Table2[],_xlfn.XMATCH($A546,Table2[Steel Member],0),_xlfn.XMATCH(Z$2,Table2[#Headers],0)))</f>
        <v>#N/A</v>
      </c>
      <c r="AA546" s="4" t="e" cm="1">
        <f t="array" ref="AA546">IF(INDEX(Table2[],_xlfn.XMATCH($A546,Table2[Steel Member],0),_xlfn.XMATCH(AA$2,Table2[#Headers],0))=0,"",INDEX(Table2[],_xlfn.XMATCH($A546,Table2[Steel Member],0),_xlfn.XMATCH(AA$2,Table2[#Headers],0)))</f>
        <v>#N/A</v>
      </c>
      <c r="AB546" s="4" t="e" cm="1">
        <f t="array" ref="AB546">IF(INDEX(Table2[],_xlfn.XMATCH($A546,Table2[Steel Member],0),_xlfn.XMATCH(AB$2,Table2[#Headers],0))=0,"",INDEX(Table2[],_xlfn.XMATCH($A546,Table2[Steel Member],0),_xlfn.XMATCH(AB$2,Table2[#Headers],0)))</f>
        <v>#N/A</v>
      </c>
      <c r="AC546" s="4" t="str" cm="1">
        <f t="array" ref="AC546">IFERROR(INDEX(Table8[],_xlfn.XMATCH($O546,Table8[Dimension Name Category],0),_xlfn.XMATCH(AC$2&amp;IF($L546," w/ tag"," w/o tag"),Table8[#Headers],0)),"")</f>
        <v/>
      </c>
      <c r="AD546" s="59" t="str">
        <f t="shared" si="129"/>
        <v/>
      </c>
      <c r="AE546" s="4" t="str">
        <f t="shared" si="130"/>
        <v/>
      </c>
      <c r="AF546" s="4" t="str">
        <f t="shared" si="131"/>
        <v/>
      </c>
      <c r="AG546" s="4" t="str" cm="1">
        <f t="array" ref="AG546">IFERROR(INDEX(Table8[],_xlfn.XMATCH($O546,Table8[Dimension Name Category],0),_xlfn.XMATCH(AG$2&amp;IF($L546," w/ tag"," w/o tag"),Table8[#Headers],0)),"")</f>
        <v/>
      </c>
      <c r="AH546" s="59" t="str">
        <f t="shared" si="132"/>
        <v/>
      </c>
      <c r="AI546" s="4"/>
      <c r="AJ546" s="4" t="str">
        <f t="shared" si="133"/>
        <v/>
      </c>
      <c r="AK546" s="4" t="str">
        <f t="shared" si="134"/>
        <v/>
      </c>
      <c r="AL546" s="4" t="e" cm="1">
        <f t="array" ref="AL546">IF(INDEX(Table2[],_xlfn.XMATCH($A546,Table2[Steel Member],0),_xlfn.XMATCH(AL$2,Table2[#Headers],0))=0,"",INDEX(Table2[],_xlfn.XMATCH($A546,Table2[Steel Member],0),_xlfn.XMATCH(AL$2,Table2[#Headers],0)))</f>
        <v>#N/A</v>
      </c>
      <c r="AM546" s="4"/>
      <c r="AN546" s="4" t="str">
        <f t="shared" si="135"/>
        <v/>
      </c>
      <c r="AO546" s="4"/>
      <c r="AP546" s="4" t="e" cm="1">
        <f t="array" ref="AP546">IF(INDEX(Table2[],_xlfn.XMATCH($A546,Table2[Steel Member],0),_xlfn.XMATCH(AP$2,Table2[#Headers],0))=0,"",INDEX(Table2[],_xlfn.XMATCH($A546,Table2[Steel Member],0),_xlfn.XMATCH(AP$2,Table2[#Headers],0)))</f>
        <v>#N/A</v>
      </c>
      <c r="AQ546" s="4"/>
      <c r="AR546" s="4"/>
      <c r="AS546" s="4"/>
      <c r="AT546" s="4"/>
    </row>
    <row r="547" spans="1:46" x14ac:dyDescent="0.25">
      <c r="A547" s="52"/>
      <c r="B547" s="52"/>
      <c r="C547" s="52"/>
      <c r="D547" s="52"/>
      <c r="E547" s="52"/>
      <c r="F547" s="64" cm="1">
        <f t="array" ref="F547">IF(COUNT(FIND(PurlinsxGirthsxBracings,$C547))&gt;0,0,ROUNDUP(IF(D547=0,0,VLOOKUP(D547,'DATA SHEET'!$B:$D,2,FALSE)),2))</f>
        <v>0</v>
      </c>
      <c r="G547" s="64" cm="1">
        <f t="array" ref="G547">IF(COUNT(FIND(PurlinsxGirthsxBracings,$C547))&gt;0,0,ROUNDUP(IF(D547=0,0,VLOOKUP(D547,'DATA SHEET'!$B:$D,3,FALSE)),2))</f>
        <v>0</v>
      </c>
      <c r="H547" s="53"/>
      <c r="I547" s="66" cm="1">
        <f t="array" ref="I547">IF(AND(ISBLANK(B547),ISBLANK(C547),ISBLANK(E547)),0,IF(COUNT(FIND(PurlinsxGirthsxBracings,$C547))&gt;0,IF(B547=0,CONCATENATE(E547," ",C547),CONCATENATE(B547," - ",E547," ",C547)),IF(B547=0,IF(ISBLANK(C547),E547,CONCATENATE(D547,", ",F547,"kg/m, ",G547,"mm surface perimeter")),IF(AND(ISBLANK(C547),ISTEXT(E547)),CONCATENATE(B547," - ",E547),IF(AND(ISBLANK(C547),ISBLANK(E547)),B547,CONCATENATE(B547," - ",D547,", ",F547,"kg/m, ",G547,"mm surface perimeter"))))&amp;IF(ISBLANK(H547),"",H547)))</f>
        <v>0</v>
      </c>
      <c r="J547" s="53"/>
      <c r="L547" s="4" t="str" cm="1">
        <f t="array" ref="L547">IF(COUNT(FIND({0,1,2,3,4,5,6,7,8,9},B547))&gt;0,COUNT(FIND({0,1,2,3,4,5,6,7,8,9},B547))&gt;0,"")</f>
        <v/>
      </c>
      <c r="M547" s="4" t="str" cm="1">
        <f t="array" aca="1" ref="M547" ca="1">IFERROR(_xlfn.IFS(R547="Count",RANDBETWEEN(1,COUNTIF($R$11:$R$653,"Count")),R547="Length",RANDBETWEEN(1,COUNTIF($R$11:$R$653,"Length"))),"")</f>
        <v/>
      </c>
      <c r="N547" s="4" t="str">
        <f ca="1">IFERROR(_xlfn.RANK.EQ(M547,$M$11:$M$653)+COUNTIF($M$11:M547,M547)-1,"")</f>
        <v/>
      </c>
      <c r="O547" s="86" t="str">
        <f>IF(A547='DATA SHEET'!$L$36,C547,IFERROR(IF(AND(ISTEXT(I547),ISBLANK(C547)),"No details",VLOOKUP(C547,DimFolder,2,FALSE)),""))</f>
        <v/>
      </c>
      <c r="P547" s="4" t="str">
        <f t="shared" si="137"/>
        <v/>
      </c>
      <c r="Q547" s="58" t="str">
        <f t="shared" si="136"/>
        <v/>
      </c>
      <c r="R547" s="4" t="e" cm="1">
        <f t="array" ref="R547">IF(INDEX(Table2[],_xlfn.XMATCH($A547,Table2[Steel Member],0),_xlfn.XMATCH(R$2,Table2[#Headers],0))=0,"",INDEX(Table2[],_xlfn.XMATCH($A547,Table2[Steel Member],0),_xlfn.XMATCH(R$2,Table2[#Headers],0)))</f>
        <v>#N/A</v>
      </c>
      <c r="S547" s="4" t="e" cm="1">
        <f t="array" ref="S547">IF(INDEX(Table2[],_xlfn.XMATCH($A547,Table2[Steel Member],0),_xlfn.XMATCH(S$2,Table2[#Headers],0))=0,"",INDEX(Table2[],_xlfn.XMATCH($A547,Table2[Steel Member],0),_xlfn.XMATCH(S$2,Table2[#Headers],0)))</f>
        <v>#N/A</v>
      </c>
      <c r="T547" s="4" t="str">
        <f t="shared" si="127"/>
        <v/>
      </c>
      <c r="U547" s="4" t="e">
        <f ca="1">VLOOKUP(N547,'COLOR CODE'!$B:$D,2,FALSE)</f>
        <v>#N/A</v>
      </c>
      <c r="V547" s="4" t="str">
        <f t="shared" si="128"/>
        <v/>
      </c>
      <c r="W547" s="4" t="e" cm="1">
        <f t="array" ref="W547">IF(INDEX(Table2[],_xlfn.XMATCH($A547,Table2[Steel Member],0),_xlfn.XMATCH(W$2,Table2[#Headers],0))=0,"",INDEX(Table2[],_xlfn.XMATCH($A547,Table2[Steel Member],0),_xlfn.XMATCH(W$2,Table2[#Headers],0)))</f>
        <v>#N/A</v>
      </c>
      <c r="X547" s="4" t="e">
        <f t="shared" si="138"/>
        <v>#N/A</v>
      </c>
      <c r="Y547" s="4" t="e" cm="1">
        <f t="array" ref="Y547">IF(INDEX(Table2[],_xlfn.XMATCH($A547,Table2[Steel Member],0),_xlfn.XMATCH(Y$2,Table2[#Headers],0))=0,"",INDEX(Table2[],_xlfn.XMATCH($A547,Table2[Steel Member],0),_xlfn.XMATCH(Y$2,Table2[#Headers],0)))</f>
        <v>#N/A</v>
      </c>
      <c r="Z547" s="4" t="e" cm="1">
        <f t="array" ref="Z547">IF(INDEX(Table2[],_xlfn.XMATCH($A547,Table2[Steel Member],0),_xlfn.XMATCH(Z$2,Table2[#Headers],0))=0,"",INDEX(Table2[],_xlfn.XMATCH($A547,Table2[Steel Member],0),_xlfn.XMATCH(Z$2,Table2[#Headers],0)))</f>
        <v>#N/A</v>
      </c>
      <c r="AA547" s="4" t="e" cm="1">
        <f t="array" ref="AA547">IF(INDEX(Table2[],_xlfn.XMATCH($A547,Table2[Steel Member],0),_xlfn.XMATCH(AA$2,Table2[#Headers],0))=0,"",INDEX(Table2[],_xlfn.XMATCH($A547,Table2[Steel Member],0),_xlfn.XMATCH(AA$2,Table2[#Headers],0)))</f>
        <v>#N/A</v>
      </c>
      <c r="AB547" s="4" t="e" cm="1">
        <f t="array" ref="AB547">IF(INDEX(Table2[],_xlfn.XMATCH($A547,Table2[Steel Member],0),_xlfn.XMATCH(AB$2,Table2[#Headers],0))=0,"",INDEX(Table2[],_xlfn.XMATCH($A547,Table2[Steel Member],0),_xlfn.XMATCH(AB$2,Table2[#Headers],0)))</f>
        <v>#N/A</v>
      </c>
      <c r="AC547" s="4" t="str" cm="1">
        <f t="array" ref="AC547">IFERROR(INDEX(Table8[],_xlfn.XMATCH($O547,Table8[Dimension Name Category],0),_xlfn.XMATCH(AC$2&amp;IF($L547," w/ tag"," w/o tag"),Table8[#Headers],0)),"")</f>
        <v/>
      </c>
      <c r="AD547" s="59" t="str">
        <f t="shared" si="129"/>
        <v/>
      </c>
      <c r="AE547" s="4" t="str">
        <f t="shared" si="130"/>
        <v/>
      </c>
      <c r="AF547" s="4" t="str">
        <f t="shared" si="131"/>
        <v/>
      </c>
      <c r="AG547" s="4" t="str" cm="1">
        <f t="array" ref="AG547">IFERROR(INDEX(Table8[],_xlfn.XMATCH($O547,Table8[Dimension Name Category],0),_xlfn.XMATCH(AG$2&amp;IF($L547," w/ tag"," w/o tag"),Table8[#Headers],0)),"")</f>
        <v/>
      </c>
      <c r="AH547" s="59" t="str">
        <f t="shared" si="132"/>
        <v/>
      </c>
      <c r="AI547" s="4"/>
      <c r="AJ547" s="4" t="str">
        <f t="shared" si="133"/>
        <v/>
      </c>
      <c r="AK547" s="4" t="str">
        <f t="shared" si="134"/>
        <v/>
      </c>
      <c r="AL547" s="4" t="e" cm="1">
        <f t="array" ref="AL547">IF(INDEX(Table2[],_xlfn.XMATCH($A547,Table2[Steel Member],0),_xlfn.XMATCH(AL$2,Table2[#Headers],0))=0,"",INDEX(Table2[],_xlfn.XMATCH($A547,Table2[Steel Member],0),_xlfn.XMATCH(AL$2,Table2[#Headers],0)))</f>
        <v>#N/A</v>
      </c>
      <c r="AM547" s="4"/>
      <c r="AN547" s="4" t="str">
        <f t="shared" si="135"/>
        <v/>
      </c>
      <c r="AO547" s="4"/>
      <c r="AP547" s="4" t="e" cm="1">
        <f t="array" ref="AP547">IF(INDEX(Table2[],_xlfn.XMATCH($A547,Table2[Steel Member],0),_xlfn.XMATCH(AP$2,Table2[#Headers],0))=0,"",INDEX(Table2[],_xlfn.XMATCH($A547,Table2[Steel Member],0),_xlfn.XMATCH(AP$2,Table2[#Headers],0)))</f>
        <v>#N/A</v>
      </c>
      <c r="AQ547" s="4"/>
      <c r="AR547" s="4"/>
      <c r="AS547" s="4"/>
      <c r="AT547" s="4"/>
    </row>
    <row r="548" spans="1:46" x14ac:dyDescent="0.25">
      <c r="A548" s="52"/>
      <c r="B548" s="52"/>
      <c r="C548" s="52"/>
      <c r="D548" s="52"/>
      <c r="E548" s="52"/>
      <c r="F548" s="64" cm="1">
        <f t="array" ref="F548">IF(COUNT(FIND(PurlinsxGirthsxBracings,$C548))&gt;0,0,ROUNDUP(IF(D548=0,0,VLOOKUP(D548,'DATA SHEET'!$B:$D,2,FALSE)),2))</f>
        <v>0</v>
      </c>
      <c r="G548" s="64" cm="1">
        <f t="array" ref="G548">IF(COUNT(FIND(PurlinsxGirthsxBracings,$C548))&gt;0,0,ROUNDUP(IF(D548=0,0,VLOOKUP(D548,'DATA SHEET'!$B:$D,3,FALSE)),2))</f>
        <v>0</v>
      </c>
      <c r="H548" s="53"/>
      <c r="I548" s="66" cm="1">
        <f t="array" ref="I548">IF(AND(ISBLANK(B548),ISBLANK(C548),ISBLANK(E548)),0,IF(COUNT(FIND(PurlinsxGirthsxBracings,$C548))&gt;0,IF(B548=0,CONCATENATE(E548," ",C548),CONCATENATE(B548," - ",E548," ",C548)),IF(B548=0,IF(ISBLANK(C548),E548,CONCATENATE(D548,", ",F548,"kg/m, ",G548,"mm surface perimeter")),IF(AND(ISBLANK(C548),ISTEXT(E548)),CONCATENATE(B548," - ",E548),IF(AND(ISBLANK(C548),ISBLANK(E548)),B548,CONCATENATE(B548," - ",D548,", ",F548,"kg/m, ",G548,"mm surface perimeter"))))&amp;IF(ISBLANK(H548),"",H548)))</f>
        <v>0</v>
      </c>
      <c r="J548" s="53"/>
      <c r="L548" s="4" t="str" cm="1">
        <f t="array" ref="L548">IF(COUNT(FIND({0,1,2,3,4,5,6,7,8,9},B548))&gt;0,COUNT(FIND({0,1,2,3,4,5,6,7,8,9},B548))&gt;0,"")</f>
        <v/>
      </c>
      <c r="M548" s="4" t="str" cm="1">
        <f t="array" aca="1" ref="M548" ca="1">IFERROR(_xlfn.IFS(R548="Count",RANDBETWEEN(1,COUNTIF($R$11:$R$653,"Count")),R548="Length",RANDBETWEEN(1,COUNTIF($R$11:$R$653,"Length"))),"")</f>
        <v/>
      </c>
      <c r="N548" s="4" t="str">
        <f ca="1">IFERROR(_xlfn.RANK.EQ(M548,$M$11:$M$653)+COUNTIF($M$11:M548,M548)-1,"")</f>
        <v/>
      </c>
      <c r="O548" s="86" t="str">
        <f>IF(A548='DATA SHEET'!$L$36,C548,IFERROR(IF(AND(ISTEXT(I548),ISBLANK(C548)),"No details",VLOOKUP(C548,DimFolder,2,FALSE)),""))</f>
        <v/>
      </c>
      <c r="P548" s="4" t="str">
        <f t="shared" si="137"/>
        <v/>
      </c>
      <c r="Q548" s="58" t="str">
        <f t="shared" si="136"/>
        <v/>
      </c>
      <c r="R548" s="4" t="e" cm="1">
        <f t="array" ref="R548">IF(INDEX(Table2[],_xlfn.XMATCH($A548,Table2[Steel Member],0),_xlfn.XMATCH(R$2,Table2[#Headers],0))=0,"",INDEX(Table2[],_xlfn.XMATCH($A548,Table2[Steel Member],0),_xlfn.XMATCH(R$2,Table2[#Headers],0)))</f>
        <v>#N/A</v>
      </c>
      <c r="S548" s="4" t="e" cm="1">
        <f t="array" ref="S548">IF(INDEX(Table2[],_xlfn.XMATCH($A548,Table2[Steel Member],0),_xlfn.XMATCH(S$2,Table2[#Headers],0))=0,"",INDEX(Table2[],_xlfn.XMATCH($A548,Table2[Steel Member],0),_xlfn.XMATCH(S$2,Table2[#Headers],0)))</f>
        <v>#N/A</v>
      </c>
      <c r="T548" s="4" t="str">
        <f t="shared" si="127"/>
        <v/>
      </c>
      <c r="U548" s="4" t="e">
        <f ca="1">VLOOKUP(N548,'COLOR CODE'!$B:$D,2,FALSE)</f>
        <v>#N/A</v>
      </c>
      <c r="V548" s="4" t="str">
        <f t="shared" si="128"/>
        <v/>
      </c>
      <c r="W548" s="4" t="e" cm="1">
        <f t="array" ref="W548">IF(INDEX(Table2[],_xlfn.XMATCH($A548,Table2[Steel Member],0),_xlfn.XMATCH(W$2,Table2[#Headers],0))=0,"",INDEX(Table2[],_xlfn.XMATCH($A548,Table2[Steel Member],0),_xlfn.XMATCH(W$2,Table2[#Headers],0)))</f>
        <v>#N/A</v>
      </c>
      <c r="X548" s="4" t="e">
        <f t="shared" si="138"/>
        <v>#N/A</v>
      </c>
      <c r="Y548" s="4" t="e" cm="1">
        <f t="array" ref="Y548">IF(INDEX(Table2[],_xlfn.XMATCH($A548,Table2[Steel Member],0),_xlfn.XMATCH(Y$2,Table2[#Headers],0))=0,"",INDEX(Table2[],_xlfn.XMATCH($A548,Table2[Steel Member],0),_xlfn.XMATCH(Y$2,Table2[#Headers],0)))</f>
        <v>#N/A</v>
      </c>
      <c r="Z548" s="4" t="e" cm="1">
        <f t="array" ref="Z548">IF(INDEX(Table2[],_xlfn.XMATCH($A548,Table2[Steel Member],0),_xlfn.XMATCH(Z$2,Table2[#Headers],0))=0,"",INDEX(Table2[],_xlfn.XMATCH($A548,Table2[Steel Member],0),_xlfn.XMATCH(Z$2,Table2[#Headers],0)))</f>
        <v>#N/A</v>
      </c>
      <c r="AA548" s="4" t="e" cm="1">
        <f t="array" ref="AA548">IF(INDEX(Table2[],_xlfn.XMATCH($A548,Table2[Steel Member],0),_xlfn.XMATCH(AA$2,Table2[#Headers],0))=0,"",INDEX(Table2[],_xlfn.XMATCH($A548,Table2[Steel Member],0),_xlfn.XMATCH(AA$2,Table2[#Headers],0)))</f>
        <v>#N/A</v>
      </c>
      <c r="AB548" s="4" t="e" cm="1">
        <f t="array" ref="AB548">IF(INDEX(Table2[],_xlfn.XMATCH($A548,Table2[Steel Member],0),_xlfn.XMATCH(AB$2,Table2[#Headers],0))=0,"",INDEX(Table2[],_xlfn.XMATCH($A548,Table2[Steel Member],0),_xlfn.XMATCH(AB$2,Table2[#Headers],0)))</f>
        <v>#N/A</v>
      </c>
      <c r="AC548" s="4" t="str" cm="1">
        <f t="array" ref="AC548">IFERROR(INDEX(Table8[],_xlfn.XMATCH($O548,Table8[Dimension Name Category],0),_xlfn.XMATCH(AC$2&amp;IF($L548," w/ tag"," w/o tag"),Table8[#Headers],0)),"")</f>
        <v/>
      </c>
      <c r="AD548" s="59" t="str">
        <f t="shared" si="129"/>
        <v/>
      </c>
      <c r="AE548" s="4" t="str">
        <f t="shared" si="130"/>
        <v/>
      </c>
      <c r="AF548" s="4" t="str">
        <f t="shared" si="131"/>
        <v/>
      </c>
      <c r="AG548" s="4" t="str" cm="1">
        <f t="array" ref="AG548">IFERROR(INDEX(Table8[],_xlfn.XMATCH($O548,Table8[Dimension Name Category],0),_xlfn.XMATCH(AG$2&amp;IF($L548," w/ tag"," w/o tag"),Table8[#Headers],0)),"")</f>
        <v/>
      </c>
      <c r="AH548" s="59" t="str">
        <f t="shared" si="132"/>
        <v/>
      </c>
      <c r="AI548" s="4"/>
      <c r="AJ548" s="4" t="str">
        <f t="shared" si="133"/>
        <v/>
      </c>
      <c r="AK548" s="4" t="str">
        <f t="shared" si="134"/>
        <v/>
      </c>
      <c r="AL548" s="4" t="e" cm="1">
        <f t="array" ref="AL548">IF(INDEX(Table2[],_xlfn.XMATCH($A548,Table2[Steel Member],0),_xlfn.XMATCH(AL$2,Table2[#Headers],0))=0,"",INDEX(Table2[],_xlfn.XMATCH($A548,Table2[Steel Member],0),_xlfn.XMATCH(AL$2,Table2[#Headers],0)))</f>
        <v>#N/A</v>
      </c>
      <c r="AM548" s="4"/>
      <c r="AN548" s="4" t="str">
        <f t="shared" si="135"/>
        <v/>
      </c>
      <c r="AO548" s="4"/>
      <c r="AP548" s="4" t="e" cm="1">
        <f t="array" ref="AP548">IF(INDEX(Table2[],_xlfn.XMATCH($A548,Table2[Steel Member],0),_xlfn.XMATCH(AP$2,Table2[#Headers],0))=0,"",INDEX(Table2[],_xlfn.XMATCH($A548,Table2[Steel Member],0),_xlfn.XMATCH(AP$2,Table2[#Headers],0)))</f>
        <v>#N/A</v>
      </c>
      <c r="AQ548" s="4"/>
      <c r="AR548" s="4"/>
      <c r="AS548" s="4"/>
      <c r="AT548" s="4"/>
    </row>
    <row r="549" spans="1:46" x14ac:dyDescent="0.25">
      <c r="A549" s="52"/>
      <c r="B549" s="52"/>
      <c r="C549" s="52"/>
      <c r="D549" s="52"/>
      <c r="E549" s="52"/>
      <c r="F549" s="64" cm="1">
        <f t="array" ref="F549">IF(COUNT(FIND(PurlinsxGirthsxBracings,$C549))&gt;0,0,ROUNDUP(IF(D549=0,0,VLOOKUP(D549,'DATA SHEET'!$B:$D,2,FALSE)),2))</f>
        <v>0</v>
      </c>
      <c r="G549" s="64" cm="1">
        <f t="array" ref="G549">IF(COUNT(FIND(PurlinsxGirthsxBracings,$C549))&gt;0,0,ROUNDUP(IF(D549=0,0,VLOOKUP(D549,'DATA SHEET'!$B:$D,3,FALSE)),2))</f>
        <v>0</v>
      </c>
      <c r="H549" s="53"/>
      <c r="I549" s="66" cm="1">
        <f t="array" ref="I549">IF(AND(ISBLANK(B549),ISBLANK(C549),ISBLANK(E549)),0,IF(COUNT(FIND(PurlinsxGirthsxBracings,$C549))&gt;0,IF(B549=0,CONCATENATE(E549," ",C549),CONCATENATE(B549," - ",E549," ",C549)),IF(B549=0,IF(ISBLANK(C549),E549,CONCATENATE(D549,", ",F549,"kg/m, ",G549,"mm surface perimeter")),IF(AND(ISBLANK(C549),ISTEXT(E549)),CONCATENATE(B549," - ",E549),IF(AND(ISBLANK(C549),ISBLANK(E549)),B549,CONCATENATE(B549," - ",D549,", ",F549,"kg/m, ",G549,"mm surface perimeter"))))&amp;IF(ISBLANK(H549),"",H549)))</f>
        <v>0</v>
      </c>
      <c r="J549" s="53"/>
      <c r="L549" s="4" t="str" cm="1">
        <f t="array" ref="L549">IF(COUNT(FIND({0,1,2,3,4,5,6,7,8,9},B549))&gt;0,COUNT(FIND({0,1,2,3,4,5,6,7,8,9},B549))&gt;0,"")</f>
        <v/>
      </c>
      <c r="M549" s="4" t="str" cm="1">
        <f t="array" aca="1" ref="M549" ca="1">IFERROR(_xlfn.IFS(R549="Count",RANDBETWEEN(1,COUNTIF($R$11:$R$653,"Count")),R549="Length",RANDBETWEEN(1,COUNTIF($R$11:$R$653,"Length"))),"")</f>
        <v/>
      </c>
      <c r="N549" s="4" t="str">
        <f ca="1">IFERROR(_xlfn.RANK.EQ(M549,$M$11:$M$653)+COUNTIF($M$11:M549,M549)-1,"")</f>
        <v/>
      </c>
      <c r="O549" s="86" t="str">
        <f>IF(A549='DATA SHEET'!$L$36,C549,IFERROR(IF(AND(ISTEXT(I549),ISBLANK(C549)),"No details",VLOOKUP(C549,DimFolder,2,FALSE)),""))</f>
        <v/>
      </c>
      <c r="P549" s="4" t="str">
        <f t="shared" si="137"/>
        <v/>
      </c>
      <c r="Q549" s="58" t="str">
        <f t="shared" si="136"/>
        <v/>
      </c>
      <c r="R549" s="4" t="e" cm="1">
        <f t="array" ref="R549">IF(INDEX(Table2[],_xlfn.XMATCH($A549,Table2[Steel Member],0),_xlfn.XMATCH(R$2,Table2[#Headers],0))=0,"",INDEX(Table2[],_xlfn.XMATCH($A549,Table2[Steel Member],0),_xlfn.XMATCH(R$2,Table2[#Headers],0)))</f>
        <v>#N/A</v>
      </c>
      <c r="S549" s="4" t="e" cm="1">
        <f t="array" ref="S549">IF(INDEX(Table2[],_xlfn.XMATCH($A549,Table2[Steel Member],0),_xlfn.XMATCH(S$2,Table2[#Headers],0))=0,"",INDEX(Table2[],_xlfn.XMATCH($A549,Table2[Steel Member],0),_xlfn.XMATCH(S$2,Table2[#Headers],0)))</f>
        <v>#N/A</v>
      </c>
      <c r="T549" s="4" t="str">
        <f t="shared" si="127"/>
        <v/>
      </c>
      <c r="U549" s="4" t="e">
        <f ca="1">VLOOKUP(N549,'COLOR CODE'!$B:$D,2,FALSE)</f>
        <v>#N/A</v>
      </c>
      <c r="V549" s="4" t="str">
        <f t="shared" si="128"/>
        <v/>
      </c>
      <c r="W549" s="4" t="e" cm="1">
        <f t="array" ref="W549">IF(INDEX(Table2[],_xlfn.XMATCH($A549,Table2[Steel Member],0),_xlfn.XMATCH(W$2,Table2[#Headers],0))=0,"",INDEX(Table2[],_xlfn.XMATCH($A549,Table2[Steel Member],0),_xlfn.XMATCH(W$2,Table2[#Headers],0)))</f>
        <v>#N/A</v>
      </c>
      <c r="X549" s="4" t="e">
        <f t="shared" si="138"/>
        <v>#N/A</v>
      </c>
      <c r="Y549" s="4" t="e" cm="1">
        <f t="array" ref="Y549">IF(INDEX(Table2[],_xlfn.XMATCH($A549,Table2[Steel Member],0),_xlfn.XMATCH(Y$2,Table2[#Headers],0))=0,"",INDEX(Table2[],_xlfn.XMATCH($A549,Table2[Steel Member],0),_xlfn.XMATCH(Y$2,Table2[#Headers],0)))</f>
        <v>#N/A</v>
      </c>
      <c r="Z549" s="4" t="e" cm="1">
        <f t="array" ref="Z549">IF(INDEX(Table2[],_xlfn.XMATCH($A549,Table2[Steel Member],0),_xlfn.XMATCH(Z$2,Table2[#Headers],0))=0,"",INDEX(Table2[],_xlfn.XMATCH($A549,Table2[Steel Member],0),_xlfn.XMATCH(Z$2,Table2[#Headers],0)))</f>
        <v>#N/A</v>
      </c>
      <c r="AA549" s="4" t="e" cm="1">
        <f t="array" ref="AA549">IF(INDEX(Table2[],_xlfn.XMATCH($A549,Table2[Steel Member],0),_xlfn.XMATCH(AA$2,Table2[#Headers],0))=0,"",INDEX(Table2[],_xlfn.XMATCH($A549,Table2[Steel Member],0),_xlfn.XMATCH(AA$2,Table2[#Headers],0)))</f>
        <v>#N/A</v>
      </c>
      <c r="AB549" s="4" t="e" cm="1">
        <f t="array" ref="AB549">IF(INDEX(Table2[],_xlfn.XMATCH($A549,Table2[Steel Member],0),_xlfn.XMATCH(AB$2,Table2[#Headers],0))=0,"",INDEX(Table2[],_xlfn.XMATCH($A549,Table2[Steel Member],0),_xlfn.XMATCH(AB$2,Table2[#Headers],0)))</f>
        <v>#N/A</v>
      </c>
      <c r="AC549" s="4" t="str" cm="1">
        <f t="array" ref="AC549">IFERROR(INDEX(Table8[],_xlfn.XMATCH($O549,Table8[Dimension Name Category],0),_xlfn.XMATCH(AC$2&amp;IF($L549," w/ tag"," w/o tag"),Table8[#Headers],0)),"")</f>
        <v/>
      </c>
      <c r="AD549" s="59" t="str">
        <f t="shared" si="129"/>
        <v/>
      </c>
      <c r="AE549" s="4" t="str">
        <f t="shared" si="130"/>
        <v/>
      </c>
      <c r="AF549" s="4" t="str">
        <f t="shared" si="131"/>
        <v/>
      </c>
      <c r="AG549" s="4" t="str" cm="1">
        <f t="array" ref="AG549">IFERROR(INDEX(Table8[],_xlfn.XMATCH($O549,Table8[Dimension Name Category],0),_xlfn.XMATCH(AG$2&amp;IF($L549," w/ tag"," w/o tag"),Table8[#Headers],0)),"")</f>
        <v/>
      </c>
      <c r="AH549" s="59" t="str">
        <f t="shared" si="132"/>
        <v/>
      </c>
      <c r="AI549" s="4"/>
      <c r="AJ549" s="4" t="str">
        <f t="shared" si="133"/>
        <v/>
      </c>
      <c r="AK549" s="4" t="str">
        <f t="shared" si="134"/>
        <v/>
      </c>
      <c r="AL549" s="4" t="e" cm="1">
        <f t="array" ref="AL549">IF(INDEX(Table2[],_xlfn.XMATCH($A549,Table2[Steel Member],0),_xlfn.XMATCH(AL$2,Table2[#Headers],0))=0,"",INDEX(Table2[],_xlfn.XMATCH($A549,Table2[Steel Member],0),_xlfn.XMATCH(AL$2,Table2[#Headers],0)))</f>
        <v>#N/A</v>
      </c>
      <c r="AM549" s="4"/>
      <c r="AN549" s="4" t="str">
        <f t="shared" si="135"/>
        <v/>
      </c>
      <c r="AO549" s="4"/>
      <c r="AP549" s="4" t="e" cm="1">
        <f t="array" ref="AP549">IF(INDEX(Table2[],_xlfn.XMATCH($A549,Table2[Steel Member],0),_xlfn.XMATCH(AP$2,Table2[#Headers],0))=0,"",INDEX(Table2[],_xlfn.XMATCH($A549,Table2[Steel Member],0),_xlfn.XMATCH(AP$2,Table2[#Headers],0)))</f>
        <v>#N/A</v>
      </c>
      <c r="AQ549" s="4"/>
      <c r="AR549" s="4"/>
      <c r="AS549" s="4"/>
      <c r="AT549" s="4"/>
    </row>
    <row r="550" spans="1:46" x14ac:dyDescent="0.25">
      <c r="A550" s="52"/>
      <c r="B550" s="52"/>
      <c r="C550" s="52"/>
      <c r="D550" s="52"/>
      <c r="E550" s="52"/>
      <c r="F550" s="64" cm="1">
        <f t="array" ref="F550">IF(COUNT(FIND(PurlinsxGirthsxBracings,$C550))&gt;0,0,ROUNDUP(IF(D550=0,0,VLOOKUP(D550,'DATA SHEET'!$B:$D,2,FALSE)),2))</f>
        <v>0</v>
      </c>
      <c r="G550" s="64" cm="1">
        <f t="array" ref="G550">IF(COUNT(FIND(PurlinsxGirthsxBracings,$C550))&gt;0,0,ROUNDUP(IF(D550=0,0,VLOOKUP(D550,'DATA SHEET'!$B:$D,3,FALSE)),2))</f>
        <v>0</v>
      </c>
      <c r="H550" s="53"/>
      <c r="I550" s="66" cm="1">
        <f t="array" ref="I550">IF(AND(ISBLANK(B550),ISBLANK(C550),ISBLANK(E550)),0,IF(COUNT(FIND(PurlinsxGirthsxBracings,$C550))&gt;0,IF(B550=0,CONCATENATE(E550," ",C550),CONCATENATE(B550," - ",E550," ",C550)),IF(B550=0,IF(ISBLANK(C550),E550,CONCATENATE(D550,", ",F550,"kg/m, ",G550,"mm surface perimeter")),IF(AND(ISBLANK(C550),ISTEXT(E550)),CONCATENATE(B550," - ",E550),IF(AND(ISBLANK(C550),ISBLANK(E550)),B550,CONCATENATE(B550," - ",D550,", ",F550,"kg/m, ",G550,"mm surface perimeter"))))&amp;IF(ISBLANK(H550),"",H550)))</f>
        <v>0</v>
      </c>
      <c r="J550" s="53"/>
      <c r="L550" s="4" t="str" cm="1">
        <f t="array" ref="L550">IF(COUNT(FIND({0,1,2,3,4,5,6,7,8,9},B550))&gt;0,COUNT(FIND({0,1,2,3,4,5,6,7,8,9},B550))&gt;0,"")</f>
        <v/>
      </c>
      <c r="M550" s="4" t="str" cm="1">
        <f t="array" aca="1" ref="M550" ca="1">IFERROR(_xlfn.IFS(R550="Count",RANDBETWEEN(1,COUNTIF($R$11:$R$653,"Count")),R550="Length",RANDBETWEEN(1,COUNTIF($R$11:$R$653,"Length"))),"")</f>
        <v/>
      </c>
      <c r="N550" s="4" t="str">
        <f ca="1">IFERROR(_xlfn.RANK.EQ(M550,$M$11:$M$653)+COUNTIF($M$11:M550,M550)-1,"")</f>
        <v/>
      </c>
      <c r="O550" s="86" t="str">
        <f>IF(A550='DATA SHEET'!$L$36,C550,IFERROR(IF(AND(ISTEXT(I550),ISBLANK(C550)),"No details",VLOOKUP(C550,DimFolder,2,FALSE)),""))</f>
        <v/>
      </c>
      <c r="P550" s="4" t="str">
        <f t="shared" si="137"/>
        <v/>
      </c>
      <c r="Q550" s="58" t="str">
        <f t="shared" si="136"/>
        <v/>
      </c>
      <c r="R550" s="4" t="e" cm="1">
        <f t="array" ref="R550">IF(INDEX(Table2[],_xlfn.XMATCH($A550,Table2[Steel Member],0),_xlfn.XMATCH(R$2,Table2[#Headers],0))=0,"",INDEX(Table2[],_xlfn.XMATCH($A550,Table2[Steel Member],0),_xlfn.XMATCH(R$2,Table2[#Headers],0)))</f>
        <v>#N/A</v>
      </c>
      <c r="S550" s="4" t="e" cm="1">
        <f t="array" ref="S550">IF(INDEX(Table2[],_xlfn.XMATCH($A550,Table2[Steel Member],0),_xlfn.XMATCH(S$2,Table2[#Headers],0))=0,"",INDEX(Table2[],_xlfn.XMATCH($A550,Table2[Steel Member],0),_xlfn.XMATCH(S$2,Table2[#Headers],0)))</f>
        <v>#N/A</v>
      </c>
      <c r="T550" s="4" t="str">
        <f t="shared" si="127"/>
        <v/>
      </c>
      <c r="U550" s="4" t="e">
        <f ca="1">VLOOKUP(N550,'COLOR CODE'!$B:$D,2,FALSE)</f>
        <v>#N/A</v>
      </c>
      <c r="V550" s="4" t="str">
        <f t="shared" si="128"/>
        <v/>
      </c>
      <c r="W550" s="4" t="e" cm="1">
        <f t="array" ref="W550">IF(INDEX(Table2[],_xlfn.XMATCH($A550,Table2[Steel Member],0),_xlfn.XMATCH(W$2,Table2[#Headers],0))=0,"",INDEX(Table2[],_xlfn.XMATCH($A550,Table2[Steel Member],0),_xlfn.XMATCH(W$2,Table2[#Headers],0)))</f>
        <v>#N/A</v>
      </c>
      <c r="X550" s="4" t="e">
        <f t="shared" si="138"/>
        <v>#N/A</v>
      </c>
      <c r="Y550" s="4" t="e" cm="1">
        <f t="array" ref="Y550">IF(INDEX(Table2[],_xlfn.XMATCH($A550,Table2[Steel Member],0),_xlfn.XMATCH(Y$2,Table2[#Headers],0))=0,"",INDEX(Table2[],_xlfn.XMATCH($A550,Table2[Steel Member],0),_xlfn.XMATCH(Y$2,Table2[#Headers],0)))</f>
        <v>#N/A</v>
      </c>
      <c r="Z550" s="4" t="e" cm="1">
        <f t="array" ref="Z550">IF(INDEX(Table2[],_xlfn.XMATCH($A550,Table2[Steel Member],0),_xlfn.XMATCH(Z$2,Table2[#Headers],0))=0,"",INDEX(Table2[],_xlfn.XMATCH($A550,Table2[Steel Member],0),_xlfn.XMATCH(Z$2,Table2[#Headers],0)))</f>
        <v>#N/A</v>
      </c>
      <c r="AA550" s="4" t="e" cm="1">
        <f t="array" ref="AA550">IF(INDEX(Table2[],_xlfn.XMATCH($A550,Table2[Steel Member],0),_xlfn.XMATCH(AA$2,Table2[#Headers],0))=0,"",INDEX(Table2[],_xlfn.XMATCH($A550,Table2[Steel Member],0),_xlfn.XMATCH(AA$2,Table2[#Headers],0)))</f>
        <v>#N/A</v>
      </c>
      <c r="AB550" s="4" t="e" cm="1">
        <f t="array" ref="AB550">IF(INDEX(Table2[],_xlfn.XMATCH($A550,Table2[Steel Member],0),_xlfn.XMATCH(AB$2,Table2[#Headers],0))=0,"",INDEX(Table2[],_xlfn.XMATCH($A550,Table2[Steel Member],0),_xlfn.XMATCH(AB$2,Table2[#Headers],0)))</f>
        <v>#N/A</v>
      </c>
      <c r="AC550" s="4" t="str" cm="1">
        <f t="array" ref="AC550">IFERROR(INDEX(Table8[],_xlfn.XMATCH($O550,Table8[Dimension Name Category],0),_xlfn.XMATCH(AC$2&amp;IF($L550," w/ tag"," w/o tag"),Table8[#Headers],0)),"")</f>
        <v/>
      </c>
      <c r="AD550" s="59" t="str">
        <f t="shared" si="129"/>
        <v/>
      </c>
      <c r="AE550" s="4" t="str">
        <f t="shared" si="130"/>
        <v/>
      </c>
      <c r="AF550" s="4" t="str">
        <f t="shared" si="131"/>
        <v/>
      </c>
      <c r="AG550" s="4" t="str" cm="1">
        <f t="array" ref="AG550">IFERROR(INDEX(Table8[],_xlfn.XMATCH($O550,Table8[Dimension Name Category],0),_xlfn.XMATCH(AG$2&amp;IF($L550," w/ tag"," w/o tag"),Table8[#Headers],0)),"")</f>
        <v/>
      </c>
      <c r="AH550" s="59" t="str">
        <f t="shared" si="132"/>
        <v/>
      </c>
      <c r="AI550" s="4"/>
      <c r="AJ550" s="4" t="str">
        <f t="shared" si="133"/>
        <v/>
      </c>
      <c r="AK550" s="4" t="str">
        <f t="shared" si="134"/>
        <v/>
      </c>
      <c r="AL550" s="4" t="e" cm="1">
        <f t="array" ref="AL550">IF(INDEX(Table2[],_xlfn.XMATCH($A550,Table2[Steel Member],0),_xlfn.XMATCH(AL$2,Table2[#Headers],0))=0,"",INDEX(Table2[],_xlfn.XMATCH($A550,Table2[Steel Member],0),_xlfn.XMATCH(AL$2,Table2[#Headers],0)))</f>
        <v>#N/A</v>
      </c>
      <c r="AM550" s="4"/>
      <c r="AN550" s="4" t="str">
        <f t="shared" si="135"/>
        <v/>
      </c>
      <c r="AO550" s="4"/>
      <c r="AP550" s="4" t="e" cm="1">
        <f t="array" ref="AP550">IF(INDEX(Table2[],_xlfn.XMATCH($A550,Table2[Steel Member],0),_xlfn.XMATCH(AP$2,Table2[#Headers],0))=0,"",INDEX(Table2[],_xlfn.XMATCH($A550,Table2[Steel Member],0),_xlfn.XMATCH(AP$2,Table2[#Headers],0)))</f>
        <v>#N/A</v>
      </c>
      <c r="AQ550" s="4"/>
      <c r="AR550" s="4"/>
      <c r="AS550" s="4"/>
      <c r="AT550" s="4"/>
    </row>
    <row r="551" spans="1:46" x14ac:dyDescent="0.25">
      <c r="A551" s="52"/>
      <c r="B551" s="52"/>
      <c r="C551" s="52"/>
      <c r="D551" s="52"/>
      <c r="E551" s="52"/>
      <c r="F551" s="64" cm="1">
        <f t="array" ref="F551">IF(COUNT(FIND(PurlinsxGirthsxBracings,$C551))&gt;0,0,ROUNDUP(IF(D551=0,0,VLOOKUP(D551,'DATA SHEET'!$B:$D,2,FALSE)),2))</f>
        <v>0</v>
      </c>
      <c r="G551" s="64" cm="1">
        <f t="array" ref="G551">IF(COUNT(FIND(PurlinsxGirthsxBracings,$C551))&gt;0,0,ROUNDUP(IF(D551=0,0,VLOOKUP(D551,'DATA SHEET'!$B:$D,3,FALSE)),2))</f>
        <v>0</v>
      </c>
      <c r="H551" s="53"/>
      <c r="I551" s="66" cm="1">
        <f t="array" ref="I551">IF(AND(ISBLANK(B551),ISBLANK(C551),ISBLANK(E551)),0,IF(COUNT(FIND(PurlinsxGirthsxBracings,$C551))&gt;0,IF(B551=0,CONCATENATE(E551," ",C551),CONCATENATE(B551," - ",E551," ",C551)),IF(B551=0,IF(ISBLANK(C551),E551,CONCATENATE(D551,", ",F551,"kg/m, ",G551,"mm surface perimeter")),IF(AND(ISBLANK(C551),ISTEXT(E551)),CONCATENATE(B551," - ",E551),IF(AND(ISBLANK(C551),ISBLANK(E551)),B551,CONCATENATE(B551," - ",D551,", ",F551,"kg/m, ",G551,"mm surface perimeter"))))&amp;IF(ISBLANK(H551),"",H551)))</f>
        <v>0</v>
      </c>
      <c r="J551" s="53"/>
      <c r="L551" s="4" t="str" cm="1">
        <f t="array" ref="L551">IF(COUNT(FIND({0,1,2,3,4,5,6,7,8,9},B551))&gt;0,COUNT(FIND({0,1,2,3,4,5,6,7,8,9},B551))&gt;0,"")</f>
        <v/>
      </c>
      <c r="M551" s="4" t="str" cm="1">
        <f t="array" aca="1" ref="M551" ca="1">IFERROR(_xlfn.IFS(R551="Count",RANDBETWEEN(1,COUNTIF($R$11:$R$653,"Count")),R551="Length",RANDBETWEEN(1,COUNTIF($R$11:$R$653,"Length"))),"")</f>
        <v/>
      </c>
      <c r="N551" s="4" t="str">
        <f ca="1">IFERROR(_xlfn.RANK.EQ(M551,$M$11:$M$653)+COUNTIF($M$11:M551,M551)-1,"")</f>
        <v/>
      </c>
      <c r="O551" s="86" t="str">
        <f>IF(A551='DATA SHEET'!$L$36,C551,IFERROR(IF(AND(ISTEXT(I551),ISBLANK(C551)),"No details",VLOOKUP(C551,DimFolder,2,FALSE)),""))</f>
        <v/>
      </c>
      <c r="P551" s="4" t="str">
        <f t="shared" si="137"/>
        <v/>
      </c>
      <c r="Q551" s="58" t="str">
        <f t="shared" si="136"/>
        <v/>
      </c>
      <c r="R551" s="4" t="e" cm="1">
        <f t="array" ref="R551">IF(INDEX(Table2[],_xlfn.XMATCH($A551,Table2[Steel Member],0),_xlfn.XMATCH(R$2,Table2[#Headers],0))=0,"",INDEX(Table2[],_xlfn.XMATCH($A551,Table2[Steel Member],0),_xlfn.XMATCH(R$2,Table2[#Headers],0)))</f>
        <v>#N/A</v>
      </c>
      <c r="S551" s="4" t="e" cm="1">
        <f t="array" ref="S551">IF(INDEX(Table2[],_xlfn.XMATCH($A551,Table2[Steel Member],0),_xlfn.XMATCH(S$2,Table2[#Headers],0))=0,"",INDEX(Table2[],_xlfn.XMATCH($A551,Table2[Steel Member],0),_xlfn.XMATCH(S$2,Table2[#Headers],0)))</f>
        <v>#N/A</v>
      </c>
      <c r="T551" s="4" t="str">
        <f t="shared" si="127"/>
        <v/>
      </c>
      <c r="U551" s="4" t="e">
        <f ca="1">VLOOKUP(N551,'COLOR CODE'!$B:$D,2,FALSE)</f>
        <v>#N/A</v>
      </c>
      <c r="V551" s="4" t="str">
        <f t="shared" si="128"/>
        <v/>
      </c>
      <c r="W551" s="4" t="e" cm="1">
        <f t="array" ref="W551">IF(INDEX(Table2[],_xlfn.XMATCH($A551,Table2[Steel Member],0),_xlfn.XMATCH(W$2,Table2[#Headers],0))=0,"",INDEX(Table2[],_xlfn.XMATCH($A551,Table2[Steel Member],0),_xlfn.XMATCH(W$2,Table2[#Headers],0)))</f>
        <v>#N/A</v>
      </c>
      <c r="X551" s="4" t="e">
        <f t="shared" si="138"/>
        <v>#N/A</v>
      </c>
      <c r="Y551" s="4" t="e" cm="1">
        <f t="array" ref="Y551">IF(INDEX(Table2[],_xlfn.XMATCH($A551,Table2[Steel Member],0),_xlfn.XMATCH(Y$2,Table2[#Headers],0))=0,"",INDEX(Table2[],_xlfn.XMATCH($A551,Table2[Steel Member],0),_xlfn.XMATCH(Y$2,Table2[#Headers],0)))</f>
        <v>#N/A</v>
      </c>
      <c r="Z551" s="4" t="e" cm="1">
        <f t="array" ref="Z551">IF(INDEX(Table2[],_xlfn.XMATCH($A551,Table2[Steel Member],0),_xlfn.XMATCH(Z$2,Table2[#Headers],0))=0,"",INDEX(Table2[],_xlfn.XMATCH($A551,Table2[Steel Member],0),_xlfn.XMATCH(Z$2,Table2[#Headers],0)))</f>
        <v>#N/A</v>
      </c>
      <c r="AA551" s="4" t="e" cm="1">
        <f t="array" ref="AA551">IF(INDEX(Table2[],_xlfn.XMATCH($A551,Table2[Steel Member],0),_xlfn.XMATCH(AA$2,Table2[#Headers],0))=0,"",INDEX(Table2[],_xlfn.XMATCH($A551,Table2[Steel Member],0),_xlfn.XMATCH(AA$2,Table2[#Headers],0)))</f>
        <v>#N/A</v>
      </c>
      <c r="AB551" s="4" t="e" cm="1">
        <f t="array" ref="AB551">IF(INDEX(Table2[],_xlfn.XMATCH($A551,Table2[Steel Member],0),_xlfn.XMATCH(AB$2,Table2[#Headers],0))=0,"",INDEX(Table2[],_xlfn.XMATCH($A551,Table2[Steel Member],0),_xlfn.XMATCH(AB$2,Table2[#Headers],0)))</f>
        <v>#N/A</v>
      </c>
      <c r="AC551" s="4" t="str" cm="1">
        <f t="array" ref="AC551">IFERROR(INDEX(Table8[],_xlfn.XMATCH($O551,Table8[Dimension Name Category],0),_xlfn.XMATCH(AC$2&amp;IF($L551," w/ tag"," w/o tag"),Table8[#Headers],0)),"")</f>
        <v/>
      </c>
      <c r="AD551" s="59" t="str">
        <f t="shared" si="129"/>
        <v/>
      </c>
      <c r="AE551" s="4" t="str">
        <f t="shared" si="130"/>
        <v/>
      </c>
      <c r="AF551" s="4" t="str">
        <f t="shared" si="131"/>
        <v/>
      </c>
      <c r="AG551" s="4" t="str" cm="1">
        <f t="array" ref="AG551">IFERROR(INDEX(Table8[],_xlfn.XMATCH($O551,Table8[Dimension Name Category],0),_xlfn.XMATCH(AG$2&amp;IF($L551," w/ tag"," w/o tag"),Table8[#Headers],0)),"")</f>
        <v/>
      </c>
      <c r="AH551" s="59" t="str">
        <f t="shared" si="132"/>
        <v/>
      </c>
      <c r="AI551" s="4"/>
      <c r="AJ551" s="4" t="str">
        <f t="shared" si="133"/>
        <v/>
      </c>
      <c r="AK551" s="4" t="str">
        <f t="shared" si="134"/>
        <v/>
      </c>
      <c r="AL551" s="4" t="e" cm="1">
        <f t="array" ref="AL551">IF(INDEX(Table2[],_xlfn.XMATCH($A551,Table2[Steel Member],0),_xlfn.XMATCH(AL$2,Table2[#Headers],0))=0,"",INDEX(Table2[],_xlfn.XMATCH($A551,Table2[Steel Member],0),_xlfn.XMATCH(AL$2,Table2[#Headers],0)))</f>
        <v>#N/A</v>
      </c>
      <c r="AM551" s="4"/>
      <c r="AN551" s="4" t="str">
        <f t="shared" si="135"/>
        <v/>
      </c>
      <c r="AO551" s="4"/>
      <c r="AP551" s="4" t="e" cm="1">
        <f t="array" ref="AP551">IF(INDEX(Table2[],_xlfn.XMATCH($A551,Table2[Steel Member],0),_xlfn.XMATCH(AP$2,Table2[#Headers],0))=0,"",INDEX(Table2[],_xlfn.XMATCH($A551,Table2[Steel Member],0),_xlfn.XMATCH(AP$2,Table2[#Headers],0)))</f>
        <v>#N/A</v>
      </c>
      <c r="AQ551" s="4"/>
      <c r="AR551" s="4"/>
      <c r="AS551" s="4"/>
      <c r="AT551" s="4"/>
    </row>
    <row r="552" spans="1:46" x14ac:dyDescent="0.25">
      <c r="A552" s="52"/>
      <c r="B552" s="52"/>
      <c r="C552" s="52"/>
      <c r="D552" s="52"/>
      <c r="E552" s="52"/>
      <c r="F552" s="64" cm="1">
        <f t="array" ref="F552">IF(COUNT(FIND(PurlinsxGirthsxBracings,$C552))&gt;0,0,ROUNDUP(IF(D552=0,0,VLOOKUP(D552,'DATA SHEET'!$B:$D,2,FALSE)),2))</f>
        <v>0</v>
      </c>
      <c r="G552" s="64" cm="1">
        <f t="array" ref="G552">IF(COUNT(FIND(PurlinsxGirthsxBracings,$C552))&gt;0,0,ROUNDUP(IF(D552=0,0,VLOOKUP(D552,'DATA SHEET'!$B:$D,3,FALSE)),2))</f>
        <v>0</v>
      </c>
      <c r="H552" s="53"/>
      <c r="I552" s="66" cm="1">
        <f t="array" ref="I552">IF(AND(ISBLANK(B552),ISBLANK(C552),ISBLANK(E552)),0,IF(COUNT(FIND(PurlinsxGirthsxBracings,$C552))&gt;0,IF(B552=0,CONCATENATE(E552," ",C552),CONCATENATE(B552," - ",E552," ",C552)),IF(B552=0,IF(ISBLANK(C552),E552,CONCATENATE(D552,", ",F552,"kg/m, ",G552,"mm surface perimeter")),IF(AND(ISBLANK(C552),ISTEXT(E552)),CONCATENATE(B552," - ",E552),IF(AND(ISBLANK(C552),ISBLANK(E552)),B552,CONCATENATE(B552," - ",D552,", ",F552,"kg/m, ",G552,"mm surface perimeter"))))&amp;IF(ISBLANK(H552),"",H552)))</f>
        <v>0</v>
      </c>
      <c r="J552" s="53"/>
      <c r="L552" s="4" t="str" cm="1">
        <f t="array" ref="L552">IF(COUNT(FIND({0,1,2,3,4,5,6,7,8,9},B552))&gt;0,COUNT(FIND({0,1,2,3,4,5,6,7,8,9},B552))&gt;0,"")</f>
        <v/>
      </c>
      <c r="M552" s="4" t="str" cm="1">
        <f t="array" aca="1" ref="M552" ca="1">IFERROR(_xlfn.IFS(R552="Count",RANDBETWEEN(1,COUNTIF($R$11:$R$653,"Count")),R552="Length",RANDBETWEEN(1,COUNTIF($R$11:$R$653,"Length"))),"")</f>
        <v/>
      </c>
      <c r="N552" s="4" t="str">
        <f ca="1">IFERROR(_xlfn.RANK.EQ(M552,$M$11:$M$653)+COUNTIF($M$11:M552,M552)-1,"")</f>
        <v/>
      </c>
      <c r="O552" s="86" t="str">
        <f>IF(A552='DATA SHEET'!$L$36,C552,IFERROR(IF(AND(ISTEXT(I552),ISBLANK(C552)),"No details",VLOOKUP(C552,DimFolder,2,FALSE)),""))</f>
        <v/>
      </c>
      <c r="P552" s="4" t="str">
        <f t="shared" si="137"/>
        <v/>
      </c>
      <c r="Q552" s="58" t="str">
        <f t="shared" si="136"/>
        <v/>
      </c>
      <c r="R552" s="4" t="e" cm="1">
        <f t="array" ref="R552">IF(INDEX(Table2[],_xlfn.XMATCH($A552,Table2[Steel Member],0),_xlfn.XMATCH(R$2,Table2[#Headers],0))=0,"",INDEX(Table2[],_xlfn.XMATCH($A552,Table2[Steel Member],0),_xlfn.XMATCH(R$2,Table2[#Headers],0)))</f>
        <v>#N/A</v>
      </c>
      <c r="S552" s="4" t="e" cm="1">
        <f t="array" ref="S552">IF(INDEX(Table2[],_xlfn.XMATCH($A552,Table2[Steel Member],0),_xlfn.XMATCH(S$2,Table2[#Headers],0))=0,"",INDEX(Table2[],_xlfn.XMATCH($A552,Table2[Steel Member],0),_xlfn.XMATCH(S$2,Table2[#Headers],0)))</f>
        <v>#N/A</v>
      </c>
      <c r="T552" s="4" t="str">
        <f t="shared" si="127"/>
        <v/>
      </c>
      <c r="U552" s="4" t="e">
        <f ca="1">VLOOKUP(N552,'COLOR CODE'!$B:$D,2,FALSE)</f>
        <v>#N/A</v>
      </c>
      <c r="V552" s="4" t="str">
        <f t="shared" si="128"/>
        <v/>
      </c>
      <c r="W552" s="4" t="e" cm="1">
        <f t="array" ref="W552">IF(INDEX(Table2[],_xlfn.XMATCH($A552,Table2[Steel Member],0),_xlfn.XMATCH(W$2,Table2[#Headers],0))=0,"",INDEX(Table2[],_xlfn.XMATCH($A552,Table2[Steel Member],0),_xlfn.XMATCH(W$2,Table2[#Headers],0)))</f>
        <v>#N/A</v>
      </c>
      <c r="X552" s="4" t="e">
        <f t="shared" si="138"/>
        <v>#N/A</v>
      </c>
      <c r="Y552" s="4" t="e" cm="1">
        <f t="array" ref="Y552">IF(INDEX(Table2[],_xlfn.XMATCH($A552,Table2[Steel Member],0),_xlfn.XMATCH(Y$2,Table2[#Headers],0))=0,"",INDEX(Table2[],_xlfn.XMATCH($A552,Table2[Steel Member],0),_xlfn.XMATCH(Y$2,Table2[#Headers],0)))</f>
        <v>#N/A</v>
      </c>
      <c r="Z552" s="4" t="e" cm="1">
        <f t="array" ref="Z552">IF(INDEX(Table2[],_xlfn.XMATCH($A552,Table2[Steel Member],0),_xlfn.XMATCH(Z$2,Table2[#Headers],0))=0,"",INDEX(Table2[],_xlfn.XMATCH($A552,Table2[Steel Member],0),_xlfn.XMATCH(Z$2,Table2[#Headers],0)))</f>
        <v>#N/A</v>
      </c>
      <c r="AA552" s="4" t="e" cm="1">
        <f t="array" ref="AA552">IF(INDEX(Table2[],_xlfn.XMATCH($A552,Table2[Steel Member],0),_xlfn.XMATCH(AA$2,Table2[#Headers],0))=0,"",INDEX(Table2[],_xlfn.XMATCH($A552,Table2[Steel Member],0),_xlfn.XMATCH(AA$2,Table2[#Headers],0)))</f>
        <v>#N/A</v>
      </c>
      <c r="AB552" s="4" t="e" cm="1">
        <f t="array" ref="AB552">IF(INDEX(Table2[],_xlfn.XMATCH($A552,Table2[Steel Member],0),_xlfn.XMATCH(AB$2,Table2[#Headers],0))=0,"",INDEX(Table2[],_xlfn.XMATCH($A552,Table2[Steel Member],0),_xlfn.XMATCH(AB$2,Table2[#Headers],0)))</f>
        <v>#N/A</v>
      </c>
      <c r="AC552" s="4" t="str" cm="1">
        <f t="array" ref="AC552">IFERROR(INDEX(Table8[],_xlfn.XMATCH($O552,Table8[Dimension Name Category],0),_xlfn.XMATCH(AC$2&amp;IF($L552," w/ tag"," w/o tag"),Table8[#Headers],0)),"")</f>
        <v/>
      </c>
      <c r="AD552" s="59" t="str">
        <f t="shared" si="129"/>
        <v/>
      </c>
      <c r="AE552" s="4" t="str">
        <f t="shared" si="130"/>
        <v/>
      </c>
      <c r="AF552" s="4" t="str">
        <f t="shared" si="131"/>
        <v/>
      </c>
      <c r="AG552" s="4" t="str" cm="1">
        <f t="array" ref="AG552">IFERROR(INDEX(Table8[],_xlfn.XMATCH($O552,Table8[Dimension Name Category],0),_xlfn.XMATCH(AG$2&amp;IF($L552," w/ tag"," w/o tag"),Table8[#Headers],0)),"")</f>
        <v/>
      </c>
      <c r="AH552" s="59" t="str">
        <f t="shared" si="132"/>
        <v/>
      </c>
      <c r="AI552" s="4"/>
      <c r="AJ552" s="4" t="str">
        <f t="shared" si="133"/>
        <v/>
      </c>
      <c r="AK552" s="4" t="str">
        <f t="shared" si="134"/>
        <v/>
      </c>
      <c r="AL552" s="4" t="e" cm="1">
        <f t="array" ref="AL552">IF(INDEX(Table2[],_xlfn.XMATCH($A552,Table2[Steel Member],0),_xlfn.XMATCH(AL$2,Table2[#Headers],0))=0,"",INDEX(Table2[],_xlfn.XMATCH($A552,Table2[Steel Member],0),_xlfn.XMATCH(AL$2,Table2[#Headers],0)))</f>
        <v>#N/A</v>
      </c>
      <c r="AM552" s="4"/>
      <c r="AN552" s="4" t="str">
        <f t="shared" si="135"/>
        <v/>
      </c>
      <c r="AO552" s="4"/>
      <c r="AP552" s="4" t="e" cm="1">
        <f t="array" ref="AP552">IF(INDEX(Table2[],_xlfn.XMATCH($A552,Table2[Steel Member],0),_xlfn.XMATCH(AP$2,Table2[#Headers],0))=0,"",INDEX(Table2[],_xlfn.XMATCH($A552,Table2[Steel Member],0),_xlfn.XMATCH(AP$2,Table2[#Headers],0)))</f>
        <v>#N/A</v>
      </c>
      <c r="AQ552" s="4"/>
      <c r="AR552" s="4"/>
      <c r="AS552" s="4"/>
      <c r="AT552" s="4"/>
    </row>
    <row r="553" spans="1:46" x14ac:dyDescent="0.25">
      <c r="A553" s="52"/>
      <c r="B553" s="52"/>
      <c r="C553" s="52"/>
      <c r="D553" s="52"/>
      <c r="E553" s="52"/>
      <c r="F553" s="64" cm="1">
        <f t="array" ref="F553">IF(COUNT(FIND(PurlinsxGirthsxBracings,$C553))&gt;0,0,ROUNDUP(IF(D553=0,0,VLOOKUP(D553,'DATA SHEET'!$B:$D,2,FALSE)),2))</f>
        <v>0</v>
      </c>
      <c r="G553" s="64" cm="1">
        <f t="array" ref="G553">IF(COUNT(FIND(PurlinsxGirthsxBracings,$C553))&gt;0,0,ROUNDUP(IF(D553=0,0,VLOOKUP(D553,'DATA SHEET'!$B:$D,3,FALSE)),2))</f>
        <v>0</v>
      </c>
      <c r="H553" s="53"/>
      <c r="I553" s="66" cm="1">
        <f t="array" ref="I553">IF(AND(ISBLANK(B553),ISBLANK(C553),ISBLANK(E553)),0,IF(COUNT(FIND(PurlinsxGirthsxBracings,$C553))&gt;0,IF(B553=0,CONCATENATE(E553," ",C553),CONCATENATE(B553," - ",E553," ",C553)),IF(B553=0,IF(ISBLANK(C553),E553,CONCATENATE(D553,", ",F553,"kg/m, ",G553,"mm surface perimeter")),IF(AND(ISBLANK(C553),ISTEXT(E553)),CONCATENATE(B553," - ",E553),IF(AND(ISBLANK(C553),ISBLANK(E553)),B553,CONCATENATE(B553," - ",D553,", ",F553,"kg/m, ",G553,"mm surface perimeter"))))&amp;IF(ISBLANK(H553),"",H553)))</f>
        <v>0</v>
      </c>
      <c r="J553" s="53"/>
      <c r="L553" s="4" t="str" cm="1">
        <f t="array" ref="L553">IF(COUNT(FIND({0,1,2,3,4,5,6,7,8,9},B553))&gt;0,COUNT(FIND({0,1,2,3,4,5,6,7,8,9},B553))&gt;0,"")</f>
        <v/>
      </c>
      <c r="M553" s="4" t="str" cm="1">
        <f t="array" aca="1" ref="M553" ca="1">IFERROR(_xlfn.IFS(R553="Count",RANDBETWEEN(1,COUNTIF($R$11:$R$653,"Count")),R553="Length",RANDBETWEEN(1,COUNTIF($R$11:$R$653,"Length"))),"")</f>
        <v/>
      </c>
      <c r="N553" s="4" t="str">
        <f ca="1">IFERROR(_xlfn.RANK.EQ(M553,$M$11:$M$653)+COUNTIF($M$11:M553,M553)-1,"")</f>
        <v/>
      </c>
      <c r="O553" s="86" t="str">
        <f>IF(A553='DATA SHEET'!$L$36,C553,IFERROR(IF(AND(ISTEXT(I553),ISBLANK(C553)),"No details",VLOOKUP(C553,DimFolder,2,FALSE)),""))</f>
        <v/>
      </c>
      <c r="P553" s="4" t="str">
        <f t="shared" si="137"/>
        <v/>
      </c>
      <c r="Q553" s="58" t="str">
        <f t="shared" si="136"/>
        <v/>
      </c>
      <c r="R553" s="4" t="e" cm="1">
        <f t="array" ref="R553">IF(INDEX(Table2[],_xlfn.XMATCH($A553,Table2[Steel Member],0),_xlfn.XMATCH(R$2,Table2[#Headers],0))=0,"",INDEX(Table2[],_xlfn.XMATCH($A553,Table2[Steel Member],0),_xlfn.XMATCH(R$2,Table2[#Headers],0)))</f>
        <v>#N/A</v>
      </c>
      <c r="S553" s="4" t="e" cm="1">
        <f t="array" ref="S553">IF(INDEX(Table2[],_xlfn.XMATCH($A553,Table2[Steel Member],0),_xlfn.XMATCH(S$2,Table2[#Headers],0))=0,"",INDEX(Table2[],_xlfn.XMATCH($A553,Table2[Steel Member],0),_xlfn.XMATCH(S$2,Table2[#Headers],0)))</f>
        <v>#N/A</v>
      </c>
      <c r="T553" s="4" t="str">
        <f t="shared" si="127"/>
        <v/>
      </c>
      <c r="U553" s="4" t="e">
        <f ca="1">VLOOKUP(N553,'COLOR CODE'!$B:$D,2,FALSE)</f>
        <v>#N/A</v>
      </c>
      <c r="V553" s="4" t="str">
        <f t="shared" si="128"/>
        <v/>
      </c>
      <c r="W553" s="4" t="e" cm="1">
        <f t="array" ref="W553">IF(INDEX(Table2[],_xlfn.XMATCH($A553,Table2[Steel Member],0),_xlfn.XMATCH(W$2,Table2[#Headers],0))=0,"",INDEX(Table2[],_xlfn.XMATCH($A553,Table2[Steel Member],0),_xlfn.XMATCH(W$2,Table2[#Headers],0)))</f>
        <v>#N/A</v>
      </c>
      <c r="X553" s="4" t="e">
        <f t="shared" si="138"/>
        <v>#N/A</v>
      </c>
      <c r="Y553" s="4" t="e" cm="1">
        <f t="array" ref="Y553">IF(INDEX(Table2[],_xlfn.XMATCH($A553,Table2[Steel Member],0),_xlfn.XMATCH(Y$2,Table2[#Headers],0))=0,"",INDEX(Table2[],_xlfn.XMATCH($A553,Table2[Steel Member],0),_xlfn.XMATCH(Y$2,Table2[#Headers],0)))</f>
        <v>#N/A</v>
      </c>
      <c r="Z553" s="4" t="e" cm="1">
        <f t="array" ref="Z553">IF(INDEX(Table2[],_xlfn.XMATCH($A553,Table2[Steel Member],0),_xlfn.XMATCH(Z$2,Table2[#Headers],0))=0,"",INDEX(Table2[],_xlfn.XMATCH($A553,Table2[Steel Member],0),_xlfn.XMATCH(Z$2,Table2[#Headers],0)))</f>
        <v>#N/A</v>
      </c>
      <c r="AA553" s="4" t="e" cm="1">
        <f t="array" ref="AA553">IF(INDEX(Table2[],_xlfn.XMATCH($A553,Table2[Steel Member],0),_xlfn.XMATCH(AA$2,Table2[#Headers],0))=0,"",INDEX(Table2[],_xlfn.XMATCH($A553,Table2[Steel Member],0),_xlfn.XMATCH(AA$2,Table2[#Headers],0)))</f>
        <v>#N/A</v>
      </c>
      <c r="AB553" s="4" t="e" cm="1">
        <f t="array" ref="AB553">IF(INDEX(Table2[],_xlfn.XMATCH($A553,Table2[Steel Member],0),_xlfn.XMATCH(AB$2,Table2[#Headers],0))=0,"",INDEX(Table2[],_xlfn.XMATCH($A553,Table2[Steel Member],0),_xlfn.XMATCH(AB$2,Table2[#Headers],0)))</f>
        <v>#N/A</v>
      </c>
      <c r="AC553" s="4" t="str" cm="1">
        <f t="array" ref="AC553">IFERROR(INDEX(Table8[],_xlfn.XMATCH($O553,Table8[Dimension Name Category],0),_xlfn.XMATCH(AC$2&amp;IF($L553," w/ tag"," w/o tag"),Table8[#Headers],0)),"")</f>
        <v/>
      </c>
      <c r="AD553" s="59" t="str">
        <f t="shared" si="129"/>
        <v/>
      </c>
      <c r="AE553" s="4" t="str">
        <f t="shared" si="130"/>
        <v/>
      </c>
      <c r="AF553" s="4" t="str">
        <f t="shared" si="131"/>
        <v/>
      </c>
      <c r="AG553" s="4" t="str" cm="1">
        <f t="array" ref="AG553">IFERROR(INDEX(Table8[],_xlfn.XMATCH($O553,Table8[Dimension Name Category],0),_xlfn.XMATCH(AG$2&amp;IF($L553," w/ tag"," w/o tag"),Table8[#Headers],0)),"")</f>
        <v/>
      </c>
      <c r="AH553" s="59" t="str">
        <f t="shared" si="132"/>
        <v/>
      </c>
      <c r="AI553" s="4"/>
      <c r="AJ553" s="4" t="str">
        <f t="shared" si="133"/>
        <v/>
      </c>
      <c r="AK553" s="4" t="str">
        <f t="shared" si="134"/>
        <v/>
      </c>
      <c r="AL553" s="4" t="e" cm="1">
        <f t="array" ref="AL553">IF(INDEX(Table2[],_xlfn.XMATCH($A553,Table2[Steel Member],0),_xlfn.XMATCH(AL$2,Table2[#Headers],0))=0,"",INDEX(Table2[],_xlfn.XMATCH($A553,Table2[Steel Member],0),_xlfn.XMATCH(AL$2,Table2[#Headers],0)))</f>
        <v>#N/A</v>
      </c>
      <c r="AM553" s="4"/>
      <c r="AN553" s="4" t="str">
        <f t="shared" si="135"/>
        <v/>
      </c>
      <c r="AO553" s="4"/>
      <c r="AP553" s="4" t="e" cm="1">
        <f t="array" ref="AP553">IF(INDEX(Table2[],_xlfn.XMATCH($A553,Table2[Steel Member],0),_xlfn.XMATCH(AP$2,Table2[#Headers],0))=0,"",INDEX(Table2[],_xlfn.XMATCH($A553,Table2[Steel Member],0),_xlfn.XMATCH(AP$2,Table2[#Headers],0)))</f>
        <v>#N/A</v>
      </c>
      <c r="AQ553" s="4"/>
      <c r="AR553" s="4"/>
      <c r="AS553" s="4"/>
      <c r="AT553" s="4"/>
    </row>
    <row r="554" spans="1:46" x14ac:dyDescent="0.25">
      <c r="A554" s="52"/>
      <c r="B554" s="52"/>
      <c r="C554" s="52"/>
      <c r="D554" s="52"/>
      <c r="E554" s="52"/>
      <c r="F554" s="64" cm="1">
        <f t="array" ref="F554">IF(COUNT(FIND(PurlinsxGirthsxBracings,$C554))&gt;0,0,ROUNDUP(IF(D554=0,0,VLOOKUP(D554,'DATA SHEET'!$B:$D,2,FALSE)),2))</f>
        <v>0</v>
      </c>
      <c r="G554" s="64" cm="1">
        <f t="array" ref="G554">IF(COUNT(FIND(PurlinsxGirthsxBracings,$C554))&gt;0,0,ROUNDUP(IF(D554=0,0,VLOOKUP(D554,'DATA SHEET'!$B:$D,3,FALSE)),2))</f>
        <v>0</v>
      </c>
      <c r="H554" s="53"/>
      <c r="I554" s="66" cm="1">
        <f t="array" ref="I554">IF(AND(ISBLANK(B554),ISBLANK(C554),ISBLANK(E554)),0,IF(COUNT(FIND(PurlinsxGirthsxBracings,$C554))&gt;0,IF(B554=0,CONCATENATE(E554," ",C554),CONCATENATE(B554," - ",E554," ",C554)),IF(B554=0,IF(ISBLANK(C554),E554,CONCATENATE(D554,", ",F554,"kg/m, ",G554,"mm surface perimeter")),IF(AND(ISBLANK(C554),ISTEXT(E554)),CONCATENATE(B554," - ",E554),IF(AND(ISBLANK(C554),ISBLANK(E554)),B554,CONCATENATE(B554," - ",D554,", ",F554,"kg/m, ",G554,"mm surface perimeter"))))&amp;IF(ISBLANK(H554),"",H554)))</f>
        <v>0</v>
      </c>
      <c r="J554" s="53"/>
      <c r="L554" s="4" t="str" cm="1">
        <f t="array" ref="L554">IF(COUNT(FIND({0,1,2,3,4,5,6,7,8,9},B554))&gt;0,COUNT(FIND({0,1,2,3,4,5,6,7,8,9},B554))&gt;0,"")</f>
        <v/>
      </c>
      <c r="M554" s="4" t="str" cm="1">
        <f t="array" aca="1" ref="M554" ca="1">IFERROR(_xlfn.IFS(R554="Count",RANDBETWEEN(1,COUNTIF($R$11:$R$653,"Count")),R554="Length",RANDBETWEEN(1,COUNTIF($R$11:$R$653,"Length"))),"")</f>
        <v/>
      </c>
      <c r="N554" s="4" t="str">
        <f ca="1">IFERROR(_xlfn.RANK.EQ(M554,$M$11:$M$653)+COUNTIF($M$11:M554,M554)-1,"")</f>
        <v/>
      </c>
      <c r="O554" s="86" t="str">
        <f>IF(A554='DATA SHEET'!$L$36,C554,IFERROR(IF(AND(ISTEXT(I554),ISBLANK(C554)),"No details",VLOOKUP(C554,DimFolder,2,FALSE)),""))</f>
        <v/>
      </c>
      <c r="P554" s="4" t="str">
        <f t="shared" si="137"/>
        <v/>
      </c>
      <c r="Q554" s="58" t="str">
        <f t="shared" si="136"/>
        <v/>
      </c>
      <c r="R554" s="4" t="e" cm="1">
        <f t="array" ref="R554">IF(INDEX(Table2[],_xlfn.XMATCH($A554,Table2[Steel Member],0),_xlfn.XMATCH(R$2,Table2[#Headers],0))=0,"",INDEX(Table2[],_xlfn.XMATCH($A554,Table2[Steel Member],0),_xlfn.XMATCH(R$2,Table2[#Headers],0)))</f>
        <v>#N/A</v>
      </c>
      <c r="S554" s="4" t="e" cm="1">
        <f t="array" ref="S554">IF(INDEX(Table2[],_xlfn.XMATCH($A554,Table2[Steel Member],0),_xlfn.XMATCH(S$2,Table2[#Headers],0))=0,"",INDEX(Table2[],_xlfn.XMATCH($A554,Table2[Steel Member],0),_xlfn.XMATCH(S$2,Table2[#Headers],0)))</f>
        <v>#N/A</v>
      </c>
      <c r="T554" s="4" t="str">
        <f t="shared" si="127"/>
        <v/>
      </c>
      <c r="U554" s="4" t="e">
        <f ca="1">VLOOKUP(N554,'COLOR CODE'!$B:$D,2,FALSE)</f>
        <v>#N/A</v>
      </c>
      <c r="V554" s="4" t="str">
        <f t="shared" si="128"/>
        <v/>
      </c>
      <c r="W554" s="4" t="e" cm="1">
        <f t="array" ref="W554">IF(INDEX(Table2[],_xlfn.XMATCH($A554,Table2[Steel Member],0),_xlfn.XMATCH(W$2,Table2[#Headers],0))=0,"",INDEX(Table2[],_xlfn.XMATCH($A554,Table2[Steel Member],0),_xlfn.XMATCH(W$2,Table2[#Headers],0)))</f>
        <v>#N/A</v>
      </c>
      <c r="X554" s="4" t="e">
        <f t="shared" si="138"/>
        <v>#N/A</v>
      </c>
      <c r="Y554" s="4" t="e" cm="1">
        <f t="array" ref="Y554">IF(INDEX(Table2[],_xlfn.XMATCH($A554,Table2[Steel Member],0),_xlfn.XMATCH(Y$2,Table2[#Headers],0))=0,"",INDEX(Table2[],_xlfn.XMATCH($A554,Table2[Steel Member],0),_xlfn.XMATCH(Y$2,Table2[#Headers],0)))</f>
        <v>#N/A</v>
      </c>
      <c r="Z554" s="4" t="e" cm="1">
        <f t="array" ref="Z554">IF(INDEX(Table2[],_xlfn.XMATCH($A554,Table2[Steel Member],0),_xlfn.XMATCH(Z$2,Table2[#Headers],0))=0,"",INDEX(Table2[],_xlfn.XMATCH($A554,Table2[Steel Member],0),_xlfn.XMATCH(Z$2,Table2[#Headers],0)))</f>
        <v>#N/A</v>
      </c>
      <c r="AA554" s="4" t="e" cm="1">
        <f t="array" ref="AA554">IF(INDEX(Table2[],_xlfn.XMATCH($A554,Table2[Steel Member],0),_xlfn.XMATCH(AA$2,Table2[#Headers],0))=0,"",INDEX(Table2[],_xlfn.XMATCH($A554,Table2[Steel Member],0),_xlfn.XMATCH(AA$2,Table2[#Headers],0)))</f>
        <v>#N/A</v>
      </c>
      <c r="AB554" s="4" t="e" cm="1">
        <f t="array" ref="AB554">IF(INDEX(Table2[],_xlfn.XMATCH($A554,Table2[Steel Member],0),_xlfn.XMATCH(AB$2,Table2[#Headers],0))=0,"",INDEX(Table2[],_xlfn.XMATCH($A554,Table2[Steel Member],0),_xlfn.XMATCH(AB$2,Table2[#Headers],0)))</f>
        <v>#N/A</v>
      </c>
      <c r="AC554" s="4" t="str" cm="1">
        <f t="array" ref="AC554">IFERROR(INDEX(Table8[],_xlfn.XMATCH($O554,Table8[Dimension Name Category],0),_xlfn.XMATCH(AC$2&amp;IF($L554," w/ tag"," w/o tag"),Table8[#Headers],0)),"")</f>
        <v/>
      </c>
      <c r="AD554" s="59" t="str">
        <f t="shared" si="129"/>
        <v/>
      </c>
      <c r="AE554" s="4" t="str">
        <f t="shared" si="130"/>
        <v/>
      </c>
      <c r="AF554" s="4" t="str">
        <f t="shared" si="131"/>
        <v/>
      </c>
      <c r="AG554" s="4" t="str" cm="1">
        <f t="array" ref="AG554">IFERROR(INDEX(Table8[],_xlfn.XMATCH($O554,Table8[Dimension Name Category],0),_xlfn.XMATCH(AG$2&amp;IF($L554," w/ tag"," w/o tag"),Table8[#Headers],0)),"")</f>
        <v/>
      </c>
      <c r="AH554" s="59" t="str">
        <f t="shared" si="132"/>
        <v/>
      </c>
      <c r="AI554" s="4"/>
      <c r="AJ554" s="4" t="str">
        <f t="shared" si="133"/>
        <v/>
      </c>
      <c r="AK554" s="4" t="str">
        <f t="shared" si="134"/>
        <v/>
      </c>
      <c r="AL554" s="4" t="e" cm="1">
        <f t="array" ref="AL554">IF(INDEX(Table2[],_xlfn.XMATCH($A554,Table2[Steel Member],0),_xlfn.XMATCH(AL$2,Table2[#Headers],0))=0,"",INDEX(Table2[],_xlfn.XMATCH($A554,Table2[Steel Member],0),_xlfn.XMATCH(AL$2,Table2[#Headers],0)))</f>
        <v>#N/A</v>
      </c>
      <c r="AM554" s="4"/>
      <c r="AN554" s="4" t="str">
        <f t="shared" si="135"/>
        <v/>
      </c>
      <c r="AO554" s="4"/>
      <c r="AP554" s="4" t="e" cm="1">
        <f t="array" ref="AP554">IF(INDEX(Table2[],_xlfn.XMATCH($A554,Table2[Steel Member],0),_xlfn.XMATCH(AP$2,Table2[#Headers],0))=0,"",INDEX(Table2[],_xlfn.XMATCH($A554,Table2[Steel Member],0),_xlfn.XMATCH(AP$2,Table2[#Headers],0)))</f>
        <v>#N/A</v>
      </c>
      <c r="AQ554" s="4"/>
      <c r="AR554" s="4"/>
      <c r="AS554" s="4"/>
      <c r="AT554" s="4"/>
    </row>
    <row r="555" spans="1:46" x14ac:dyDescent="0.25">
      <c r="A555" s="52"/>
      <c r="B555" s="52"/>
      <c r="C555" s="52"/>
      <c r="D555" s="52"/>
      <c r="E555" s="52"/>
      <c r="F555" s="64" cm="1">
        <f t="array" ref="F555">IF(COUNT(FIND(PurlinsxGirthsxBracings,$C555))&gt;0,0,ROUNDUP(IF(D555=0,0,VLOOKUP(D555,'DATA SHEET'!$B:$D,2,FALSE)),2))</f>
        <v>0</v>
      </c>
      <c r="G555" s="64" cm="1">
        <f t="array" ref="G555">IF(COUNT(FIND(PurlinsxGirthsxBracings,$C555))&gt;0,0,ROUNDUP(IF(D555=0,0,VLOOKUP(D555,'DATA SHEET'!$B:$D,3,FALSE)),2))</f>
        <v>0</v>
      </c>
      <c r="H555" s="53"/>
      <c r="I555" s="66" cm="1">
        <f t="array" ref="I555">IF(AND(ISBLANK(B555),ISBLANK(C555),ISBLANK(E555)),0,IF(COUNT(FIND(PurlinsxGirthsxBracings,$C555))&gt;0,IF(B555=0,CONCATENATE(E555," ",C555),CONCATENATE(B555," - ",E555," ",C555)),IF(B555=0,IF(ISBLANK(C555),E555,CONCATENATE(D555,", ",F555,"kg/m, ",G555,"mm surface perimeter")),IF(AND(ISBLANK(C555),ISTEXT(E555)),CONCATENATE(B555," - ",E555),IF(AND(ISBLANK(C555),ISBLANK(E555)),B555,CONCATENATE(B555," - ",D555,", ",F555,"kg/m, ",G555,"mm surface perimeter"))))&amp;IF(ISBLANK(H555),"",H555)))</f>
        <v>0</v>
      </c>
      <c r="J555" s="53"/>
      <c r="L555" s="4" t="str" cm="1">
        <f t="array" ref="L555">IF(COUNT(FIND({0,1,2,3,4,5,6,7,8,9},B555))&gt;0,COUNT(FIND({0,1,2,3,4,5,6,7,8,9},B555))&gt;0,"")</f>
        <v/>
      </c>
      <c r="M555" s="4" t="str" cm="1">
        <f t="array" aca="1" ref="M555" ca="1">IFERROR(_xlfn.IFS(R555="Count",RANDBETWEEN(1,COUNTIF($R$11:$R$653,"Count")),R555="Length",RANDBETWEEN(1,COUNTIF($R$11:$R$653,"Length"))),"")</f>
        <v/>
      </c>
      <c r="N555" s="4" t="str">
        <f ca="1">IFERROR(_xlfn.RANK.EQ(M555,$M$11:$M$653)+COUNTIF($M$11:M555,M555)-1,"")</f>
        <v/>
      </c>
      <c r="O555" s="86" t="str">
        <f>IF(A555='DATA SHEET'!$L$36,C555,IFERROR(IF(AND(ISTEXT(I555),ISBLANK(C555)),"No details",VLOOKUP(C555,DimFolder,2,FALSE)),""))</f>
        <v/>
      </c>
      <c r="P555" s="4" t="str">
        <f t="shared" si="137"/>
        <v/>
      </c>
      <c r="Q555" s="58" t="str">
        <f t="shared" si="136"/>
        <v/>
      </c>
      <c r="R555" s="4" t="e" cm="1">
        <f t="array" ref="R555">IF(INDEX(Table2[],_xlfn.XMATCH($A555,Table2[Steel Member],0),_xlfn.XMATCH(R$2,Table2[#Headers],0))=0,"",INDEX(Table2[],_xlfn.XMATCH($A555,Table2[Steel Member],0),_xlfn.XMATCH(R$2,Table2[#Headers],0)))</f>
        <v>#N/A</v>
      </c>
      <c r="S555" s="4" t="e" cm="1">
        <f t="array" ref="S555">IF(INDEX(Table2[],_xlfn.XMATCH($A555,Table2[Steel Member],0),_xlfn.XMATCH(S$2,Table2[#Headers],0))=0,"",INDEX(Table2[],_xlfn.XMATCH($A555,Table2[Steel Member],0),_xlfn.XMATCH(S$2,Table2[#Headers],0)))</f>
        <v>#N/A</v>
      </c>
      <c r="T555" s="4" t="str">
        <f t="shared" si="127"/>
        <v/>
      </c>
      <c r="U555" s="4" t="e">
        <f ca="1">VLOOKUP(N555,'COLOR CODE'!$B:$D,2,FALSE)</f>
        <v>#N/A</v>
      </c>
      <c r="V555" s="4" t="str">
        <f t="shared" si="128"/>
        <v/>
      </c>
      <c r="W555" s="4" t="e" cm="1">
        <f t="array" ref="W555">IF(INDEX(Table2[],_xlfn.XMATCH($A555,Table2[Steel Member],0),_xlfn.XMATCH(W$2,Table2[#Headers],0))=0,"",INDEX(Table2[],_xlfn.XMATCH($A555,Table2[Steel Member],0),_xlfn.XMATCH(W$2,Table2[#Headers],0)))</f>
        <v>#N/A</v>
      </c>
      <c r="X555" s="4" t="e">
        <f t="shared" si="138"/>
        <v>#N/A</v>
      </c>
      <c r="Y555" s="4" t="e" cm="1">
        <f t="array" ref="Y555">IF(INDEX(Table2[],_xlfn.XMATCH($A555,Table2[Steel Member],0),_xlfn.XMATCH(Y$2,Table2[#Headers],0))=0,"",INDEX(Table2[],_xlfn.XMATCH($A555,Table2[Steel Member],0),_xlfn.XMATCH(Y$2,Table2[#Headers],0)))</f>
        <v>#N/A</v>
      </c>
      <c r="Z555" s="4" t="e" cm="1">
        <f t="array" ref="Z555">IF(INDEX(Table2[],_xlfn.XMATCH($A555,Table2[Steel Member],0),_xlfn.XMATCH(Z$2,Table2[#Headers],0))=0,"",INDEX(Table2[],_xlfn.XMATCH($A555,Table2[Steel Member],0),_xlfn.XMATCH(Z$2,Table2[#Headers],0)))</f>
        <v>#N/A</v>
      </c>
      <c r="AA555" s="4" t="e" cm="1">
        <f t="array" ref="AA555">IF(INDEX(Table2[],_xlfn.XMATCH($A555,Table2[Steel Member],0),_xlfn.XMATCH(AA$2,Table2[#Headers],0))=0,"",INDEX(Table2[],_xlfn.XMATCH($A555,Table2[Steel Member],0),_xlfn.XMATCH(AA$2,Table2[#Headers],0)))</f>
        <v>#N/A</v>
      </c>
      <c r="AB555" s="4" t="e" cm="1">
        <f t="array" ref="AB555">IF(INDEX(Table2[],_xlfn.XMATCH($A555,Table2[Steel Member],0),_xlfn.XMATCH(AB$2,Table2[#Headers],0))=0,"",INDEX(Table2[],_xlfn.XMATCH($A555,Table2[Steel Member],0),_xlfn.XMATCH(AB$2,Table2[#Headers],0)))</f>
        <v>#N/A</v>
      </c>
      <c r="AC555" s="4" t="str" cm="1">
        <f t="array" ref="AC555">IFERROR(INDEX(Table8[],_xlfn.XMATCH($O555,Table8[Dimension Name Category],0),_xlfn.XMATCH(AC$2&amp;IF($L555," w/ tag"," w/o tag"),Table8[#Headers],0)),"")</f>
        <v/>
      </c>
      <c r="AD555" s="59" t="str">
        <f t="shared" si="129"/>
        <v/>
      </c>
      <c r="AE555" s="4" t="str">
        <f t="shared" si="130"/>
        <v/>
      </c>
      <c r="AF555" s="4" t="str">
        <f t="shared" si="131"/>
        <v/>
      </c>
      <c r="AG555" s="4" t="str" cm="1">
        <f t="array" ref="AG555">IFERROR(INDEX(Table8[],_xlfn.XMATCH($O555,Table8[Dimension Name Category],0),_xlfn.XMATCH(AG$2&amp;IF($L555," w/ tag"," w/o tag"),Table8[#Headers],0)),"")</f>
        <v/>
      </c>
      <c r="AH555" s="59" t="str">
        <f t="shared" si="132"/>
        <v/>
      </c>
      <c r="AI555" s="4"/>
      <c r="AJ555" s="4" t="str">
        <f t="shared" si="133"/>
        <v/>
      </c>
      <c r="AK555" s="4" t="str">
        <f t="shared" si="134"/>
        <v/>
      </c>
      <c r="AL555" s="4" t="e" cm="1">
        <f t="array" ref="AL555">IF(INDEX(Table2[],_xlfn.XMATCH($A555,Table2[Steel Member],0),_xlfn.XMATCH(AL$2,Table2[#Headers],0))=0,"",INDEX(Table2[],_xlfn.XMATCH($A555,Table2[Steel Member],0),_xlfn.XMATCH(AL$2,Table2[#Headers],0)))</f>
        <v>#N/A</v>
      </c>
      <c r="AM555" s="4"/>
      <c r="AN555" s="4" t="str">
        <f t="shared" si="135"/>
        <v/>
      </c>
      <c r="AO555" s="4"/>
      <c r="AP555" s="4" t="e" cm="1">
        <f t="array" ref="AP555">IF(INDEX(Table2[],_xlfn.XMATCH($A555,Table2[Steel Member],0),_xlfn.XMATCH(AP$2,Table2[#Headers],0))=0,"",INDEX(Table2[],_xlfn.XMATCH($A555,Table2[Steel Member],0),_xlfn.XMATCH(AP$2,Table2[#Headers],0)))</f>
        <v>#N/A</v>
      </c>
      <c r="AQ555" s="4"/>
      <c r="AR555" s="4"/>
      <c r="AS555" s="4"/>
      <c r="AT555" s="4"/>
    </row>
    <row r="556" spans="1:46" x14ac:dyDescent="0.25">
      <c r="A556" s="52"/>
      <c r="B556" s="52"/>
      <c r="C556" s="52"/>
      <c r="D556" s="52"/>
      <c r="E556" s="52"/>
      <c r="F556" s="64" cm="1">
        <f t="array" ref="F556">IF(COUNT(FIND(PurlinsxGirthsxBracings,$C556))&gt;0,0,ROUNDUP(IF(D556=0,0,VLOOKUP(D556,'DATA SHEET'!$B:$D,2,FALSE)),2))</f>
        <v>0</v>
      </c>
      <c r="G556" s="64" cm="1">
        <f t="array" ref="G556">IF(COUNT(FIND(PurlinsxGirthsxBracings,$C556))&gt;0,0,ROUNDUP(IF(D556=0,0,VLOOKUP(D556,'DATA SHEET'!$B:$D,3,FALSE)),2))</f>
        <v>0</v>
      </c>
      <c r="H556" s="53"/>
      <c r="I556" s="66" cm="1">
        <f t="array" ref="I556">IF(AND(ISBLANK(B556),ISBLANK(C556),ISBLANK(E556)),0,IF(COUNT(FIND(PurlinsxGirthsxBracings,$C556))&gt;0,IF(B556=0,CONCATENATE(E556," ",C556),CONCATENATE(B556," - ",E556," ",C556)),IF(B556=0,IF(ISBLANK(C556),E556,CONCATENATE(D556,", ",F556,"kg/m, ",G556,"mm surface perimeter")),IF(AND(ISBLANK(C556),ISTEXT(E556)),CONCATENATE(B556," - ",E556),IF(AND(ISBLANK(C556),ISBLANK(E556)),B556,CONCATENATE(B556," - ",D556,", ",F556,"kg/m, ",G556,"mm surface perimeter"))))&amp;IF(ISBLANK(H556),"",H556)))</f>
        <v>0</v>
      </c>
      <c r="J556" s="53"/>
      <c r="L556" s="4" t="str" cm="1">
        <f t="array" ref="L556">IF(COUNT(FIND({0,1,2,3,4,5,6,7,8,9},B556))&gt;0,COUNT(FIND({0,1,2,3,4,5,6,7,8,9},B556))&gt;0,"")</f>
        <v/>
      </c>
      <c r="M556" s="4" t="str" cm="1">
        <f t="array" aca="1" ref="M556" ca="1">IFERROR(_xlfn.IFS(R556="Count",RANDBETWEEN(1,COUNTIF($R$11:$R$653,"Count")),R556="Length",RANDBETWEEN(1,COUNTIF($R$11:$R$653,"Length"))),"")</f>
        <v/>
      </c>
      <c r="N556" s="4" t="str">
        <f ca="1">IFERROR(_xlfn.RANK.EQ(M556,$M$11:$M$653)+COUNTIF($M$11:M556,M556)-1,"")</f>
        <v/>
      </c>
      <c r="O556" s="86" t="str">
        <f>IF(A556='DATA SHEET'!$L$36,C556,IFERROR(IF(AND(ISTEXT(I556),ISBLANK(C556)),"No details",VLOOKUP(C556,DimFolder,2,FALSE)),""))</f>
        <v/>
      </c>
      <c r="P556" s="4" t="str">
        <f t="shared" si="137"/>
        <v/>
      </c>
      <c r="Q556" s="58" t="str">
        <f t="shared" si="136"/>
        <v/>
      </c>
      <c r="R556" s="4" t="e" cm="1">
        <f t="array" ref="R556">IF(INDEX(Table2[],_xlfn.XMATCH($A556,Table2[Steel Member],0),_xlfn.XMATCH(R$2,Table2[#Headers],0))=0,"",INDEX(Table2[],_xlfn.XMATCH($A556,Table2[Steel Member],0),_xlfn.XMATCH(R$2,Table2[#Headers],0)))</f>
        <v>#N/A</v>
      </c>
      <c r="S556" s="4" t="e" cm="1">
        <f t="array" ref="S556">IF(INDEX(Table2[],_xlfn.XMATCH($A556,Table2[Steel Member],0),_xlfn.XMATCH(S$2,Table2[#Headers],0))=0,"",INDEX(Table2[],_xlfn.XMATCH($A556,Table2[Steel Member],0),_xlfn.XMATCH(S$2,Table2[#Headers],0)))</f>
        <v>#N/A</v>
      </c>
      <c r="T556" s="4" t="str">
        <f t="shared" si="127"/>
        <v/>
      </c>
      <c r="U556" s="4" t="e">
        <f ca="1">VLOOKUP(N556,'COLOR CODE'!$B:$D,2,FALSE)</f>
        <v>#N/A</v>
      </c>
      <c r="V556" s="4" t="str">
        <f t="shared" si="128"/>
        <v/>
      </c>
      <c r="W556" s="4" t="e" cm="1">
        <f t="array" ref="W556">IF(INDEX(Table2[],_xlfn.XMATCH($A556,Table2[Steel Member],0),_xlfn.XMATCH(W$2,Table2[#Headers],0))=0,"",INDEX(Table2[],_xlfn.XMATCH($A556,Table2[Steel Member],0),_xlfn.XMATCH(W$2,Table2[#Headers],0)))</f>
        <v>#N/A</v>
      </c>
      <c r="X556" s="4" t="e">
        <f t="shared" si="138"/>
        <v>#N/A</v>
      </c>
      <c r="Y556" s="4" t="e" cm="1">
        <f t="array" ref="Y556">IF(INDEX(Table2[],_xlfn.XMATCH($A556,Table2[Steel Member],0),_xlfn.XMATCH(Y$2,Table2[#Headers],0))=0,"",INDEX(Table2[],_xlfn.XMATCH($A556,Table2[Steel Member],0),_xlfn.XMATCH(Y$2,Table2[#Headers],0)))</f>
        <v>#N/A</v>
      </c>
      <c r="Z556" s="4" t="e" cm="1">
        <f t="array" ref="Z556">IF(INDEX(Table2[],_xlfn.XMATCH($A556,Table2[Steel Member],0),_xlfn.XMATCH(Z$2,Table2[#Headers],0))=0,"",INDEX(Table2[],_xlfn.XMATCH($A556,Table2[Steel Member],0),_xlfn.XMATCH(Z$2,Table2[#Headers],0)))</f>
        <v>#N/A</v>
      </c>
      <c r="AA556" s="4" t="e" cm="1">
        <f t="array" ref="AA556">IF(INDEX(Table2[],_xlfn.XMATCH($A556,Table2[Steel Member],0),_xlfn.XMATCH(AA$2,Table2[#Headers],0))=0,"",INDEX(Table2[],_xlfn.XMATCH($A556,Table2[Steel Member],0),_xlfn.XMATCH(AA$2,Table2[#Headers],0)))</f>
        <v>#N/A</v>
      </c>
      <c r="AB556" s="4" t="e" cm="1">
        <f t="array" ref="AB556">IF(INDEX(Table2[],_xlfn.XMATCH($A556,Table2[Steel Member],0),_xlfn.XMATCH(AB$2,Table2[#Headers],0))=0,"",INDEX(Table2[],_xlfn.XMATCH($A556,Table2[Steel Member],0),_xlfn.XMATCH(AB$2,Table2[#Headers],0)))</f>
        <v>#N/A</v>
      </c>
      <c r="AC556" s="4" t="str" cm="1">
        <f t="array" ref="AC556">IFERROR(INDEX(Table8[],_xlfn.XMATCH($O556,Table8[Dimension Name Category],0),_xlfn.XMATCH(AC$2&amp;IF($L556," w/ tag"," w/o tag"),Table8[#Headers],0)),"")</f>
        <v/>
      </c>
      <c r="AD556" s="59" t="str">
        <f t="shared" si="129"/>
        <v/>
      </c>
      <c r="AE556" s="4" t="str">
        <f t="shared" si="130"/>
        <v/>
      </c>
      <c r="AF556" s="4" t="str">
        <f t="shared" si="131"/>
        <v/>
      </c>
      <c r="AG556" s="4" t="str" cm="1">
        <f t="array" ref="AG556">IFERROR(INDEX(Table8[],_xlfn.XMATCH($O556,Table8[Dimension Name Category],0),_xlfn.XMATCH(AG$2&amp;IF($L556," w/ tag"," w/o tag"),Table8[#Headers],0)),"")</f>
        <v/>
      </c>
      <c r="AH556" s="59" t="str">
        <f t="shared" si="132"/>
        <v/>
      </c>
      <c r="AI556" s="4"/>
      <c r="AJ556" s="4" t="str">
        <f t="shared" si="133"/>
        <v/>
      </c>
      <c r="AK556" s="4" t="str">
        <f t="shared" si="134"/>
        <v/>
      </c>
      <c r="AL556" s="4" t="e" cm="1">
        <f t="array" ref="AL556">IF(INDEX(Table2[],_xlfn.XMATCH($A556,Table2[Steel Member],0),_xlfn.XMATCH(AL$2,Table2[#Headers],0))=0,"",INDEX(Table2[],_xlfn.XMATCH($A556,Table2[Steel Member],0),_xlfn.XMATCH(AL$2,Table2[#Headers],0)))</f>
        <v>#N/A</v>
      </c>
      <c r="AM556" s="4"/>
      <c r="AN556" s="4" t="str">
        <f t="shared" si="135"/>
        <v/>
      </c>
      <c r="AO556" s="4"/>
      <c r="AP556" s="4" t="e" cm="1">
        <f t="array" ref="AP556">IF(INDEX(Table2[],_xlfn.XMATCH($A556,Table2[Steel Member],0),_xlfn.XMATCH(AP$2,Table2[#Headers],0))=0,"",INDEX(Table2[],_xlfn.XMATCH($A556,Table2[Steel Member],0),_xlfn.XMATCH(AP$2,Table2[#Headers],0)))</f>
        <v>#N/A</v>
      </c>
      <c r="AQ556" s="4"/>
      <c r="AR556" s="4"/>
      <c r="AS556" s="4"/>
      <c r="AT556" s="4"/>
    </row>
    <row r="557" spans="1:46" x14ac:dyDescent="0.25">
      <c r="A557" s="52"/>
      <c r="B557" s="52"/>
      <c r="C557" s="52"/>
      <c r="D557" s="52"/>
      <c r="E557" s="52"/>
      <c r="F557" s="64" cm="1">
        <f t="array" ref="F557">IF(COUNT(FIND(PurlinsxGirthsxBracings,$C557))&gt;0,0,ROUNDUP(IF(D557=0,0,VLOOKUP(D557,'DATA SHEET'!$B:$D,2,FALSE)),2))</f>
        <v>0</v>
      </c>
      <c r="G557" s="64" cm="1">
        <f t="array" ref="G557">IF(COUNT(FIND(PurlinsxGirthsxBracings,$C557))&gt;0,0,ROUNDUP(IF(D557=0,0,VLOOKUP(D557,'DATA SHEET'!$B:$D,3,FALSE)),2))</f>
        <v>0</v>
      </c>
      <c r="H557" s="53"/>
      <c r="I557" s="66" cm="1">
        <f t="array" ref="I557">IF(AND(ISBLANK(B557),ISBLANK(C557),ISBLANK(E557)),0,IF(COUNT(FIND(PurlinsxGirthsxBracings,$C557))&gt;0,IF(B557=0,CONCATENATE(E557," ",C557),CONCATENATE(B557," - ",E557," ",C557)),IF(B557=0,IF(ISBLANK(C557),E557,CONCATENATE(D557,", ",F557,"kg/m, ",G557,"mm surface perimeter")),IF(AND(ISBLANK(C557),ISTEXT(E557)),CONCATENATE(B557," - ",E557),IF(AND(ISBLANK(C557),ISBLANK(E557)),B557,CONCATENATE(B557," - ",D557,", ",F557,"kg/m, ",G557,"mm surface perimeter"))))&amp;IF(ISBLANK(H557),"",H557)))</f>
        <v>0</v>
      </c>
      <c r="J557" s="53"/>
      <c r="L557" s="4" t="str" cm="1">
        <f t="array" ref="L557">IF(COUNT(FIND({0,1,2,3,4,5,6,7,8,9},B557))&gt;0,COUNT(FIND({0,1,2,3,4,5,6,7,8,9},B557))&gt;0,"")</f>
        <v/>
      </c>
      <c r="M557" s="4" t="str" cm="1">
        <f t="array" aca="1" ref="M557" ca="1">IFERROR(_xlfn.IFS(R557="Count",RANDBETWEEN(1,COUNTIF($R$11:$R$653,"Count")),R557="Length",RANDBETWEEN(1,COUNTIF($R$11:$R$653,"Length"))),"")</f>
        <v/>
      </c>
      <c r="N557" s="4" t="str">
        <f ca="1">IFERROR(_xlfn.RANK.EQ(M557,$M$11:$M$653)+COUNTIF($M$11:M557,M557)-1,"")</f>
        <v/>
      </c>
      <c r="O557" s="86" t="str">
        <f>IF(A557='DATA SHEET'!$L$36,C557,IFERROR(IF(AND(ISTEXT(I557),ISBLANK(C557)),"No details",VLOOKUP(C557,DimFolder,2,FALSE)),""))</f>
        <v/>
      </c>
      <c r="P557" s="4" t="str">
        <f t="shared" si="137"/>
        <v/>
      </c>
      <c r="Q557" s="58" t="str">
        <f t="shared" si="136"/>
        <v/>
      </c>
      <c r="R557" s="4" t="e" cm="1">
        <f t="array" ref="R557">IF(INDEX(Table2[],_xlfn.XMATCH($A557,Table2[Steel Member],0),_xlfn.XMATCH(R$2,Table2[#Headers],0))=0,"",INDEX(Table2[],_xlfn.XMATCH($A557,Table2[Steel Member],0),_xlfn.XMATCH(R$2,Table2[#Headers],0)))</f>
        <v>#N/A</v>
      </c>
      <c r="S557" s="4" t="e" cm="1">
        <f t="array" ref="S557">IF(INDEX(Table2[],_xlfn.XMATCH($A557,Table2[Steel Member],0),_xlfn.XMATCH(S$2,Table2[#Headers],0))=0,"",INDEX(Table2[],_xlfn.XMATCH($A557,Table2[Steel Member],0),_xlfn.XMATCH(S$2,Table2[#Headers],0)))</f>
        <v>#N/A</v>
      </c>
      <c r="T557" s="4" t="str">
        <f t="shared" si="127"/>
        <v/>
      </c>
      <c r="U557" s="4" t="e">
        <f ca="1">VLOOKUP(N557,'COLOR CODE'!$B:$D,2,FALSE)</f>
        <v>#N/A</v>
      </c>
      <c r="V557" s="4" t="str">
        <f t="shared" si="128"/>
        <v/>
      </c>
      <c r="W557" s="4" t="e" cm="1">
        <f t="array" ref="W557">IF(INDEX(Table2[],_xlfn.XMATCH($A557,Table2[Steel Member],0),_xlfn.XMATCH(W$2,Table2[#Headers],0))=0,"",INDEX(Table2[],_xlfn.XMATCH($A557,Table2[Steel Member],0),_xlfn.XMATCH(W$2,Table2[#Headers],0)))</f>
        <v>#N/A</v>
      </c>
      <c r="X557" s="4" t="e">
        <f t="shared" si="138"/>
        <v>#N/A</v>
      </c>
      <c r="Y557" s="4" t="e" cm="1">
        <f t="array" ref="Y557">IF(INDEX(Table2[],_xlfn.XMATCH($A557,Table2[Steel Member],0),_xlfn.XMATCH(Y$2,Table2[#Headers],0))=0,"",INDEX(Table2[],_xlfn.XMATCH($A557,Table2[Steel Member],0),_xlfn.XMATCH(Y$2,Table2[#Headers],0)))</f>
        <v>#N/A</v>
      </c>
      <c r="Z557" s="4" t="e" cm="1">
        <f t="array" ref="Z557">IF(INDEX(Table2[],_xlfn.XMATCH($A557,Table2[Steel Member],0),_xlfn.XMATCH(Z$2,Table2[#Headers],0))=0,"",INDEX(Table2[],_xlfn.XMATCH($A557,Table2[Steel Member],0),_xlfn.XMATCH(Z$2,Table2[#Headers],0)))</f>
        <v>#N/A</v>
      </c>
      <c r="AA557" s="4" t="e" cm="1">
        <f t="array" ref="AA557">IF(INDEX(Table2[],_xlfn.XMATCH($A557,Table2[Steel Member],0),_xlfn.XMATCH(AA$2,Table2[#Headers],0))=0,"",INDEX(Table2[],_xlfn.XMATCH($A557,Table2[Steel Member],0),_xlfn.XMATCH(AA$2,Table2[#Headers],0)))</f>
        <v>#N/A</v>
      </c>
      <c r="AB557" s="4" t="e" cm="1">
        <f t="array" ref="AB557">IF(INDEX(Table2[],_xlfn.XMATCH($A557,Table2[Steel Member],0),_xlfn.XMATCH(AB$2,Table2[#Headers],0))=0,"",INDEX(Table2[],_xlfn.XMATCH($A557,Table2[Steel Member],0),_xlfn.XMATCH(AB$2,Table2[#Headers],0)))</f>
        <v>#N/A</v>
      </c>
      <c r="AC557" s="4" t="str" cm="1">
        <f t="array" ref="AC557">IFERROR(INDEX(Table8[],_xlfn.XMATCH($O557,Table8[Dimension Name Category],0),_xlfn.XMATCH(AC$2&amp;IF($L557," w/ tag"," w/o tag"),Table8[#Headers],0)),"")</f>
        <v/>
      </c>
      <c r="AD557" s="59" t="str">
        <f t="shared" si="129"/>
        <v/>
      </c>
      <c r="AE557" s="4" t="str">
        <f t="shared" si="130"/>
        <v/>
      </c>
      <c r="AF557" s="4" t="str">
        <f t="shared" si="131"/>
        <v/>
      </c>
      <c r="AG557" s="4" t="str" cm="1">
        <f t="array" ref="AG557">IFERROR(INDEX(Table8[],_xlfn.XMATCH($O557,Table8[Dimension Name Category],0),_xlfn.XMATCH(AG$2&amp;IF($L557," w/ tag"," w/o tag"),Table8[#Headers],0)),"")</f>
        <v/>
      </c>
      <c r="AH557" s="59" t="str">
        <f t="shared" si="132"/>
        <v/>
      </c>
      <c r="AI557" s="4"/>
      <c r="AJ557" s="4" t="str">
        <f t="shared" si="133"/>
        <v/>
      </c>
      <c r="AK557" s="4" t="str">
        <f t="shared" si="134"/>
        <v/>
      </c>
      <c r="AL557" s="4" t="e" cm="1">
        <f t="array" ref="AL557">IF(INDEX(Table2[],_xlfn.XMATCH($A557,Table2[Steel Member],0),_xlfn.XMATCH(AL$2,Table2[#Headers],0))=0,"",INDEX(Table2[],_xlfn.XMATCH($A557,Table2[Steel Member],0),_xlfn.XMATCH(AL$2,Table2[#Headers],0)))</f>
        <v>#N/A</v>
      </c>
      <c r="AM557" s="4"/>
      <c r="AN557" s="4" t="str">
        <f t="shared" si="135"/>
        <v/>
      </c>
      <c r="AO557" s="4"/>
      <c r="AP557" s="4" t="e" cm="1">
        <f t="array" ref="AP557">IF(INDEX(Table2[],_xlfn.XMATCH($A557,Table2[Steel Member],0),_xlfn.XMATCH(AP$2,Table2[#Headers],0))=0,"",INDEX(Table2[],_xlfn.XMATCH($A557,Table2[Steel Member],0),_xlfn.XMATCH(AP$2,Table2[#Headers],0)))</f>
        <v>#N/A</v>
      </c>
      <c r="AQ557" s="4"/>
      <c r="AR557" s="4"/>
      <c r="AS557" s="4"/>
      <c r="AT557" s="4"/>
    </row>
    <row r="558" spans="1:46" x14ac:dyDescent="0.25">
      <c r="A558" s="52"/>
      <c r="B558" s="52"/>
      <c r="C558" s="52"/>
      <c r="D558" s="52"/>
      <c r="E558" s="52"/>
      <c r="F558" s="64" cm="1">
        <f t="array" ref="F558">IF(COUNT(FIND(PurlinsxGirthsxBracings,$C558))&gt;0,0,ROUNDUP(IF(D558=0,0,VLOOKUP(D558,'DATA SHEET'!$B:$D,2,FALSE)),2))</f>
        <v>0</v>
      </c>
      <c r="G558" s="64" cm="1">
        <f t="array" ref="G558">IF(COUNT(FIND(PurlinsxGirthsxBracings,$C558))&gt;0,0,ROUNDUP(IF(D558=0,0,VLOOKUP(D558,'DATA SHEET'!$B:$D,3,FALSE)),2))</f>
        <v>0</v>
      </c>
      <c r="H558" s="53"/>
      <c r="I558" s="66" cm="1">
        <f t="array" ref="I558">IF(AND(ISBLANK(B558),ISBLANK(C558),ISBLANK(E558)),0,IF(COUNT(FIND(PurlinsxGirthsxBracings,$C558))&gt;0,IF(B558=0,CONCATENATE(E558," ",C558),CONCATENATE(B558," - ",E558," ",C558)),IF(B558=0,IF(ISBLANK(C558),E558,CONCATENATE(D558,", ",F558,"kg/m, ",G558,"mm surface perimeter")),IF(AND(ISBLANK(C558),ISTEXT(E558)),CONCATENATE(B558," - ",E558),IF(AND(ISBLANK(C558),ISBLANK(E558)),B558,CONCATENATE(B558," - ",D558,", ",F558,"kg/m, ",G558,"mm surface perimeter"))))&amp;IF(ISBLANK(H558),"",H558)))</f>
        <v>0</v>
      </c>
      <c r="J558" s="53"/>
      <c r="L558" s="4" t="str" cm="1">
        <f t="array" ref="L558">IF(COUNT(FIND({0,1,2,3,4,5,6,7,8,9},B558))&gt;0,COUNT(FIND({0,1,2,3,4,5,6,7,8,9},B558))&gt;0,"")</f>
        <v/>
      </c>
      <c r="M558" s="4" t="str" cm="1">
        <f t="array" aca="1" ref="M558" ca="1">IFERROR(_xlfn.IFS(R558="Count",RANDBETWEEN(1,COUNTIF($R$11:$R$653,"Count")),R558="Length",RANDBETWEEN(1,COUNTIF($R$11:$R$653,"Length"))),"")</f>
        <v/>
      </c>
      <c r="N558" s="4" t="str">
        <f ca="1">IFERROR(_xlfn.RANK.EQ(M558,$M$11:$M$653)+COUNTIF($M$11:M558,M558)-1,"")</f>
        <v/>
      </c>
      <c r="O558" s="86" t="str">
        <f>IF(A558='DATA SHEET'!$L$36,C558,IFERROR(IF(AND(ISTEXT(I558),ISBLANK(C558)),"No details",VLOOKUP(C558,DimFolder,2,FALSE)),""))</f>
        <v/>
      </c>
      <c r="P558" s="4" t="str">
        <f t="shared" si="137"/>
        <v/>
      </c>
      <c r="Q558" s="58" t="str">
        <f t="shared" si="136"/>
        <v/>
      </c>
      <c r="R558" s="4" t="e" cm="1">
        <f t="array" ref="R558">IF(INDEX(Table2[],_xlfn.XMATCH($A558,Table2[Steel Member],0),_xlfn.XMATCH(R$2,Table2[#Headers],0))=0,"",INDEX(Table2[],_xlfn.XMATCH($A558,Table2[Steel Member],0),_xlfn.XMATCH(R$2,Table2[#Headers],0)))</f>
        <v>#N/A</v>
      </c>
      <c r="S558" s="4" t="e" cm="1">
        <f t="array" ref="S558">IF(INDEX(Table2[],_xlfn.XMATCH($A558,Table2[Steel Member],0),_xlfn.XMATCH(S$2,Table2[#Headers],0))=0,"",INDEX(Table2[],_xlfn.XMATCH($A558,Table2[Steel Member],0),_xlfn.XMATCH(S$2,Table2[#Headers],0)))</f>
        <v>#N/A</v>
      </c>
      <c r="T558" s="4" t="str">
        <f t="shared" si="127"/>
        <v/>
      </c>
      <c r="U558" s="4" t="e">
        <f ca="1">VLOOKUP(N558,'COLOR CODE'!$B:$D,2,FALSE)</f>
        <v>#N/A</v>
      </c>
      <c r="V558" s="4" t="str">
        <f t="shared" si="128"/>
        <v/>
      </c>
      <c r="W558" s="4" t="e" cm="1">
        <f t="array" ref="W558">IF(INDEX(Table2[],_xlfn.XMATCH($A558,Table2[Steel Member],0),_xlfn.XMATCH(W$2,Table2[#Headers],0))=0,"",INDEX(Table2[],_xlfn.XMATCH($A558,Table2[Steel Member],0),_xlfn.XMATCH(W$2,Table2[#Headers],0)))</f>
        <v>#N/A</v>
      </c>
      <c r="X558" s="4" t="e">
        <f t="shared" si="138"/>
        <v>#N/A</v>
      </c>
      <c r="Y558" s="4" t="e" cm="1">
        <f t="array" ref="Y558">IF(INDEX(Table2[],_xlfn.XMATCH($A558,Table2[Steel Member],0),_xlfn.XMATCH(Y$2,Table2[#Headers],0))=0,"",INDEX(Table2[],_xlfn.XMATCH($A558,Table2[Steel Member],0),_xlfn.XMATCH(Y$2,Table2[#Headers],0)))</f>
        <v>#N/A</v>
      </c>
      <c r="Z558" s="4" t="e" cm="1">
        <f t="array" ref="Z558">IF(INDEX(Table2[],_xlfn.XMATCH($A558,Table2[Steel Member],0),_xlfn.XMATCH(Z$2,Table2[#Headers],0))=0,"",INDEX(Table2[],_xlfn.XMATCH($A558,Table2[Steel Member],0),_xlfn.XMATCH(Z$2,Table2[#Headers],0)))</f>
        <v>#N/A</v>
      </c>
      <c r="AA558" s="4" t="e" cm="1">
        <f t="array" ref="AA558">IF(INDEX(Table2[],_xlfn.XMATCH($A558,Table2[Steel Member],0),_xlfn.XMATCH(AA$2,Table2[#Headers],0))=0,"",INDEX(Table2[],_xlfn.XMATCH($A558,Table2[Steel Member],0),_xlfn.XMATCH(AA$2,Table2[#Headers],0)))</f>
        <v>#N/A</v>
      </c>
      <c r="AB558" s="4" t="e" cm="1">
        <f t="array" ref="AB558">IF(INDEX(Table2[],_xlfn.XMATCH($A558,Table2[Steel Member],0),_xlfn.XMATCH(AB$2,Table2[#Headers],0))=0,"",INDEX(Table2[],_xlfn.XMATCH($A558,Table2[Steel Member],0),_xlfn.XMATCH(AB$2,Table2[#Headers],0)))</f>
        <v>#N/A</v>
      </c>
      <c r="AC558" s="4" t="str" cm="1">
        <f t="array" ref="AC558">IFERROR(INDEX(Table8[],_xlfn.XMATCH($O558,Table8[Dimension Name Category],0),_xlfn.XMATCH(AC$2&amp;IF($L558," w/ tag"," w/o tag"),Table8[#Headers],0)),"")</f>
        <v/>
      </c>
      <c r="AD558" s="59" t="str">
        <f t="shared" si="129"/>
        <v/>
      </c>
      <c r="AE558" s="4" t="str">
        <f t="shared" si="130"/>
        <v/>
      </c>
      <c r="AF558" s="4" t="str">
        <f t="shared" si="131"/>
        <v/>
      </c>
      <c r="AG558" s="4" t="str" cm="1">
        <f t="array" ref="AG558">IFERROR(INDEX(Table8[],_xlfn.XMATCH($O558,Table8[Dimension Name Category],0),_xlfn.XMATCH(AG$2&amp;IF($L558," w/ tag"," w/o tag"),Table8[#Headers],0)),"")</f>
        <v/>
      </c>
      <c r="AH558" s="59" t="str">
        <f t="shared" si="132"/>
        <v/>
      </c>
      <c r="AI558" s="4"/>
      <c r="AJ558" s="4" t="str">
        <f t="shared" si="133"/>
        <v/>
      </c>
      <c r="AK558" s="4" t="str">
        <f t="shared" si="134"/>
        <v/>
      </c>
      <c r="AL558" s="4" t="e" cm="1">
        <f t="array" ref="AL558">IF(INDEX(Table2[],_xlfn.XMATCH($A558,Table2[Steel Member],0),_xlfn.XMATCH(AL$2,Table2[#Headers],0))=0,"",INDEX(Table2[],_xlfn.XMATCH($A558,Table2[Steel Member],0),_xlfn.XMATCH(AL$2,Table2[#Headers],0)))</f>
        <v>#N/A</v>
      </c>
      <c r="AM558" s="4"/>
      <c r="AN558" s="4" t="str">
        <f t="shared" si="135"/>
        <v/>
      </c>
      <c r="AO558" s="4"/>
      <c r="AP558" s="4" t="e" cm="1">
        <f t="array" ref="AP558">IF(INDEX(Table2[],_xlfn.XMATCH($A558,Table2[Steel Member],0),_xlfn.XMATCH(AP$2,Table2[#Headers],0))=0,"",INDEX(Table2[],_xlfn.XMATCH($A558,Table2[Steel Member],0),_xlfn.XMATCH(AP$2,Table2[#Headers],0)))</f>
        <v>#N/A</v>
      </c>
      <c r="AQ558" s="4"/>
      <c r="AR558" s="4"/>
      <c r="AS558" s="4"/>
      <c r="AT558" s="4"/>
    </row>
    <row r="559" spans="1:46" x14ac:dyDescent="0.25">
      <c r="A559" s="52"/>
      <c r="B559" s="52"/>
      <c r="C559" s="52"/>
      <c r="D559" s="52"/>
      <c r="E559" s="52"/>
      <c r="F559" s="64" cm="1">
        <f t="array" ref="F559">IF(COUNT(FIND(PurlinsxGirthsxBracings,$C559))&gt;0,0,ROUNDUP(IF(D559=0,0,VLOOKUP(D559,'DATA SHEET'!$B:$D,2,FALSE)),2))</f>
        <v>0</v>
      </c>
      <c r="G559" s="64" cm="1">
        <f t="array" ref="G559">IF(COUNT(FIND(PurlinsxGirthsxBracings,$C559))&gt;0,0,ROUNDUP(IF(D559=0,0,VLOOKUP(D559,'DATA SHEET'!$B:$D,3,FALSE)),2))</f>
        <v>0</v>
      </c>
      <c r="H559" s="53"/>
      <c r="I559" s="66" cm="1">
        <f t="array" ref="I559">IF(AND(ISBLANK(B559),ISBLANK(C559),ISBLANK(E559)),0,IF(COUNT(FIND(PurlinsxGirthsxBracings,$C559))&gt;0,IF(B559=0,CONCATENATE(E559," ",C559),CONCATENATE(B559," - ",E559," ",C559)),IF(B559=0,IF(ISBLANK(C559),E559,CONCATENATE(D559,", ",F559,"kg/m, ",G559,"mm surface perimeter")),IF(AND(ISBLANK(C559),ISTEXT(E559)),CONCATENATE(B559," - ",E559),IF(AND(ISBLANK(C559),ISBLANK(E559)),B559,CONCATENATE(B559," - ",D559,", ",F559,"kg/m, ",G559,"mm surface perimeter"))))&amp;IF(ISBLANK(H559),"",H559)))</f>
        <v>0</v>
      </c>
      <c r="J559" s="53"/>
      <c r="L559" s="4" t="str" cm="1">
        <f t="array" ref="L559">IF(COUNT(FIND({0,1,2,3,4,5,6,7,8,9},B559))&gt;0,COUNT(FIND({0,1,2,3,4,5,6,7,8,9},B559))&gt;0,"")</f>
        <v/>
      </c>
      <c r="M559" s="4" t="str" cm="1">
        <f t="array" aca="1" ref="M559" ca="1">IFERROR(_xlfn.IFS(R559="Count",RANDBETWEEN(1,COUNTIF($R$11:$R$653,"Count")),R559="Length",RANDBETWEEN(1,COUNTIF($R$11:$R$653,"Length"))),"")</f>
        <v/>
      </c>
      <c r="N559" s="4" t="str">
        <f ca="1">IFERROR(_xlfn.RANK.EQ(M559,$M$11:$M$653)+COUNTIF($M$11:M559,M559)-1,"")</f>
        <v/>
      </c>
      <c r="O559" s="86" t="str">
        <f>IF(A559='DATA SHEET'!$L$36,C559,IFERROR(IF(AND(ISTEXT(I559),ISBLANK(C559)),"No details",VLOOKUP(C559,DimFolder,2,FALSE)),""))</f>
        <v/>
      </c>
      <c r="P559" s="4" t="str">
        <f t="shared" si="137"/>
        <v/>
      </c>
      <c r="Q559" s="58" t="str">
        <f t="shared" si="136"/>
        <v/>
      </c>
      <c r="R559" s="4" t="e" cm="1">
        <f t="array" ref="R559">IF(INDEX(Table2[],_xlfn.XMATCH($A559,Table2[Steel Member],0),_xlfn.XMATCH(R$2,Table2[#Headers],0))=0,"",INDEX(Table2[],_xlfn.XMATCH($A559,Table2[Steel Member],0),_xlfn.XMATCH(R$2,Table2[#Headers],0)))</f>
        <v>#N/A</v>
      </c>
      <c r="S559" s="4" t="e" cm="1">
        <f t="array" ref="S559">IF(INDEX(Table2[],_xlfn.XMATCH($A559,Table2[Steel Member],0),_xlfn.XMATCH(S$2,Table2[#Headers],0))=0,"",INDEX(Table2[],_xlfn.XMATCH($A559,Table2[Steel Member],0),_xlfn.XMATCH(S$2,Table2[#Headers],0)))</f>
        <v>#N/A</v>
      </c>
      <c r="T559" s="4" t="str">
        <f t="shared" si="127"/>
        <v/>
      </c>
      <c r="U559" s="4" t="e">
        <f ca="1">VLOOKUP(N559,'COLOR CODE'!$B:$D,2,FALSE)</f>
        <v>#N/A</v>
      </c>
      <c r="V559" s="4" t="str">
        <f t="shared" si="128"/>
        <v/>
      </c>
      <c r="W559" s="4" t="e" cm="1">
        <f t="array" ref="W559">IF(INDEX(Table2[],_xlfn.XMATCH($A559,Table2[Steel Member],0),_xlfn.XMATCH(W$2,Table2[#Headers],0))=0,"",INDEX(Table2[],_xlfn.XMATCH($A559,Table2[Steel Member],0),_xlfn.XMATCH(W$2,Table2[#Headers],0)))</f>
        <v>#N/A</v>
      </c>
      <c r="X559" s="4" t="e">
        <f t="shared" si="138"/>
        <v>#N/A</v>
      </c>
      <c r="Y559" s="4" t="e" cm="1">
        <f t="array" ref="Y559">IF(INDEX(Table2[],_xlfn.XMATCH($A559,Table2[Steel Member],0),_xlfn.XMATCH(Y$2,Table2[#Headers],0))=0,"",INDEX(Table2[],_xlfn.XMATCH($A559,Table2[Steel Member],0),_xlfn.XMATCH(Y$2,Table2[#Headers],0)))</f>
        <v>#N/A</v>
      </c>
      <c r="Z559" s="4" t="e" cm="1">
        <f t="array" ref="Z559">IF(INDEX(Table2[],_xlfn.XMATCH($A559,Table2[Steel Member],0),_xlfn.XMATCH(Z$2,Table2[#Headers],0))=0,"",INDEX(Table2[],_xlfn.XMATCH($A559,Table2[Steel Member],0),_xlfn.XMATCH(Z$2,Table2[#Headers],0)))</f>
        <v>#N/A</v>
      </c>
      <c r="AA559" s="4" t="e" cm="1">
        <f t="array" ref="AA559">IF(INDEX(Table2[],_xlfn.XMATCH($A559,Table2[Steel Member],0),_xlfn.XMATCH(AA$2,Table2[#Headers],0))=0,"",INDEX(Table2[],_xlfn.XMATCH($A559,Table2[Steel Member],0),_xlfn.XMATCH(AA$2,Table2[#Headers],0)))</f>
        <v>#N/A</v>
      </c>
      <c r="AB559" s="4" t="e" cm="1">
        <f t="array" ref="AB559">IF(INDEX(Table2[],_xlfn.XMATCH($A559,Table2[Steel Member],0),_xlfn.XMATCH(AB$2,Table2[#Headers],0))=0,"",INDEX(Table2[],_xlfn.XMATCH($A559,Table2[Steel Member],0),_xlfn.XMATCH(AB$2,Table2[#Headers],0)))</f>
        <v>#N/A</v>
      </c>
      <c r="AC559" s="4" t="str" cm="1">
        <f t="array" ref="AC559">IFERROR(INDEX(Table8[],_xlfn.XMATCH($O559,Table8[Dimension Name Category],0),_xlfn.XMATCH(AC$2&amp;IF($L559," w/ tag"," w/o tag"),Table8[#Headers],0)),"")</f>
        <v/>
      </c>
      <c r="AD559" s="59" t="str">
        <f t="shared" si="129"/>
        <v/>
      </c>
      <c r="AE559" s="4" t="str">
        <f t="shared" si="130"/>
        <v/>
      </c>
      <c r="AF559" s="4" t="str">
        <f t="shared" si="131"/>
        <v/>
      </c>
      <c r="AG559" s="4" t="str" cm="1">
        <f t="array" ref="AG559">IFERROR(INDEX(Table8[],_xlfn.XMATCH($O559,Table8[Dimension Name Category],0),_xlfn.XMATCH(AG$2&amp;IF($L559," w/ tag"," w/o tag"),Table8[#Headers],0)),"")</f>
        <v/>
      </c>
      <c r="AH559" s="59" t="str">
        <f t="shared" si="132"/>
        <v/>
      </c>
      <c r="AI559" s="4"/>
      <c r="AJ559" s="4" t="str">
        <f t="shared" si="133"/>
        <v/>
      </c>
      <c r="AK559" s="4" t="str">
        <f t="shared" si="134"/>
        <v/>
      </c>
      <c r="AL559" s="4" t="e" cm="1">
        <f t="array" ref="AL559">IF(INDEX(Table2[],_xlfn.XMATCH($A559,Table2[Steel Member],0),_xlfn.XMATCH(AL$2,Table2[#Headers],0))=0,"",INDEX(Table2[],_xlfn.XMATCH($A559,Table2[Steel Member],0),_xlfn.XMATCH(AL$2,Table2[#Headers],0)))</f>
        <v>#N/A</v>
      </c>
      <c r="AM559" s="4"/>
      <c r="AN559" s="4" t="str">
        <f t="shared" si="135"/>
        <v/>
      </c>
      <c r="AO559" s="4"/>
      <c r="AP559" s="4" t="e" cm="1">
        <f t="array" ref="AP559">IF(INDEX(Table2[],_xlfn.XMATCH($A559,Table2[Steel Member],0),_xlfn.XMATCH(AP$2,Table2[#Headers],0))=0,"",INDEX(Table2[],_xlfn.XMATCH($A559,Table2[Steel Member],0),_xlfn.XMATCH(AP$2,Table2[#Headers],0)))</f>
        <v>#N/A</v>
      </c>
      <c r="AQ559" s="4"/>
      <c r="AR559" s="4"/>
      <c r="AS559" s="4"/>
      <c r="AT559" s="4"/>
    </row>
    <row r="560" spans="1:46" x14ac:dyDescent="0.25">
      <c r="A560" s="52"/>
      <c r="B560" s="52"/>
      <c r="C560" s="52"/>
      <c r="D560" s="52"/>
      <c r="E560" s="52"/>
      <c r="F560" s="64" cm="1">
        <f t="array" ref="F560">IF(COUNT(FIND(PurlinsxGirthsxBracings,$C560))&gt;0,0,ROUNDUP(IF(D560=0,0,VLOOKUP(D560,'DATA SHEET'!$B:$D,2,FALSE)),2))</f>
        <v>0</v>
      </c>
      <c r="G560" s="64" cm="1">
        <f t="array" ref="G560">IF(COUNT(FIND(PurlinsxGirthsxBracings,$C560))&gt;0,0,ROUNDUP(IF(D560=0,0,VLOOKUP(D560,'DATA SHEET'!$B:$D,3,FALSE)),2))</f>
        <v>0</v>
      </c>
      <c r="H560" s="53"/>
      <c r="I560" s="66" cm="1">
        <f t="array" ref="I560">IF(AND(ISBLANK(B560),ISBLANK(C560),ISBLANK(E560)),0,IF(COUNT(FIND(PurlinsxGirthsxBracings,$C560))&gt;0,IF(B560=0,CONCATENATE(E560," ",C560),CONCATENATE(B560," - ",E560," ",C560)),IF(B560=0,IF(ISBLANK(C560),E560,CONCATENATE(D560,", ",F560,"kg/m, ",G560,"mm surface perimeter")),IF(AND(ISBLANK(C560),ISTEXT(E560)),CONCATENATE(B560," - ",E560),IF(AND(ISBLANK(C560),ISBLANK(E560)),B560,CONCATENATE(B560," - ",D560,", ",F560,"kg/m, ",G560,"mm surface perimeter"))))&amp;IF(ISBLANK(H560),"",H560)))</f>
        <v>0</v>
      </c>
      <c r="J560" s="53"/>
      <c r="L560" s="4" t="str" cm="1">
        <f t="array" ref="L560">IF(COUNT(FIND({0,1,2,3,4,5,6,7,8,9},B560))&gt;0,COUNT(FIND({0,1,2,3,4,5,6,7,8,9},B560))&gt;0,"")</f>
        <v/>
      </c>
      <c r="M560" s="4" t="str" cm="1">
        <f t="array" aca="1" ref="M560" ca="1">IFERROR(_xlfn.IFS(R560="Count",RANDBETWEEN(1,COUNTIF($R$11:$R$653,"Count")),R560="Length",RANDBETWEEN(1,COUNTIF($R$11:$R$653,"Length"))),"")</f>
        <v/>
      </c>
      <c r="N560" s="4" t="str">
        <f ca="1">IFERROR(_xlfn.RANK.EQ(M560,$M$11:$M$653)+COUNTIF($M$11:M560,M560)-1,"")</f>
        <v/>
      </c>
      <c r="O560" s="86" t="str">
        <f>IF(A560='DATA SHEET'!$L$36,C560,IFERROR(IF(AND(ISTEXT(I560),ISBLANK(C560)),"No details",VLOOKUP(C560,DimFolder,2,FALSE)),""))</f>
        <v/>
      </c>
      <c r="P560" s="4" t="str">
        <f t="shared" si="137"/>
        <v/>
      </c>
      <c r="Q560" s="58" t="str">
        <f t="shared" si="136"/>
        <v/>
      </c>
      <c r="R560" s="4" t="e" cm="1">
        <f t="array" ref="R560">IF(INDEX(Table2[],_xlfn.XMATCH($A560,Table2[Steel Member],0),_xlfn.XMATCH(R$2,Table2[#Headers],0))=0,"",INDEX(Table2[],_xlfn.XMATCH($A560,Table2[Steel Member],0),_xlfn.XMATCH(R$2,Table2[#Headers],0)))</f>
        <v>#N/A</v>
      </c>
      <c r="S560" s="4" t="e" cm="1">
        <f t="array" ref="S560">IF(INDEX(Table2[],_xlfn.XMATCH($A560,Table2[Steel Member],0),_xlfn.XMATCH(S$2,Table2[#Headers],0))=0,"",INDEX(Table2[],_xlfn.XMATCH($A560,Table2[Steel Member],0),_xlfn.XMATCH(S$2,Table2[#Headers],0)))</f>
        <v>#N/A</v>
      </c>
      <c r="T560" s="4" t="str">
        <f t="shared" si="127"/>
        <v/>
      </c>
      <c r="U560" s="4" t="e">
        <f ca="1">VLOOKUP(N560,'COLOR CODE'!$B:$D,2,FALSE)</f>
        <v>#N/A</v>
      </c>
      <c r="V560" s="4" t="str">
        <f t="shared" si="128"/>
        <v/>
      </c>
      <c r="W560" s="4" t="e" cm="1">
        <f t="array" ref="W560">IF(INDEX(Table2[],_xlfn.XMATCH($A560,Table2[Steel Member],0),_xlfn.XMATCH(W$2,Table2[#Headers],0))=0,"",INDEX(Table2[],_xlfn.XMATCH($A560,Table2[Steel Member],0),_xlfn.XMATCH(W$2,Table2[#Headers],0)))</f>
        <v>#N/A</v>
      </c>
      <c r="X560" s="4" t="e">
        <f t="shared" si="138"/>
        <v>#N/A</v>
      </c>
      <c r="Y560" s="4" t="e" cm="1">
        <f t="array" ref="Y560">IF(INDEX(Table2[],_xlfn.XMATCH($A560,Table2[Steel Member],0),_xlfn.XMATCH(Y$2,Table2[#Headers],0))=0,"",INDEX(Table2[],_xlfn.XMATCH($A560,Table2[Steel Member],0),_xlfn.XMATCH(Y$2,Table2[#Headers],0)))</f>
        <v>#N/A</v>
      </c>
      <c r="Z560" s="4" t="e" cm="1">
        <f t="array" ref="Z560">IF(INDEX(Table2[],_xlfn.XMATCH($A560,Table2[Steel Member],0),_xlfn.XMATCH(Z$2,Table2[#Headers],0))=0,"",INDEX(Table2[],_xlfn.XMATCH($A560,Table2[Steel Member],0),_xlfn.XMATCH(Z$2,Table2[#Headers],0)))</f>
        <v>#N/A</v>
      </c>
      <c r="AA560" s="4" t="e" cm="1">
        <f t="array" ref="AA560">IF(INDEX(Table2[],_xlfn.XMATCH($A560,Table2[Steel Member],0),_xlfn.XMATCH(AA$2,Table2[#Headers],0))=0,"",INDEX(Table2[],_xlfn.XMATCH($A560,Table2[Steel Member],0),_xlfn.XMATCH(AA$2,Table2[#Headers],0)))</f>
        <v>#N/A</v>
      </c>
      <c r="AB560" s="4" t="e" cm="1">
        <f t="array" ref="AB560">IF(INDEX(Table2[],_xlfn.XMATCH($A560,Table2[Steel Member],0),_xlfn.XMATCH(AB$2,Table2[#Headers],0))=0,"",INDEX(Table2[],_xlfn.XMATCH($A560,Table2[Steel Member],0),_xlfn.XMATCH(AB$2,Table2[#Headers],0)))</f>
        <v>#N/A</v>
      </c>
      <c r="AC560" s="4" t="str" cm="1">
        <f t="array" ref="AC560">IFERROR(INDEX(Table8[],_xlfn.XMATCH($O560,Table8[Dimension Name Category],0),_xlfn.XMATCH(AC$2&amp;IF($L560," w/ tag"," w/o tag"),Table8[#Headers],0)),"")</f>
        <v/>
      </c>
      <c r="AD560" s="59" t="str">
        <f t="shared" si="129"/>
        <v/>
      </c>
      <c r="AE560" s="4" t="str">
        <f t="shared" si="130"/>
        <v/>
      </c>
      <c r="AF560" s="4" t="str">
        <f t="shared" si="131"/>
        <v/>
      </c>
      <c r="AG560" s="4" t="str" cm="1">
        <f t="array" ref="AG560">IFERROR(INDEX(Table8[],_xlfn.XMATCH($O560,Table8[Dimension Name Category],0),_xlfn.XMATCH(AG$2&amp;IF($L560," w/ tag"," w/o tag"),Table8[#Headers],0)),"")</f>
        <v/>
      </c>
      <c r="AH560" s="59" t="str">
        <f t="shared" si="132"/>
        <v/>
      </c>
      <c r="AI560" s="4"/>
      <c r="AJ560" s="4" t="str">
        <f t="shared" si="133"/>
        <v/>
      </c>
      <c r="AK560" s="4" t="str">
        <f t="shared" si="134"/>
        <v/>
      </c>
      <c r="AL560" s="4" t="e" cm="1">
        <f t="array" ref="AL560">IF(INDEX(Table2[],_xlfn.XMATCH($A560,Table2[Steel Member],0),_xlfn.XMATCH(AL$2,Table2[#Headers],0))=0,"",INDEX(Table2[],_xlfn.XMATCH($A560,Table2[Steel Member],0),_xlfn.XMATCH(AL$2,Table2[#Headers],0)))</f>
        <v>#N/A</v>
      </c>
      <c r="AM560" s="4"/>
      <c r="AN560" s="4" t="str">
        <f t="shared" si="135"/>
        <v/>
      </c>
      <c r="AO560" s="4"/>
      <c r="AP560" s="4" t="e" cm="1">
        <f t="array" ref="AP560">IF(INDEX(Table2[],_xlfn.XMATCH($A560,Table2[Steel Member],0),_xlfn.XMATCH(AP$2,Table2[#Headers],0))=0,"",INDEX(Table2[],_xlfn.XMATCH($A560,Table2[Steel Member],0),_xlfn.XMATCH(AP$2,Table2[#Headers],0)))</f>
        <v>#N/A</v>
      </c>
      <c r="AQ560" s="4"/>
      <c r="AR560" s="4"/>
      <c r="AS560" s="4"/>
      <c r="AT560" s="4"/>
    </row>
    <row r="561" spans="1:46" x14ac:dyDescent="0.25">
      <c r="A561" s="52"/>
      <c r="B561" s="52"/>
      <c r="C561" s="52"/>
      <c r="D561" s="52"/>
      <c r="E561" s="52"/>
      <c r="F561" s="64" cm="1">
        <f t="array" ref="F561">IF(COUNT(FIND(PurlinsxGirthsxBracings,$C561))&gt;0,0,ROUNDUP(IF(D561=0,0,VLOOKUP(D561,'DATA SHEET'!$B:$D,2,FALSE)),2))</f>
        <v>0</v>
      </c>
      <c r="G561" s="64" cm="1">
        <f t="array" ref="G561">IF(COUNT(FIND(PurlinsxGirthsxBracings,$C561))&gt;0,0,ROUNDUP(IF(D561=0,0,VLOOKUP(D561,'DATA SHEET'!$B:$D,3,FALSE)),2))</f>
        <v>0</v>
      </c>
      <c r="H561" s="53"/>
      <c r="I561" s="66" cm="1">
        <f t="array" ref="I561">IF(AND(ISBLANK(B561),ISBLANK(C561),ISBLANK(E561)),0,IF(COUNT(FIND(PurlinsxGirthsxBracings,$C561))&gt;0,IF(B561=0,CONCATENATE(E561," ",C561),CONCATENATE(B561," - ",E561," ",C561)),IF(B561=0,IF(ISBLANK(C561),E561,CONCATENATE(D561,", ",F561,"kg/m, ",G561,"mm surface perimeter")),IF(AND(ISBLANK(C561),ISTEXT(E561)),CONCATENATE(B561," - ",E561),IF(AND(ISBLANK(C561),ISBLANK(E561)),B561,CONCATENATE(B561," - ",D561,", ",F561,"kg/m, ",G561,"mm surface perimeter"))))&amp;IF(ISBLANK(H561),"",H561)))</f>
        <v>0</v>
      </c>
      <c r="J561" s="53"/>
      <c r="L561" s="4" t="str" cm="1">
        <f t="array" ref="L561">IF(COUNT(FIND({0,1,2,3,4,5,6,7,8,9},B561))&gt;0,COUNT(FIND({0,1,2,3,4,5,6,7,8,9},B561))&gt;0,"")</f>
        <v/>
      </c>
      <c r="M561" s="4" t="str" cm="1">
        <f t="array" aca="1" ref="M561" ca="1">IFERROR(_xlfn.IFS(R561="Count",RANDBETWEEN(1,COUNTIF($R$11:$R$653,"Count")),R561="Length",RANDBETWEEN(1,COUNTIF($R$11:$R$653,"Length"))),"")</f>
        <v/>
      </c>
      <c r="N561" s="4" t="str">
        <f ca="1">IFERROR(_xlfn.RANK.EQ(M561,$M$11:$M$653)+COUNTIF($M$11:M561,M561)-1,"")</f>
        <v/>
      </c>
      <c r="O561" s="86" t="str">
        <f>IF(A561='DATA SHEET'!$L$36,C561,IFERROR(IF(AND(ISTEXT(I561),ISBLANK(C561)),"No details",VLOOKUP(C561,DimFolder,2,FALSE)),""))</f>
        <v/>
      </c>
      <c r="P561" s="4" t="str">
        <f t="shared" si="137"/>
        <v/>
      </c>
      <c r="Q561" s="58" t="str">
        <f t="shared" si="136"/>
        <v/>
      </c>
      <c r="R561" s="4" t="e" cm="1">
        <f t="array" ref="R561">IF(INDEX(Table2[],_xlfn.XMATCH($A561,Table2[Steel Member],0),_xlfn.XMATCH(R$2,Table2[#Headers],0))=0,"",INDEX(Table2[],_xlfn.XMATCH($A561,Table2[Steel Member],0),_xlfn.XMATCH(R$2,Table2[#Headers],0)))</f>
        <v>#N/A</v>
      </c>
      <c r="S561" s="4" t="e" cm="1">
        <f t="array" ref="S561">IF(INDEX(Table2[],_xlfn.XMATCH($A561,Table2[Steel Member],0),_xlfn.XMATCH(S$2,Table2[#Headers],0))=0,"",INDEX(Table2[],_xlfn.XMATCH($A561,Table2[Steel Member],0),_xlfn.XMATCH(S$2,Table2[#Headers],0)))</f>
        <v>#N/A</v>
      </c>
      <c r="T561" s="4" t="str">
        <f t="shared" si="127"/>
        <v/>
      </c>
      <c r="U561" s="4" t="e">
        <f ca="1">VLOOKUP(N561,'COLOR CODE'!$B:$D,2,FALSE)</f>
        <v>#N/A</v>
      </c>
      <c r="V561" s="4" t="str">
        <f t="shared" si="128"/>
        <v/>
      </c>
      <c r="W561" s="4" t="e" cm="1">
        <f t="array" ref="W561">IF(INDEX(Table2[],_xlfn.XMATCH($A561,Table2[Steel Member],0),_xlfn.XMATCH(W$2,Table2[#Headers],0))=0,"",INDEX(Table2[],_xlfn.XMATCH($A561,Table2[Steel Member],0),_xlfn.XMATCH(W$2,Table2[#Headers],0)))</f>
        <v>#N/A</v>
      </c>
      <c r="X561" s="4" t="e">
        <f t="shared" si="138"/>
        <v>#N/A</v>
      </c>
      <c r="Y561" s="4" t="e" cm="1">
        <f t="array" ref="Y561">IF(INDEX(Table2[],_xlfn.XMATCH($A561,Table2[Steel Member],0),_xlfn.XMATCH(Y$2,Table2[#Headers],0))=0,"",INDEX(Table2[],_xlfn.XMATCH($A561,Table2[Steel Member],0),_xlfn.XMATCH(Y$2,Table2[#Headers],0)))</f>
        <v>#N/A</v>
      </c>
      <c r="Z561" s="4" t="e" cm="1">
        <f t="array" ref="Z561">IF(INDEX(Table2[],_xlfn.XMATCH($A561,Table2[Steel Member],0),_xlfn.XMATCH(Z$2,Table2[#Headers],0))=0,"",INDEX(Table2[],_xlfn.XMATCH($A561,Table2[Steel Member],0),_xlfn.XMATCH(Z$2,Table2[#Headers],0)))</f>
        <v>#N/A</v>
      </c>
      <c r="AA561" s="4" t="e" cm="1">
        <f t="array" ref="AA561">IF(INDEX(Table2[],_xlfn.XMATCH($A561,Table2[Steel Member],0),_xlfn.XMATCH(AA$2,Table2[#Headers],0))=0,"",INDEX(Table2[],_xlfn.XMATCH($A561,Table2[Steel Member],0),_xlfn.XMATCH(AA$2,Table2[#Headers],0)))</f>
        <v>#N/A</v>
      </c>
      <c r="AB561" s="4" t="e" cm="1">
        <f t="array" ref="AB561">IF(INDEX(Table2[],_xlfn.XMATCH($A561,Table2[Steel Member],0),_xlfn.XMATCH(AB$2,Table2[#Headers],0))=0,"",INDEX(Table2[],_xlfn.XMATCH($A561,Table2[Steel Member],0),_xlfn.XMATCH(AB$2,Table2[#Headers],0)))</f>
        <v>#N/A</v>
      </c>
      <c r="AC561" s="4" t="str" cm="1">
        <f t="array" ref="AC561">IFERROR(INDEX(Table8[],_xlfn.XMATCH($O561,Table8[Dimension Name Category],0),_xlfn.XMATCH(AC$2&amp;IF($L561," w/ tag"," w/o tag"),Table8[#Headers],0)),"")</f>
        <v/>
      </c>
      <c r="AD561" s="59" t="str">
        <f t="shared" si="129"/>
        <v/>
      </c>
      <c r="AE561" s="4" t="str">
        <f t="shared" si="130"/>
        <v/>
      </c>
      <c r="AF561" s="4" t="str">
        <f t="shared" si="131"/>
        <v/>
      </c>
      <c r="AG561" s="4" t="str" cm="1">
        <f t="array" ref="AG561">IFERROR(INDEX(Table8[],_xlfn.XMATCH($O561,Table8[Dimension Name Category],0),_xlfn.XMATCH(AG$2&amp;IF($L561," w/ tag"," w/o tag"),Table8[#Headers],0)),"")</f>
        <v/>
      </c>
      <c r="AH561" s="59" t="str">
        <f t="shared" si="132"/>
        <v/>
      </c>
      <c r="AI561" s="4"/>
      <c r="AJ561" s="4" t="str">
        <f t="shared" si="133"/>
        <v/>
      </c>
      <c r="AK561" s="4" t="str">
        <f t="shared" si="134"/>
        <v/>
      </c>
      <c r="AL561" s="4" t="e" cm="1">
        <f t="array" ref="AL561">IF(INDEX(Table2[],_xlfn.XMATCH($A561,Table2[Steel Member],0),_xlfn.XMATCH(AL$2,Table2[#Headers],0))=0,"",INDEX(Table2[],_xlfn.XMATCH($A561,Table2[Steel Member],0),_xlfn.XMATCH(AL$2,Table2[#Headers],0)))</f>
        <v>#N/A</v>
      </c>
      <c r="AM561" s="4"/>
      <c r="AN561" s="4" t="str">
        <f t="shared" si="135"/>
        <v/>
      </c>
      <c r="AO561" s="4"/>
      <c r="AP561" s="4" t="e" cm="1">
        <f t="array" ref="AP561">IF(INDEX(Table2[],_xlfn.XMATCH($A561,Table2[Steel Member],0),_xlfn.XMATCH(AP$2,Table2[#Headers],0))=0,"",INDEX(Table2[],_xlfn.XMATCH($A561,Table2[Steel Member],0),_xlfn.XMATCH(AP$2,Table2[#Headers],0)))</f>
        <v>#N/A</v>
      </c>
      <c r="AQ561" s="4"/>
      <c r="AR561" s="4"/>
      <c r="AS561" s="4"/>
      <c r="AT561" s="4"/>
    </row>
    <row r="562" spans="1:46" x14ac:dyDescent="0.25">
      <c r="A562" s="52"/>
      <c r="B562" s="52"/>
      <c r="C562" s="52"/>
      <c r="D562" s="52"/>
      <c r="E562" s="52"/>
      <c r="F562" s="64" cm="1">
        <f t="array" ref="F562">IF(COUNT(FIND(PurlinsxGirthsxBracings,$C562))&gt;0,0,ROUNDUP(IF(D562=0,0,VLOOKUP(D562,'DATA SHEET'!$B:$D,2,FALSE)),2))</f>
        <v>0</v>
      </c>
      <c r="G562" s="64" cm="1">
        <f t="array" ref="G562">IF(COUNT(FIND(PurlinsxGirthsxBracings,$C562))&gt;0,0,ROUNDUP(IF(D562=0,0,VLOOKUP(D562,'DATA SHEET'!$B:$D,3,FALSE)),2))</f>
        <v>0</v>
      </c>
      <c r="H562" s="53"/>
      <c r="I562" s="66" cm="1">
        <f t="array" ref="I562">IF(AND(ISBLANK(B562),ISBLANK(C562),ISBLANK(E562)),0,IF(COUNT(FIND(PurlinsxGirthsxBracings,$C562))&gt;0,IF(B562=0,CONCATENATE(E562," ",C562),CONCATENATE(B562," - ",E562," ",C562)),IF(B562=0,IF(ISBLANK(C562),E562,CONCATENATE(D562,", ",F562,"kg/m, ",G562,"mm surface perimeter")),IF(AND(ISBLANK(C562),ISTEXT(E562)),CONCATENATE(B562," - ",E562),IF(AND(ISBLANK(C562),ISBLANK(E562)),B562,CONCATENATE(B562," - ",D562,", ",F562,"kg/m, ",G562,"mm surface perimeter"))))&amp;IF(ISBLANK(H562),"",H562)))</f>
        <v>0</v>
      </c>
      <c r="J562" s="53"/>
      <c r="L562" s="4" t="str" cm="1">
        <f t="array" ref="L562">IF(COUNT(FIND({0,1,2,3,4,5,6,7,8,9},B562))&gt;0,COUNT(FIND({0,1,2,3,4,5,6,7,8,9},B562))&gt;0,"")</f>
        <v/>
      </c>
      <c r="M562" s="4" t="str" cm="1">
        <f t="array" aca="1" ref="M562" ca="1">IFERROR(_xlfn.IFS(R562="Count",RANDBETWEEN(1,COUNTIF($R$11:$R$653,"Count")),R562="Length",RANDBETWEEN(1,COUNTIF($R$11:$R$653,"Length"))),"")</f>
        <v/>
      </c>
      <c r="N562" s="4" t="str">
        <f ca="1">IFERROR(_xlfn.RANK.EQ(M562,$M$11:$M$653)+COUNTIF($M$11:M562,M562)-1,"")</f>
        <v/>
      </c>
      <c r="O562" s="86" t="str">
        <f>IF(A562='DATA SHEET'!$L$36,C562,IFERROR(IF(AND(ISTEXT(I562),ISBLANK(C562)),"No details",VLOOKUP(C562,DimFolder,2,FALSE)),""))</f>
        <v/>
      </c>
      <c r="P562" s="4" t="str">
        <f t="shared" si="137"/>
        <v/>
      </c>
      <c r="Q562" s="58" t="str">
        <f t="shared" si="136"/>
        <v/>
      </c>
      <c r="R562" s="4" t="e" cm="1">
        <f t="array" ref="R562">IF(INDEX(Table2[],_xlfn.XMATCH($A562,Table2[Steel Member],0),_xlfn.XMATCH(R$2,Table2[#Headers],0))=0,"",INDEX(Table2[],_xlfn.XMATCH($A562,Table2[Steel Member],0),_xlfn.XMATCH(R$2,Table2[#Headers],0)))</f>
        <v>#N/A</v>
      </c>
      <c r="S562" s="4" t="e" cm="1">
        <f t="array" ref="S562">IF(INDEX(Table2[],_xlfn.XMATCH($A562,Table2[Steel Member],0),_xlfn.XMATCH(S$2,Table2[#Headers],0))=0,"",INDEX(Table2[],_xlfn.XMATCH($A562,Table2[Steel Member],0),_xlfn.XMATCH(S$2,Table2[#Headers],0)))</f>
        <v>#N/A</v>
      </c>
      <c r="T562" s="4" t="str">
        <f t="shared" si="127"/>
        <v/>
      </c>
      <c r="U562" s="4" t="e">
        <f ca="1">VLOOKUP(N562,'COLOR CODE'!$B:$D,2,FALSE)</f>
        <v>#N/A</v>
      </c>
      <c r="V562" s="4" t="str">
        <f t="shared" si="128"/>
        <v/>
      </c>
      <c r="W562" s="4" t="e" cm="1">
        <f t="array" ref="W562">IF(INDEX(Table2[],_xlfn.XMATCH($A562,Table2[Steel Member],0),_xlfn.XMATCH(W$2,Table2[#Headers],0))=0,"",INDEX(Table2[],_xlfn.XMATCH($A562,Table2[Steel Member],0),_xlfn.XMATCH(W$2,Table2[#Headers],0)))</f>
        <v>#N/A</v>
      </c>
      <c r="X562" s="4" t="e">
        <f t="shared" si="138"/>
        <v>#N/A</v>
      </c>
      <c r="Y562" s="4" t="e" cm="1">
        <f t="array" ref="Y562">IF(INDEX(Table2[],_xlfn.XMATCH($A562,Table2[Steel Member],0),_xlfn.XMATCH(Y$2,Table2[#Headers],0))=0,"",INDEX(Table2[],_xlfn.XMATCH($A562,Table2[Steel Member],0),_xlfn.XMATCH(Y$2,Table2[#Headers],0)))</f>
        <v>#N/A</v>
      </c>
      <c r="Z562" s="4" t="e" cm="1">
        <f t="array" ref="Z562">IF(INDEX(Table2[],_xlfn.XMATCH($A562,Table2[Steel Member],0),_xlfn.XMATCH(Z$2,Table2[#Headers],0))=0,"",INDEX(Table2[],_xlfn.XMATCH($A562,Table2[Steel Member],0),_xlfn.XMATCH(Z$2,Table2[#Headers],0)))</f>
        <v>#N/A</v>
      </c>
      <c r="AA562" s="4" t="e" cm="1">
        <f t="array" ref="AA562">IF(INDEX(Table2[],_xlfn.XMATCH($A562,Table2[Steel Member],0),_xlfn.XMATCH(AA$2,Table2[#Headers],0))=0,"",INDEX(Table2[],_xlfn.XMATCH($A562,Table2[Steel Member],0),_xlfn.XMATCH(AA$2,Table2[#Headers],0)))</f>
        <v>#N/A</v>
      </c>
      <c r="AB562" s="4" t="e" cm="1">
        <f t="array" ref="AB562">IF(INDEX(Table2[],_xlfn.XMATCH($A562,Table2[Steel Member],0),_xlfn.XMATCH(AB$2,Table2[#Headers],0))=0,"",INDEX(Table2[],_xlfn.XMATCH($A562,Table2[Steel Member],0),_xlfn.XMATCH(AB$2,Table2[#Headers],0)))</f>
        <v>#N/A</v>
      </c>
      <c r="AC562" s="4" t="str" cm="1">
        <f t="array" ref="AC562">IFERROR(INDEX(Table8[],_xlfn.XMATCH($O562,Table8[Dimension Name Category],0),_xlfn.XMATCH(AC$2&amp;IF($L562," w/ tag"," w/o tag"),Table8[#Headers],0)),"")</f>
        <v/>
      </c>
      <c r="AD562" s="59" t="str">
        <f t="shared" si="129"/>
        <v/>
      </c>
      <c r="AE562" s="4" t="str">
        <f t="shared" si="130"/>
        <v/>
      </c>
      <c r="AF562" s="4" t="str">
        <f t="shared" si="131"/>
        <v/>
      </c>
      <c r="AG562" s="4" t="str" cm="1">
        <f t="array" ref="AG562">IFERROR(INDEX(Table8[],_xlfn.XMATCH($O562,Table8[Dimension Name Category],0),_xlfn.XMATCH(AG$2&amp;IF($L562," w/ tag"," w/o tag"),Table8[#Headers],0)),"")</f>
        <v/>
      </c>
      <c r="AH562" s="59" t="str">
        <f t="shared" si="132"/>
        <v/>
      </c>
      <c r="AI562" s="4"/>
      <c r="AJ562" s="4" t="str">
        <f t="shared" si="133"/>
        <v/>
      </c>
      <c r="AK562" s="4" t="str">
        <f t="shared" si="134"/>
        <v/>
      </c>
      <c r="AL562" s="4" t="e" cm="1">
        <f t="array" ref="AL562">IF(INDEX(Table2[],_xlfn.XMATCH($A562,Table2[Steel Member],0),_xlfn.XMATCH(AL$2,Table2[#Headers],0))=0,"",INDEX(Table2[],_xlfn.XMATCH($A562,Table2[Steel Member],0),_xlfn.XMATCH(AL$2,Table2[#Headers],0)))</f>
        <v>#N/A</v>
      </c>
      <c r="AM562" s="4"/>
      <c r="AN562" s="4" t="str">
        <f t="shared" si="135"/>
        <v/>
      </c>
      <c r="AO562" s="4"/>
      <c r="AP562" s="4" t="e" cm="1">
        <f t="array" ref="AP562">IF(INDEX(Table2[],_xlfn.XMATCH($A562,Table2[Steel Member],0),_xlfn.XMATCH(AP$2,Table2[#Headers],0))=0,"",INDEX(Table2[],_xlfn.XMATCH($A562,Table2[Steel Member],0),_xlfn.XMATCH(AP$2,Table2[#Headers],0)))</f>
        <v>#N/A</v>
      </c>
      <c r="AQ562" s="4"/>
      <c r="AR562" s="4"/>
      <c r="AS562" s="4"/>
      <c r="AT562" s="4"/>
    </row>
    <row r="563" spans="1:46" x14ac:dyDescent="0.25">
      <c r="A563" s="52"/>
      <c r="B563" s="52"/>
      <c r="C563" s="52"/>
      <c r="D563" s="52"/>
      <c r="E563" s="52"/>
      <c r="F563" s="64" cm="1">
        <f t="array" ref="F563">IF(COUNT(FIND(PurlinsxGirthsxBracings,$C563))&gt;0,0,ROUNDUP(IF(D563=0,0,VLOOKUP(D563,'DATA SHEET'!$B:$D,2,FALSE)),2))</f>
        <v>0</v>
      </c>
      <c r="G563" s="64" cm="1">
        <f t="array" ref="G563">IF(COUNT(FIND(PurlinsxGirthsxBracings,$C563))&gt;0,0,ROUNDUP(IF(D563=0,0,VLOOKUP(D563,'DATA SHEET'!$B:$D,3,FALSE)),2))</f>
        <v>0</v>
      </c>
      <c r="H563" s="53"/>
      <c r="I563" s="66" cm="1">
        <f t="array" ref="I563">IF(AND(ISBLANK(B563),ISBLANK(C563),ISBLANK(E563)),0,IF(COUNT(FIND(PurlinsxGirthsxBracings,$C563))&gt;0,IF(B563=0,CONCATENATE(E563," ",C563),CONCATENATE(B563," - ",E563," ",C563)),IF(B563=0,IF(ISBLANK(C563),E563,CONCATENATE(D563,", ",F563,"kg/m, ",G563,"mm surface perimeter")),IF(AND(ISBLANK(C563),ISTEXT(E563)),CONCATENATE(B563," - ",E563),IF(AND(ISBLANK(C563),ISBLANK(E563)),B563,CONCATENATE(B563," - ",D563,", ",F563,"kg/m, ",G563,"mm surface perimeter"))))&amp;IF(ISBLANK(H563),"",H563)))</f>
        <v>0</v>
      </c>
      <c r="J563" s="53"/>
      <c r="L563" s="4" t="str" cm="1">
        <f t="array" ref="L563">IF(COUNT(FIND({0,1,2,3,4,5,6,7,8,9},B563))&gt;0,COUNT(FIND({0,1,2,3,4,5,6,7,8,9},B563))&gt;0,"")</f>
        <v/>
      </c>
      <c r="M563" s="4" t="str" cm="1">
        <f t="array" aca="1" ref="M563" ca="1">IFERROR(_xlfn.IFS(R563="Count",RANDBETWEEN(1,COUNTIF($R$11:$R$653,"Count")),R563="Length",RANDBETWEEN(1,COUNTIF($R$11:$R$653,"Length"))),"")</f>
        <v/>
      </c>
      <c r="N563" s="4" t="str">
        <f ca="1">IFERROR(_xlfn.RANK.EQ(M563,$M$11:$M$653)+COUNTIF($M$11:M563,M563)-1,"")</f>
        <v/>
      </c>
      <c r="O563" s="86" t="str">
        <f>IF(A563='DATA SHEET'!$L$36,C563,IFERROR(IF(AND(ISTEXT(I563),ISBLANK(C563)),"No details",VLOOKUP(C563,DimFolder,2,FALSE)),""))</f>
        <v/>
      </c>
      <c r="P563" s="4" t="str">
        <f t="shared" si="137"/>
        <v/>
      </c>
      <c r="Q563" s="58" t="str">
        <f t="shared" si="136"/>
        <v/>
      </c>
      <c r="R563" s="4" t="e" cm="1">
        <f t="array" ref="R563">IF(INDEX(Table2[],_xlfn.XMATCH($A563,Table2[Steel Member],0),_xlfn.XMATCH(R$2,Table2[#Headers],0))=0,"",INDEX(Table2[],_xlfn.XMATCH($A563,Table2[Steel Member],0),_xlfn.XMATCH(R$2,Table2[#Headers],0)))</f>
        <v>#N/A</v>
      </c>
      <c r="S563" s="4" t="e" cm="1">
        <f t="array" ref="S563">IF(INDEX(Table2[],_xlfn.XMATCH($A563,Table2[Steel Member],0),_xlfn.XMATCH(S$2,Table2[#Headers],0))=0,"",INDEX(Table2[],_xlfn.XMATCH($A563,Table2[Steel Member],0),_xlfn.XMATCH(S$2,Table2[#Headers],0)))</f>
        <v>#N/A</v>
      </c>
      <c r="T563" s="4" t="str">
        <f t="shared" si="127"/>
        <v/>
      </c>
      <c r="U563" s="4" t="e">
        <f ca="1">VLOOKUP(N563,'COLOR CODE'!$B:$D,2,FALSE)</f>
        <v>#N/A</v>
      </c>
      <c r="V563" s="4" t="str">
        <f t="shared" si="128"/>
        <v/>
      </c>
      <c r="W563" s="4" t="e" cm="1">
        <f t="array" ref="W563">IF(INDEX(Table2[],_xlfn.XMATCH($A563,Table2[Steel Member],0),_xlfn.XMATCH(W$2,Table2[#Headers],0))=0,"",INDEX(Table2[],_xlfn.XMATCH($A563,Table2[Steel Member],0),_xlfn.XMATCH(W$2,Table2[#Headers],0)))</f>
        <v>#N/A</v>
      </c>
      <c r="X563" s="4" t="e">
        <f t="shared" si="138"/>
        <v>#N/A</v>
      </c>
      <c r="Y563" s="4" t="e" cm="1">
        <f t="array" ref="Y563">IF(INDEX(Table2[],_xlfn.XMATCH($A563,Table2[Steel Member],0),_xlfn.XMATCH(Y$2,Table2[#Headers],0))=0,"",INDEX(Table2[],_xlfn.XMATCH($A563,Table2[Steel Member],0),_xlfn.XMATCH(Y$2,Table2[#Headers],0)))</f>
        <v>#N/A</v>
      </c>
      <c r="Z563" s="4" t="e" cm="1">
        <f t="array" ref="Z563">IF(INDEX(Table2[],_xlfn.XMATCH($A563,Table2[Steel Member],0),_xlfn.XMATCH(Z$2,Table2[#Headers],0))=0,"",INDEX(Table2[],_xlfn.XMATCH($A563,Table2[Steel Member],0),_xlfn.XMATCH(Z$2,Table2[#Headers],0)))</f>
        <v>#N/A</v>
      </c>
      <c r="AA563" s="4" t="e" cm="1">
        <f t="array" ref="AA563">IF(INDEX(Table2[],_xlfn.XMATCH($A563,Table2[Steel Member],0),_xlfn.XMATCH(AA$2,Table2[#Headers],0))=0,"",INDEX(Table2[],_xlfn.XMATCH($A563,Table2[Steel Member],0),_xlfn.XMATCH(AA$2,Table2[#Headers],0)))</f>
        <v>#N/A</v>
      </c>
      <c r="AB563" s="4" t="e" cm="1">
        <f t="array" ref="AB563">IF(INDEX(Table2[],_xlfn.XMATCH($A563,Table2[Steel Member],0),_xlfn.XMATCH(AB$2,Table2[#Headers],0))=0,"",INDEX(Table2[],_xlfn.XMATCH($A563,Table2[Steel Member],0),_xlfn.XMATCH(AB$2,Table2[#Headers],0)))</f>
        <v>#N/A</v>
      </c>
      <c r="AC563" s="4" t="str" cm="1">
        <f t="array" ref="AC563">IFERROR(INDEX(Table8[],_xlfn.XMATCH($O563,Table8[Dimension Name Category],0),_xlfn.XMATCH(AC$2&amp;IF($L563," w/ tag"," w/o tag"),Table8[#Headers],0)),"")</f>
        <v/>
      </c>
      <c r="AD563" s="59" t="str">
        <f t="shared" si="129"/>
        <v/>
      </c>
      <c r="AE563" s="4" t="str">
        <f t="shared" si="130"/>
        <v/>
      </c>
      <c r="AF563" s="4" t="str">
        <f t="shared" si="131"/>
        <v/>
      </c>
      <c r="AG563" s="4" t="str" cm="1">
        <f t="array" ref="AG563">IFERROR(INDEX(Table8[],_xlfn.XMATCH($O563,Table8[Dimension Name Category],0),_xlfn.XMATCH(AG$2&amp;IF($L563," w/ tag"," w/o tag"),Table8[#Headers],0)),"")</f>
        <v/>
      </c>
      <c r="AH563" s="59" t="str">
        <f t="shared" si="132"/>
        <v/>
      </c>
      <c r="AI563" s="4"/>
      <c r="AJ563" s="4" t="str">
        <f t="shared" si="133"/>
        <v/>
      </c>
      <c r="AK563" s="4" t="str">
        <f t="shared" si="134"/>
        <v/>
      </c>
      <c r="AL563" s="4" t="e" cm="1">
        <f t="array" ref="AL563">IF(INDEX(Table2[],_xlfn.XMATCH($A563,Table2[Steel Member],0),_xlfn.XMATCH(AL$2,Table2[#Headers],0))=0,"",INDEX(Table2[],_xlfn.XMATCH($A563,Table2[Steel Member],0),_xlfn.XMATCH(AL$2,Table2[#Headers],0)))</f>
        <v>#N/A</v>
      </c>
      <c r="AM563" s="4"/>
      <c r="AN563" s="4" t="str">
        <f t="shared" si="135"/>
        <v/>
      </c>
      <c r="AO563" s="4"/>
      <c r="AP563" s="4" t="e" cm="1">
        <f t="array" ref="AP563">IF(INDEX(Table2[],_xlfn.XMATCH($A563,Table2[Steel Member],0),_xlfn.XMATCH(AP$2,Table2[#Headers],0))=0,"",INDEX(Table2[],_xlfn.XMATCH($A563,Table2[Steel Member],0),_xlfn.XMATCH(AP$2,Table2[#Headers],0)))</f>
        <v>#N/A</v>
      </c>
      <c r="AQ563" s="4"/>
      <c r="AR563" s="4"/>
      <c r="AS563" s="4"/>
      <c r="AT563" s="4"/>
    </row>
    <row r="564" spans="1:46" x14ac:dyDescent="0.25">
      <c r="A564" s="52"/>
      <c r="B564" s="52"/>
      <c r="C564" s="52"/>
      <c r="D564" s="52"/>
      <c r="E564" s="52"/>
      <c r="F564" s="64" cm="1">
        <f t="array" ref="F564">IF(COUNT(FIND(PurlinsxGirthsxBracings,$C564))&gt;0,0,ROUNDUP(IF(D564=0,0,VLOOKUP(D564,'DATA SHEET'!$B:$D,2,FALSE)),2))</f>
        <v>0</v>
      </c>
      <c r="G564" s="64" cm="1">
        <f t="array" ref="G564">IF(COUNT(FIND(PurlinsxGirthsxBracings,$C564))&gt;0,0,ROUNDUP(IF(D564=0,0,VLOOKUP(D564,'DATA SHEET'!$B:$D,3,FALSE)),2))</f>
        <v>0</v>
      </c>
      <c r="H564" s="53"/>
      <c r="I564" s="66" cm="1">
        <f t="array" ref="I564">IF(AND(ISBLANK(B564),ISBLANK(C564),ISBLANK(E564)),0,IF(COUNT(FIND(PurlinsxGirthsxBracings,$C564))&gt;0,IF(B564=0,CONCATENATE(E564," ",C564),CONCATENATE(B564," - ",E564," ",C564)),IF(B564=0,IF(ISBLANK(C564),E564,CONCATENATE(D564,", ",F564,"kg/m, ",G564,"mm surface perimeter")),IF(AND(ISBLANK(C564),ISTEXT(E564)),CONCATENATE(B564," - ",E564),IF(AND(ISBLANK(C564),ISBLANK(E564)),B564,CONCATENATE(B564," - ",D564,", ",F564,"kg/m, ",G564,"mm surface perimeter"))))&amp;IF(ISBLANK(H564),"",H564)))</f>
        <v>0</v>
      </c>
      <c r="J564" s="53"/>
      <c r="L564" s="4" t="str" cm="1">
        <f t="array" ref="L564">IF(COUNT(FIND({0,1,2,3,4,5,6,7,8,9},B564))&gt;0,COUNT(FIND({0,1,2,3,4,5,6,7,8,9},B564))&gt;0,"")</f>
        <v/>
      </c>
      <c r="M564" s="4" t="str" cm="1">
        <f t="array" aca="1" ref="M564" ca="1">IFERROR(_xlfn.IFS(R564="Count",RANDBETWEEN(1,COUNTIF($R$11:$R$653,"Count")),R564="Length",RANDBETWEEN(1,COUNTIF($R$11:$R$653,"Length"))),"")</f>
        <v/>
      </c>
      <c r="N564" s="4" t="str">
        <f ca="1">IFERROR(_xlfn.RANK.EQ(M564,$M$11:$M$653)+COUNTIF($M$11:M564,M564)-1,"")</f>
        <v/>
      </c>
      <c r="O564" s="86" t="str">
        <f>IF(A564='DATA SHEET'!$L$36,C564,IFERROR(IF(AND(ISTEXT(I564),ISBLANK(C564)),"No details",VLOOKUP(C564,DimFolder,2,FALSE)),""))</f>
        <v/>
      </c>
      <c r="P564" s="4" t="str">
        <f t="shared" si="137"/>
        <v/>
      </c>
      <c r="Q564" s="58" t="str">
        <f t="shared" si="136"/>
        <v/>
      </c>
      <c r="R564" s="4" t="e" cm="1">
        <f t="array" ref="R564">IF(INDEX(Table2[],_xlfn.XMATCH($A564,Table2[Steel Member],0),_xlfn.XMATCH(R$2,Table2[#Headers],0))=0,"",INDEX(Table2[],_xlfn.XMATCH($A564,Table2[Steel Member],0),_xlfn.XMATCH(R$2,Table2[#Headers],0)))</f>
        <v>#N/A</v>
      </c>
      <c r="S564" s="4" t="e" cm="1">
        <f t="array" ref="S564">IF(INDEX(Table2[],_xlfn.XMATCH($A564,Table2[Steel Member],0),_xlfn.XMATCH(S$2,Table2[#Headers],0))=0,"",INDEX(Table2[],_xlfn.XMATCH($A564,Table2[Steel Member],0),_xlfn.XMATCH(S$2,Table2[#Headers],0)))</f>
        <v>#N/A</v>
      </c>
      <c r="T564" s="4" t="str">
        <f t="shared" si="127"/>
        <v/>
      </c>
      <c r="U564" s="4" t="e">
        <f ca="1">VLOOKUP(N564,'COLOR CODE'!$B:$D,2,FALSE)</f>
        <v>#N/A</v>
      </c>
      <c r="V564" s="4" t="str">
        <f t="shared" si="128"/>
        <v/>
      </c>
      <c r="W564" s="4" t="e" cm="1">
        <f t="array" ref="W564">IF(INDEX(Table2[],_xlfn.XMATCH($A564,Table2[Steel Member],0),_xlfn.XMATCH(W$2,Table2[#Headers],0))=0,"",INDEX(Table2[],_xlfn.XMATCH($A564,Table2[Steel Member],0),_xlfn.XMATCH(W$2,Table2[#Headers],0)))</f>
        <v>#N/A</v>
      </c>
      <c r="X564" s="4" t="e">
        <f t="shared" si="138"/>
        <v>#N/A</v>
      </c>
      <c r="Y564" s="4" t="e" cm="1">
        <f t="array" ref="Y564">IF(INDEX(Table2[],_xlfn.XMATCH($A564,Table2[Steel Member],0),_xlfn.XMATCH(Y$2,Table2[#Headers],0))=0,"",INDEX(Table2[],_xlfn.XMATCH($A564,Table2[Steel Member],0),_xlfn.XMATCH(Y$2,Table2[#Headers],0)))</f>
        <v>#N/A</v>
      </c>
      <c r="Z564" s="4" t="e" cm="1">
        <f t="array" ref="Z564">IF(INDEX(Table2[],_xlfn.XMATCH($A564,Table2[Steel Member],0),_xlfn.XMATCH(Z$2,Table2[#Headers],0))=0,"",INDEX(Table2[],_xlfn.XMATCH($A564,Table2[Steel Member],0),_xlfn.XMATCH(Z$2,Table2[#Headers],0)))</f>
        <v>#N/A</v>
      </c>
      <c r="AA564" s="4" t="e" cm="1">
        <f t="array" ref="AA564">IF(INDEX(Table2[],_xlfn.XMATCH($A564,Table2[Steel Member],0),_xlfn.XMATCH(AA$2,Table2[#Headers],0))=0,"",INDEX(Table2[],_xlfn.XMATCH($A564,Table2[Steel Member],0),_xlfn.XMATCH(AA$2,Table2[#Headers],0)))</f>
        <v>#N/A</v>
      </c>
      <c r="AB564" s="4" t="e" cm="1">
        <f t="array" ref="AB564">IF(INDEX(Table2[],_xlfn.XMATCH($A564,Table2[Steel Member],0),_xlfn.XMATCH(AB$2,Table2[#Headers],0))=0,"",INDEX(Table2[],_xlfn.XMATCH($A564,Table2[Steel Member],0),_xlfn.XMATCH(AB$2,Table2[#Headers],0)))</f>
        <v>#N/A</v>
      </c>
      <c r="AC564" s="4" t="str" cm="1">
        <f t="array" ref="AC564">IFERROR(INDEX(Table8[],_xlfn.XMATCH($O564,Table8[Dimension Name Category],0),_xlfn.XMATCH(AC$2&amp;IF($L564," w/ tag"," w/o tag"),Table8[#Headers],0)),"")</f>
        <v/>
      </c>
      <c r="AD564" s="59" t="str">
        <f t="shared" si="129"/>
        <v/>
      </c>
      <c r="AE564" s="4" t="str">
        <f t="shared" si="130"/>
        <v/>
      </c>
      <c r="AF564" s="4" t="str">
        <f t="shared" si="131"/>
        <v/>
      </c>
      <c r="AG564" s="4" t="str" cm="1">
        <f t="array" ref="AG564">IFERROR(INDEX(Table8[],_xlfn.XMATCH($O564,Table8[Dimension Name Category],0),_xlfn.XMATCH(AG$2&amp;IF($L564," w/ tag"," w/o tag"),Table8[#Headers],0)),"")</f>
        <v/>
      </c>
      <c r="AH564" s="59" t="str">
        <f t="shared" si="132"/>
        <v/>
      </c>
      <c r="AI564" s="4"/>
      <c r="AJ564" s="4" t="str">
        <f t="shared" si="133"/>
        <v/>
      </c>
      <c r="AK564" s="4" t="str">
        <f t="shared" si="134"/>
        <v/>
      </c>
      <c r="AL564" s="4" t="e" cm="1">
        <f t="array" ref="AL564">IF(INDEX(Table2[],_xlfn.XMATCH($A564,Table2[Steel Member],0),_xlfn.XMATCH(AL$2,Table2[#Headers],0))=0,"",INDEX(Table2[],_xlfn.XMATCH($A564,Table2[Steel Member],0),_xlfn.XMATCH(AL$2,Table2[#Headers],0)))</f>
        <v>#N/A</v>
      </c>
      <c r="AM564" s="4"/>
      <c r="AN564" s="4" t="str">
        <f t="shared" si="135"/>
        <v/>
      </c>
      <c r="AO564" s="4"/>
      <c r="AP564" s="4" t="e" cm="1">
        <f t="array" ref="AP564">IF(INDEX(Table2[],_xlfn.XMATCH($A564,Table2[Steel Member],0),_xlfn.XMATCH(AP$2,Table2[#Headers],0))=0,"",INDEX(Table2[],_xlfn.XMATCH($A564,Table2[Steel Member],0),_xlfn.XMATCH(AP$2,Table2[#Headers],0)))</f>
        <v>#N/A</v>
      </c>
      <c r="AQ564" s="4"/>
      <c r="AR564" s="4"/>
      <c r="AS564" s="4"/>
      <c r="AT564" s="4"/>
    </row>
    <row r="565" spans="1:46" x14ac:dyDescent="0.25">
      <c r="A565" s="52"/>
      <c r="B565" s="52"/>
      <c r="C565" s="52"/>
      <c r="D565" s="52"/>
      <c r="E565" s="52"/>
      <c r="F565" s="64" cm="1">
        <f t="array" ref="F565">IF(COUNT(FIND(PurlinsxGirthsxBracings,$C565))&gt;0,0,ROUNDUP(IF(D565=0,0,VLOOKUP(D565,'DATA SHEET'!$B:$D,2,FALSE)),2))</f>
        <v>0</v>
      </c>
      <c r="G565" s="64" cm="1">
        <f t="array" ref="G565">IF(COUNT(FIND(PurlinsxGirthsxBracings,$C565))&gt;0,0,ROUNDUP(IF(D565=0,0,VLOOKUP(D565,'DATA SHEET'!$B:$D,3,FALSE)),2))</f>
        <v>0</v>
      </c>
      <c r="H565" s="53"/>
      <c r="I565" s="66" cm="1">
        <f t="array" ref="I565">IF(AND(ISBLANK(B565),ISBLANK(C565),ISBLANK(E565)),0,IF(COUNT(FIND(PurlinsxGirthsxBracings,$C565))&gt;0,IF(B565=0,CONCATENATE(E565," ",C565),CONCATENATE(B565," - ",E565," ",C565)),IF(B565=0,IF(ISBLANK(C565),E565,CONCATENATE(D565,", ",F565,"kg/m, ",G565,"mm surface perimeter")),IF(AND(ISBLANK(C565),ISTEXT(E565)),CONCATENATE(B565," - ",E565),IF(AND(ISBLANK(C565),ISBLANK(E565)),B565,CONCATENATE(B565," - ",D565,", ",F565,"kg/m, ",G565,"mm surface perimeter"))))&amp;IF(ISBLANK(H565),"",H565)))</f>
        <v>0</v>
      </c>
      <c r="J565" s="53"/>
      <c r="L565" s="4" t="str" cm="1">
        <f t="array" ref="L565">IF(COUNT(FIND({0,1,2,3,4,5,6,7,8,9},B565))&gt;0,COUNT(FIND({0,1,2,3,4,5,6,7,8,9},B565))&gt;0,"")</f>
        <v/>
      </c>
      <c r="M565" s="4" t="str" cm="1">
        <f t="array" aca="1" ref="M565" ca="1">IFERROR(_xlfn.IFS(R565="Count",RANDBETWEEN(1,COUNTIF($R$11:$R$653,"Count")),R565="Length",RANDBETWEEN(1,COUNTIF($R$11:$R$653,"Length"))),"")</f>
        <v/>
      </c>
      <c r="N565" s="4" t="str">
        <f ca="1">IFERROR(_xlfn.RANK.EQ(M565,$M$11:$M$653)+COUNTIF($M$11:M565,M565)-1,"")</f>
        <v/>
      </c>
      <c r="O565" s="86" t="str">
        <f>IF(A565='DATA SHEET'!$L$36,C565,IFERROR(IF(AND(ISTEXT(I565),ISBLANK(C565)),"No details",VLOOKUP(C565,DimFolder,2,FALSE)),""))</f>
        <v/>
      </c>
      <c r="P565" s="4" t="str">
        <f t="shared" si="137"/>
        <v/>
      </c>
      <c r="Q565" s="58" t="str">
        <f t="shared" si="136"/>
        <v/>
      </c>
      <c r="R565" s="4" t="e" cm="1">
        <f t="array" ref="R565">IF(INDEX(Table2[],_xlfn.XMATCH($A565,Table2[Steel Member],0),_xlfn.XMATCH(R$2,Table2[#Headers],0))=0,"",INDEX(Table2[],_xlfn.XMATCH($A565,Table2[Steel Member],0),_xlfn.XMATCH(R$2,Table2[#Headers],0)))</f>
        <v>#N/A</v>
      </c>
      <c r="S565" s="4" t="e" cm="1">
        <f t="array" ref="S565">IF(INDEX(Table2[],_xlfn.XMATCH($A565,Table2[Steel Member],0),_xlfn.XMATCH(S$2,Table2[#Headers],0))=0,"",INDEX(Table2[],_xlfn.XMATCH($A565,Table2[Steel Member],0),_xlfn.XMATCH(S$2,Table2[#Headers],0)))</f>
        <v>#N/A</v>
      </c>
      <c r="T565" s="4" t="str">
        <f t="shared" ref="T565:T628" si="139">IF(AND(ISBLANK(B565),ISBLANK(C565)),"","t")</f>
        <v/>
      </c>
      <c r="U565" s="4" t="e">
        <f ca="1">VLOOKUP(N565,'COLOR CODE'!$B:$D,2,FALSE)</f>
        <v>#N/A</v>
      </c>
      <c r="V565" s="4" t="str">
        <f t="shared" ref="V565:V628" si="140">IF(AND(ISBLANK(B565),ISBLANK(C565)),"","Red")</f>
        <v/>
      </c>
      <c r="W565" s="4" t="e" cm="1">
        <f t="array" ref="W565">IF(INDEX(Table2[],_xlfn.XMATCH($A565,Table2[Steel Member],0),_xlfn.XMATCH(W$2,Table2[#Headers],0))=0,"",INDEX(Table2[],_xlfn.XMATCH($A565,Table2[Steel Member],0),_xlfn.XMATCH(W$2,Table2[#Headers],0)))</f>
        <v>#N/A</v>
      </c>
      <c r="X565" s="4" t="e">
        <f t="shared" si="138"/>
        <v>#N/A</v>
      </c>
      <c r="Y565" s="4" t="e" cm="1">
        <f t="array" ref="Y565">IF(INDEX(Table2[],_xlfn.XMATCH($A565,Table2[Steel Member],0),_xlfn.XMATCH(Y$2,Table2[#Headers],0))=0,"",INDEX(Table2[],_xlfn.XMATCH($A565,Table2[Steel Member],0),_xlfn.XMATCH(Y$2,Table2[#Headers],0)))</f>
        <v>#N/A</v>
      </c>
      <c r="Z565" s="4" t="e" cm="1">
        <f t="array" ref="Z565">IF(INDEX(Table2[],_xlfn.XMATCH($A565,Table2[Steel Member],0),_xlfn.XMATCH(Z$2,Table2[#Headers],0))=0,"",INDEX(Table2[],_xlfn.XMATCH($A565,Table2[Steel Member],0),_xlfn.XMATCH(Z$2,Table2[#Headers],0)))</f>
        <v>#N/A</v>
      </c>
      <c r="AA565" s="4" t="e" cm="1">
        <f t="array" ref="AA565">IF(INDEX(Table2[],_xlfn.XMATCH($A565,Table2[Steel Member],0),_xlfn.XMATCH(AA$2,Table2[#Headers],0))=0,"",INDEX(Table2[],_xlfn.XMATCH($A565,Table2[Steel Member],0),_xlfn.XMATCH(AA$2,Table2[#Headers],0)))</f>
        <v>#N/A</v>
      </c>
      <c r="AB565" s="4" t="e" cm="1">
        <f t="array" ref="AB565">IF(INDEX(Table2[],_xlfn.XMATCH($A565,Table2[Steel Member],0),_xlfn.XMATCH(AB$2,Table2[#Headers],0))=0,"",INDEX(Table2[],_xlfn.XMATCH($A565,Table2[Steel Member],0),_xlfn.XMATCH(AB$2,Table2[#Headers],0)))</f>
        <v>#N/A</v>
      </c>
      <c r="AC565" s="4" t="str" cm="1">
        <f t="array" ref="AC565">IFERROR(INDEX(Table8[],_xlfn.XMATCH($O565,Table8[Dimension Name Category],0),_xlfn.XMATCH(AC$2&amp;IF($L565," w/ tag"," w/o tag"),Table8[#Headers],0)),"")</f>
        <v/>
      </c>
      <c r="AD565" s="59" t="str">
        <f t="shared" ref="AD565:AD628" si="141">IF(OR($AC565="",$AC565=0),"",IF($A565=Column,"{Length}*XNUMBER({Dimension Group Name},"&amp;$AC565&amp;")/1000","{Length}*XNUMBER({Dimension Group Name},"&amp;$AC565&amp;")/1000*{Slope Factor}"))</f>
        <v/>
      </c>
      <c r="AE565" s="4" t="str">
        <f t="shared" ref="AE565:AE628" si="142">IF(AND(ISBLANK(B565),ISBLANK(C565)),"",IF($A565=Purlins_Girths_Bracings,"","Steel Surface Area"))</f>
        <v/>
      </c>
      <c r="AF565" s="4" t="str">
        <f t="shared" ref="AF565:AF628" si="143">IF(AND(ISBLANK(B565),ISBLANK(C565)),"",IF($A565=Purlins_Girths_Bracings,"","m2"))</f>
        <v/>
      </c>
      <c r="AG565" s="4" t="str" cm="1">
        <f t="array" ref="AG565">IFERROR(INDEX(Table8[],_xlfn.XMATCH($O565,Table8[Dimension Name Category],0),_xlfn.XMATCH(AG$2&amp;IF($L565," w/ tag"," w/o tag"),Table8[#Headers],0)),"")</f>
        <v/>
      </c>
      <c r="AH565" s="59" t="str">
        <f t="shared" ref="AH565:AH628" si="144">IF(OR($AG565="",$AG565=0),"",IF($A565=Column,"{Length}*XNUMBER({Dimension Group Name},"&amp;$AG565&amp;")/1000","{Length}*XNUMBER({Dimension Group Name},"&amp;$AG565&amp;")/1000*{Slope Factor}"))</f>
        <v/>
      </c>
      <c r="AI565" s="4"/>
      <c r="AJ565" s="4" t="str">
        <f t="shared" ref="AJ565:AJ628" si="145">IF(OR($A565=Column,$A565=""),"","Slope Length")</f>
        <v/>
      </c>
      <c r="AK565" s="4" t="str">
        <f t="shared" ref="AK565:AK628" si="146">IF(OR($A565=Column,$A565=""),"","m")</f>
        <v/>
      </c>
      <c r="AL565" s="4" t="e" cm="1">
        <f t="array" ref="AL565">IF(INDEX(Table2[],_xlfn.XMATCH($A565,Table2[Steel Member],0),_xlfn.XMATCH(AL$2,Table2[#Headers],0))=0,"",INDEX(Table2[],_xlfn.XMATCH($A565,Table2[Steel Member],0),_xlfn.XMATCH(AL$2,Table2[#Headers],0)))</f>
        <v>#N/A</v>
      </c>
      <c r="AM565" s="4"/>
      <c r="AN565" s="4" t="str">
        <f t="shared" ref="AN565:AN628" si="147">IF(OR($A565=Column,$A565=""),"","Slope Factor")</f>
        <v/>
      </c>
      <c r="AO565" s="4"/>
      <c r="AP565" s="4" t="e" cm="1">
        <f t="array" ref="AP565">IF(INDEX(Table2[],_xlfn.XMATCH($A565,Table2[Steel Member],0),_xlfn.XMATCH(AP$2,Table2[#Headers],0))=0,"",INDEX(Table2[],_xlfn.XMATCH($A565,Table2[Steel Member],0),_xlfn.XMATCH(AP$2,Table2[#Headers],0)))</f>
        <v>#N/A</v>
      </c>
      <c r="AQ565" s="4"/>
      <c r="AR565" s="4"/>
      <c r="AS565" s="4"/>
      <c r="AT565" s="4"/>
    </row>
    <row r="566" spans="1:46" x14ac:dyDescent="0.25">
      <c r="A566" s="52"/>
      <c r="B566" s="52"/>
      <c r="C566" s="52"/>
      <c r="D566" s="52"/>
      <c r="E566" s="52"/>
      <c r="F566" s="64" cm="1">
        <f t="array" ref="F566">IF(COUNT(FIND(PurlinsxGirthsxBracings,$C566))&gt;0,0,ROUNDUP(IF(D566=0,0,VLOOKUP(D566,'DATA SHEET'!$B:$D,2,FALSE)),2))</f>
        <v>0</v>
      </c>
      <c r="G566" s="64" cm="1">
        <f t="array" ref="G566">IF(COUNT(FIND(PurlinsxGirthsxBracings,$C566))&gt;0,0,ROUNDUP(IF(D566=0,0,VLOOKUP(D566,'DATA SHEET'!$B:$D,3,FALSE)),2))</f>
        <v>0</v>
      </c>
      <c r="H566" s="53"/>
      <c r="I566" s="66" cm="1">
        <f t="array" ref="I566">IF(AND(ISBLANK(B566),ISBLANK(C566),ISBLANK(E566)),0,IF(COUNT(FIND(PurlinsxGirthsxBracings,$C566))&gt;0,IF(B566=0,CONCATENATE(E566," ",C566),CONCATENATE(B566," - ",E566," ",C566)),IF(B566=0,IF(ISBLANK(C566),E566,CONCATENATE(D566,", ",F566,"kg/m, ",G566,"mm surface perimeter")),IF(AND(ISBLANK(C566),ISTEXT(E566)),CONCATENATE(B566," - ",E566),IF(AND(ISBLANK(C566),ISBLANK(E566)),B566,CONCATENATE(B566," - ",D566,", ",F566,"kg/m, ",G566,"mm surface perimeter"))))&amp;IF(ISBLANK(H566),"",H566)))</f>
        <v>0</v>
      </c>
      <c r="J566" s="53"/>
      <c r="L566" s="4" t="str" cm="1">
        <f t="array" ref="L566">IF(COUNT(FIND({0,1,2,3,4,5,6,7,8,9},B566))&gt;0,COUNT(FIND({0,1,2,3,4,5,6,7,8,9},B566))&gt;0,"")</f>
        <v/>
      </c>
      <c r="M566" s="4" t="str" cm="1">
        <f t="array" aca="1" ref="M566" ca="1">IFERROR(_xlfn.IFS(R566="Count",RANDBETWEEN(1,COUNTIF($R$11:$R$653,"Count")),R566="Length",RANDBETWEEN(1,COUNTIF($R$11:$R$653,"Length"))),"")</f>
        <v/>
      </c>
      <c r="N566" s="4" t="str">
        <f ca="1">IFERROR(_xlfn.RANK.EQ(M566,$M$11:$M$653)+COUNTIF($M$11:M566,M566)-1,"")</f>
        <v/>
      </c>
      <c r="O566" s="86" t="str">
        <f>IF(A566='DATA SHEET'!$L$36,C566,IFERROR(IF(AND(ISTEXT(I566),ISBLANK(C566)),"No details",VLOOKUP(C566,DimFolder,2,FALSE)),""))</f>
        <v/>
      </c>
      <c r="P566" s="4" t="str">
        <f t="shared" si="137"/>
        <v/>
      </c>
      <c r="Q566" s="58" t="str">
        <f t="shared" ref="Q566:Q629" si="148">IF(AND(ISBLANK(B566),ISBLANK(C566)),"",I566)</f>
        <v/>
      </c>
      <c r="R566" s="4" t="e" cm="1">
        <f t="array" ref="R566">IF(INDEX(Table2[],_xlfn.XMATCH($A566,Table2[Steel Member],0),_xlfn.XMATCH(R$2,Table2[#Headers],0))=0,"",INDEX(Table2[],_xlfn.XMATCH($A566,Table2[Steel Member],0),_xlfn.XMATCH(R$2,Table2[#Headers],0)))</f>
        <v>#N/A</v>
      </c>
      <c r="S566" s="4" t="e" cm="1">
        <f t="array" ref="S566">IF(INDEX(Table2[],_xlfn.XMATCH($A566,Table2[Steel Member],0),_xlfn.XMATCH(S$2,Table2[#Headers],0))=0,"",INDEX(Table2[],_xlfn.XMATCH($A566,Table2[Steel Member],0),_xlfn.XMATCH(S$2,Table2[#Headers],0)))</f>
        <v>#N/A</v>
      </c>
      <c r="T566" s="4" t="str">
        <f t="shared" si="139"/>
        <v/>
      </c>
      <c r="U566" s="4" t="e">
        <f ca="1">VLOOKUP(N566,'COLOR CODE'!$B:$D,2,FALSE)</f>
        <v>#N/A</v>
      </c>
      <c r="V566" s="4" t="str">
        <f t="shared" si="140"/>
        <v/>
      </c>
      <c r="W566" s="4" t="e" cm="1">
        <f t="array" ref="W566">IF(INDEX(Table2[],_xlfn.XMATCH($A566,Table2[Steel Member],0),_xlfn.XMATCH(W$2,Table2[#Headers],0))=0,"",INDEX(Table2[],_xlfn.XMATCH($A566,Table2[Steel Member],0),_xlfn.XMATCH(W$2,Table2[#Headers],0)))</f>
        <v>#N/A</v>
      </c>
      <c r="X566" s="4" t="e">
        <f t="shared" si="138"/>
        <v>#N/A</v>
      </c>
      <c r="Y566" s="4" t="e" cm="1">
        <f t="array" ref="Y566">IF(INDEX(Table2[],_xlfn.XMATCH($A566,Table2[Steel Member],0),_xlfn.XMATCH(Y$2,Table2[#Headers],0))=0,"",INDEX(Table2[],_xlfn.XMATCH($A566,Table2[Steel Member],0),_xlfn.XMATCH(Y$2,Table2[#Headers],0)))</f>
        <v>#N/A</v>
      </c>
      <c r="Z566" s="4" t="e" cm="1">
        <f t="array" ref="Z566">IF(INDEX(Table2[],_xlfn.XMATCH($A566,Table2[Steel Member],0),_xlfn.XMATCH(Z$2,Table2[#Headers],0))=0,"",INDEX(Table2[],_xlfn.XMATCH($A566,Table2[Steel Member],0),_xlfn.XMATCH(Z$2,Table2[#Headers],0)))</f>
        <v>#N/A</v>
      </c>
      <c r="AA566" s="4" t="e" cm="1">
        <f t="array" ref="AA566">IF(INDEX(Table2[],_xlfn.XMATCH($A566,Table2[Steel Member],0),_xlfn.XMATCH(AA$2,Table2[#Headers],0))=0,"",INDEX(Table2[],_xlfn.XMATCH($A566,Table2[Steel Member],0),_xlfn.XMATCH(AA$2,Table2[#Headers],0)))</f>
        <v>#N/A</v>
      </c>
      <c r="AB566" s="4" t="e" cm="1">
        <f t="array" ref="AB566">IF(INDEX(Table2[],_xlfn.XMATCH($A566,Table2[Steel Member],0),_xlfn.XMATCH(AB$2,Table2[#Headers],0))=0,"",INDEX(Table2[],_xlfn.XMATCH($A566,Table2[Steel Member],0),_xlfn.XMATCH(AB$2,Table2[#Headers],0)))</f>
        <v>#N/A</v>
      </c>
      <c r="AC566" s="4" t="str" cm="1">
        <f t="array" ref="AC566">IFERROR(INDEX(Table8[],_xlfn.XMATCH($O566,Table8[Dimension Name Category],0),_xlfn.XMATCH(AC$2&amp;IF($L566," w/ tag"," w/o tag"),Table8[#Headers],0)),"")</f>
        <v/>
      </c>
      <c r="AD566" s="59" t="str">
        <f t="shared" si="141"/>
        <v/>
      </c>
      <c r="AE566" s="4" t="str">
        <f t="shared" si="142"/>
        <v/>
      </c>
      <c r="AF566" s="4" t="str">
        <f t="shared" si="143"/>
        <v/>
      </c>
      <c r="AG566" s="4" t="str" cm="1">
        <f t="array" ref="AG566">IFERROR(INDEX(Table8[],_xlfn.XMATCH($O566,Table8[Dimension Name Category],0),_xlfn.XMATCH(AG$2&amp;IF($L566," w/ tag"," w/o tag"),Table8[#Headers],0)),"")</f>
        <v/>
      </c>
      <c r="AH566" s="59" t="str">
        <f t="shared" si="144"/>
        <v/>
      </c>
      <c r="AI566" s="4"/>
      <c r="AJ566" s="4" t="str">
        <f t="shared" si="145"/>
        <v/>
      </c>
      <c r="AK566" s="4" t="str">
        <f t="shared" si="146"/>
        <v/>
      </c>
      <c r="AL566" s="4" t="e" cm="1">
        <f t="array" ref="AL566">IF(INDEX(Table2[],_xlfn.XMATCH($A566,Table2[Steel Member],0),_xlfn.XMATCH(AL$2,Table2[#Headers],0))=0,"",INDEX(Table2[],_xlfn.XMATCH($A566,Table2[Steel Member],0),_xlfn.XMATCH(AL$2,Table2[#Headers],0)))</f>
        <v>#N/A</v>
      </c>
      <c r="AM566" s="4"/>
      <c r="AN566" s="4" t="str">
        <f t="shared" si="147"/>
        <v/>
      </c>
      <c r="AO566" s="4"/>
      <c r="AP566" s="4" t="e" cm="1">
        <f t="array" ref="AP566">IF(INDEX(Table2[],_xlfn.XMATCH($A566,Table2[Steel Member],0),_xlfn.XMATCH(AP$2,Table2[#Headers],0))=0,"",INDEX(Table2[],_xlfn.XMATCH($A566,Table2[Steel Member],0),_xlfn.XMATCH(AP$2,Table2[#Headers],0)))</f>
        <v>#N/A</v>
      </c>
      <c r="AQ566" s="4"/>
      <c r="AR566" s="4"/>
      <c r="AS566" s="4"/>
      <c r="AT566" s="4"/>
    </row>
    <row r="567" spans="1:46" x14ac:dyDescent="0.25">
      <c r="A567" s="52"/>
      <c r="B567" s="52"/>
      <c r="C567" s="52"/>
      <c r="D567" s="52"/>
      <c r="E567" s="52"/>
      <c r="F567" s="64" cm="1">
        <f t="array" ref="F567">IF(COUNT(FIND(PurlinsxGirthsxBracings,$C567))&gt;0,0,ROUNDUP(IF(D567=0,0,VLOOKUP(D567,'DATA SHEET'!$B:$D,2,FALSE)),2))</f>
        <v>0</v>
      </c>
      <c r="G567" s="64" cm="1">
        <f t="array" ref="G567">IF(COUNT(FIND(PurlinsxGirthsxBracings,$C567))&gt;0,0,ROUNDUP(IF(D567=0,0,VLOOKUP(D567,'DATA SHEET'!$B:$D,3,FALSE)),2))</f>
        <v>0</v>
      </c>
      <c r="H567" s="53"/>
      <c r="I567" s="66" cm="1">
        <f t="array" ref="I567">IF(AND(ISBLANK(B567),ISBLANK(C567),ISBLANK(E567)),0,IF(COUNT(FIND(PurlinsxGirthsxBracings,$C567))&gt;0,IF(B567=0,CONCATENATE(E567," ",C567),CONCATENATE(B567," - ",E567," ",C567)),IF(B567=0,IF(ISBLANK(C567),E567,CONCATENATE(D567,", ",F567,"kg/m, ",G567,"mm surface perimeter")),IF(AND(ISBLANK(C567),ISTEXT(E567)),CONCATENATE(B567," - ",E567),IF(AND(ISBLANK(C567),ISBLANK(E567)),B567,CONCATENATE(B567," - ",D567,", ",F567,"kg/m, ",G567,"mm surface perimeter"))))&amp;IF(ISBLANK(H567),"",H567)))</f>
        <v>0</v>
      </c>
      <c r="J567" s="53"/>
      <c r="L567" s="4" t="str" cm="1">
        <f t="array" ref="L567">IF(COUNT(FIND({0,1,2,3,4,5,6,7,8,9},B567))&gt;0,COUNT(FIND({0,1,2,3,4,5,6,7,8,9},B567))&gt;0,"")</f>
        <v/>
      </c>
      <c r="M567" s="4" t="str" cm="1">
        <f t="array" aca="1" ref="M567" ca="1">IFERROR(_xlfn.IFS(R567="Count",RANDBETWEEN(1,COUNTIF($R$11:$R$653,"Count")),R567="Length",RANDBETWEEN(1,COUNTIF($R$11:$R$653,"Length"))),"")</f>
        <v/>
      </c>
      <c r="N567" s="4" t="str">
        <f ca="1">IFERROR(_xlfn.RANK.EQ(M567,$M$11:$M$653)+COUNTIF($M$11:M567,M567)-1,"")</f>
        <v/>
      </c>
      <c r="O567" s="86" t="str">
        <f>IF(A567='DATA SHEET'!$L$36,C567,IFERROR(IF(AND(ISTEXT(I567),ISBLANK(C567)),"No details",VLOOKUP(C567,DimFolder,2,FALSE)),""))</f>
        <v/>
      </c>
      <c r="P567" s="4" t="str">
        <f t="shared" si="137"/>
        <v/>
      </c>
      <c r="Q567" s="58" t="str">
        <f t="shared" si="148"/>
        <v/>
      </c>
      <c r="R567" s="4" t="e" cm="1">
        <f t="array" ref="R567">IF(INDEX(Table2[],_xlfn.XMATCH($A567,Table2[Steel Member],0),_xlfn.XMATCH(R$2,Table2[#Headers],0))=0,"",INDEX(Table2[],_xlfn.XMATCH($A567,Table2[Steel Member],0),_xlfn.XMATCH(R$2,Table2[#Headers],0)))</f>
        <v>#N/A</v>
      </c>
      <c r="S567" s="4" t="e" cm="1">
        <f t="array" ref="S567">IF(INDEX(Table2[],_xlfn.XMATCH($A567,Table2[Steel Member],0),_xlfn.XMATCH(S$2,Table2[#Headers],0))=0,"",INDEX(Table2[],_xlfn.XMATCH($A567,Table2[Steel Member],0),_xlfn.XMATCH(S$2,Table2[#Headers],0)))</f>
        <v>#N/A</v>
      </c>
      <c r="T567" s="4" t="str">
        <f t="shared" si="139"/>
        <v/>
      </c>
      <c r="U567" s="4" t="e">
        <f ca="1">VLOOKUP(N567,'COLOR CODE'!$B:$D,2,FALSE)</f>
        <v>#N/A</v>
      </c>
      <c r="V567" s="4" t="str">
        <f t="shared" si="140"/>
        <v/>
      </c>
      <c r="W567" s="4" t="e" cm="1">
        <f t="array" ref="W567">IF(INDEX(Table2[],_xlfn.XMATCH($A567,Table2[Steel Member],0),_xlfn.XMATCH(W$2,Table2[#Headers],0))=0,"",INDEX(Table2[],_xlfn.XMATCH($A567,Table2[Steel Member],0),_xlfn.XMATCH(W$2,Table2[#Headers],0)))</f>
        <v>#N/A</v>
      </c>
      <c r="X567" s="4" t="e">
        <f t="shared" si="138"/>
        <v>#N/A</v>
      </c>
      <c r="Y567" s="4" t="e" cm="1">
        <f t="array" ref="Y567">IF(INDEX(Table2[],_xlfn.XMATCH($A567,Table2[Steel Member],0),_xlfn.XMATCH(Y$2,Table2[#Headers],0))=0,"",INDEX(Table2[],_xlfn.XMATCH($A567,Table2[Steel Member],0),_xlfn.XMATCH(Y$2,Table2[#Headers],0)))</f>
        <v>#N/A</v>
      </c>
      <c r="Z567" s="4" t="e" cm="1">
        <f t="array" ref="Z567">IF(INDEX(Table2[],_xlfn.XMATCH($A567,Table2[Steel Member],0),_xlfn.XMATCH(Z$2,Table2[#Headers],0))=0,"",INDEX(Table2[],_xlfn.XMATCH($A567,Table2[Steel Member],0),_xlfn.XMATCH(Z$2,Table2[#Headers],0)))</f>
        <v>#N/A</v>
      </c>
      <c r="AA567" s="4" t="e" cm="1">
        <f t="array" ref="AA567">IF(INDEX(Table2[],_xlfn.XMATCH($A567,Table2[Steel Member],0),_xlfn.XMATCH(AA$2,Table2[#Headers],0))=0,"",INDEX(Table2[],_xlfn.XMATCH($A567,Table2[Steel Member],0),_xlfn.XMATCH(AA$2,Table2[#Headers],0)))</f>
        <v>#N/A</v>
      </c>
      <c r="AB567" s="4" t="e" cm="1">
        <f t="array" ref="AB567">IF(INDEX(Table2[],_xlfn.XMATCH($A567,Table2[Steel Member],0),_xlfn.XMATCH(AB$2,Table2[#Headers],0))=0,"",INDEX(Table2[],_xlfn.XMATCH($A567,Table2[Steel Member],0),_xlfn.XMATCH(AB$2,Table2[#Headers],0)))</f>
        <v>#N/A</v>
      </c>
      <c r="AC567" s="4" t="str" cm="1">
        <f t="array" ref="AC567">IFERROR(INDEX(Table8[],_xlfn.XMATCH($O567,Table8[Dimension Name Category],0),_xlfn.XMATCH(AC$2&amp;IF($L567," w/ tag"," w/o tag"),Table8[#Headers],0)),"")</f>
        <v/>
      </c>
      <c r="AD567" s="59" t="str">
        <f t="shared" si="141"/>
        <v/>
      </c>
      <c r="AE567" s="4" t="str">
        <f t="shared" si="142"/>
        <v/>
      </c>
      <c r="AF567" s="4" t="str">
        <f t="shared" si="143"/>
        <v/>
      </c>
      <c r="AG567" s="4" t="str" cm="1">
        <f t="array" ref="AG567">IFERROR(INDEX(Table8[],_xlfn.XMATCH($O567,Table8[Dimension Name Category],0),_xlfn.XMATCH(AG$2&amp;IF($L567," w/ tag"," w/o tag"),Table8[#Headers],0)),"")</f>
        <v/>
      </c>
      <c r="AH567" s="59" t="str">
        <f t="shared" si="144"/>
        <v/>
      </c>
      <c r="AI567" s="4"/>
      <c r="AJ567" s="4" t="str">
        <f t="shared" si="145"/>
        <v/>
      </c>
      <c r="AK567" s="4" t="str">
        <f t="shared" si="146"/>
        <v/>
      </c>
      <c r="AL567" s="4" t="e" cm="1">
        <f t="array" ref="AL567">IF(INDEX(Table2[],_xlfn.XMATCH($A567,Table2[Steel Member],0),_xlfn.XMATCH(AL$2,Table2[#Headers],0))=0,"",INDEX(Table2[],_xlfn.XMATCH($A567,Table2[Steel Member],0),_xlfn.XMATCH(AL$2,Table2[#Headers],0)))</f>
        <v>#N/A</v>
      </c>
      <c r="AM567" s="4"/>
      <c r="AN567" s="4" t="str">
        <f t="shared" si="147"/>
        <v/>
      </c>
      <c r="AO567" s="4"/>
      <c r="AP567" s="4" t="e" cm="1">
        <f t="array" ref="AP567">IF(INDEX(Table2[],_xlfn.XMATCH($A567,Table2[Steel Member],0),_xlfn.XMATCH(AP$2,Table2[#Headers],0))=0,"",INDEX(Table2[],_xlfn.XMATCH($A567,Table2[Steel Member],0),_xlfn.XMATCH(AP$2,Table2[#Headers],0)))</f>
        <v>#N/A</v>
      </c>
      <c r="AQ567" s="4"/>
      <c r="AR567" s="4"/>
      <c r="AS567" s="4"/>
      <c r="AT567" s="4"/>
    </row>
    <row r="568" spans="1:46" x14ac:dyDescent="0.25">
      <c r="A568" s="52"/>
      <c r="B568" s="52"/>
      <c r="C568" s="52"/>
      <c r="D568" s="52"/>
      <c r="E568" s="52"/>
      <c r="F568" s="64" cm="1">
        <f t="array" ref="F568">IF(COUNT(FIND(PurlinsxGirthsxBracings,$C568))&gt;0,0,ROUNDUP(IF(D568=0,0,VLOOKUP(D568,'DATA SHEET'!$B:$D,2,FALSE)),2))</f>
        <v>0</v>
      </c>
      <c r="G568" s="64" cm="1">
        <f t="array" ref="G568">IF(COUNT(FIND(PurlinsxGirthsxBracings,$C568))&gt;0,0,ROUNDUP(IF(D568=0,0,VLOOKUP(D568,'DATA SHEET'!$B:$D,3,FALSE)),2))</f>
        <v>0</v>
      </c>
      <c r="H568" s="53"/>
      <c r="I568" s="66" cm="1">
        <f t="array" ref="I568">IF(AND(ISBLANK(B568),ISBLANK(C568),ISBLANK(E568)),0,IF(COUNT(FIND(PurlinsxGirthsxBracings,$C568))&gt;0,IF(B568=0,CONCATENATE(E568," ",C568),CONCATENATE(B568," - ",E568," ",C568)),IF(B568=0,IF(ISBLANK(C568),E568,CONCATENATE(D568,", ",F568,"kg/m, ",G568,"mm surface perimeter")),IF(AND(ISBLANK(C568),ISTEXT(E568)),CONCATENATE(B568," - ",E568),IF(AND(ISBLANK(C568),ISBLANK(E568)),B568,CONCATENATE(B568," - ",D568,", ",F568,"kg/m, ",G568,"mm surface perimeter"))))&amp;IF(ISBLANK(H568),"",H568)))</f>
        <v>0</v>
      </c>
      <c r="J568" s="53"/>
      <c r="L568" s="4" t="str" cm="1">
        <f t="array" ref="L568">IF(COUNT(FIND({0,1,2,3,4,5,6,7,8,9},B568))&gt;0,COUNT(FIND({0,1,2,3,4,5,6,7,8,9},B568))&gt;0,"")</f>
        <v/>
      </c>
      <c r="M568" s="4" t="str" cm="1">
        <f t="array" aca="1" ref="M568" ca="1">IFERROR(_xlfn.IFS(R568="Count",RANDBETWEEN(1,COUNTIF($R$11:$R$653,"Count")),R568="Length",RANDBETWEEN(1,COUNTIF($R$11:$R$653,"Length"))),"")</f>
        <v/>
      </c>
      <c r="N568" s="4" t="str">
        <f ca="1">IFERROR(_xlfn.RANK.EQ(M568,$M$11:$M$653)+COUNTIF($M$11:M568,M568)-1,"")</f>
        <v/>
      </c>
      <c r="O568" s="86" t="str">
        <f>IF(A568='DATA SHEET'!$L$36,C568,IFERROR(IF(AND(ISTEXT(I568),ISBLANK(C568)),"No details",VLOOKUP(C568,DimFolder,2,FALSE)),""))</f>
        <v/>
      </c>
      <c r="P568" s="4" t="str">
        <f t="shared" si="137"/>
        <v/>
      </c>
      <c r="Q568" s="58" t="str">
        <f t="shared" si="148"/>
        <v/>
      </c>
      <c r="R568" s="4" t="e" cm="1">
        <f t="array" ref="R568">IF(INDEX(Table2[],_xlfn.XMATCH($A568,Table2[Steel Member],0),_xlfn.XMATCH(R$2,Table2[#Headers],0))=0,"",INDEX(Table2[],_xlfn.XMATCH($A568,Table2[Steel Member],0),_xlfn.XMATCH(R$2,Table2[#Headers],0)))</f>
        <v>#N/A</v>
      </c>
      <c r="S568" s="4" t="e" cm="1">
        <f t="array" ref="S568">IF(INDEX(Table2[],_xlfn.XMATCH($A568,Table2[Steel Member],0),_xlfn.XMATCH(S$2,Table2[#Headers],0))=0,"",INDEX(Table2[],_xlfn.XMATCH($A568,Table2[Steel Member],0),_xlfn.XMATCH(S$2,Table2[#Headers],0)))</f>
        <v>#N/A</v>
      </c>
      <c r="T568" s="4" t="str">
        <f t="shared" si="139"/>
        <v/>
      </c>
      <c r="U568" s="4" t="e">
        <f ca="1">VLOOKUP(N568,'COLOR CODE'!$B:$D,2,FALSE)</f>
        <v>#N/A</v>
      </c>
      <c r="V568" s="4" t="str">
        <f t="shared" si="140"/>
        <v/>
      </c>
      <c r="W568" s="4" t="e" cm="1">
        <f t="array" ref="W568">IF(INDEX(Table2[],_xlfn.XMATCH($A568,Table2[Steel Member],0),_xlfn.XMATCH(W$2,Table2[#Headers],0))=0,"",INDEX(Table2[],_xlfn.XMATCH($A568,Table2[Steel Member],0),_xlfn.XMATCH(W$2,Table2[#Headers],0)))</f>
        <v>#N/A</v>
      </c>
      <c r="X568" s="4" t="e">
        <f t="shared" si="138"/>
        <v>#N/A</v>
      </c>
      <c r="Y568" s="4" t="e" cm="1">
        <f t="array" ref="Y568">IF(INDEX(Table2[],_xlfn.XMATCH($A568,Table2[Steel Member],0),_xlfn.XMATCH(Y$2,Table2[#Headers],0))=0,"",INDEX(Table2[],_xlfn.XMATCH($A568,Table2[Steel Member],0),_xlfn.XMATCH(Y$2,Table2[#Headers],0)))</f>
        <v>#N/A</v>
      </c>
      <c r="Z568" s="4" t="e" cm="1">
        <f t="array" ref="Z568">IF(INDEX(Table2[],_xlfn.XMATCH($A568,Table2[Steel Member],0),_xlfn.XMATCH(Z$2,Table2[#Headers],0))=0,"",INDEX(Table2[],_xlfn.XMATCH($A568,Table2[Steel Member],0),_xlfn.XMATCH(Z$2,Table2[#Headers],0)))</f>
        <v>#N/A</v>
      </c>
      <c r="AA568" s="4" t="e" cm="1">
        <f t="array" ref="AA568">IF(INDEX(Table2[],_xlfn.XMATCH($A568,Table2[Steel Member],0),_xlfn.XMATCH(AA$2,Table2[#Headers],0))=0,"",INDEX(Table2[],_xlfn.XMATCH($A568,Table2[Steel Member],0),_xlfn.XMATCH(AA$2,Table2[#Headers],0)))</f>
        <v>#N/A</v>
      </c>
      <c r="AB568" s="4" t="e" cm="1">
        <f t="array" ref="AB568">IF(INDEX(Table2[],_xlfn.XMATCH($A568,Table2[Steel Member],0),_xlfn.XMATCH(AB$2,Table2[#Headers],0))=0,"",INDEX(Table2[],_xlfn.XMATCH($A568,Table2[Steel Member],0),_xlfn.XMATCH(AB$2,Table2[#Headers],0)))</f>
        <v>#N/A</v>
      </c>
      <c r="AC568" s="4" t="str" cm="1">
        <f t="array" ref="AC568">IFERROR(INDEX(Table8[],_xlfn.XMATCH($O568,Table8[Dimension Name Category],0),_xlfn.XMATCH(AC$2&amp;IF($L568," w/ tag"," w/o tag"),Table8[#Headers],0)),"")</f>
        <v/>
      </c>
      <c r="AD568" s="59" t="str">
        <f t="shared" si="141"/>
        <v/>
      </c>
      <c r="AE568" s="4" t="str">
        <f t="shared" si="142"/>
        <v/>
      </c>
      <c r="AF568" s="4" t="str">
        <f t="shared" si="143"/>
        <v/>
      </c>
      <c r="AG568" s="4" t="str" cm="1">
        <f t="array" ref="AG568">IFERROR(INDEX(Table8[],_xlfn.XMATCH($O568,Table8[Dimension Name Category],0),_xlfn.XMATCH(AG$2&amp;IF($L568," w/ tag"," w/o tag"),Table8[#Headers],0)),"")</f>
        <v/>
      </c>
      <c r="AH568" s="59" t="str">
        <f t="shared" si="144"/>
        <v/>
      </c>
      <c r="AI568" s="4"/>
      <c r="AJ568" s="4" t="str">
        <f t="shared" si="145"/>
        <v/>
      </c>
      <c r="AK568" s="4" t="str">
        <f t="shared" si="146"/>
        <v/>
      </c>
      <c r="AL568" s="4" t="e" cm="1">
        <f t="array" ref="AL568">IF(INDEX(Table2[],_xlfn.XMATCH($A568,Table2[Steel Member],0),_xlfn.XMATCH(AL$2,Table2[#Headers],0))=0,"",INDEX(Table2[],_xlfn.XMATCH($A568,Table2[Steel Member],0),_xlfn.XMATCH(AL$2,Table2[#Headers],0)))</f>
        <v>#N/A</v>
      </c>
      <c r="AM568" s="4"/>
      <c r="AN568" s="4" t="str">
        <f t="shared" si="147"/>
        <v/>
      </c>
      <c r="AO568" s="4"/>
      <c r="AP568" s="4" t="e" cm="1">
        <f t="array" ref="AP568">IF(INDEX(Table2[],_xlfn.XMATCH($A568,Table2[Steel Member],0),_xlfn.XMATCH(AP$2,Table2[#Headers],0))=0,"",INDEX(Table2[],_xlfn.XMATCH($A568,Table2[Steel Member],0),_xlfn.XMATCH(AP$2,Table2[#Headers],0)))</f>
        <v>#N/A</v>
      </c>
      <c r="AQ568" s="4"/>
      <c r="AR568" s="4"/>
      <c r="AS568" s="4"/>
      <c r="AT568" s="4"/>
    </row>
    <row r="569" spans="1:46" x14ac:dyDescent="0.25">
      <c r="A569" s="52"/>
      <c r="B569" s="52"/>
      <c r="C569" s="52"/>
      <c r="D569" s="52"/>
      <c r="E569" s="52"/>
      <c r="F569" s="64" cm="1">
        <f t="array" ref="F569">IF(COUNT(FIND(PurlinsxGirthsxBracings,$C569))&gt;0,0,ROUNDUP(IF(D569=0,0,VLOOKUP(D569,'DATA SHEET'!$B:$D,2,FALSE)),2))</f>
        <v>0</v>
      </c>
      <c r="G569" s="64" cm="1">
        <f t="array" ref="G569">IF(COUNT(FIND(PurlinsxGirthsxBracings,$C569))&gt;0,0,ROUNDUP(IF(D569=0,0,VLOOKUP(D569,'DATA SHEET'!$B:$D,3,FALSE)),2))</f>
        <v>0</v>
      </c>
      <c r="H569" s="53"/>
      <c r="I569" s="66" cm="1">
        <f t="array" ref="I569">IF(AND(ISBLANK(B569),ISBLANK(C569),ISBLANK(E569)),0,IF(COUNT(FIND(PurlinsxGirthsxBracings,$C569))&gt;0,IF(B569=0,CONCATENATE(E569," ",C569),CONCATENATE(B569," - ",E569," ",C569)),IF(B569=0,IF(ISBLANK(C569),E569,CONCATENATE(D569,", ",F569,"kg/m, ",G569,"mm surface perimeter")),IF(AND(ISBLANK(C569),ISTEXT(E569)),CONCATENATE(B569," - ",E569),IF(AND(ISBLANK(C569),ISBLANK(E569)),B569,CONCATENATE(B569," - ",D569,", ",F569,"kg/m, ",G569,"mm surface perimeter"))))&amp;IF(ISBLANK(H569),"",H569)))</f>
        <v>0</v>
      </c>
      <c r="J569" s="53"/>
      <c r="L569" s="4" t="str" cm="1">
        <f t="array" ref="L569">IF(COUNT(FIND({0,1,2,3,4,5,6,7,8,9},B569))&gt;0,COUNT(FIND({0,1,2,3,4,5,6,7,8,9},B569))&gt;0,"")</f>
        <v/>
      </c>
      <c r="M569" s="4" t="str" cm="1">
        <f t="array" aca="1" ref="M569" ca="1">IFERROR(_xlfn.IFS(R569="Count",RANDBETWEEN(1,COUNTIF($R$11:$R$653,"Count")),R569="Length",RANDBETWEEN(1,COUNTIF($R$11:$R$653,"Length"))),"")</f>
        <v/>
      </c>
      <c r="N569" s="4" t="str">
        <f ca="1">IFERROR(_xlfn.RANK.EQ(M569,$M$11:$M$653)+COUNTIF($M$11:M569,M569)-1,"")</f>
        <v/>
      </c>
      <c r="O569" s="86" t="str">
        <f>IF(A569='DATA SHEET'!$L$36,C569,IFERROR(IF(AND(ISTEXT(I569),ISBLANK(C569)),"No details",VLOOKUP(C569,DimFolder,2,FALSE)),""))</f>
        <v/>
      </c>
      <c r="P569" s="4" t="str">
        <f t="shared" si="137"/>
        <v/>
      </c>
      <c r="Q569" s="58" t="str">
        <f t="shared" si="148"/>
        <v/>
      </c>
      <c r="R569" s="4" t="e" cm="1">
        <f t="array" ref="R569">IF(INDEX(Table2[],_xlfn.XMATCH($A569,Table2[Steel Member],0),_xlfn.XMATCH(R$2,Table2[#Headers],0))=0,"",INDEX(Table2[],_xlfn.XMATCH($A569,Table2[Steel Member],0),_xlfn.XMATCH(R$2,Table2[#Headers],0)))</f>
        <v>#N/A</v>
      </c>
      <c r="S569" s="4" t="e" cm="1">
        <f t="array" ref="S569">IF(INDEX(Table2[],_xlfn.XMATCH($A569,Table2[Steel Member],0),_xlfn.XMATCH(S$2,Table2[#Headers],0))=0,"",INDEX(Table2[],_xlfn.XMATCH($A569,Table2[Steel Member],0),_xlfn.XMATCH(S$2,Table2[#Headers],0)))</f>
        <v>#N/A</v>
      </c>
      <c r="T569" s="4" t="str">
        <f t="shared" si="139"/>
        <v/>
      </c>
      <c r="U569" s="4" t="e">
        <f ca="1">VLOOKUP(N569,'COLOR CODE'!$B:$D,2,FALSE)</f>
        <v>#N/A</v>
      </c>
      <c r="V569" s="4" t="str">
        <f t="shared" si="140"/>
        <v/>
      </c>
      <c r="W569" s="4" t="e" cm="1">
        <f t="array" ref="W569">IF(INDEX(Table2[],_xlfn.XMATCH($A569,Table2[Steel Member],0),_xlfn.XMATCH(W$2,Table2[#Headers],0))=0,"",INDEX(Table2[],_xlfn.XMATCH($A569,Table2[Steel Member],0),_xlfn.XMATCH(W$2,Table2[#Headers],0)))</f>
        <v>#N/A</v>
      </c>
      <c r="X569" s="4" t="e">
        <f t="shared" si="138"/>
        <v>#N/A</v>
      </c>
      <c r="Y569" s="4" t="e" cm="1">
        <f t="array" ref="Y569">IF(INDEX(Table2[],_xlfn.XMATCH($A569,Table2[Steel Member],0),_xlfn.XMATCH(Y$2,Table2[#Headers],0))=0,"",INDEX(Table2[],_xlfn.XMATCH($A569,Table2[Steel Member],0),_xlfn.XMATCH(Y$2,Table2[#Headers],0)))</f>
        <v>#N/A</v>
      </c>
      <c r="Z569" s="4" t="e" cm="1">
        <f t="array" ref="Z569">IF(INDEX(Table2[],_xlfn.XMATCH($A569,Table2[Steel Member],0),_xlfn.XMATCH(Z$2,Table2[#Headers],0))=0,"",INDEX(Table2[],_xlfn.XMATCH($A569,Table2[Steel Member],0),_xlfn.XMATCH(Z$2,Table2[#Headers],0)))</f>
        <v>#N/A</v>
      </c>
      <c r="AA569" s="4" t="e" cm="1">
        <f t="array" ref="AA569">IF(INDEX(Table2[],_xlfn.XMATCH($A569,Table2[Steel Member],0),_xlfn.XMATCH(AA$2,Table2[#Headers],0))=0,"",INDEX(Table2[],_xlfn.XMATCH($A569,Table2[Steel Member],0),_xlfn.XMATCH(AA$2,Table2[#Headers],0)))</f>
        <v>#N/A</v>
      </c>
      <c r="AB569" s="4" t="e" cm="1">
        <f t="array" ref="AB569">IF(INDEX(Table2[],_xlfn.XMATCH($A569,Table2[Steel Member],0),_xlfn.XMATCH(AB$2,Table2[#Headers],0))=0,"",INDEX(Table2[],_xlfn.XMATCH($A569,Table2[Steel Member],0),_xlfn.XMATCH(AB$2,Table2[#Headers],0)))</f>
        <v>#N/A</v>
      </c>
      <c r="AC569" s="4" t="str" cm="1">
        <f t="array" ref="AC569">IFERROR(INDEX(Table8[],_xlfn.XMATCH($O569,Table8[Dimension Name Category],0),_xlfn.XMATCH(AC$2&amp;IF($L569," w/ tag"," w/o tag"),Table8[#Headers],0)),"")</f>
        <v/>
      </c>
      <c r="AD569" s="59" t="str">
        <f t="shared" si="141"/>
        <v/>
      </c>
      <c r="AE569" s="4" t="str">
        <f t="shared" si="142"/>
        <v/>
      </c>
      <c r="AF569" s="4" t="str">
        <f t="shared" si="143"/>
        <v/>
      </c>
      <c r="AG569" s="4" t="str" cm="1">
        <f t="array" ref="AG569">IFERROR(INDEX(Table8[],_xlfn.XMATCH($O569,Table8[Dimension Name Category],0),_xlfn.XMATCH(AG$2&amp;IF($L569," w/ tag"," w/o tag"),Table8[#Headers],0)),"")</f>
        <v/>
      </c>
      <c r="AH569" s="59" t="str">
        <f t="shared" si="144"/>
        <v/>
      </c>
      <c r="AI569" s="4"/>
      <c r="AJ569" s="4" t="str">
        <f t="shared" si="145"/>
        <v/>
      </c>
      <c r="AK569" s="4" t="str">
        <f t="shared" si="146"/>
        <v/>
      </c>
      <c r="AL569" s="4" t="e" cm="1">
        <f t="array" ref="AL569">IF(INDEX(Table2[],_xlfn.XMATCH($A569,Table2[Steel Member],0),_xlfn.XMATCH(AL$2,Table2[#Headers],0))=0,"",INDEX(Table2[],_xlfn.XMATCH($A569,Table2[Steel Member],0),_xlfn.XMATCH(AL$2,Table2[#Headers],0)))</f>
        <v>#N/A</v>
      </c>
      <c r="AM569" s="4"/>
      <c r="AN569" s="4" t="str">
        <f t="shared" si="147"/>
        <v/>
      </c>
      <c r="AO569" s="4"/>
      <c r="AP569" s="4" t="e" cm="1">
        <f t="array" ref="AP569">IF(INDEX(Table2[],_xlfn.XMATCH($A569,Table2[Steel Member],0),_xlfn.XMATCH(AP$2,Table2[#Headers],0))=0,"",INDEX(Table2[],_xlfn.XMATCH($A569,Table2[Steel Member],0),_xlfn.XMATCH(AP$2,Table2[#Headers],0)))</f>
        <v>#N/A</v>
      </c>
      <c r="AQ569" s="4"/>
      <c r="AR569" s="4"/>
      <c r="AS569" s="4"/>
      <c r="AT569" s="4"/>
    </row>
    <row r="570" spans="1:46" x14ac:dyDescent="0.25">
      <c r="A570" s="52"/>
      <c r="B570" s="52"/>
      <c r="C570" s="52"/>
      <c r="D570" s="52"/>
      <c r="E570" s="52"/>
      <c r="F570" s="64" cm="1">
        <f t="array" ref="F570">IF(COUNT(FIND(PurlinsxGirthsxBracings,$C570))&gt;0,0,ROUNDUP(IF(D570=0,0,VLOOKUP(D570,'DATA SHEET'!$B:$D,2,FALSE)),2))</f>
        <v>0</v>
      </c>
      <c r="G570" s="64" cm="1">
        <f t="array" ref="G570">IF(COUNT(FIND(PurlinsxGirthsxBracings,$C570))&gt;0,0,ROUNDUP(IF(D570=0,0,VLOOKUP(D570,'DATA SHEET'!$B:$D,3,FALSE)),2))</f>
        <v>0</v>
      </c>
      <c r="H570" s="53"/>
      <c r="I570" s="66" cm="1">
        <f t="array" ref="I570">IF(AND(ISBLANK(B570),ISBLANK(C570),ISBLANK(E570)),0,IF(COUNT(FIND(PurlinsxGirthsxBracings,$C570))&gt;0,IF(B570=0,CONCATENATE(E570," ",C570),CONCATENATE(B570," - ",E570," ",C570)),IF(B570=0,IF(ISBLANK(C570),E570,CONCATENATE(D570,", ",F570,"kg/m, ",G570,"mm surface perimeter")),IF(AND(ISBLANK(C570),ISTEXT(E570)),CONCATENATE(B570," - ",E570),IF(AND(ISBLANK(C570),ISBLANK(E570)),B570,CONCATENATE(B570," - ",D570,", ",F570,"kg/m, ",G570,"mm surface perimeter"))))&amp;IF(ISBLANK(H570),"",H570)))</f>
        <v>0</v>
      </c>
      <c r="J570" s="53"/>
      <c r="L570" s="4" t="str" cm="1">
        <f t="array" ref="L570">IF(COUNT(FIND({0,1,2,3,4,5,6,7,8,9},B570))&gt;0,COUNT(FIND({0,1,2,3,4,5,6,7,8,9},B570))&gt;0,"")</f>
        <v/>
      </c>
      <c r="M570" s="4" t="str" cm="1">
        <f t="array" aca="1" ref="M570" ca="1">IFERROR(_xlfn.IFS(R570="Count",RANDBETWEEN(1,COUNTIF($R$11:$R$653,"Count")),R570="Length",RANDBETWEEN(1,COUNTIF($R$11:$R$653,"Length"))),"")</f>
        <v/>
      </c>
      <c r="N570" s="4" t="str">
        <f ca="1">IFERROR(_xlfn.RANK.EQ(M570,$M$11:$M$653)+COUNTIF($M$11:M570,M570)-1,"")</f>
        <v/>
      </c>
      <c r="O570" s="86" t="str">
        <f>IF(A570='DATA SHEET'!$L$36,C570,IFERROR(IF(AND(ISTEXT(I570),ISBLANK(C570)),"No details",VLOOKUP(C570,DimFolder,2,FALSE)),""))</f>
        <v/>
      </c>
      <c r="P570" s="4" t="str">
        <f t="shared" si="137"/>
        <v/>
      </c>
      <c r="Q570" s="58" t="str">
        <f t="shared" si="148"/>
        <v/>
      </c>
      <c r="R570" s="4" t="e" cm="1">
        <f t="array" ref="R570">IF(INDEX(Table2[],_xlfn.XMATCH($A570,Table2[Steel Member],0),_xlfn.XMATCH(R$2,Table2[#Headers],0))=0,"",INDEX(Table2[],_xlfn.XMATCH($A570,Table2[Steel Member],0),_xlfn.XMATCH(R$2,Table2[#Headers],0)))</f>
        <v>#N/A</v>
      </c>
      <c r="S570" s="4" t="e" cm="1">
        <f t="array" ref="S570">IF(INDEX(Table2[],_xlfn.XMATCH($A570,Table2[Steel Member],0),_xlfn.XMATCH(S$2,Table2[#Headers],0))=0,"",INDEX(Table2[],_xlfn.XMATCH($A570,Table2[Steel Member],0),_xlfn.XMATCH(S$2,Table2[#Headers],0)))</f>
        <v>#N/A</v>
      </c>
      <c r="T570" s="4" t="str">
        <f t="shared" si="139"/>
        <v/>
      </c>
      <c r="U570" s="4" t="e">
        <f ca="1">VLOOKUP(N570,'COLOR CODE'!$B:$D,2,FALSE)</f>
        <v>#N/A</v>
      </c>
      <c r="V570" s="4" t="str">
        <f t="shared" si="140"/>
        <v/>
      </c>
      <c r="W570" s="4" t="e" cm="1">
        <f t="array" ref="W570">IF(INDEX(Table2[],_xlfn.XMATCH($A570,Table2[Steel Member],0),_xlfn.XMATCH(W$2,Table2[#Headers],0))=0,"",INDEX(Table2[],_xlfn.XMATCH($A570,Table2[Steel Member],0),_xlfn.XMATCH(W$2,Table2[#Headers],0)))</f>
        <v>#N/A</v>
      </c>
      <c r="X570" s="4" t="e">
        <f t="shared" si="138"/>
        <v>#N/A</v>
      </c>
      <c r="Y570" s="4" t="e" cm="1">
        <f t="array" ref="Y570">IF(INDEX(Table2[],_xlfn.XMATCH($A570,Table2[Steel Member],0),_xlfn.XMATCH(Y$2,Table2[#Headers],0))=0,"",INDEX(Table2[],_xlfn.XMATCH($A570,Table2[Steel Member],0),_xlfn.XMATCH(Y$2,Table2[#Headers],0)))</f>
        <v>#N/A</v>
      </c>
      <c r="Z570" s="4" t="e" cm="1">
        <f t="array" ref="Z570">IF(INDEX(Table2[],_xlfn.XMATCH($A570,Table2[Steel Member],0),_xlfn.XMATCH(Z$2,Table2[#Headers],0))=0,"",INDEX(Table2[],_xlfn.XMATCH($A570,Table2[Steel Member],0),_xlfn.XMATCH(Z$2,Table2[#Headers],0)))</f>
        <v>#N/A</v>
      </c>
      <c r="AA570" s="4" t="e" cm="1">
        <f t="array" ref="AA570">IF(INDEX(Table2[],_xlfn.XMATCH($A570,Table2[Steel Member],0),_xlfn.XMATCH(AA$2,Table2[#Headers],0))=0,"",INDEX(Table2[],_xlfn.XMATCH($A570,Table2[Steel Member],0),_xlfn.XMATCH(AA$2,Table2[#Headers],0)))</f>
        <v>#N/A</v>
      </c>
      <c r="AB570" s="4" t="e" cm="1">
        <f t="array" ref="AB570">IF(INDEX(Table2[],_xlfn.XMATCH($A570,Table2[Steel Member],0),_xlfn.XMATCH(AB$2,Table2[#Headers],0))=0,"",INDEX(Table2[],_xlfn.XMATCH($A570,Table2[Steel Member],0),_xlfn.XMATCH(AB$2,Table2[#Headers],0)))</f>
        <v>#N/A</v>
      </c>
      <c r="AC570" s="4" t="str" cm="1">
        <f t="array" ref="AC570">IFERROR(INDEX(Table8[],_xlfn.XMATCH($O570,Table8[Dimension Name Category],0),_xlfn.XMATCH(AC$2&amp;IF($L570," w/ tag"," w/o tag"),Table8[#Headers],0)),"")</f>
        <v/>
      </c>
      <c r="AD570" s="59" t="str">
        <f t="shared" si="141"/>
        <v/>
      </c>
      <c r="AE570" s="4" t="str">
        <f t="shared" si="142"/>
        <v/>
      </c>
      <c r="AF570" s="4" t="str">
        <f t="shared" si="143"/>
        <v/>
      </c>
      <c r="AG570" s="4" t="str" cm="1">
        <f t="array" ref="AG570">IFERROR(INDEX(Table8[],_xlfn.XMATCH($O570,Table8[Dimension Name Category],0),_xlfn.XMATCH(AG$2&amp;IF($L570," w/ tag"," w/o tag"),Table8[#Headers],0)),"")</f>
        <v/>
      </c>
      <c r="AH570" s="59" t="str">
        <f t="shared" si="144"/>
        <v/>
      </c>
      <c r="AI570" s="4"/>
      <c r="AJ570" s="4" t="str">
        <f t="shared" si="145"/>
        <v/>
      </c>
      <c r="AK570" s="4" t="str">
        <f t="shared" si="146"/>
        <v/>
      </c>
      <c r="AL570" s="4" t="e" cm="1">
        <f t="array" ref="AL570">IF(INDEX(Table2[],_xlfn.XMATCH($A570,Table2[Steel Member],0),_xlfn.XMATCH(AL$2,Table2[#Headers],0))=0,"",INDEX(Table2[],_xlfn.XMATCH($A570,Table2[Steel Member],0),_xlfn.XMATCH(AL$2,Table2[#Headers],0)))</f>
        <v>#N/A</v>
      </c>
      <c r="AM570" s="4"/>
      <c r="AN570" s="4" t="str">
        <f t="shared" si="147"/>
        <v/>
      </c>
      <c r="AO570" s="4"/>
      <c r="AP570" s="4" t="e" cm="1">
        <f t="array" ref="AP570">IF(INDEX(Table2[],_xlfn.XMATCH($A570,Table2[Steel Member],0),_xlfn.XMATCH(AP$2,Table2[#Headers],0))=0,"",INDEX(Table2[],_xlfn.XMATCH($A570,Table2[Steel Member],0),_xlfn.XMATCH(AP$2,Table2[#Headers],0)))</f>
        <v>#N/A</v>
      </c>
      <c r="AQ570" s="4"/>
      <c r="AR570" s="4"/>
      <c r="AS570" s="4"/>
      <c r="AT570" s="4"/>
    </row>
    <row r="571" spans="1:46" x14ac:dyDescent="0.25">
      <c r="A571" s="52"/>
      <c r="B571" s="52"/>
      <c r="C571" s="52"/>
      <c r="D571" s="52"/>
      <c r="E571" s="52"/>
      <c r="F571" s="64" cm="1">
        <f t="array" ref="F571">IF(COUNT(FIND(PurlinsxGirthsxBracings,$C571))&gt;0,0,ROUNDUP(IF(D571=0,0,VLOOKUP(D571,'DATA SHEET'!$B:$D,2,FALSE)),2))</f>
        <v>0</v>
      </c>
      <c r="G571" s="64" cm="1">
        <f t="array" ref="G571">IF(COUNT(FIND(PurlinsxGirthsxBracings,$C571))&gt;0,0,ROUNDUP(IF(D571=0,0,VLOOKUP(D571,'DATA SHEET'!$B:$D,3,FALSE)),2))</f>
        <v>0</v>
      </c>
      <c r="H571" s="53"/>
      <c r="I571" s="66" cm="1">
        <f t="array" ref="I571">IF(AND(ISBLANK(B571),ISBLANK(C571),ISBLANK(E571)),0,IF(COUNT(FIND(PurlinsxGirthsxBracings,$C571))&gt;0,IF(B571=0,CONCATENATE(E571," ",C571),CONCATENATE(B571," - ",E571," ",C571)),IF(B571=0,IF(ISBLANK(C571),E571,CONCATENATE(D571,", ",F571,"kg/m, ",G571,"mm surface perimeter")),IF(AND(ISBLANK(C571),ISTEXT(E571)),CONCATENATE(B571," - ",E571),IF(AND(ISBLANK(C571),ISBLANK(E571)),B571,CONCATENATE(B571," - ",D571,", ",F571,"kg/m, ",G571,"mm surface perimeter"))))&amp;IF(ISBLANK(H571),"",H571)))</f>
        <v>0</v>
      </c>
      <c r="J571" s="53"/>
      <c r="L571" s="4" t="str" cm="1">
        <f t="array" ref="L571">IF(COUNT(FIND({0,1,2,3,4,5,6,7,8,9},B571))&gt;0,COUNT(FIND({0,1,2,3,4,5,6,7,8,9},B571))&gt;0,"")</f>
        <v/>
      </c>
      <c r="M571" s="4" t="str" cm="1">
        <f t="array" aca="1" ref="M571" ca="1">IFERROR(_xlfn.IFS(R571="Count",RANDBETWEEN(1,COUNTIF($R$11:$R$653,"Count")),R571="Length",RANDBETWEEN(1,COUNTIF($R$11:$R$653,"Length"))),"")</f>
        <v/>
      </c>
      <c r="N571" s="4" t="str">
        <f ca="1">IFERROR(_xlfn.RANK.EQ(M571,$M$11:$M$653)+COUNTIF($M$11:M571,M571)-1,"")</f>
        <v/>
      </c>
      <c r="O571" s="86" t="str">
        <f>IF(A571='DATA SHEET'!$L$36,C571,IFERROR(IF(AND(ISTEXT(I571),ISBLANK(C571)),"No details",VLOOKUP(C571,DimFolder,2,FALSE)),""))</f>
        <v/>
      </c>
      <c r="P571" s="4" t="str">
        <f t="shared" si="137"/>
        <v/>
      </c>
      <c r="Q571" s="58" t="str">
        <f t="shared" si="148"/>
        <v/>
      </c>
      <c r="R571" s="4" t="e" cm="1">
        <f t="array" ref="R571">IF(INDEX(Table2[],_xlfn.XMATCH($A571,Table2[Steel Member],0),_xlfn.XMATCH(R$2,Table2[#Headers],0))=0,"",INDEX(Table2[],_xlfn.XMATCH($A571,Table2[Steel Member],0),_xlfn.XMATCH(R$2,Table2[#Headers],0)))</f>
        <v>#N/A</v>
      </c>
      <c r="S571" s="4" t="e" cm="1">
        <f t="array" ref="S571">IF(INDEX(Table2[],_xlfn.XMATCH($A571,Table2[Steel Member],0),_xlfn.XMATCH(S$2,Table2[#Headers],0))=0,"",INDEX(Table2[],_xlfn.XMATCH($A571,Table2[Steel Member],0),_xlfn.XMATCH(S$2,Table2[#Headers],0)))</f>
        <v>#N/A</v>
      </c>
      <c r="T571" s="4" t="str">
        <f t="shared" si="139"/>
        <v/>
      </c>
      <c r="U571" s="4" t="e">
        <f ca="1">VLOOKUP(N571,'COLOR CODE'!$B:$D,2,FALSE)</f>
        <v>#N/A</v>
      </c>
      <c r="V571" s="4" t="str">
        <f t="shared" si="140"/>
        <v/>
      </c>
      <c r="W571" s="4" t="e" cm="1">
        <f t="array" ref="W571">IF(INDEX(Table2[],_xlfn.XMATCH($A571,Table2[Steel Member],0),_xlfn.XMATCH(W$2,Table2[#Headers],0))=0,"",INDEX(Table2[],_xlfn.XMATCH($A571,Table2[Steel Member],0),_xlfn.XMATCH(W$2,Table2[#Headers],0)))</f>
        <v>#N/A</v>
      </c>
      <c r="X571" s="4" t="e">
        <f t="shared" si="138"/>
        <v>#N/A</v>
      </c>
      <c r="Y571" s="4" t="e" cm="1">
        <f t="array" ref="Y571">IF(INDEX(Table2[],_xlfn.XMATCH($A571,Table2[Steel Member],0),_xlfn.XMATCH(Y$2,Table2[#Headers],0))=0,"",INDEX(Table2[],_xlfn.XMATCH($A571,Table2[Steel Member],0),_xlfn.XMATCH(Y$2,Table2[#Headers],0)))</f>
        <v>#N/A</v>
      </c>
      <c r="Z571" s="4" t="e" cm="1">
        <f t="array" ref="Z571">IF(INDEX(Table2[],_xlfn.XMATCH($A571,Table2[Steel Member],0),_xlfn.XMATCH(Z$2,Table2[#Headers],0))=0,"",INDEX(Table2[],_xlfn.XMATCH($A571,Table2[Steel Member],0),_xlfn.XMATCH(Z$2,Table2[#Headers],0)))</f>
        <v>#N/A</v>
      </c>
      <c r="AA571" s="4" t="e" cm="1">
        <f t="array" ref="AA571">IF(INDEX(Table2[],_xlfn.XMATCH($A571,Table2[Steel Member],0),_xlfn.XMATCH(AA$2,Table2[#Headers],0))=0,"",INDEX(Table2[],_xlfn.XMATCH($A571,Table2[Steel Member],0),_xlfn.XMATCH(AA$2,Table2[#Headers],0)))</f>
        <v>#N/A</v>
      </c>
      <c r="AB571" s="4" t="e" cm="1">
        <f t="array" ref="AB571">IF(INDEX(Table2[],_xlfn.XMATCH($A571,Table2[Steel Member],0),_xlfn.XMATCH(AB$2,Table2[#Headers],0))=0,"",INDEX(Table2[],_xlfn.XMATCH($A571,Table2[Steel Member],0),_xlfn.XMATCH(AB$2,Table2[#Headers],0)))</f>
        <v>#N/A</v>
      </c>
      <c r="AC571" s="4" t="str" cm="1">
        <f t="array" ref="AC571">IFERROR(INDEX(Table8[],_xlfn.XMATCH($O571,Table8[Dimension Name Category],0),_xlfn.XMATCH(AC$2&amp;IF($L571," w/ tag"," w/o tag"),Table8[#Headers],0)),"")</f>
        <v/>
      </c>
      <c r="AD571" s="59" t="str">
        <f t="shared" si="141"/>
        <v/>
      </c>
      <c r="AE571" s="4" t="str">
        <f t="shared" si="142"/>
        <v/>
      </c>
      <c r="AF571" s="4" t="str">
        <f t="shared" si="143"/>
        <v/>
      </c>
      <c r="AG571" s="4" t="str" cm="1">
        <f t="array" ref="AG571">IFERROR(INDEX(Table8[],_xlfn.XMATCH($O571,Table8[Dimension Name Category],0),_xlfn.XMATCH(AG$2&amp;IF($L571," w/ tag"," w/o tag"),Table8[#Headers],0)),"")</f>
        <v/>
      </c>
      <c r="AH571" s="59" t="str">
        <f t="shared" si="144"/>
        <v/>
      </c>
      <c r="AI571" s="4"/>
      <c r="AJ571" s="4" t="str">
        <f t="shared" si="145"/>
        <v/>
      </c>
      <c r="AK571" s="4" t="str">
        <f t="shared" si="146"/>
        <v/>
      </c>
      <c r="AL571" s="4" t="e" cm="1">
        <f t="array" ref="AL571">IF(INDEX(Table2[],_xlfn.XMATCH($A571,Table2[Steel Member],0),_xlfn.XMATCH(AL$2,Table2[#Headers],0))=0,"",INDEX(Table2[],_xlfn.XMATCH($A571,Table2[Steel Member],0),_xlfn.XMATCH(AL$2,Table2[#Headers],0)))</f>
        <v>#N/A</v>
      </c>
      <c r="AM571" s="4"/>
      <c r="AN571" s="4" t="str">
        <f t="shared" si="147"/>
        <v/>
      </c>
      <c r="AO571" s="4"/>
      <c r="AP571" s="4" t="e" cm="1">
        <f t="array" ref="AP571">IF(INDEX(Table2[],_xlfn.XMATCH($A571,Table2[Steel Member],0),_xlfn.XMATCH(AP$2,Table2[#Headers],0))=0,"",INDEX(Table2[],_xlfn.XMATCH($A571,Table2[Steel Member],0),_xlfn.XMATCH(AP$2,Table2[#Headers],0)))</f>
        <v>#N/A</v>
      </c>
      <c r="AQ571" s="4"/>
      <c r="AR571" s="4"/>
      <c r="AS571" s="4"/>
      <c r="AT571" s="4"/>
    </row>
    <row r="572" spans="1:46" x14ac:dyDescent="0.25">
      <c r="A572" s="52"/>
      <c r="B572" s="52"/>
      <c r="C572" s="52"/>
      <c r="D572" s="52"/>
      <c r="E572" s="52"/>
      <c r="F572" s="64" cm="1">
        <f t="array" ref="F572">IF(COUNT(FIND(PurlinsxGirthsxBracings,$C572))&gt;0,0,ROUNDUP(IF(D572=0,0,VLOOKUP(D572,'DATA SHEET'!$B:$D,2,FALSE)),2))</f>
        <v>0</v>
      </c>
      <c r="G572" s="64" cm="1">
        <f t="array" ref="G572">IF(COUNT(FIND(PurlinsxGirthsxBracings,$C572))&gt;0,0,ROUNDUP(IF(D572=0,0,VLOOKUP(D572,'DATA SHEET'!$B:$D,3,FALSE)),2))</f>
        <v>0</v>
      </c>
      <c r="H572" s="53"/>
      <c r="I572" s="66" cm="1">
        <f t="array" ref="I572">IF(AND(ISBLANK(B572),ISBLANK(C572),ISBLANK(E572)),0,IF(COUNT(FIND(PurlinsxGirthsxBracings,$C572))&gt;0,IF(B572=0,CONCATENATE(E572," ",C572),CONCATENATE(B572," - ",E572," ",C572)),IF(B572=0,IF(ISBLANK(C572),E572,CONCATENATE(D572,", ",F572,"kg/m, ",G572,"mm surface perimeter")),IF(AND(ISBLANK(C572),ISTEXT(E572)),CONCATENATE(B572," - ",E572),IF(AND(ISBLANK(C572),ISBLANK(E572)),B572,CONCATENATE(B572," - ",D572,", ",F572,"kg/m, ",G572,"mm surface perimeter"))))&amp;IF(ISBLANK(H572),"",H572)))</f>
        <v>0</v>
      </c>
      <c r="J572" s="53"/>
      <c r="L572" s="4" t="str" cm="1">
        <f t="array" ref="L572">IF(COUNT(FIND({0,1,2,3,4,5,6,7,8,9},B572))&gt;0,COUNT(FIND({0,1,2,3,4,5,6,7,8,9},B572))&gt;0,"")</f>
        <v/>
      </c>
      <c r="M572" s="4" t="str" cm="1">
        <f t="array" aca="1" ref="M572" ca="1">IFERROR(_xlfn.IFS(R572="Count",RANDBETWEEN(1,COUNTIF($R$11:$R$653,"Count")),R572="Length",RANDBETWEEN(1,COUNTIF($R$11:$R$653,"Length"))),"")</f>
        <v/>
      </c>
      <c r="N572" s="4" t="str">
        <f ca="1">IFERROR(_xlfn.RANK.EQ(M572,$M$11:$M$653)+COUNTIF($M$11:M572,M572)-1,"")</f>
        <v/>
      </c>
      <c r="O572" s="86" t="str">
        <f>IF(A572='DATA SHEET'!$L$36,C572,IFERROR(IF(AND(ISTEXT(I572),ISBLANK(C572)),"No details",VLOOKUP(C572,DimFolder,2,FALSE)),""))</f>
        <v/>
      </c>
      <c r="P572" s="4" t="str">
        <f t="shared" si="137"/>
        <v/>
      </c>
      <c r="Q572" s="58" t="str">
        <f t="shared" si="148"/>
        <v/>
      </c>
      <c r="R572" s="4" t="e" cm="1">
        <f t="array" ref="R572">IF(INDEX(Table2[],_xlfn.XMATCH($A572,Table2[Steel Member],0),_xlfn.XMATCH(R$2,Table2[#Headers],0))=0,"",INDEX(Table2[],_xlfn.XMATCH($A572,Table2[Steel Member],0),_xlfn.XMATCH(R$2,Table2[#Headers],0)))</f>
        <v>#N/A</v>
      </c>
      <c r="S572" s="4" t="e" cm="1">
        <f t="array" ref="S572">IF(INDEX(Table2[],_xlfn.XMATCH($A572,Table2[Steel Member],0),_xlfn.XMATCH(S$2,Table2[#Headers],0))=0,"",INDEX(Table2[],_xlfn.XMATCH($A572,Table2[Steel Member],0),_xlfn.XMATCH(S$2,Table2[#Headers],0)))</f>
        <v>#N/A</v>
      </c>
      <c r="T572" s="4" t="str">
        <f t="shared" si="139"/>
        <v/>
      </c>
      <c r="U572" s="4" t="e">
        <f ca="1">VLOOKUP(N572,'COLOR CODE'!$B:$D,2,FALSE)</f>
        <v>#N/A</v>
      </c>
      <c r="V572" s="4" t="str">
        <f t="shared" si="140"/>
        <v/>
      </c>
      <c r="W572" s="4" t="e" cm="1">
        <f t="array" ref="W572">IF(INDEX(Table2[],_xlfn.XMATCH($A572,Table2[Steel Member],0),_xlfn.XMATCH(W$2,Table2[#Headers],0))=0,"",INDEX(Table2[],_xlfn.XMATCH($A572,Table2[Steel Member],0),_xlfn.XMATCH(W$2,Table2[#Headers],0)))</f>
        <v>#N/A</v>
      </c>
      <c r="X572" s="4" t="e">
        <f t="shared" si="138"/>
        <v>#N/A</v>
      </c>
      <c r="Y572" s="4" t="e" cm="1">
        <f t="array" ref="Y572">IF(INDEX(Table2[],_xlfn.XMATCH($A572,Table2[Steel Member],0),_xlfn.XMATCH(Y$2,Table2[#Headers],0))=0,"",INDEX(Table2[],_xlfn.XMATCH($A572,Table2[Steel Member],0),_xlfn.XMATCH(Y$2,Table2[#Headers],0)))</f>
        <v>#N/A</v>
      </c>
      <c r="Z572" s="4" t="e" cm="1">
        <f t="array" ref="Z572">IF(INDEX(Table2[],_xlfn.XMATCH($A572,Table2[Steel Member],0),_xlfn.XMATCH(Z$2,Table2[#Headers],0))=0,"",INDEX(Table2[],_xlfn.XMATCH($A572,Table2[Steel Member],0),_xlfn.XMATCH(Z$2,Table2[#Headers],0)))</f>
        <v>#N/A</v>
      </c>
      <c r="AA572" s="4" t="e" cm="1">
        <f t="array" ref="AA572">IF(INDEX(Table2[],_xlfn.XMATCH($A572,Table2[Steel Member],0),_xlfn.XMATCH(AA$2,Table2[#Headers],0))=0,"",INDEX(Table2[],_xlfn.XMATCH($A572,Table2[Steel Member],0),_xlfn.XMATCH(AA$2,Table2[#Headers],0)))</f>
        <v>#N/A</v>
      </c>
      <c r="AB572" s="4" t="e" cm="1">
        <f t="array" ref="AB572">IF(INDEX(Table2[],_xlfn.XMATCH($A572,Table2[Steel Member],0),_xlfn.XMATCH(AB$2,Table2[#Headers],0))=0,"",INDEX(Table2[],_xlfn.XMATCH($A572,Table2[Steel Member],0),_xlfn.XMATCH(AB$2,Table2[#Headers],0)))</f>
        <v>#N/A</v>
      </c>
      <c r="AC572" s="4" t="str" cm="1">
        <f t="array" ref="AC572">IFERROR(INDEX(Table8[],_xlfn.XMATCH($O572,Table8[Dimension Name Category],0),_xlfn.XMATCH(AC$2&amp;IF($L572," w/ tag"," w/o tag"),Table8[#Headers],0)),"")</f>
        <v/>
      </c>
      <c r="AD572" s="59" t="str">
        <f t="shared" si="141"/>
        <v/>
      </c>
      <c r="AE572" s="4" t="str">
        <f t="shared" si="142"/>
        <v/>
      </c>
      <c r="AF572" s="4" t="str">
        <f t="shared" si="143"/>
        <v/>
      </c>
      <c r="AG572" s="4" t="str" cm="1">
        <f t="array" ref="AG572">IFERROR(INDEX(Table8[],_xlfn.XMATCH($O572,Table8[Dimension Name Category],0),_xlfn.XMATCH(AG$2&amp;IF($L572," w/ tag"," w/o tag"),Table8[#Headers],0)),"")</f>
        <v/>
      </c>
      <c r="AH572" s="59" t="str">
        <f t="shared" si="144"/>
        <v/>
      </c>
      <c r="AI572" s="4"/>
      <c r="AJ572" s="4" t="str">
        <f t="shared" si="145"/>
        <v/>
      </c>
      <c r="AK572" s="4" t="str">
        <f t="shared" si="146"/>
        <v/>
      </c>
      <c r="AL572" s="4" t="e" cm="1">
        <f t="array" ref="AL572">IF(INDEX(Table2[],_xlfn.XMATCH($A572,Table2[Steel Member],0),_xlfn.XMATCH(AL$2,Table2[#Headers],0))=0,"",INDEX(Table2[],_xlfn.XMATCH($A572,Table2[Steel Member],0),_xlfn.XMATCH(AL$2,Table2[#Headers],0)))</f>
        <v>#N/A</v>
      </c>
      <c r="AM572" s="4"/>
      <c r="AN572" s="4" t="str">
        <f t="shared" si="147"/>
        <v/>
      </c>
      <c r="AO572" s="4"/>
      <c r="AP572" s="4" t="e" cm="1">
        <f t="array" ref="AP572">IF(INDEX(Table2[],_xlfn.XMATCH($A572,Table2[Steel Member],0),_xlfn.XMATCH(AP$2,Table2[#Headers],0))=0,"",INDEX(Table2[],_xlfn.XMATCH($A572,Table2[Steel Member],0),_xlfn.XMATCH(AP$2,Table2[#Headers],0)))</f>
        <v>#N/A</v>
      </c>
      <c r="AQ572" s="4"/>
      <c r="AR572" s="4"/>
      <c r="AS572" s="4"/>
      <c r="AT572" s="4"/>
    </row>
    <row r="573" spans="1:46" x14ac:dyDescent="0.25">
      <c r="A573" s="52"/>
      <c r="B573" s="52"/>
      <c r="C573" s="52"/>
      <c r="D573" s="52"/>
      <c r="E573" s="52"/>
      <c r="F573" s="64" cm="1">
        <f t="array" ref="F573">IF(COUNT(FIND(PurlinsxGirthsxBracings,$C573))&gt;0,0,ROUNDUP(IF(D573=0,0,VLOOKUP(D573,'DATA SHEET'!$B:$D,2,FALSE)),2))</f>
        <v>0</v>
      </c>
      <c r="G573" s="64" cm="1">
        <f t="array" ref="G573">IF(COUNT(FIND(PurlinsxGirthsxBracings,$C573))&gt;0,0,ROUNDUP(IF(D573=0,0,VLOOKUP(D573,'DATA SHEET'!$B:$D,3,FALSE)),2))</f>
        <v>0</v>
      </c>
      <c r="H573" s="53"/>
      <c r="I573" s="66" cm="1">
        <f t="array" ref="I573">IF(AND(ISBLANK(B573),ISBLANK(C573),ISBLANK(E573)),0,IF(COUNT(FIND(PurlinsxGirthsxBracings,$C573))&gt;0,IF(B573=0,CONCATENATE(E573," ",C573),CONCATENATE(B573," - ",E573," ",C573)),IF(B573=0,IF(ISBLANK(C573),E573,CONCATENATE(D573,", ",F573,"kg/m, ",G573,"mm surface perimeter")),IF(AND(ISBLANK(C573),ISTEXT(E573)),CONCATENATE(B573," - ",E573),IF(AND(ISBLANK(C573),ISBLANK(E573)),B573,CONCATENATE(B573," - ",D573,", ",F573,"kg/m, ",G573,"mm surface perimeter"))))&amp;IF(ISBLANK(H573),"",H573)))</f>
        <v>0</v>
      </c>
      <c r="J573" s="53"/>
      <c r="L573" s="4" t="str" cm="1">
        <f t="array" ref="L573">IF(COUNT(FIND({0,1,2,3,4,5,6,7,8,9},B573))&gt;0,COUNT(FIND({0,1,2,3,4,5,6,7,8,9},B573))&gt;0,"")</f>
        <v/>
      </c>
      <c r="M573" s="4" t="str" cm="1">
        <f t="array" aca="1" ref="M573" ca="1">IFERROR(_xlfn.IFS(R573="Count",RANDBETWEEN(1,COUNTIF($R$11:$R$653,"Count")),R573="Length",RANDBETWEEN(1,COUNTIF($R$11:$R$653,"Length"))),"")</f>
        <v/>
      </c>
      <c r="N573" s="4" t="str">
        <f ca="1">IFERROR(_xlfn.RANK.EQ(M573,$M$11:$M$653)+COUNTIF($M$11:M573,M573)-1,"")</f>
        <v/>
      </c>
      <c r="O573" s="86" t="str">
        <f>IF(A573='DATA SHEET'!$L$36,C573,IFERROR(IF(AND(ISTEXT(I573),ISBLANK(C573)),"No details",VLOOKUP(C573,DimFolder,2,FALSE)),""))</f>
        <v/>
      </c>
      <c r="P573" s="4" t="str">
        <f t="shared" si="137"/>
        <v/>
      </c>
      <c r="Q573" s="58" t="str">
        <f t="shared" si="148"/>
        <v/>
      </c>
      <c r="R573" s="4" t="e" cm="1">
        <f t="array" ref="R573">IF(INDEX(Table2[],_xlfn.XMATCH($A573,Table2[Steel Member],0),_xlfn.XMATCH(R$2,Table2[#Headers],0))=0,"",INDEX(Table2[],_xlfn.XMATCH($A573,Table2[Steel Member],0),_xlfn.XMATCH(R$2,Table2[#Headers],0)))</f>
        <v>#N/A</v>
      </c>
      <c r="S573" s="4" t="e" cm="1">
        <f t="array" ref="S573">IF(INDEX(Table2[],_xlfn.XMATCH($A573,Table2[Steel Member],0),_xlfn.XMATCH(S$2,Table2[#Headers],0))=0,"",INDEX(Table2[],_xlfn.XMATCH($A573,Table2[Steel Member],0),_xlfn.XMATCH(S$2,Table2[#Headers],0)))</f>
        <v>#N/A</v>
      </c>
      <c r="T573" s="4" t="str">
        <f t="shared" si="139"/>
        <v/>
      </c>
      <c r="U573" s="4" t="e">
        <f ca="1">VLOOKUP(N573,'COLOR CODE'!$B:$D,2,FALSE)</f>
        <v>#N/A</v>
      </c>
      <c r="V573" s="4" t="str">
        <f t="shared" si="140"/>
        <v/>
      </c>
      <c r="W573" s="4" t="e" cm="1">
        <f t="array" ref="W573">IF(INDEX(Table2[],_xlfn.XMATCH($A573,Table2[Steel Member],0),_xlfn.XMATCH(W$2,Table2[#Headers],0))=0,"",INDEX(Table2[],_xlfn.XMATCH($A573,Table2[Steel Member],0),_xlfn.XMATCH(W$2,Table2[#Headers],0)))</f>
        <v>#N/A</v>
      </c>
      <c r="X573" s="4" t="e">
        <f t="shared" si="138"/>
        <v>#N/A</v>
      </c>
      <c r="Y573" s="4" t="e" cm="1">
        <f t="array" ref="Y573">IF(INDEX(Table2[],_xlfn.XMATCH($A573,Table2[Steel Member],0),_xlfn.XMATCH(Y$2,Table2[#Headers],0))=0,"",INDEX(Table2[],_xlfn.XMATCH($A573,Table2[Steel Member],0),_xlfn.XMATCH(Y$2,Table2[#Headers],0)))</f>
        <v>#N/A</v>
      </c>
      <c r="Z573" s="4" t="e" cm="1">
        <f t="array" ref="Z573">IF(INDEX(Table2[],_xlfn.XMATCH($A573,Table2[Steel Member],0),_xlfn.XMATCH(Z$2,Table2[#Headers],0))=0,"",INDEX(Table2[],_xlfn.XMATCH($A573,Table2[Steel Member],0),_xlfn.XMATCH(Z$2,Table2[#Headers],0)))</f>
        <v>#N/A</v>
      </c>
      <c r="AA573" s="4" t="e" cm="1">
        <f t="array" ref="AA573">IF(INDEX(Table2[],_xlfn.XMATCH($A573,Table2[Steel Member],0),_xlfn.XMATCH(AA$2,Table2[#Headers],0))=0,"",INDEX(Table2[],_xlfn.XMATCH($A573,Table2[Steel Member],0),_xlfn.XMATCH(AA$2,Table2[#Headers],0)))</f>
        <v>#N/A</v>
      </c>
      <c r="AB573" s="4" t="e" cm="1">
        <f t="array" ref="AB573">IF(INDEX(Table2[],_xlfn.XMATCH($A573,Table2[Steel Member],0),_xlfn.XMATCH(AB$2,Table2[#Headers],0))=0,"",INDEX(Table2[],_xlfn.XMATCH($A573,Table2[Steel Member],0),_xlfn.XMATCH(AB$2,Table2[#Headers],0)))</f>
        <v>#N/A</v>
      </c>
      <c r="AC573" s="4" t="str" cm="1">
        <f t="array" ref="AC573">IFERROR(INDEX(Table8[],_xlfn.XMATCH($O573,Table8[Dimension Name Category],0),_xlfn.XMATCH(AC$2&amp;IF($L573," w/ tag"," w/o tag"),Table8[#Headers],0)),"")</f>
        <v/>
      </c>
      <c r="AD573" s="59" t="str">
        <f t="shared" si="141"/>
        <v/>
      </c>
      <c r="AE573" s="4" t="str">
        <f t="shared" si="142"/>
        <v/>
      </c>
      <c r="AF573" s="4" t="str">
        <f t="shared" si="143"/>
        <v/>
      </c>
      <c r="AG573" s="4" t="str" cm="1">
        <f t="array" ref="AG573">IFERROR(INDEX(Table8[],_xlfn.XMATCH($O573,Table8[Dimension Name Category],0),_xlfn.XMATCH(AG$2&amp;IF($L573," w/ tag"," w/o tag"),Table8[#Headers],0)),"")</f>
        <v/>
      </c>
      <c r="AH573" s="59" t="str">
        <f t="shared" si="144"/>
        <v/>
      </c>
      <c r="AI573" s="4"/>
      <c r="AJ573" s="4" t="str">
        <f t="shared" si="145"/>
        <v/>
      </c>
      <c r="AK573" s="4" t="str">
        <f t="shared" si="146"/>
        <v/>
      </c>
      <c r="AL573" s="4" t="e" cm="1">
        <f t="array" ref="AL573">IF(INDEX(Table2[],_xlfn.XMATCH($A573,Table2[Steel Member],0),_xlfn.XMATCH(AL$2,Table2[#Headers],0))=0,"",INDEX(Table2[],_xlfn.XMATCH($A573,Table2[Steel Member],0),_xlfn.XMATCH(AL$2,Table2[#Headers],0)))</f>
        <v>#N/A</v>
      </c>
      <c r="AM573" s="4"/>
      <c r="AN573" s="4" t="str">
        <f t="shared" si="147"/>
        <v/>
      </c>
      <c r="AO573" s="4"/>
      <c r="AP573" s="4" t="e" cm="1">
        <f t="array" ref="AP573">IF(INDEX(Table2[],_xlfn.XMATCH($A573,Table2[Steel Member],0),_xlfn.XMATCH(AP$2,Table2[#Headers],0))=0,"",INDEX(Table2[],_xlfn.XMATCH($A573,Table2[Steel Member],0),_xlfn.XMATCH(AP$2,Table2[#Headers],0)))</f>
        <v>#N/A</v>
      </c>
      <c r="AQ573" s="4"/>
      <c r="AR573" s="4"/>
      <c r="AS573" s="4"/>
      <c r="AT573" s="4"/>
    </row>
    <row r="574" spans="1:46" x14ac:dyDescent="0.25">
      <c r="A574" s="52"/>
      <c r="B574" s="52"/>
      <c r="C574" s="52"/>
      <c r="D574" s="52"/>
      <c r="E574" s="52"/>
      <c r="F574" s="64" cm="1">
        <f t="array" ref="F574">IF(COUNT(FIND(PurlinsxGirthsxBracings,$C574))&gt;0,0,ROUNDUP(IF(D574=0,0,VLOOKUP(D574,'DATA SHEET'!$B:$D,2,FALSE)),2))</f>
        <v>0</v>
      </c>
      <c r="G574" s="64" cm="1">
        <f t="array" ref="G574">IF(COUNT(FIND(PurlinsxGirthsxBracings,$C574))&gt;0,0,ROUNDUP(IF(D574=0,0,VLOOKUP(D574,'DATA SHEET'!$B:$D,3,FALSE)),2))</f>
        <v>0</v>
      </c>
      <c r="H574" s="53"/>
      <c r="I574" s="66" cm="1">
        <f t="array" ref="I574">IF(AND(ISBLANK(B574),ISBLANK(C574),ISBLANK(E574)),0,IF(COUNT(FIND(PurlinsxGirthsxBracings,$C574))&gt;0,IF(B574=0,CONCATENATE(E574," ",C574),CONCATENATE(B574," - ",E574," ",C574)),IF(B574=0,IF(ISBLANK(C574),E574,CONCATENATE(D574,", ",F574,"kg/m, ",G574,"mm surface perimeter")),IF(AND(ISBLANK(C574),ISTEXT(E574)),CONCATENATE(B574," - ",E574),IF(AND(ISBLANK(C574),ISBLANK(E574)),B574,CONCATENATE(B574," - ",D574,", ",F574,"kg/m, ",G574,"mm surface perimeter"))))&amp;IF(ISBLANK(H574),"",H574)))</f>
        <v>0</v>
      </c>
      <c r="J574" s="53"/>
      <c r="L574" s="4" t="str" cm="1">
        <f t="array" ref="L574">IF(COUNT(FIND({0,1,2,3,4,5,6,7,8,9},B574))&gt;0,COUNT(FIND({0,1,2,3,4,5,6,7,8,9},B574))&gt;0,"")</f>
        <v/>
      </c>
      <c r="M574" s="4" t="str" cm="1">
        <f t="array" aca="1" ref="M574" ca="1">IFERROR(_xlfn.IFS(R574="Count",RANDBETWEEN(1,COUNTIF($R$11:$R$653,"Count")),R574="Length",RANDBETWEEN(1,COUNTIF($R$11:$R$653,"Length"))),"")</f>
        <v/>
      </c>
      <c r="N574" s="4" t="str">
        <f ca="1">IFERROR(_xlfn.RANK.EQ(M574,$M$11:$M$653)+COUNTIF($M$11:M574,M574)-1,"")</f>
        <v/>
      </c>
      <c r="O574" s="86" t="str">
        <f>IF(A574='DATA SHEET'!$L$36,C574,IFERROR(IF(AND(ISTEXT(I574),ISBLANK(C574)),"No details",VLOOKUP(C574,DimFolder,2,FALSE)),""))</f>
        <v/>
      </c>
      <c r="P574" s="4" t="str">
        <f t="shared" si="137"/>
        <v/>
      </c>
      <c r="Q574" s="58" t="str">
        <f t="shared" si="148"/>
        <v/>
      </c>
      <c r="R574" s="4" t="e" cm="1">
        <f t="array" ref="R574">IF(INDEX(Table2[],_xlfn.XMATCH($A574,Table2[Steel Member],0),_xlfn.XMATCH(R$2,Table2[#Headers],0))=0,"",INDEX(Table2[],_xlfn.XMATCH($A574,Table2[Steel Member],0),_xlfn.XMATCH(R$2,Table2[#Headers],0)))</f>
        <v>#N/A</v>
      </c>
      <c r="S574" s="4" t="e" cm="1">
        <f t="array" ref="S574">IF(INDEX(Table2[],_xlfn.XMATCH($A574,Table2[Steel Member],0),_xlfn.XMATCH(S$2,Table2[#Headers],0))=0,"",INDEX(Table2[],_xlfn.XMATCH($A574,Table2[Steel Member],0),_xlfn.XMATCH(S$2,Table2[#Headers],0)))</f>
        <v>#N/A</v>
      </c>
      <c r="T574" s="4" t="str">
        <f t="shared" si="139"/>
        <v/>
      </c>
      <c r="U574" s="4" t="e">
        <f ca="1">VLOOKUP(N574,'COLOR CODE'!$B:$D,2,FALSE)</f>
        <v>#N/A</v>
      </c>
      <c r="V574" s="4" t="str">
        <f t="shared" si="140"/>
        <v/>
      </c>
      <c r="W574" s="4" t="e" cm="1">
        <f t="array" ref="W574">IF(INDEX(Table2[],_xlfn.XMATCH($A574,Table2[Steel Member],0),_xlfn.XMATCH(W$2,Table2[#Headers],0))=0,"",INDEX(Table2[],_xlfn.XMATCH($A574,Table2[Steel Member],0),_xlfn.XMATCH(W$2,Table2[#Headers],0)))</f>
        <v>#N/A</v>
      </c>
      <c r="X574" s="4" t="e">
        <f t="shared" si="138"/>
        <v>#N/A</v>
      </c>
      <c r="Y574" s="4" t="e" cm="1">
        <f t="array" ref="Y574">IF(INDEX(Table2[],_xlfn.XMATCH($A574,Table2[Steel Member],0),_xlfn.XMATCH(Y$2,Table2[#Headers],0))=0,"",INDEX(Table2[],_xlfn.XMATCH($A574,Table2[Steel Member],0),_xlfn.XMATCH(Y$2,Table2[#Headers],0)))</f>
        <v>#N/A</v>
      </c>
      <c r="Z574" s="4" t="e" cm="1">
        <f t="array" ref="Z574">IF(INDEX(Table2[],_xlfn.XMATCH($A574,Table2[Steel Member],0),_xlfn.XMATCH(Z$2,Table2[#Headers],0))=0,"",INDEX(Table2[],_xlfn.XMATCH($A574,Table2[Steel Member],0),_xlfn.XMATCH(Z$2,Table2[#Headers],0)))</f>
        <v>#N/A</v>
      </c>
      <c r="AA574" s="4" t="e" cm="1">
        <f t="array" ref="AA574">IF(INDEX(Table2[],_xlfn.XMATCH($A574,Table2[Steel Member],0),_xlfn.XMATCH(AA$2,Table2[#Headers],0))=0,"",INDEX(Table2[],_xlfn.XMATCH($A574,Table2[Steel Member],0),_xlfn.XMATCH(AA$2,Table2[#Headers],0)))</f>
        <v>#N/A</v>
      </c>
      <c r="AB574" s="4" t="e" cm="1">
        <f t="array" ref="AB574">IF(INDEX(Table2[],_xlfn.XMATCH($A574,Table2[Steel Member],0),_xlfn.XMATCH(AB$2,Table2[#Headers],0))=0,"",INDEX(Table2[],_xlfn.XMATCH($A574,Table2[Steel Member],0),_xlfn.XMATCH(AB$2,Table2[#Headers],0)))</f>
        <v>#N/A</v>
      </c>
      <c r="AC574" s="4" t="str" cm="1">
        <f t="array" ref="AC574">IFERROR(INDEX(Table8[],_xlfn.XMATCH($O574,Table8[Dimension Name Category],0),_xlfn.XMATCH(AC$2&amp;IF($L574," w/ tag"," w/o tag"),Table8[#Headers],0)),"")</f>
        <v/>
      </c>
      <c r="AD574" s="59" t="str">
        <f t="shared" si="141"/>
        <v/>
      </c>
      <c r="AE574" s="4" t="str">
        <f t="shared" si="142"/>
        <v/>
      </c>
      <c r="AF574" s="4" t="str">
        <f t="shared" si="143"/>
        <v/>
      </c>
      <c r="AG574" s="4" t="str" cm="1">
        <f t="array" ref="AG574">IFERROR(INDEX(Table8[],_xlfn.XMATCH($O574,Table8[Dimension Name Category],0),_xlfn.XMATCH(AG$2&amp;IF($L574," w/ tag"," w/o tag"),Table8[#Headers],0)),"")</f>
        <v/>
      </c>
      <c r="AH574" s="59" t="str">
        <f t="shared" si="144"/>
        <v/>
      </c>
      <c r="AI574" s="4"/>
      <c r="AJ574" s="4" t="str">
        <f t="shared" si="145"/>
        <v/>
      </c>
      <c r="AK574" s="4" t="str">
        <f t="shared" si="146"/>
        <v/>
      </c>
      <c r="AL574" s="4" t="e" cm="1">
        <f t="array" ref="AL574">IF(INDEX(Table2[],_xlfn.XMATCH($A574,Table2[Steel Member],0),_xlfn.XMATCH(AL$2,Table2[#Headers],0))=0,"",INDEX(Table2[],_xlfn.XMATCH($A574,Table2[Steel Member],0),_xlfn.XMATCH(AL$2,Table2[#Headers],0)))</f>
        <v>#N/A</v>
      </c>
      <c r="AM574" s="4"/>
      <c r="AN574" s="4" t="str">
        <f t="shared" si="147"/>
        <v/>
      </c>
      <c r="AO574" s="4"/>
      <c r="AP574" s="4" t="e" cm="1">
        <f t="array" ref="AP574">IF(INDEX(Table2[],_xlfn.XMATCH($A574,Table2[Steel Member],0),_xlfn.XMATCH(AP$2,Table2[#Headers],0))=0,"",INDEX(Table2[],_xlfn.XMATCH($A574,Table2[Steel Member],0),_xlfn.XMATCH(AP$2,Table2[#Headers],0)))</f>
        <v>#N/A</v>
      </c>
      <c r="AQ574" s="4"/>
      <c r="AR574" s="4"/>
      <c r="AS574" s="4"/>
      <c r="AT574" s="4"/>
    </row>
    <row r="575" spans="1:46" x14ac:dyDescent="0.25">
      <c r="A575" s="52"/>
      <c r="B575" s="52"/>
      <c r="C575" s="52"/>
      <c r="D575" s="52"/>
      <c r="E575" s="52"/>
      <c r="F575" s="64" cm="1">
        <f t="array" ref="F575">IF(COUNT(FIND(PurlinsxGirthsxBracings,$C575))&gt;0,0,ROUNDUP(IF(D575=0,0,VLOOKUP(D575,'DATA SHEET'!$B:$D,2,FALSE)),2))</f>
        <v>0</v>
      </c>
      <c r="G575" s="64" cm="1">
        <f t="array" ref="G575">IF(COUNT(FIND(PurlinsxGirthsxBracings,$C575))&gt;0,0,ROUNDUP(IF(D575=0,0,VLOOKUP(D575,'DATA SHEET'!$B:$D,3,FALSE)),2))</f>
        <v>0</v>
      </c>
      <c r="H575" s="53"/>
      <c r="I575" s="66" cm="1">
        <f t="array" ref="I575">IF(AND(ISBLANK(B575),ISBLANK(C575),ISBLANK(E575)),0,IF(COUNT(FIND(PurlinsxGirthsxBracings,$C575))&gt;0,IF(B575=0,CONCATENATE(E575," ",C575),CONCATENATE(B575," - ",E575," ",C575)),IF(B575=0,IF(ISBLANK(C575),E575,CONCATENATE(D575,", ",F575,"kg/m, ",G575,"mm surface perimeter")),IF(AND(ISBLANK(C575),ISTEXT(E575)),CONCATENATE(B575," - ",E575),IF(AND(ISBLANK(C575),ISBLANK(E575)),B575,CONCATENATE(B575," - ",D575,", ",F575,"kg/m, ",G575,"mm surface perimeter"))))&amp;IF(ISBLANK(H575),"",H575)))</f>
        <v>0</v>
      </c>
      <c r="J575" s="53"/>
      <c r="L575" s="4" t="str" cm="1">
        <f t="array" ref="L575">IF(COUNT(FIND({0,1,2,3,4,5,6,7,8,9},B575))&gt;0,COUNT(FIND({0,1,2,3,4,5,6,7,8,9},B575))&gt;0,"")</f>
        <v/>
      </c>
      <c r="M575" s="4" t="str" cm="1">
        <f t="array" aca="1" ref="M575" ca="1">IFERROR(_xlfn.IFS(R575="Count",RANDBETWEEN(1,COUNTIF($R$11:$R$653,"Count")),R575="Length",RANDBETWEEN(1,COUNTIF($R$11:$R$653,"Length"))),"")</f>
        <v/>
      </c>
      <c r="N575" s="4" t="str">
        <f ca="1">IFERROR(_xlfn.RANK.EQ(M575,$M$11:$M$653)+COUNTIF($M$11:M575,M575)-1,"")</f>
        <v/>
      </c>
      <c r="O575" s="86" t="str">
        <f>IF(A575='DATA SHEET'!$L$36,C575,IFERROR(IF(AND(ISTEXT(I575),ISBLANK(C575)),"No details",VLOOKUP(C575,DimFolder,2,FALSE)),""))</f>
        <v/>
      </c>
      <c r="P575" s="4" t="str">
        <f t="shared" si="137"/>
        <v/>
      </c>
      <c r="Q575" s="58" t="str">
        <f t="shared" si="148"/>
        <v/>
      </c>
      <c r="R575" s="4" t="e" cm="1">
        <f t="array" ref="R575">IF(INDEX(Table2[],_xlfn.XMATCH($A575,Table2[Steel Member],0),_xlfn.XMATCH(R$2,Table2[#Headers],0))=0,"",INDEX(Table2[],_xlfn.XMATCH($A575,Table2[Steel Member],0),_xlfn.XMATCH(R$2,Table2[#Headers],0)))</f>
        <v>#N/A</v>
      </c>
      <c r="S575" s="4" t="e" cm="1">
        <f t="array" ref="S575">IF(INDEX(Table2[],_xlfn.XMATCH($A575,Table2[Steel Member],0),_xlfn.XMATCH(S$2,Table2[#Headers],0))=0,"",INDEX(Table2[],_xlfn.XMATCH($A575,Table2[Steel Member],0),_xlfn.XMATCH(S$2,Table2[#Headers],0)))</f>
        <v>#N/A</v>
      </c>
      <c r="T575" s="4" t="str">
        <f t="shared" si="139"/>
        <v/>
      </c>
      <c r="U575" s="4" t="e">
        <f ca="1">VLOOKUP(N575,'COLOR CODE'!$B:$D,2,FALSE)</f>
        <v>#N/A</v>
      </c>
      <c r="V575" s="4" t="str">
        <f t="shared" si="140"/>
        <v/>
      </c>
      <c r="W575" s="4" t="e" cm="1">
        <f t="array" ref="W575">IF(INDEX(Table2[],_xlfn.XMATCH($A575,Table2[Steel Member],0),_xlfn.XMATCH(W$2,Table2[#Headers],0))=0,"",INDEX(Table2[],_xlfn.XMATCH($A575,Table2[Steel Member],0),_xlfn.XMATCH(W$2,Table2[#Headers],0)))</f>
        <v>#N/A</v>
      </c>
      <c r="X575" s="4" t="e">
        <f t="shared" si="138"/>
        <v>#N/A</v>
      </c>
      <c r="Y575" s="4" t="e" cm="1">
        <f t="array" ref="Y575">IF(INDEX(Table2[],_xlfn.XMATCH($A575,Table2[Steel Member],0),_xlfn.XMATCH(Y$2,Table2[#Headers],0))=0,"",INDEX(Table2[],_xlfn.XMATCH($A575,Table2[Steel Member],0),_xlfn.XMATCH(Y$2,Table2[#Headers],0)))</f>
        <v>#N/A</v>
      </c>
      <c r="Z575" s="4" t="e" cm="1">
        <f t="array" ref="Z575">IF(INDEX(Table2[],_xlfn.XMATCH($A575,Table2[Steel Member],0),_xlfn.XMATCH(Z$2,Table2[#Headers],0))=0,"",INDEX(Table2[],_xlfn.XMATCH($A575,Table2[Steel Member],0),_xlfn.XMATCH(Z$2,Table2[#Headers],0)))</f>
        <v>#N/A</v>
      </c>
      <c r="AA575" s="4" t="e" cm="1">
        <f t="array" ref="AA575">IF(INDEX(Table2[],_xlfn.XMATCH($A575,Table2[Steel Member],0),_xlfn.XMATCH(AA$2,Table2[#Headers],0))=0,"",INDEX(Table2[],_xlfn.XMATCH($A575,Table2[Steel Member],0),_xlfn.XMATCH(AA$2,Table2[#Headers],0)))</f>
        <v>#N/A</v>
      </c>
      <c r="AB575" s="4" t="e" cm="1">
        <f t="array" ref="AB575">IF(INDEX(Table2[],_xlfn.XMATCH($A575,Table2[Steel Member],0),_xlfn.XMATCH(AB$2,Table2[#Headers],0))=0,"",INDEX(Table2[],_xlfn.XMATCH($A575,Table2[Steel Member],0),_xlfn.XMATCH(AB$2,Table2[#Headers],0)))</f>
        <v>#N/A</v>
      </c>
      <c r="AC575" s="4" t="str" cm="1">
        <f t="array" ref="AC575">IFERROR(INDEX(Table8[],_xlfn.XMATCH($O575,Table8[Dimension Name Category],0),_xlfn.XMATCH(AC$2&amp;IF($L575," w/ tag"," w/o tag"),Table8[#Headers],0)),"")</f>
        <v/>
      </c>
      <c r="AD575" s="59" t="str">
        <f t="shared" si="141"/>
        <v/>
      </c>
      <c r="AE575" s="4" t="str">
        <f t="shared" si="142"/>
        <v/>
      </c>
      <c r="AF575" s="4" t="str">
        <f t="shared" si="143"/>
        <v/>
      </c>
      <c r="AG575" s="4" t="str" cm="1">
        <f t="array" ref="AG575">IFERROR(INDEX(Table8[],_xlfn.XMATCH($O575,Table8[Dimension Name Category],0),_xlfn.XMATCH(AG$2&amp;IF($L575," w/ tag"," w/o tag"),Table8[#Headers],0)),"")</f>
        <v/>
      </c>
      <c r="AH575" s="59" t="str">
        <f t="shared" si="144"/>
        <v/>
      </c>
      <c r="AI575" s="4"/>
      <c r="AJ575" s="4" t="str">
        <f t="shared" si="145"/>
        <v/>
      </c>
      <c r="AK575" s="4" t="str">
        <f t="shared" si="146"/>
        <v/>
      </c>
      <c r="AL575" s="4" t="e" cm="1">
        <f t="array" ref="AL575">IF(INDEX(Table2[],_xlfn.XMATCH($A575,Table2[Steel Member],0),_xlfn.XMATCH(AL$2,Table2[#Headers],0))=0,"",INDEX(Table2[],_xlfn.XMATCH($A575,Table2[Steel Member],0),_xlfn.XMATCH(AL$2,Table2[#Headers],0)))</f>
        <v>#N/A</v>
      </c>
      <c r="AM575" s="4"/>
      <c r="AN575" s="4" t="str">
        <f t="shared" si="147"/>
        <v/>
      </c>
      <c r="AO575" s="4"/>
      <c r="AP575" s="4" t="e" cm="1">
        <f t="array" ref="AP575">IF(INDEX(Table2[],_xlfn.XMATCH($A575,Table2[Steel Member],0),_xlfn.XMATCH(AP$2,Table2[#Headers],0))=0,"",INDEX(Table2[],_xlfn.XMATCH($A575,Table2[Steel Member],0),_xlfn.XMATCH(AP$2,Table2[#Headers],0)))</f>
        <v>#N/A</v>
      </c>
      <c r="AQ575" s="4"/>
      <c r="AR575" s="4"/>
      <c r="AS575" s="4"/>
      <c r="AT575" s="4"/>
    </row>
    <row r="576" spans="1:46" x14ac:dyDescent="0.25">
      <c r="A576" s="52"/>
      <c r="B576" s="52"/>
      <c r="C576" s="52"/>
      <c r="D576" s="52"/>
      <c r="E576" s="52"/>
      <c r="F576" s="64" cm="1">
        <f t="array" ref="F576">IF(COUNT(FIND(PurlinsxGirthsxBracings,$C576))&gt;0,0,ROUNDUP(IF(D576=0,0,VLOOKUP(D576,'DATA SHEET'!$B:$D,2,FALSE)),2))</f>
        <v>0</v>
      </c>
      <c r="G576" s="64" cm="1">
        <f t="array" ref="G576">IF(COUNT(FIND(PurlinsxGirthsxBracings,$C576))&gt;0,0,ROUNDUP(IF(D576=0,0,VLOOKUP(D576,'DATA SHEET'!$B:$D,3,FALSE)),2))</f>
        <v>0</v>
      </c>
      <c r="H576" s="53"/>
      <c r="I576" s="66" cm="1">
        <f t="array" ref="I576">IF(AND(ISBLANK(B576),ISBLANK(C576),ISBLANK(E576)),0,IF(COUNT(FIND(PurlinsxGirthsxBracings,$C576))&gt;0,IF(B576=0,CONCATENATE(E576," ",C576),CONCATENATE(B576," - ",E576," ",C576)),IF(B576=0,IF(ISBLANK(C576),E576,CONCATENATE(D576,", ",F576,"kg/m, ",G576,"mm surface perimeter")),IF(AND(ISBLANK(C576),ISTEXT(E576)),CONCATENATE(B576," - ",E576),IF(AND(ISBLANK(C576),ISBLANK(E576)),B576,CONCATENATE(B576," - ",D576,", ",F576,"kg/m, ",G576,"mm surface perimeter"))))&amp;IF(ISBLANK(H576),"",H576)))</f>
        <v>0</v>
      </c>
      <c r="J576" s="53"/>
      <c r="L576" s="4" t="str" cm="1">
        <f t="array" ref="L576">IF(COUNT(FIND({0,1,2,3,4,5,6,7,8,9},B576))&gt;0,COUNT(FIND({0,1,2,3,4,5,6,7,8,9},B576))&gt;0,"")</f>
        <v/>
      </c>
      <c r="M576" s="4" t="str" cm="1">
        <f t="array" aca="1" ref="M576" ca="1">IFERROR(_xlfn.IFS(R576="Count",RANDBETWEEN(1,COUNTIF($R$11:$R$653,"Count")),R576="Length",RANDBETWEEN(1,COUNTIF($R$11:$R$653,"Length"))),"")</f>
        <v/>
      </c>
      <c r="N576" s="4" t="str">
        <f ca="1">IFERROR(_xlfn.RANK.EQ(M576,$M$11:$M$653)+COUNTIF($M$11:M576,M576)-1,"")</f>
        <v/>
      </c>
      <c r="O576" s="86" t="str">
        <f>IF(A576='DATA SHEET'!$L$36,C576,IFERROR(IF(AND(ISTEXT(I576),ISBLANK(C576)),"No details",VLOOKUP(C576,DimFolder,2,FALSE)),""))</f>
        <v/>
      </c>
      <c r="P576" s="4" t="str">
        <f t="shared" si="137"/>
        <v/>
      </c>
      <c r="Q576" s="58" t="str">
        <f t="shared" si="148"/>
        <v/>
      </c>
      <c r="R576" s="4" t="e" cm="1">
        <f t="array" ref="R576">IF(INDEX(Table2[],_xlfn.XMATCH($A576,Table2[Steel Member],0),_xlfn.XMATCH(R$2,Table2[#Headers],0))=0,"",INDEX(Table2[],_xlfn.XMATCH($A576,Table2[Steel Member],0),_xlfn.XMATCH(R$2,Table2[#Headers],0)))</f>
        <v>#N/A</v>
      </c>
      <c r="S576" s="4" t="e" cm="1">
        <f t="array" ref="S576">IF(INDEX(Table2[],_xlfn.XMATCH($A576,Table2[Steel Member],0),_xlfn.XMATCH(S$2,Table2[#Headers],0))=0,"",INDEX(Table2[],_xlfn.XMATCH($A576,Table2[Steel Member],0),_xlfn.XMATCH(S$2,Table2[#Headers],0)))</f>
        <v>#N/A</v>
      </c>
      <c r="T576" s="4" t="str">
        <f t="shared" si="139"/>
        <v/>
      </c>
      <c r="U576" s="4" t="e">
        <f ca="1">VLOOKUP(N576,'COLOR CODE'!$B:$D,2,FALSE)</f>
        <v>#N/A</v>
      </c>
      <c r="V576" s="4" t="str">
        <f t="shared" si="140"/>
        <v/>
      </c>
      <c r="W576" s="4" t="e" cm="1">
        <f t="array" ref="W576">IF(INDEX(Table2[],_xlfn.XMATCH($A576,Table2[Steel Member],0),_xlfn.XMATCH(W$2,Table2[#Headers],0))=0,"",INDEX(Table2[],_xlfn.XMATCH($A576,Table2[Steel Member],0),_xlfn.XMATCH(W$2,Table2[#Headers],0)))</f>
        <v>#N/A</v>
      </c>
      <c r="X576" s="4" t="e">
        <f t="shared" si="138"/>
        <v>#N/A</v>
      </c>
      <c r="Y576" s="4" t="e" cm="1">
        <f t="array" ref="Y576">IF(INDEX(Table2[],_xlfn.XMATCH($A576,Table2[Steel Member],0),_xlfn.XMATCH(Y$2,Table2[#Headers],0))=0,"",INDEX(Table2[],_xlfn.XMATCH($A576,Table2[Steel Member],0),_xlfn.XMATCH(Y$2,Table2[#Headers],0)))</f>
        <v>#N/A</v>
      </c>
      <c r="Z576" s="4" t="e" cm="1">
        <f t="array" ref="Z576">IF(INDEX(Table2[],_xlfn.XMATCH($A576,Table2[Steel Member],0),_xlfn.XMATCH(Z$2,Table2[#Headers],0))=0,"",INDEX(Table2[],_xlfn.XMATCH($A576,Table2[Steel Member],0),_xlfn.XMATCH(Z$2,Table2[#Headers],0)))</f>
        <v>#N/A</v>
      </c>
      <c r="AA576" s="4" t="e" cm="1">
        <f t="array" ref="AA576">IF(INDEX(Table2[],_xlfn.XMATCH($A576,Table2[Steel Member],0),_xlfn.XMATCH(AA$2,Table2[#Headers],0))=0,"",INDEX(Table2[],_xlfn.XMATCH($A576,Table2[Steel Member],0),_xlfn.XMATCH(AA$2,Table2[#Headers],0)))</f>
        <v>#N/A</v>
      </c>
      <c r="AB576" s="4" t="e" cm="1">
        <f t="array" ref="AB576">IF(INDEX(Table2[],_xlfn.XMATCH($A576,Table2[Steel Member],0),_xlfn.XMATCH(AB$2,Table2[#Headers],0))=0,"",INDEX(Table2[],_xlfn.XMATCH($A576,Table2[Steel Member],0),_xlfn.XMATCH(AB$2,Table2[#Headers],0)))</f>
        <v>#N/A</v>
      </c>
      <c r="AC576" s="4" t="str" cm="1">
        <f t="array" ref="AC576">IFERROR(INDEX(Table8[],_xlfn.XMATCH($O576,Table8[Dimension Name Category],0),_xlfn.XMATCH(AC$2&amp;IF($L576," w/ tag"," w/o tag"),Table8[#Headers],0)),"")</f>
        <v/>
      </c>
      <c r="AD576" s="59" t="str">
        <f t="shared" si="141"/>
        <v/>
      </c>
      <c r="AE576" s="4" t="str">
        <f t="shared" si="142"/>
        <v/>
      </c>
      <c r="AF576" s="4" t="str">
        <f t="shared" si="143"/>
        <v/>
      </c>
      <c r="AG576" s="4" t="str" cm="1">
        <f t="array" ref="AG576">IFERROR(INDEX(Table8[],_xlfn.XMATCH($O576,Table8[Dimension Name Category],0),_xlfn.XMATCH(AG$2&amp;IF($L576," w/ tag"," w/o tag"),Table8[#Headers],0)),"")</f>
        <v/>
      </c>
      <c r="AH576" s="59" t="str">
        <f t="shared" si="144"/>
        <v/>
      </c>
      <c r="AI576" s="4"/>
      <c r="AJ576" s="4" t="str">
        <f t="shared" si="145"/>
        <v/>
      </c>
      <c r="AK576" s="4" t="str">
        <f t="shared" si="146"/>
        <v/>
      </c>
      <c r="AL576" s="4" t="e" cm="1">
        <f t="array" ref="AL576">IF(INDEX(Table2[],_xlfn.XMATCH($A576,Table2[Steel Member],0),_xlfn.XMATCH(AL$2,Table2[#Headers],0))=0,"",INDEX(Table2[],_xlfn.XMATCH($A576,Table2[Steel Member],0),_xlfn.XMATCH(AL$2,Table2[#Headers],0)))</f>
        <v>#N/A</v>
      </c>
      <c r="AM576" s="4"/>
      <c r="AN576" s="4" t="str">
        <f t="shared" si="147"/>
        <v/>
      </c>
      <c r="AO576" s="4"/>
      <c r="AP576" s="4" t="e" cm="1">
        <f t="array" ref="AP576">IF(INDEX(Table2[],_xlfn.XMATCH($A576,Table2[Steel Member],0),_xlfn.XMATCH(AP$2,Table2[#Headers],0))=0,"",INDEX(Table2[],_xlfn.XMATCH($A576,Table2[Steel Member],0),_xlfn.XMATCH(AP$2,Table2[#Headers],0)))</f>
        <v>#N/A</v>
      </c>
      <c r="AQ576" s="4"/>
      <c r="AR576" s="4"/>
      <c r="AS576" s="4"/>
      <c r="AT576" s="4"/>
    </row>
    <row r="577" spans="1:46" x14ac:dyDescent="0.25">
      <c r="A577" s="52"/>
      <c r="B577" s="52"/>
      <c r="C577" s="52"/>
      <c r="D577" s="52"/>
      <c r="E577" s="52"/>
      <c r="F577" s="64" cm="1">
        <f t="array" ref="F577">IF(COUNT(FIND(PurlinsxGirthsxBracings,$C577))&gt;0,0,ROUNDUP(IF(D577=0,0,VLOOKUP(D577,'DATA SHEET'!$B:$D,2,FALSE)),2))</f>
        <v>0</v>
      </c>
      <c r="G577" s="64" cm="1">
        <f t="array" ref="G577">IF(COUNT(FIND(PurlinsxGirthsxBracings,$C577))&gt;0,0,ROUNDUP(IF(D577=0,0,VLOOKUP(D577,'DATA SHEET'!$B:$D,3,FALSE)),2))</f>
        <v>0</v>
      </c>
      <c r="H577" s="53"/>
      <c r="I577" s="66" cm="1">
        <f t="array" ref="I577">IF(AND(ISBLANK(B577),ISBLANK(C577),ISBLANK(E577)),0,IF(COUNT(FIND(PurlinsxGirthsxBracings,$C577))&gt;0,IF(B577=0,CONCATENATE(E577," ",C577),CONCATENATE(B577," - ",E577," ",C577)),IF(B577=0,IF(ISBLANK(C577),E577,CONCATENATE(D577,", ",F577,"kg/m, ",G577,"mm surface perimeter")),IF(AND(ISBLANK(C577),ISTEXT(E577)),CONCATENATE(B577," - ",E577),IF(AND(ISBLANK(C577),ISBLANK(E577)),B577,CONCATENATE(B577," - ",D577,", ",F577,"kg/m, ",G577,"mm surface perimeter"))))&amp;IF(ISBLANK(H577),"",H577)))</f>
        <v>0</v>
      </c>
      <c r="J577" s="53"/>
      <c r="L577" s="4" t="str" cm="1">
        <f t="array" ref="L577">IF(COUNT(FIND({0,1,2,3,4,5,6,7,8,9},B577))&gt;0,COUNT(FIND({0,1,2,3,4,5,6,7,8,9},B577))&gt;0,"")</f>
        <v/>
      </c>
      <c r="M577" s="4" t="str" cm="1">
        <f t="array" aca="1" ref="M577" ca="1">IFERROR(_xlfn.IFS(R577="Count",RANDBETWEEN(1,COUNTIF($R$11:$R$653,"Count")),R577="Length",RANDBETWEEN(1,COUNTIF($R$11:$R$653,"Length"))),"")</f>
        <v/>
      </c>
      <c r="N577" s="4" t="str">
        <f ca="1">IFERROR(_xlfn.RANK.EQ(M577,$M$11:$M$653)+COUNTIF($M$11:M577,M577)-1,"")</f>
        <v/>
      </c>
      <c r="O577" s="86" t="str">
        <f>IF(A577='DATA SHEET'!$L$36,C577,IFERROR(IF(AND(ISTEXT(I577),ISBLANK(C577)),"No details",VLOOKUP(C577,DimFolder,2,FALSE)),""))</f>
        <v/>
      </c>
      <c r="P577" s="4" t="str">
        <f t="shared" si="137"/>
        <v/>
      </c>
      <c r="Q577" s="58" t="str">
        <f t="shared" si="148"/>
        <v/>
      </c>
      <c r="R577" s="4" t="e" cm="1">
        <f t="array" ref="R577">IF(INDEX(Table2[],_xlfn.XMATCH($A577,Table2[Steel Member],0),_xlfn.XMATCH(R$2,Table2[#Headers],0))=0,"",INDEX(Table2[],_xlfn.XMATCH($A577,Table2[Steel Member],0),_xlfn.XMATCH(R$2,Table2[#Headers],0)))</f>
        <v>#N/A</v>
      </c>
      <c r="S577" s="4" t="e" cm="1">
        <f t="array" ref="S577">IF(INDEX(Table2[],_xlfn.XMATCH($A577,Table2[Steel Member],0),_xlfn.XMATCH(S$2,Table2[#Headers],0))=0,"",INDEX(Table2[],_xlfn.XMATCH($A577,Table2[Steel Member],0),_xlfn.XMATCH(S$2,Table2[#Headers],0)))</f>
        <v>#N/A</v>
      </c>
      <c r="T577" s="4" t="str">
        <f t="shared" si="139"/>
        <v/>
      </c>
      <c r="U577" s="4" t="e">
        <f ca="1">VLOOKUP(N577,'COLOR CODE'!$B:$D,2,FALSE)</f>
        <v>#N/A</v>
      </c>
      <c r="V577" s="4" t="str">
        <f t="shared" si="140"/>
        <v/>
      </c>
      <c r="W577" s="4" t="e" cm="1">
        <f t="array" ref="W577">IF(INDEX(Table2[],_xlfn.XMATCH($A577,Table2[Steel Member],0),_xlfn.XMATCH(W$2,Table2[#Headers],0))=0,"",INDEX(Table2[],_xlfn.XMATCH($A577,Table2[Steel Member],0),_xlfn.XMATCH(W$2,Table2[#Headers],0)))</f>
        <v>#N/A</v>
      </c>
      <c r="X577" s="4" t="e">
        <f t="shared" si="138"/>
        <v>#N/A</v>
      </c>
      <c r="Y577" s="4" t="e" cm="1">
        <f t="array" ref="Y577">IF(INDEX(Table2[],_xlfn.XMATCH($A577,Table2[Steel Member],0),_xlfn.XMATCH(Y$2,Table2[#Headers],0))=0,"",INDEX(Table2[],_xlfn.XMATCH($A577,Table2[Steel Member],0),_xlfn.XMATCH(Y$2,Table2[#Headers],0)))</f>
        <v>#N/A</v>
      </c>
      <c r="Z577" s="4" t="e" cm="1">
        <f t="array" ref="Z577">IF(INDEX(Table2[],_xlfn.XMATCH($A577,Table2[Steel Member],0),_xlfn.XMATCH(Z$2,Table2[#Headers],0))=0,"",INDEX(Table2[],_xlfn.XMATCH($A577,Table2[Steel Member],0),_xlfn.XMATCH(Z$2,Table2[#Headers],0)))</f>
        <v>#N/A</v>
      </c>
      <c r="AA577" s="4" t="e" cm="1">
        <f t="array" ref="AA577">IF(INDEX(Table2[],_xlfn.XMATCH($A577,Table2[Steel Member],0),_xlfn.XMATCH(AA$2,Table2[#Headers],0))=0,"",INDEX(Table2[],_xlfn.XMATCH($A577,Table2[Steel Member],0),_xlfn.XMATCH(AA$2,Table2[#Headers],0)))</f>
        <v>#N/A</v>
      </c>
      <c r="AB577" s="4" t="e" cm="1">
        <f t="array" ref="AB577">IF(INDEX(Table2[],_xlfn.XMATCH($A577,Table2[Steel Member],0),_xlfn.XMATCH(AB$2,Table2[#Headers],0))=0,"",INDEX(Table2[],_xlfn.XMATCH($A577,Table2[Steel Member],0),_xlfn.XMATCH(AB$2,Table2[#Headers],0)))</f>
        <v>#N/A</v>
      </c>
      <c r="AC577" s="4" t="str" cm="1">
        <f t="array" ref="AC577">IFERROR(INDEX(Table8[],_xlfn.XMATCH($O577,Table8[Dimension Name Category],0),_xlfn.XMATCH(AC$2&amp;IF($L577," w/ tag"," w/o tag"),Table8[#Headers],0)),"")</f>
        <v/>
      </c>
      <c r="AD577" s="59" t="str">
        <f t="shared" si="141"/>
        <v/>
      </c>
      <c r="AE577" s="4" t="str">
        <f t="shared" si="142"/>
        <v/>
      </c>
      <c r="AF577" s="4" t="str">
        <f t="shared" si="143"/>
        <v/>
      </c>
      <c r="AG577" s="4" t="str" cm="1">
        <f t="array" ref="AG577">IFERROR(INDEX(Table8[],_xlfn.XMATCH($O577,Table8[Dimension Name Category],0),_xlfn.XMATCH(AG$2&amp;IF($L577," w/ tag"," w/o tag"),Table8[#Headers],0)),"")</f>
        <v/>
      </c>
      <c r="AH577" s="59" t="str">
        <f t="shared" si="144"/>
        <v/>
      </c>
      <c r="AI577" s="4"/>
      <c r="AJ577" s="4" t="str">
        <f t="shared" si="145"/>
        <v/>
      </c>
      <c r="AK577" s="4" t="str">
        <f t="shared" si="146"/>
        <v/>
      </c>
      <c r="AL577" s="4" t="e" cm="1">
        <f t="array" ref="AL577">IF(INDEX(Table2[],_xlfn.XMATCH($A577,Table2[Steel Member],0),_xlfn.XMATCH(AL$2,Table2[#Headers],0))=0,"",INDEX(Table2[],_xlfn.XMATCH($A577,Table2[Steel Member],0),_xlfn.XMATCH(AL$2,Table2[#Headers],0)))</f>
        <v>#N/A</v>
      </c>
      <c r="AM577" s="4"/>
      <c r="AN577" s="4" t="str">
        <f t="shared" si="147"/>
        <v/>
      </c>
      <c r="AO577" s="4"/>
      <c r="AP577" s="4" t="e" cm="1">
        <f t="array" ref="AP577">IF(INDEX(Table2[],_xlfn.XMATCH($A577,Table2[Steel Member],0),_xlfn.XMATCH(AP$2,Table2[#Headers],0))=0,"",INDEX(Table2[],_xlfn.XMATCH($A577,Table2[Steel Member],0),_xlfn.XMATCH(AP$2,Table2[#Headers],0)))</f>
        <v>#N/A</v>
      </c>
      <c r="AQ577" s="4"/>
      <c r="AR577" s="4"/>
      <c r="AS577" s="4"/>
      <c r="AT577" s="4"/>
    </row>
    <row r="578" spans="1:46" x14ac:dyDescent="0.25">
      <c r="A578" s="52"/>
      <c r="B578" s="52"/>
      <c r="C578" s="52"/>
      <c r="D578" s="52"/>
      <c r="E578" s="52"/>
      <c r="F578" s="64" cm="1">
        <f t="array" ref="F578">IF(COUNT(FIND(PurlinsxGirthsxBracings,$C578))&gt;0,0,ROUNDUP(IF(D578=0,0,VLOOKUP(D578,'DATA SHEET'!$B:$D,2,FALSE)),2))</f>
        <v>0</v>
      </c>
      <c r="G578" s="64" cm="1">
        <f t="array" ref="G578">IF(COUNT(FIND(PurlinsxGirthsxBracings,$C578))&gt;0,0,ROUNDUP(IF(D578=0,0,VLOOKUP(D578,'DATA SHEET'!$B:$D,3,FALSE)),2))</f>
        <v>0</v>
      </c>
      <c r="H578" s="53"/>
      <c r="I578" s="66" cm="1">
        <f t="array" ref="I578">IF(AND(ISBLANK(B578),ISBLANK(C578),ISBLANK(E578)),0,IF(COUNT(FIND(PurlinsxGirthsxBracings,$C578))&gt;0,IF(B578=0,CONCATENATE(E578," ",C578),CONCATENATE(B578," - ",E578," ",C578)),IF(B578=0,IF(ISBLANK(C578),E578,CONCATENATE(D578,", ",F578,"kg/m, ",G578,"mm surface perimeter")),IF(AND(ISBLANK(C578),ISTEXT(E578)),CONCATENATE(B578," - ",E578),IF(AND(ISBLANK(C578),ISBLANK(E578)),B578,CONCATENATE(B578," - ",D578,", ",F578,"kg/m, ",G578,"mm surface perimeter"))))&amp;IF(ISBLANK(H578),"",H578)))</f>
        <v>0</v>
      </c>
      <c r="J578" s="53"/>
      <c r="L578" s="4" t="str" cm="1">
        <f t="array" ref="L578">IF(COUNT(FIND({0,1,2,3,4,5,6,7,8,9},B578))&gt;0,COUNT(FIND({0,1,2,3,4,5,6,7,8,9},B578))&gt;0,"")</f>
        <v/>
      </c>
      <c r="M578" s="4" t="str" cm="1">
        <f t="array" aca="1" ref="M578" ca="1">IFERROR(_xlfn.IFS(R578="Count",RANDBETWEEN(1,COUNTIF($R$11:$R$653,"Count")),R578="Length",RANDBETWEEN(1,COUNTIF($R$11:$R$653,"Length"))),"")</f>
        <v/>
      </c>
      <c r="N578" s="4" t="str">
        <f ca="1">IFERROR(_xlfn.RANK.EQ(M578,$M$11:$M$653)+COUNTIF($M$11:M578,M578)-1,"")</f>
        <v/>
      </c>
      <c r="O578" s="86" t="str">
        <f>IF(A578='DATA SHEET'!$L$36,C578,IFERROR(IF(AND(ISTEXT(I578),ISBLANK(C578)),"No details",VLOOKUP(C578,DimFolder,2,FALSE)),""))</f>
        <v/>
      </c>
      <c r="P578" s="4" t="str">
        <f t="shared" si="137"/>
        <v/>
      </c>
      <c r="Q578" s="58" t="str">
        <f t="shared" si="148"/>
        <v/>
      </c>
      <c r="R578" s="4" t="e" cm="1">
        <f t="array" ref="R578">IF(INDEX(Table2[],_xlfn.XMATCH($A578,Table2[Steel Member],0),_xlfn.XMATCH(R$2,Table2[#Headers],0))=0,"",INDEX(Table2[],_xlfn.XMATCH($A578,Table2[Steel Member],0),_xlfn.XMATCH(R$2,Table2[#Headers],0)))</f>
        <v>#N/A</v>
      </c>
      <c r="S578" s="4" t="e" cm="1">
        <f t="array" ref="S578">IF(INDEX(Table2[],_xlfn.XMATCH($A578,Table2[Steel Member],0),_xlfn.XMATCH(S$2,Table2[#Headers],0))=0,"",INDEX(Table2[],_xlfn.XMATCH($A578,Table2[Steel Member],0),_xlfn.XMATCH(S$2,Table2[#Headers],0)))</f>
        <v>#N/A</v>
      </c>
      <c r="T578" s="4" t="str">
        <f t="shared" si="139"/>
        <v/>
      </c>
      <c r="U578" s="4" t="e">
        <f ca="1">VLOOKUP(N578,'COLOR CODE'!$B:$D,2,FALSE)</f>
        <v>#N/A</v>
      </c>
      <c r="V578" s="4" t="str">
        <f t="shared" si="140"/>
        <v/>
      </c>
      <c r="W578" s="4" t="e" cm="1">
        <f t="array" ref="W578">IF(INDEX(Table2[],_xlfn.XMATCH($A578,Table2[Steel Member],0),_xlfn.XMATCH(W$2,Table2[#Headers],0))=0,"",INDEX(Table2[],_xlfn.XMATCH($A578,Table2[Steel Member],0),_xlfn.XMATCH(W$2,Table2[#Headers],0)))</f>
        <v>#N/A</v>
      </c>
      <c r="X578" s="4" t="e">
        <f t="shared" si="138"/>
        <v>#N/A</v>
      </c>
      <c r="Y578" s="4" t="e" cm="1">
        <f t="array" ref="Y578">IF(INDEX(Table2[],_xlfn.XMATCH($A578,Table2[Steel Member],0),_xlfn.XMATCH(Y$2,Table2[#Headers],0))=0,"",INDEX(Table2[],_xlfn.XMATCH($A578,Table2[Steel Member],0),_xlfn.XMATCH(Y$2,Table2[#Headers],0)))</f>
        <v>#N/A</v>
      </c>
      <c r="Z578" s="4" t="e" cm="1">
        <f t="array" ref="Z578">IF(INDEX(Table2[],_xlfn.XMATCH($A578,Table2[Steel Member],0),_xlfn.XMATCH(Z$2,Table2[#Headers],0))=0,"",INDEX(Table2[],_xlfn.XMATCH($A578,Table2[Steel Member],0),_xlfn.XMATCH(Z$2,Table2[#Headers],0)))</f>
        <v>#N/A</v>
      </c>
      <c r="AA578" s="4" t="e" cm="1">
        <f t="array" ref="AA578">IF(INDEX(Table2[],_xlfn.XMATCH($A578,Table2[Steel Member],0),_xlfn.XMATCH(AA$2,Table2[#Headers],0))=0,"",INDEX(Table2[],_xlfn.XMATCH($A578,Table2[Steel Member],0),_xlfn.XMATCH(AA$2,Table2[#Headers],0)))</f>
        <v>#N/A</v>
      </c>
      <c r="AB578" s="4" t="e" cm="1">
        <f t="array" ref="AB578">IF(INDEX(Table2[],_xlfn.XMATCH($A578,Table2[Steel Member],0),_xlfn.XMATCH(AB$2,Table2[#Headers],0))=0,"",INDEX(Table2[],_xlfn.XMATCH($A578,Table2[Steel Member],0),_xlfn.XMATCH(AB$2,Table2[#Headers],0)))</f>
        <v>#N/A</v>
      </c>
      <c r="AC578" s="4" t="str" cm="1">
        <f t="array" ref="AC578">IFERROR(INDEX(Table8[],_xlfn.XMATCH($O578,Table8[Dimension Name Category],0),_xlfn.XMATCH(AC$2&amp;IF($L578," w/ tag"," w/o tag"),Table8[#Headers],0)),"")</f>
        <v/>
      </c>
      <c r="AD578" s="59" t="str">
        <f t="shared" si="141"/>
        <v/>
      </c>
      <c r="AE578" s="4" t="str">
        <f t="shared" si="142"/>
        <v/>
      </c>
      <c r="AF578" s="4" t="str">
        <f t="shared" si="143"/>
        <v/>
      </c>
      <c r="AG578" s="4" t="str" cm="1">
        <f t="array" ref="AG578">IFERROR(INDEX(Table8[],_xlfn.XMATCH($O578,Table8[Dimension Name Category],0),_xlfn.XMATCH(AG$2&amp;IF($L578," w/ tag"," w/o tag"),Table8[#Headers],0)),"")</f>
        <v/>
      </c>
      <c r="AH578" s="59" t="str">
        <f t="shared" si="144"/>
        <v/>
      </c>
      <c r="AI578" s="4"/>
      <c r="AJ578" s="4" t="str">
        <f t="shared" si="145"/>
        <v/>
      </c>
      <c r="AK578" s="4" t="str">
        <f t="shared" si="146"/>
        <v/>
      </c>
      <c r="AL578" s="4" t="e" cm="1">
        <f t="array" ref="AL578">IF(INDEX(Table2[],_xlfn.XMATCH($A578,Table2[Steel Member],0),_xlfn.XMATCH(AL$2,Table2[#Headers],0))=0,"",INDEX(Table2[],_xlfn.XMATCH($A578,Table2[Steel Member],0),_xlfn.XMATCH(AL$2,Table2[#Headers],0)))</f>
        <v>#N/A</v>
      </c>
      <c r="AM578" s="4"/>
      <c r="AN578" s="4" t="str">
        <f t="shared" si="147"/>
        <v/>
      </c>
      <c r="AO578" s="4"/>
      <c r="AP578" s="4" t="e" cm="1">
        <f t="array" ref="AP578">IF(INDEX(Table2[],_xlfn.XMATCH($A578,Table2[Steel Member],0),_xlfn.XMATCH(AP$2,Table2[#Headers],0))=0,"",INDEX(Table2[],_xlfn.XMATCH($A578,Table2[Steel Member],0),_xlfn.XMATCH(AP$2,Table2[#Headers],0)))</f>
        <v>#N/A</v>
      </c>
      <c r="AQ578" s="4"/>
      <c r="AR578" s="4"/>
      <c r="AS578" s="4"/>
      <c r="AT578" s="4"/>
    </row>
    <row r="579" spans="1:46" x14ac:dyDescent="0.25">
      <c r="A579" s="52"/>
      <c r="B579" s="52"/>
      <c r="C579" s="52"/>
      <c r="D579" s="52"/>
      <c r="E579" s="52"/>
      <c r="F579" s="64" cm="1">
        <f t="array" ref="F579">IF(COUNT(FIND(PurlinsxGirthsxBracings,$C579))&gt;0,0,ROUNDUP(IF(D579=0,0,VLOOKUP(D579,'DATA SHEET'!$B:$D,2,FALSE)),2))</f>
        <v>0</v>
      </c>
      <c r="G579" s="64" cm="1">
        <f t="array" ref="G579">IF(COUNT(FIND(PurlinsxGirthsxBracings,$C579))&gt;0,0,ROUNDUP(IF(D579=0,0,VLOOKUP(D579,'DATA SHEET'!$B:$D,3,FALSE)),2))</f>
        <v>0</v>
      </c>
      <c r="H579" s="53"/>
      <c r="I579" s="66" cm="1">
        <f t="array" ref="I579">IF(AND(ISBLANK(B579),ISBLANK(C579),ISBLANK(E579)),0,IF(COUNT(FIND(PurlinsxGirthsxBracings,$C579))&gt;0,IF(B579=0,CONCATENATE(E579," ",C579),CONCATENATE(B579," - ",E579," ",C579)),IF(B579=0,IF(ISBLANK(C579),E579,CONCATENATE(D579,", ",F579,"kg/m, ",G579,"mm surface perimeter")),IF(AND(ISBLANK(C579),ISTEXT(E579)),CONCATENATE(B579," - ",E579),IF(AND(ISBLANK(C579),ISBLANK(E579)),B579,CONCATENATE(B579," - ",D579,", ",F579,"kg/m, ",G579,"mm surface perimeter"))))&amp;IF(ISBLANK(H579),"",H579)))</f>
        <v>0</v>
      </c>
      <c r="J579" s="53"/>
      <c r="L579" s="4" t="str" cm="1">
        <f t="array" ref="L579">IF(COUNT(FIND({0,1,2,3,4,5,6,7,8,9},B579))&gt;0,COUNT(FIND({0,1,2,3,4,5,6,7,8,9},B579))&gt;0,"")</f>
        <v/>
      </c>
      <c r="M579" s="4" t="str" cm="1">
        <f t="array" aca="1" ref="M579" ca="1">IFERROR(_xlfn.IFS(R579="Count",RANDBETWEEN(1,COUNTIF($R$11:$R$653,"Count")),R579="Length",RANDBETWEEN(1,COUNTIF($R$11:$R$653,"Length"))),"")</f>
        <v/>
      </c>
      <c r="N579" s="4" t="str">
        <f ca="1">IFERROR(_xlfn.RANK.EQ(M579,$M$11:$M$653)+COUNTIF($M$11:M579,M579)-1,"")</f>
        <v/>
      </c>
      <c r="O579" s="86" t="str">
        <f>IF(A579='DATA SHEET'!$L$36,C579,IFERROR(IF(AND(ISTEXT(I579),ISBLANK(C579)),"No details",VLOOKUP(C579,DimFolder,2,FALSE)),""))</f>
        <v/>
      </c>
      <c r="P579" s="4" t="str">
        <f t="shared" si="137"/>
        <v/>
      </c>
      <c r="Q579" s="58" t="str">
        <f t="shared" si="148"/>
        <v/>
      </c>
      <c r="R579" s="4" t="e" cm="1">
        <f t="array" ref="R579">IF(INDEX(Table2[],_xlfn.XMATCH($A579,Table2[Steel Member],0),_xlfn.XMATCH(R$2,Table2[#Headers],0))=0,"",INDEX(Table2[],_xlfn.XMATCH($A579,Table2[Steel Member],0),_xlfn.XMATCH(R$2,Table2[#Headers],0)))</f>
        <v>#N/A</v>
      </c>
      <c r="S579" s="4" t="e" cm="1">
        <f t="array" ref="S579">IF(INDEX(Table2[],_xlfn.XMATCH($A579,Table2[Steel Member],0),_xlfn.XMATCH(S$2,Table2[#Headers],0))=0,"",INDEX(Table2[],_xlfn.XMATCH($A579,Table2[Steel Member],0),_xlfn.XMATCH(S$2,Table2[#Headers],0)))</f>
        <v>#N/A</v>
      </c>
      <c r="T579" s="4" t="str">
        <f t="shared" si="139"/>
        <v/>
      </c>
      <c r="U579" s="4" t="e">
        <f ca="1">VLOOKUP(N579,'COLOR CODE'!$B:$D,2,FALSE)</f>
        <v>#N/A</v>
      </c>
      <c r="V579" s="4" t="str">
        <f t="shared" si="140"/>
        <v/>
      </c>
      <c r="W579" s="4" t="e" cm="1">
        <f t="array" ref="W579">IF(INDEX(Table2[],_xlfn.XMATCH($A579,Table2[Steel Member],0),_xlfn.XMATCH(W$2,Table2[#Headers],0))=0,"",INDEX(Table2[],_xlfn.XMATCH($A579,Table2[Steel Member],0),_xlfn.XMATCH(W$2,Table2[#Headers],0)))</f>
        <v>#N/A</v>
      </c>
      <c r="X579" s="4" t="e">
        <f t="shared" si="138"/>
        <v>#N/A</v>
      </c>
      <c r="Y579" s="4" t="e" cm="1">
        <f t="array" ref="Y579">IF(INDEX(Table2[],_xlfn.XMATCH($A579,Table2[Steel Member],0),_xlfn.XMATCH(Y$2,Table2[#Headers],0))=0,"",INDEX(Table2[],_xlfn.XMATCH($A579,Table2[Steel Member],0),_xlfn.XMATCH(Y$2,Table2[#Headers],0)))</f>
        <v>#N/A</v>
      </c>
      <c r="Z579" s="4" t="e" cm="1">
        <f t="array" ref="Z579">IF(INDEX(Table2[],_xlfn.XMATCH($A579,Table2[Steel Member],0),_xlfn.XMATCH(Z$2,Table2[#Headers],0))=0,"",INDEX(Table2[],_xlfn.XMATCH($A579,Table2[Steel Member],0),_xlfn.XMATCH(Z$2,Table2[#Headers],0)))</f>
        <v>#N/A</v>
      </c>
      <c r="AA579" s="4" t="e" cm="1">
        <f t="array" ref="AA579">IF(INDEX(Table2[],_xlfn.XMATCH($A579,Table2[Steel Member],0),_xlfn.XMATCH(AA$2,Table2[#Headers],0))=0,"",INDEX(Table2[],_xlfn.XMATCH($A579,Table2[Steel Member],0),_xlfn.XMATCH(AA$2,Table2[#Headers],0)))</f>
        <v>#N/A</v>
      </c>
      <c r="AB579" s="4" t="e" cm="1">
        <f t="array" ref="AB579">IF(INDEX(Table2[],_xlfn.XMATCH($A579,Table2[Steel Member],0),_xlfn.XMATCH(AB$2,Table2[#Headers],0))=0,"",INDEX(Table2[],_xlfn.XMATCH($A579,Table2[Steel Member],0),_xlfn.XMATCH(AB$2,Table2[#Headers],0)))</f>
        <v>#N/A</v>
      </c>
      <c r="AC579" s="4" t="str" cm="1">
        <f t="array" ref="AC579">IFERROR(INDEX(Table8[],_xlfn.XMATCH($O579,Table8[Dimension Name Category],0),_xlfn.XMATCH(AC$2&amp;IF($L579," w/ tag"," w/o tag"),Table8[#Headers],0)),"")</f>
        <v/>
      </c>
      <c r="AD579" s="59" t="str">
        <f t="shared" si="141"/>
        <v/>
      </c>
      <c r="AE579" s="4" t="str">
        <f t="shared" si="142"/>
        <v/>
      </c>
      <c r="AF579" s="4" t="str">
        <f t="shared" si="143"/>
        <v/>
      </c>
      <c r="AG579" s="4" t="str" cm="1">
        <f t="array" ref="AG579">IFERROR(INDEX(Table8[],_xlfn.XMATCH($O579,Table8[Dimension Name Category],0),_xlfn.XMATCH(AG$2&amp;IF($L579," w/ tag"," w/o tag"),Table8[#Headers],0)),"")</f>
        <v/>
      </c>
      <c r="AH579" s="59" t="str">
        <f t="shared" si="144"/>
        <v/>
      </c>
      <c r="AI579" s="4"/>
      <c r="AJ579" s="4" t="str">
        <f t="shared" si="145"/>
        <v/>
      </c>
      <c r="AK579" s="4" t="str">
        <f t="shared" si="146"/>
        <v/>
      </c>
      <c r="AL579" s="4" t="e" cm="1">
        <f t="array" ref="AL579">IF(INDEX(Table2[],_xlfn.XMATCH($A579,Table2[Steel Member],0),_xlfn.XMATCH(AL$2,Table2[#Headers],0))=0,"",INDEX(Table2[],_xlfn.XMATCH($A579,Table2[Steel Member],0),_xlfn.XMATCH(AL$2,Table2[#Headers],0)))</f>
        <v>#N/A</v>
      </c>
      <c r="AM579" s="4"/>
      <c r="AN579" s="4" t="str">
        <f t="shared" si="147"/>
        <v/>
      </c>
      <c r="AO579" s="4"/>
      <c r="AP579" s="4" t="e" cm="1">
        <f t="array" ref="AP579">IF(INDEX(Table2[],_xlfn.XMATCH($A579,Table2[Steel Member],0),_xlfn.XMATCH(AP$2,Table2[#Headers],0))=0,"",INDEX(Table2[],_xlfn.XMATCH($A579,Table2[Steel Member],0),_xlfn.XMATCH(AP$2,Table2[#Headers],0)))</f>
        <v>#N/A</v>
      </c>
      <c r="AQ579" s="4"/>
      <c r="AR579" s="4"/>
      <c r="AS579" s="4"/>
      <c r="AT579" s="4"/>
    </row>
    <row r="580" spans="1:46" x14ac:dyDescent="0.25">
      <c r="A580" s="52"/>
      <c r="B580" s="52"/>
      <c r="C580" s="52"/>
      <c r="D580" s="52"/>
      <c r="E580" s="52"/>
      <c r="F580" s="64" cm="1">
        <f t="array" ref="F580">IF(COUNT(FIND(PurlinsxGirthsxBracings,$C580))&gt;0,0,ROUNDUP(IF(D580=0,0,VLOOKUP(D580,'DATA SHEET'!$B:$D,2,FALSE)),2))</f>
        <v>0</v>
      </c>
      <c r="G580" s="64" cm="1">
        <f t="array" ref="G580">IF(COUNT(FIND(PurlinsxGirthsxBracings,$C580))&gt;0,0,ROUNDUP(IF(D580=0,0,VLOOKUP(D580,'DATA SHEET'!$B:$D,3,FALSE)),2))</f>
        <v>0</v>
      </c>
      <c r="H580" s="53"/>
      <c r="I580" s="66" cm="1">
        <f t="array" ref="I580">IF(AND(ISBLANK(B580),ISBLANK(C580),ISBLANK(E580)),0,IF(COUNT(FIND(PurlinsxGirthsxBracings,$C580))&gt;0,IF(B580=0,CONCATENATE(E580," ",C580),CONCATENATE(B580," - ",E580," ",C580)),IF(B580=0,IF(ISBLANK(C580),E580,CONCATENATE(D580,", ",F580,"kg/m, ",G580,"mm surface perimeter")),IF(AND(ISBLANK(C580),ISTEXT(E580)),CONCATENATE(B580," - ",E580),IF(AND(ISBLANK(C580),ISBLANK(E580)),B580,CONCATENATE(B580," - ",D580,", ",F580,"kg/m, ",G580,"mm surface perimeter"))))&amp;IF(ISBLANK(H580),"",H580)))</f>
        <v>0</v>
      </c>
      <c r="J580" s="53"/>
      <c r="L580" s="4" t="str" cm="1">
        <f t="array" ref="L580">IF(COUNT(FIND({0,1,2,3,4,5,6,7,8,9},B580))&gt;0,COUNT(FIND({0,1,2,3,4,5,6,7,8,9},B580))&gt;0,"")</f>
        <v/>
      </c>
      <c r="M580" s="4" t="str" cm="1">
        <f t="array" aca="1" ref="M580" ca="1">IFERROR(_xlfn.IFS(R580="Count",RANDBETWEEN(1,COUNTIF($R$11:$R$653,"Count")),R580="Length",RANDBETWEEN(1,COUNTIF($R$11:$R$653,"Length"))),"")</f>
        <v/>
      </c>
      <c r="N580" s="4" t="str">
        <f ca="1">IFERROR(_xlfn.RANK.EQ(M580,$M$11:$M$653)+COUNTIF($M$11:M580,M580)-1,"")</f>
        <v/>
      </c>
      <c r="O580" s="86" t="str">
        <f>IF(A580='DATA SHEET'!$L$36,C580,IFERROR(IF(AND(ISTEXT(I580),ISBLANK(C580)),"No details",VLOOKUP(C580,DimFolder,2,FALSE)),""))</f>
        <v/>
      </c>
      <c r="P580" s="4" t="str">
        <f t="shared" si="137"/>
        <v/>
      </c>
      <c r="Q580" s="58" t="str">
        <f t="shared" si="148"/>
        <v/>
      </c>
      <c r="R580" s="4" t="e" cm="1">
        <f t="array" ref="R580">IF(INDEX(Table2[],_xlfn.XMATCH($A580,Table2[Steel Member],0),_xlfn.XMATCH(R$2,Table2[#Headers],0))=0,"",INDEX(Table2[],_xlfn.XMATCH($A580,Table2[Steel Member],0),_xlfn.XMATCH(R$2,Table2[#Headers],0)))</f>
        <v>#N/A</v>
      </c>
      <c r="S580" s="4" t="e" cm="1">
        <f t="array" ref="S580">IF(INDEX(Table2[],_xlfn.XMATCH($A580,Table2[Steel Member],0),_xlfn.XMATCH(S$2,Table2[#Headers],0))=0,"",INDEX(Table2[],_xlfn.XMATCH($A580,Table2[Steel Member],0),_xlfn.XMATCH(S$2,Table2[#Headers],0)))</f>
        <v>#N/A</v>
      </c>
      <c r="T580" s="4" t="str">
        <f t="shared" si="139"/>
        <v/>
      </c>
      <c r="U580" s="4" t="e">
        <f ca="1">VLOOKUP(N580,'COLOR CODE'!$B:$D,2,FALSE)</f>
        <v>#N/A</v>
      </c>
      <c r="V580" s="4" t="str">
        <f t="shared" si="140"/>
        <v/>
      </c>
      <c r="W580" s="4" t="e" cm="1">
        <f t="array" ref="W580">IF(INDEX(Table2[],_xlfn.XMATCH($A580,Table2[Steel Member],0),_xlfn.XMATCH(W$2,Table2[#Headers],0))=0,"",INDEX(Table2[],_xlfn.XMATCH($A580,Table2[Steel Member],0),_xlfn.XMATCH(W$2,Table2[#Headers],0)))</f>
        <v>#N/A</v>
      </c>
      <c r="X580" s="4" t="e">
        <f t="shared" si="138"/>
        <v>#N/A</v>
      </c>
      <c r="Y580" s="4" t="e" cm="1">
        <f t="array" ref="Y580">IF(INDEX(Table2[],_xlfn.XMATCH($A580,Table2[Steel Member],0),_xlfn.XMATCH(Y$2,Table2[#Headers],0))=0,"",INDEX(Table2[],_xlfn.XMATCH($A580,Table2[Steel Member],0),_xlfn.XMATCH(Y$2,Table2[#Headers],0)))</f>
        <v>#N/A</v>
      </c>
      <c r="Z580" s="4" t="e" cm="1">
        <f t="array" ref="Z580">IF(INDEX(Table2[],_xlfn.XMATCH($A580,Table2[Steel Member],0),_xlfn.XMATCH(Z$2,Table2[#Headers],0))=0,"",INDEX(Table2[],_xlfn.XMATCH($A580,Table2[Steel Member],0),_xlfn.XMATCH(Z$2,Table2[#Headers],0)))</f>
        <v>#N/A</v>
      </c>
      <c r="AA580" s="4" t="e" cm="1">
        <f t="array" ref="AA580">IF(INDEX(Table2[],_xlfn.XMATCH($A580,Table2[Steel Member],0),_xlfn.XMATCH(AA$2,Table2[#Headers],0))=0,"",INDEX(Table2[],_xlfn.XMATCH($A580,Table2[Steel Member],0),_xlfn.XMATCH(AA$2,Table2[#Headers],0)))</f>
        <v>#N/A</v>
      </c>
      <c r="AB580" s="4" t="e" cm="1">
        <f t="array" ref="AB580">IF(INDEX(Table2[],_xlfn.XMATCH($A580,Table2[Steel Member],0),_xlfn.XMATCH(AB$2,Table2[#Headers],0))=0,"",INDEX(Table2[],_xlfn.XMATCH($A580,Table2[Steel Member],0),_xlfn.XMATCH(AB$2,Table2[#Headers],0)))</f>
        <v>#N/A</v>
      </c>
      <c r="AC580" s="4" t="str" cm="1">
        <f t="array" ref="AC580">IFERROR(INDEX(Table8[],_xlfn.XMATCH($O580,Table8[Dimension Name Category],0),_xlfn.XMATCH(AC$2&amp;IF($L580," w/ tag"," w/o tag"),Table8[#Headers],0)),"")</f>
        <v/>
      </c>
      <c r="AD580" s="59" t="str">
        <f t="shared" si="141"/>
        <v/>
      </c>
      <c r="AE580" s="4" t="str">
        <f t="shared" si="142"/>
        <v/>
      </c>
      <c r="AF580" s="4" t="str">
        <f t="shared" si="143"/>
        <v/>
      </c>
      <c r="AG580" s="4" t="str" cm="1">
        <f t="array" ref="AG580">IFERROR(INDEX(Table8[],_xlfn.XMATCH($O580,Table8[Dimension Name Category],0),_xlfn.XMATCH(AG$2&amp;IF($L580," w/ tag"," w/o tag"),Table8[#Headers],0)),"")</f>
        <v/>
      </c>
      <c r="AH580" s="59" t="str">
        <f t="shared" si="144"/>
        <v/>
      </c>
      <c r="AI580" s="4"/>
      <c r="AJ580" s="4" t="str">
        <f t="shared" si="145"/>
        <v/>
      </c>
      <c r="AK580" s="4" t="str">
        <f t="shared" si="146"/>
        <v/>
      </c>
      <c r="AL580" s="4" t="e" cm="1">
        <f t="array" ref="AL580">IF(INDEX(Table2[],_xlfn.XMATCH($A580,Table2[Steel Member],0),_xlfn.XMATCH(AL$2,Table2[#Headers],0))=0,"",INDEX(Table2[],_xlfn.XMATCH($A580,Table2[Steel Member],0),_xlfn.XMATCH(AL$2,Table2[#Headers],0)))</f>
        <v>#N/A</v>
      </c>
      <c r="AM580" s="4"/>
      <c r="AN580" s="4" t="str">
        <f t="shared" si="147"/>
        <v/>
      </c>
      <c r="AO580" s="4"/>
      <c r="AP580" s="4" t="e" cm="1">
        <f t="array" ref="AP580">IF(INDEX(Table2[],_xlfn.XMATCH($A580,Table2[Steel Member],0),_xlfn.XMATCH(AP$2,Table2[#Headers],0))=0,"",INDEX(Table2[],_xlfn.XMATCH($A580,Table2[Steel Member],0),_xlfn.XMATCH(AP$2,Table2[#Headers],0)))</f>
        <v>#N/A</v>
      </c>
      <c r="AQ580" s="4"/>
      <c r="AR580" s="4"/>
      <c r="AS580" s="4"/>
      <c r="AT580" s="4"/>
    </row>
    <row r="581" spans="1:46" x14ac:dyDescent="0.25">
      <c r="A581" s="52"/>
      <c r="B581" s="52"/>
      <c r="C581" s="52"/>
      <c r="D581" s="52"/>
      <c r="E581" s="52"/>
      <c r="F581" s="64" cm="1">
        <f t="array" ref="F581">IF(COUNT(FIND(PurlinsxGirthsxBracings,$C581))&gt;0,0,ROUNDUP(IF(D581=0,0,VLOOKUP(D581,'DATA SHEET'!$B:$D,2,FALSE)),2))</f>
        <v>0</v>
      </c>
      <c r="G581" s="64" cm="1">
        <f t="array" ref="G581">IF(COUNT(FIND(PurlinsxGirthsxBracings,$C581))&gt;0,0,ROUNDUP(IF(D581=0,0,VLOOKUP(D581,'DATA SHEET'!$B:$D,3,FALSE)),2))</f>
        <v>0</v>
      </c>
      <c r="H581" s="53"/>
      <c r="I581" s="66" cm="1">
        <f t="array" ref="I581">IF(AND(ISBLANK(B581),ISBLANK(C581),ISBLANK(E581)),0,IF(COUNT(FIND(PurlinsxGirthsxBracings,$C581))&gt;0,IF(B581=0,CONCATENATE(E581," ",C581),CONCATENATE(B581," - ",E581," ",C581)),IF(B581=0,IF(ISBLANK(C581),E581,CONCATENATE(D581,", ",F581,"kg/m, ",G581,"mm surface perimeter")),IF(AND(ISBLANK(C581),ISTEXT(E581)),CONCATENATE(B581," - ",E581),IF(AND(ISBLANK(C581),ISBLANK(E581)),B581,CONCATENATE(B581," - ",D581,", ",F581,"kg/m, ",G581,"mm surface perimeter"))))&amp;IF(ISBLANK(H581),"",H581)))</f>
        <v>0</v>
      </c>
      <c r="J581" s="53"/>
      <c r="L581" s="4" t="str" cm="1">
        <f t="array" ref="L581">IF(COUNT(FIND({0,1,2,3,4,5,6,7,8,9},B581))&gt;0,COUNT(FIND({0,1,2,3,4,5,6,7,8,9},B581))&gt;0,"")</f>
        <v/>
      </c>
      <c r="M581" s="4" t="str" cm="1">
        <f t="array" aca="1" ref="M581" ca="1">IFERROR(_xlfn.IFS(R581="Count",RANDBETWEEN(1,COUNTIF($R$11:$R$653,"Count")),R581="Length",RANDBETWEEN(1,COUNTIF($R$11:$R$653,"Length"))),"")</f>
        <v/>
      </c>
      <c r="N581" s="4" t="str">
        <f ca="1">IFERROR(_xlfn.RANK.EQ(M581,$M$11:$M$653)+COUNTIF($M$11:M581,M581)-1,"")</f>
        <v/>
      </c>
      <c r="O581" s="86" t="str">
        <f>IF(A581='DATA SHEET'!$L$36,C581,IFERROR(IF(AND(ISTEXT(I581),ISBLANK(C581)),"No details",VLOOKUP(C581,DimFolder,2,FALSE)),""))</f>
        <v/>
      </c>
      <c r="P581" s="4" t="str">
        <f t="shared" si="137"/>
        <v/>
      </c>
      <c r="Q581" s="58" t="str">
        <f t="shared" si="148"/>
        <v/>
      </c>
      <c r="R581" s="4" t="e" cm="1">
        <f t="array" ref="R581">IF(INDEX(Table2[],_xlfn.XMATCH($A581,Table2[Steel Member],0),_xlfn.XMATCH(R$2,Table2[#Headers],0))=0,"",INDEX(Table2[],_xlfn.XMATCH($A581,Table2[Steel Member],0),_xlfn.XMATCH(R$2,Table2[#Headers],0)))</f>
        <v>#N/A</v>
      </c>
      <c r="S581" s="4" t="e" cm="1">
        <f t="array" ref="S581">IF(INDEX(Table2[],_xlfn.XMATCH($A581,Table2[Steel Member],0),_xlfn.XMATCH(S$2,Table2[#Headers],0))=0,"",INDEX(Table2[],_xlfn.XMATCH($A581,Table2[Steel Member],0),_xlfn.XMATCH(S$2,Table2[#Headers],0)))</f>
        <v>#N/A</v>
      </c>
      <c r="T581" s="4" t="str">
        <f t="shared" si="139"/>
        <v/>
      </c>
      <c r="U581" s="4" t="e">
        <f ca="1">VLOOKUP(N581,'COLOR CODE'!$B:$D,2,FALSE)</f>
        <v>#N/A</v>
      </c>
      <c r="V581" s="4" t="str">
        <f t="shared" si="140"/>
        <v/>
      </c>
      <c r="W581" s="4" t="e" cm="1">
        <f t="array" ref="W581">IF(INDEX(Table2[],_xlfn.XMATCH($A581,Table2[Steel Member],0),_xlfn.XMATCH(W$2,Table2[#Headers],0))=0,"",INDEX(Table2[],_xlfn.XMATCH($A581,Table2[Steel Member],0),_xlfn.XMATCH(W$2,Table2[#Headers],0)))</f>
        <v>#N/A</v>
      </c>
      <c r="X581" s="4" t="e">
        <f t="shared" si="138"/>
        <v>#N/A</v>
      </c>
      <c r="Y581" s="4" t="e" cm="1">
        <f t="array" ref="Y581">IF(INDEX(Table2[],_xlfn.XMATCH($A581,Table2[Steel Member],0),_xlfn.XMATCH(Y$2,Table2[#Headers],0))=0,"",INDEX(Table2[],_xlfn.XMATCH($A581,Table2[Steel Member],0),_xlfn.XMATCH(Y$2,Table2[#Headers],0)))</f>
        <v>#N/A</v>
      </c>
      <c r="Z581" s="4" t="e" cm="1">
        <f t="array" ref="Z581">IF(INDEX(Table2[],_xlfn.XMATCH($A581,Table2[Steel Member],0),_xlfn.XMATCH(Z$2,Table2[#Headers],0))=0,"",INDEX(Table2[],_xlfn.XMATCH($A581,Table2[Steel Member],0),_xlfn.XMATCH(Z$2,Table2[#Headers],0)))</f>
        <v>#N/A</v>
      </c>
      <c r="AA581" s="4" t="e" cm="1">
        <f t="array" ref="AA581">IF(INDEX(Table2[],_xlfn.XMATCH($A581,Table2[Steel Member],0),_xlfn.XMATCH(AA$2,Table2[#Headers],0))=0,"",INDEX(Table2[],_xlfn.XMATCH($A581,Table2[Steel Member],0),_xlfn.XMATCH(AA$2,Table2[#Headers],0)))</f>
        <v>#N/A</v>
      </c>
      <c r="AB581" s="4" t="e" cm="1">
        <f t="array" ref="AB581">IF(INDEX(Table2[],_xlfn.XMATCH($A581,Table2[Steel Member],0),_xlfn.XMATCH(AB$2,Table2[#Headers],0))=0,"",INDEX(Table2[],_xlfn.XMATCH($A581,Table2[Steel Member],0),_xlfn.XMATCH(AB$2,Table2[#Headers],0)))</f>
        <v>#N/A</v>
      </c>
      <c r="AC581" s="4" t="str" cm="1">
        <f t="array" ref="AC581">IFERROR(INDEX(Table8[],_xlfn.XMATCH($O581,Table8[Dimension Name Category],0),_xlfn.XMATCH(AC$2&amp;IF($L581," w/ tag"," w/o tag"),Table8[#Headers],0)),"")</f>
        <v/>
      </c>
      <c r="AD581" s="59" t="str">
        <f t="shared" si="141"/>
        <v/>
      </c>
      <c r="AE581" s="4" t="str">
        <f t="shared" si="142"/>
        <v/>
      </c>
      <c r="AF581" s="4" t="str">
        <f t="shared" si="143"/>
        <v/>
      </c>
      <c r="AG581" s="4" t="str" cm="1">
        <f t="array" ref="AG581">IFERROR(INDEX(Table8[],_xlfn.XMATCH($O581,Table8[Dimension Name Category],0),_xlfn.XMATCH(AG$2&amp;IF($L581," w/ tag"," w/o tag"),Table8[#Headers],0)),"")</f>
        <v/>
      </c>
      <c r="AH581" s="59" t="str">
        <f t="shared" si="144"/>
        <v/>
      </c>
      <c r="AI581" s="4"/>
      <c r="AJ581" s="4" t="str">
        <f t="shared" si="145"/>
        <v/>
      </c>
      <c r="AK581" s="4" t="str">
        <f t="shared" si="146"/>
        <v/>
      </c>
      <c r="AL581" s="4" t="e" cm="1">
        <f t="array" ref="AL581">IF(INDEX(Table2[],_xlfn.XMATCH($A581,Table2[Steel Member],0),_xlfn.XMATCH(AL$2,Table2[#Headers],0))=0,"",INDEX(Table2[],_xlfn.XMATCH($A581,Table2[Steel Member],0),_xlfn.XMATCH(AL$2,Table2[#Headers],0)))</f>
        <v>#N/A</v>
      </c>
      <c r="AM581" s="4"/>
      <c r="AN581" s="4" t="str">
        <f t="shared" si="147"/>
        <v/>
      </c>
      <c r="AO581" s="4"/>
      <c r="AP581" s="4" t="e" cm="1">
        <f t="array" ref="AP581">IF(INDEX(Table2[],_xlfn.XMATCH($A581,Table2[Steel Member],0),_xlfn.XMATCH(AP$2,Table2[#Headers],0))=0,"",INDEX(Table2[],_xlfn.XMATCH($A581,Table2[Steel Member],0),_xlfn.XMATCH(AP$2,Table2[#Headers],0)))</f>
        <v>#N/A</v>
      </c>
      <c r="AQ581" s="4"/>
      <c r="AR581" s="4"/>
      <c r="AS581" s="4"/>
      <c r="AT581" s="4"/>
    </row>
    <row r="582" spans="1:46" x14ac:dyDescent="0.25">
      <c r="A582" s="52"/>
      <c r="B582" s="52"/>
      <c r="C582" s="52"/>
      <c r="D582" s="52"/>
      <c r="E582" s="52"/>
      <c r="F582" s="64" cm="1">
        <f t="array" ref="F582">IF(COUNT(FIND(PurlinsxGirthsxBracings,$C582))&gt;0,0,ROUNDUP(IF(D582=0,0,VLOOKUP(D582,'DATA SHEET'!$B:$D,2,FALSE)),2))</f>
        <v>0</v>
      </c>
      <c r="G582" s="64" cm="1">
        <f t="array" ref="G582">IF(COUNT(FIND(PurlinsxGirthsxBracings,$C582))&gt;0,0,ROUNDUP(IF(D582=0,0,VLOOKUP(D582,'DATA SHEET'!$B:$D,3,FALSE)),2))</f>
        <v>0</v>
      </c>
      <c r="H582" s="53"/>
      <c r="I582" s="66" cm="1">
        <f t="array" ref="I582">IF(AND(ISBLANK(B582),ISBLANK(C582),ISBLANK(E582)),0,IF(COUNT(FIND(PurlinsxGirthsxBracings,$C582))&gt;0,IF(B582=0,CONCATENATE(E582," ",C582),CONCATENATE(B582," - ",E582," ",C582)),IF(B582=0,IF(ISBLANK(C582),E582,CONCATENATE(D582,", ",F582,"kg/m, ",G582,"mm surface perimeter")),IF(AND(ISBLANK(C582),ISTEXT(E582)),CONCATENATE(B582," - ",E582),IF(AND(ISBLANK(C582),ISBLANK(E582)),B582,CONCATENATE(B582," - ",D582,", ",F582,"kg/m, ",G582,"mm surface perimeter"))))&amp;IF(ISBLANK(H582),"",H582)))</f>
        <v>0</v>
      </c>
      <c r="J582" s="53"/>
      <c r="L582" s="4" t="str" cm="1">
        <f t="array" ref="L582">IF(COUNT(FIND({0,1,2,3,4,5,6,7,8,9},B582))&gt;0,COUNT(FIND({0,1,2,3,4,5,6,7,8,9},B582))&gt;0,"")</f>
        <v/>
      </c>
      <c r="M582" s="4" t="str" cm="1">
        <f t="array" aca="1" ref="M582" ca="1">IFERROR(_xlfn.IFS(R582="Count",RANDBETWEEN(1,COUNTIF($R$11:$R$653,"Count")),R582="Length",RANDBETWEEN(1,COUNTIF($R$11:$R$653,"Length"))),"")</f>
        <v/>
      </c>
      <c r="N582" s="4" t="str">
        <f ca="1">IFERROR(_xlfn.RANK.EQ(M582,$M$11:$M$653)+COUNTIF($M$11:M582,M582)-1,"")</f>
        <v/>
      </c>
      <c r="O582" s="86" t="str">
        <f>IF(A582='DATA SHEET'!$L$36,C582,IFERROR(IF(AND(ISTEXT(I582),ISBLANK(C582)),"No details",VLOOKUP(C582,DimFolder,2,FALSE)),""))</f>
        <v/>
      </c>
      <c r="P582" s="4" t="str">
        <f t="shared" si="137"/>
        <v/>
      </c>
      <c r="Q582" s="58" t="str">
        <f t="shared" si="148"/>
        <v/>
      </c>
      <c r="R582" s="4" t="e" cm="1">
        <f t="array" ref="R582">IF(INDEX(Table2[],_xlfn.XMATCH($A582,Table2[Steel Member],0),_xlfn.XMATCH(R$2,Table2[#Headers],0))=0,"",INDEX(Table2[],_xlfn.XMATCH($A582,Table2[Steel Member],0),_xlfn.XMATCH(R$2,Table2[#Headers],0)))</f>
        <v>#N/A</v>
      </c>
      <c r="S582" s="4" t="e" cm="1">
        <f t="array" ref="S582">IF(INDEX(Table2[],_xlfn.XMATCH($A582,Table2[Steel Member],0),_xlfn.XMATCH(S$2,Table2[#Headers],0))=0,"",INDEX(Table2[],_xlfn.XMATCH($A582,Table2[Steel Member],0),_xlfn.XMATCH(S$2,Table2[#Headers],0)))</f>
        <v>#N/A</v>
      </c>
      <c r="T582" s="4" t="str">
        <f t="shared" si="139"/>
        <v/>
      </c>
      <c r="U582" s="4" t="e">
        <f ca="1">VLOOKUP(N582,'COLOR CODE'!$B:$D,2,FALSE)</f>
        <v>#N/A</v>
      </c>
      <c r="V582" s="4" t="str">
        <f t="shared" si="140"/>
        <v/>
      </c>
      <c r="W582" s="4" t="e" cm="1">
        <f t="array" ref="W582">IF(INDEX(Table2[],_xlfn.XMATCH($A582,Table2[Steel Member],0),_xlfn.XMATCH(W$2,Table2[#Headers],0))=0,"",INDEX(Table2[],_xlfn.XMATCH($A582,Table2[Steel Member],0),_xlfn.XMATCH(W$2,Table2[#Headers],0)))</f>
        <v>#N/A</v>
      </c>
      <c r="X582" s="4" t="e">
        <f t="shared" si="138"/>
        <v>#N/A</v>
      </c>
      <c r="Y582" s="4" t="e" cm="1">
        <f t="array" ref="Y582">IF(INDEX(Table2[],_xlfn.XMATCH($A582,Table2[Steel Member],0),_xlfn.XMATCH(Y$2,Table2[#Headers],0))=0,"",INDEX(Table2[],_xlfn.XMATCH($A582,Table2[Steel Member],0),_xlfn.XMATCH(Y$2,Table2[#Headers],0)))</f>
        <v>#N/A</v>
      </c>
      <c r="Z582" s="4" t="e" cm="1">
        <f t="array" ref="Z582">IF(INDEX(Table2[],_xlfn.XMATCH($A582,Table2[Steel Member],0),_xlfn.XMATCH(Z$2,Table2[#Headers],0))=0,"",INDEX(Table2[],_xlfn.XMATCH($A582,Table2[Steel Member],0),_xlfn.XMATCH(Z$2,Table2[#Headers],0)))</f>
        <v>#N/A</v>
      </c>
      <c r="AA582" s="4" t="e" cm="1">
        <f t="array" ref="AA582">IF(INDEX(Table2[],_xlfn.XMATCH($A582,Table2[Steel Member],0),_xlfn.XMATCH(AA$2,Table2[#Headers],0))=0,"",INDEX(Table2[],_xlfn.XMATCH($A582,Table2[Steel Member],0),_xlfn.XMATCH(AA$2,Table2[#Headers],0)))</f>
        <v>#N/A</v>
      </c>
      <c r="AB582" s="4" t="e" cm="1">
        <f t="array" ref="AB582">IF(INDEX(Table2[],_xlfn.XMATCH($A582,Table2[Steel Member],0),_xlfn.XMATCH(AB$2,Table2[#Headers],0))=0,"",INDEX(Table2[],_xlfn.XMATCH($A582,Table2[Steel Member],0),_xlfn.XMATCH(AB$2,Table2[#Headers],0)))</f>
        <v>#N/A</v>
      </c>
      <c r="AC582" s="4" t="str" cm="1">
        <f t="array" ref="AC582">IFERROR(INDEX(Table8[],_xlfn.XMATCH($O582,Table8[Dimension Name Category],0),_xlfn.XMATCH(AC$2&amp;IF($L582," w/ tag"," w/o tag"),Table8[#Headers],0)),"")</f>
        <v/>
      </c>
      <c r="AD582" s="59" t="str">
        <f t="shared" si="141"/>
        <v/>
      </c>
      <c r="AE582" s="4" t="str">
        <f t="shared" si="142"/>
        <v/>
      </c>
      <c r="AF582" s="4" t="str">
        <f t="shared" si="143"/>
        <v/>
      </c>
      <c r="AG582" s="4" t="str" cm="1">
        <f t="array" ref="AG582">IFERROR(INDEX(Table8[],_xlfn.XMATCH($O582,Table8[Dimension Name Category],0),_xlfn.XMATCH(AG$2&amp;IF($L582," w/ tag"," w/o tag"),Table8[#Headers],0)),"")</f>
        <v/>
      </c>
      <c r="AH582" s="59" t="str">
        <f t="shared" si="144"/>
        <v/>
      </c>
      <c r="AI582" s="4"/>
      <c r="AJ582" s="4" t="str">
        <f t="shared" si="145"/>
        <v/>
      </c>
      <c r="AK582" s="4" t="str">
        <f t="shared" si="146"/>
        <v/>
      </c>
      <c r="AL582" s="4" t="e" cm="1">
        <f t="array" ref="AL582">IF(INDEX(Table2[],_xlfn.XMATCH($A582,Table2[Steel Member],0),_xlfn.XMATCH(AL$2,Table2[#Headers],0))=0,"",INDEX(Table2[],_xlfn.XMATCH($A582,Table2[Steel Member],0),_xlfn.XMATCH(AL$2,Table2[#Headers],0)))</f>
        <v>#N/A</v>
      </c>
      <c r="AM582" s="4"/>
      <c r="AN582" s="4" t="str">
        <f t="shared" si="147"/>
        <v/>
      </c>
      <c r="AO582" s="4"/>
      <c r="AP582" s="4" t="e" cm="1">
        <f t="array" ref="AP582">IF(INDEX(Table2[],_xlfn.XMATCH($A582,Table2[Steel Member],0),_xlfn.XMATCH(AP$2,Table2[#Headers],0))=0,"",INDEX(Table2[],_xlfn.XMATCH($A582,Table2[Steel Member],0),_xlfn.XMATCH(AP$2,Table2[#Headers],0)))</f>
        <v>#N/A</v>
      </c>
      <c r="AQ582" s="4"/>
      <c r="AR582" s="4"/>
      <c r="AS582" s="4"/>
      <c r="AT582" s="4"/>
    </row>
    <row r="583" spans="1:46" x14ac:dyDescent="0.25">
      <c r="A583" s="52"/>
      <c r="B583" s="52"/>
      <c r="C583" s="52"/>
      <c r="D583" s="52"/>
      <c r="E583" s="52"/>
      <c r="F583" s="64" cm="1">
        <f t="array" ref="F583">IF(COUNT(FIND(PurlinsxGirthsxBracings,$C583))&gt;0,0,ROUNDUP(IF(D583=0,0,VLOOKUP(D583,'DATA SHEET'!$B:$D,2,FALSE)),2))</f>
        <v>0</v>
      </c>
      <c r="G583" s="64" cm="1">
        <f t="array" ref="G583">IF(COUNT(FIND(PurlinsxGirthsxBracings,$C583))&gt;0,0,ROUNDUP(IF(D583=0,0,VLOOKUP(D583,'DATA SHEET'!$B:$D,3,FALSE)),2))</f>
        <v>0</v>
      </c>
      <c r="H583" s="53"/>
      <c r="I583" s="66" cm="1">
        <f t="array" ref="I583">IF(AND(ISBLANK(B583),ISBLANK(C583),ISBLANK(E583)),0,IF(COUNT(FIND(PurlinsxGirthsxBracings,$C583))&gt;0,IF(B583=0,CONCATENATE(E583," ",C583),CONCATENATE(B583," - ",E583," ",C583)),IF(B583=0,IF(ISBLANK(C583),E583,CONCATENATE(D583,", ",F583,"kg/m, ",G583,"mm surface perimeter")),IF(AND(ISBLANK(C583),ISTEXT(E583)),CONCATENATE(B583," - ",E583),IF(AND(ISBLANK(C583),ISBLANK(E583)),B583,CONCATENATE(B583," - ",D583,", ",F583,"kg/m, ",G583,"mm surface perimeter"))))&amp;IF(ISBLANK(H583),"",H583)))</f>
        <v>0</v>
      </c>
      <c r="J583" s="53"/>
      <c r="L583" s="4" t="str" cm="1">
        <f t="array" ref="L583">IF(COUNT(FIND({0,1,2,3,4,5,6,7,8,9},B583))&gt;0,COUNT(FIND({0,1,2,3,4,5,6,7,8,9},B583))&gt;0,"")</f>
        <v/>
      </c>
      <c r="M583" s="4" t="str" cm="1">
        <f t="array" aca="1" ref="M583" ca="1">IFERROR(_xlfn.IFS(R583="Count",RANDBETWEEN(1,COUNTIF($R$11:$R$653,"Count")),R583="Length",RANDBETWEEN(1,COUNTIF($R$11:$R$653,"Length"))),"")</f>
        <v/>
      </c>
      <c r="N583" s="4" t="str">
        <f ca="1">IFERROR(_xlfn.RANK.EQ(M583,$M$11:$M$653)+COUNTIF($M$11:M583,M583)-1,"")</f>
        <v/>
      </c>
      <c r="O583" s="86" t="str">
        <f>IF(A583='DATA SHEET'!$L$36,C583,IFERROR(IF(AND(ISTEXT(I583),ISBLANK(C583)),"No details",VLOOKUP(C583,DimFolder,2,FALSE)),""))</f>
        <v/>
      </c>
      <c r="P583" s="4" t="str">
        <f t="shared" si="137"/>
        <v/>
      </c>
      <c r="Q583" s="58" t="str">
        <f t="shared" si="148"/>
        <v/>
      </c>
      <c r="R583" s="4" t="e" cm="1">
        <f t="array" ref="R583">IF(INDEX(Table2[],_xlfn.XMATCH($A583,Table2[Steel Member],0),_xlfn.XMATCH(R$2,Table2[#Headers],0))=0,"",INDEX(Table2[],_xlfn.XMATCH($A583,Table2[Steel Member],0),_xlfn.XMATCH(R$2,Table2[#Headers],0)))</f>
        <v>#N/A</v>
      </c>
      <c r="S583" s="4" t="e" cm="1">
        <f t="array" ref="S583">IF(INDEX(Table2[],_xlfn.XMATCH($A583,Table2[Steel Member],0),_xlfn.XMATCH(S$2,Table2[#Headers],0))=0,"",INDEX(Table2[],_xlfn.XMATCH($A583,Table2[Steel Member],0),_xlfn.XMATCH(S$2,Table2[#Headers],0)))</f>
        <v>#N/A</v>
      </c>
      <c r="T583" s="4" t="str">
        <f t="shared" si="139"/>
        <v/>
      </c>
      <c r="U583" s="4" t="e">
        <f ca="1">VLOOKUP(N583,'COLOR CODE'!$B:$D,2,FALSE)</f>
        <v>#N/A</v>
      </c>
      <c r="V583" s="4" t="str">
        <f t="shared" si="140"/>
        <v/>
      </c>
      <c r="W583" s="4" t="e" cm="1">
        <f t="array" ref="W583">IF(INDEX(Table2[],_xlfn.XMATCH($A583,Table2[Steel Member],0),_xlfn.XMATCH(W$2,Table2[#Headers],0))=0,"",INDEX(Table2[],_xlfn.XMATCH($A583,Table2[Steel Member],0),_xlfn.XMATCH(W$2,Table2[#Headers],0)))</f>
        <v>#N/A</v>
      </c>
      <c r="X583" s="4" t="e">
        <f t="shared" si="138"/>
        <v>#N/A</v>
      </c>
      <c r="Y583" s="4" t="e" cm="1">
        <f t="array" ref="Y583">IF(INDEX(Table2[],_xlfn.XMATCH($A583,Table2[Steel Member],0),_xlfn.XMATCH(Y$2,Table2[#Headers],0))=0,"",INDEX(Table2[],_xlfn.XMATCH($A583,Table2[Steel Member],0),_xlfn.XMATCH(Y$2,Table2[#Headers],0)))</f>
        <v>#N/A</v>
      </c>
      <c r="Z583" s="4" t="e" cm="1">
        <f t="array" ref="Z583">IF(INDEX(Table2[],_xlfn.XMATCH($A583,Table2[Steel Member],0),_xlfn.XMATCH(Z$2,Table2[#Headers],0))=0,"",INDEX(Table2[],_xlfn.XMATCH($A583,Table2[Steel Member],0),_xlfn.XMATCH(Z$2,Table2[#Headers],0)))</f>
        <v>#N/A</v>
      </c>
      <c r="AA583" s="4" t="e" cm="1">
        <f t="array" ref="AA583">IF(INDEX(Table2[],_xlfn.XMATCH($A583,Table2[Steel Member],0),_xlfn.XMATCH(AA$2,Table2[#Headers],0))=0,"",INDEX(Table2[],_xlfn.XMATCH($A583,Table2[Steel Member],0),_xlfn.XMATCH(AA$2,Table2[#Headers],0)))</f>
        <v>#N/A</v>
      </c>
      <c r="AB583" s="4" t="e" cm="1">
        <f t="array" ref="AB583">IF(INDEX(Table2[],_xlfn.XMATCH($A583,Table2[Steel Member],0),_xlfn.XMATCH(AB$2,Table2[#Headers],0))=0,"",INDEX(Table2[],_xlfn.XMATCH($A583,Table2[Steel Member],0),_xlfn.XMATCH(AB$2,Table2[#Headers],0)))</f>
        <v>#N/A</v>
      </c>
      <c r="AC583" s="4" t="str" cm="1">
        <f t="array" ref="AC583">IFERROR(INDEX(Table8[],_xlfn.XMATCH($O583,Table8[Dimension Name Category],0),_xlfn.XMATCH(AC$2&amp;IF($L583," w/ tag"," w/o tag"),Table8[#Headers],0)),"")</f>
        <v/>
      </c>
      <c r="AD583" s="59" t="str">
        <f t="shared" si="141"/>
        <v/>
      </c>
      <c r="AE583" s="4" t="str">
        <f t="shared" si="142"/>
        <v/>
      </c>
      <c r="AF583" s="4" t="str">
        <f t="shared" si="143"/>
        <v/>
      </c>
      <c r="AG583" s="4" t="str" cm="1">
        <f t="array" ref="AG583">IFERROR(INDEX(Table8[],_xlfn.XMATCH($O583,Table8[Dimension Name Category],0),_xlfn.XMATCH(AG$2&amp;IF($L583," w/ tag"," w/o tag"),Table8[#Headers],0)),"")</f>
        <v/>
      </c>
      <c r="AH583" s="59" t="str">
        <f t="shared" si="144"/>
        <v/>
      </c>
      <c r="AI583" s="4"/>
      <c r="AJ583" s="4" t="str">
        <f t="shared" si="145"/>
        <v/>
      </c>
      <c r="AK583" s="4" t="str">
        <f t="shared" si="146"/>
        <v/>
      </c>
      <c r="AL583" s="4" t="e" cm="1">
        <f t="array" ref="AL583">IF(INDEX(Table2[],_xlfn.XMATCH($A583,Table2[Steel Member],0),_xlfn.XMATCH(AL$2,Table2[#Headers],0))=0,"",INDEX(Table2[],_xlfn.XMATCH($A583,Table2[Steel Member],0),_xlfn.XMATCH(AL$2,Table2[#Headers],0)))</f>
        <v>#N/A</v>
      </c>
      <c r="AM583" s="4"/>
      <c r="AN583" s="4" t="str">
        <f t="shared" si="147"/>
        <v/>
      </c>
      <c r="AO583" s="4"/>
      <c r="AP583" s="4" t="e" cm="1">
        <f t="array" ref="AP583">IF(INDEX(Table2[],_xlfn.XMATCH($A583,Table2[Steel Member],0),_xlfn.XMATCH(AP$2,Table2[#Headers],0))=0,"",INDEX(Table2[],_xlfn.XMATCH($A583,Table2[Steel Member],0),_xlfn.XMATCH(AP$2,Table2[#Headers],0)))</f>
        <v>#N/A</v>
      </c>
      <c r="AQ583" s="4"/>
      <c r="AR583" s="4"/>
      <c r="AS583" s="4"/>
      <c r="AT583" s="4"/>
    </row>
    <row r="584" spans="1:46" x14ac:dyDescent="0.25">
      <c r="A584" s="52"/>
      <c r="B584" s="52"/>
      <c r="C584" s="52"/>
      <c r="D584" s="52"/>
      <c r="E584" s="52"/>
      <c r="F584" s="64" cm="1">
        <f t="array" ref="F584">IF(COUNT(FIND(PurlinsxGirthsxBracings,$C584))&gt;0,0,ROUNDUP(IF(D584=0,0,VLOOKUP(D584,'DATA SHEET'!$B:$D,2,FALSE)),2))</f>
        <v>0</v>
      </c>
      <c r="G584" s="64" cm="1">
        <f t="array" ref="G584">IF(COUNT(FIND(PurlinsxGirthsxBracings,$C584))&gt;0,0,ROUNDUP(IF(D584=0,0,VLOOKUP(D584,'DATA SHEET'!$B:$D,3,FALSE)),2))</f>
        <v>0</v>
      </c>
      <c r="H584" s="53"/>
      <c r="I584" s="66" cm="1">
        <f t="array" ref="I584">IF(AND(ISBLANK(B584),ISBLANK(C584),ISBLANK(E584)),0,IF(COUNT(FIND(PurlinsxGirthsxBracings,$C584))&gt;0,IF(B584=0,CONCATENATE(E584," ",C584),CONCATENATE(B584," - ",E584," ",C584)),IF(B584=0,IF(ISBLANK(C584),E584,CONCATENATE(D584,", ",F584,"kg/m, ",G584,"mm surface perimeter")),IF(AND(ISBLANK(C584),ISTEXT(E584)),CONCATENATE(B584," - ",E584),IF(AND(ISBLANK(C584),ISBLANK(E584)),B584,CONCATENATE(B584," - ",D584,", ",F584,"kg/m, ",G584,"mm surface perimeter"))))&amp;IF(ISBLANK(H584),"",H584)))</f>
        <v>0</v>
      </c>
      <c r="J584" s="53"/>
      <c r="L584" s="4" t="str" cm="1">
        <f t="array" ref="L584">IF(COUNT(FIND({0,1,2,3,4,5,6,7,8,9},B584))&gt;0,COUNT(FIND({0,1,2,3,4,5,6,7,8,9},B584))&gt;0,"")</f>
        <v/>
      </c>
      <c r="M584" s="4" t="str" cm="1">
        <f t="array" aca="1" ref="M584" ca="1">IFERROR(_xlfn.IFS(R584="Count",RANDBETWEEN(1,COUNTIF($R$11:$R$653,"Count")),R584="Length",RANDBETWEEN(1,COUNTIF($R$11:$R$653,"Length"))),"")</f>
        <v/>
      </c>
      <c r="N584" s="4" t="str">
        <f ca="1">IFERROR(_xlfn.RANK.EQ(M584,$M$11:$M$653)+COUNTIF($M$11:M584,M584)-1,"")</f>
        <v/>
      </c>
      <c r="O584" s="86" t="str">
        <f>IF(A584='DATA SHEET'!$L$36,C584,IFERROR(IF(AND(ISTEXT(I584),ISBLANK(C584)),"No details",VLOOKUP(C584,DimFolder,2,FALSE)),""))</f>
        <v/>
      </c>
      <c r="P584" s="4" t="str">
        <f t="shared" si="137"/>
        <v/>
      </c>
      <c r="Q584" s="58" t="str">
        <f t="shared" si="148"/>
        <v/>
      </c>
      <c r="R584" s="4" t="e" cm="1">
        <f t="array" ref="R584">IF(INDEX(Table2[],_xlfn.XMATCH($A584,Table2[Steel Member],0),_xlfn.XMATCH(R$2,Table2[#Headers],0))=0,"",INDEX(Table2[],_xlfn.XMATCH($A584,Table2[Steel Member],0),_xlfn.XMATCH(R$2,Table2[#Headers],0)))</f>
        <v>#N/A</v>
      </c>
      <c r="S584" s="4" t="e" cm="1">
        <f t="array" ref="S584">IF(INDEX(Table2[],_xlfn.XMATCH($A584,Table2[Steel Member],0),_xlfn.XMATCH(S$2,Table2[#Headers],0))=0,"",INDEX(Table2[],_xlfn.XMATCH($A584,Table2[Steel Member],0),_xlfn.XMATCH(S$2,Table2[#Headers],0)))</f>
        <v>#N/A</v>
      </c>
      <c r="T584" s="4" t="str">
        <f t="shared" si="139"/>
        <v/>
      </c>
      <c r="U584" s="4" t="e">
        <f ca="1">VLOOKUP(N584,'COLOR CODE'!$B:$D,2,FALSE)</f>
        <v>#N/A</v>
      </c>
      <c r="V584" s="4" t="str">
        <f t="shared" si="140"/>
        <v/>
      </c>
      <c r="W584" s="4" t="e" cm="1">
        <f t="array" ref="W584">IF(INDEX(Table2[],_xlfn.XMATCH($A584,Table2[Steel Member],0),_xlfn.XMATCH(W$2,Table2[#Headers],0))=0,"",INDEX(Table2[],_xlfn.XMATCH($A584,Table2[Steel Member],0),_xlfn.XMATCH(W$2,Table2[#Headers],0)))</f>
        <v>#N/A</v>
      </c>
      <c r="X584" s="4" t="e">
        <f t="shared" si="138"/>
        <v>#N/A</v>
      </c>
      <c r="Y584" s="4" t="e" cm="1">
        <f t="array" ref="Y584">IF(INDEX(Table2[],_xlfn.XMATCH($A584,Table2[Steel Member],0),_xlfn.XMATCH(Y$2,Table2[#Headers],0))=0,"",INDEX(Table2[],_xlfn.XMATCH($A584,Table2[Steel Member],0),_xlfn.XMATCH(Y$2,Table2[#Headers],0)))</f>
        <v>#N/A</v>
      </c>
      <c r="Z584" s="4" t="e" cm="1">
        <f t="array" ref="Z584">IF(INDEX(Table2[],_xlfn.XMATCH($A584,Table2[Steel Member],0),_xlfn.XMATCH(Z$2,Table2[#Headers],0))=0,"",INDEX(Table2[],_xlfn.XMATCH($A584,Table2[Steel Member],0),_xlfn.XMATCH(Z$2,Table2[#Headers],0)))</f>
        <v>#N/A</v>
      </c>
      <c r="AA584" s="4" t="e" cm="1">
        <f t="array" ref="AA584">IF(INDEX(Table2[],_xlfn.XMATCH($A584,Table2[Steel Member],0),_xlfn.XMATCH(AA$2,Table2[#Headers],0))=0,"",INDEX(Table2[],_xlfn.XMATCH($A584,Table2[Steel Member],0),_xlfn.XMATCH(AA$2,Table2[#Headers],0)))</f>
        <v>#N/A</v>
      </c>
      <c r="AB584" s="4" t="e" cm="1">
        <f t="array" ref="AB584">IF(INDEX(Table2[],_xlfn.XMATCH($A584,Table2[Steel Member],0),_xlfn.XMATCH(AB$2,Table2[#Headers],0))=0,"",INDEX(Table2[],_xlfn.XMATCH($A584,Table2[Steel Member],0),_xlfn.XMATCH(AB$2,Table2[#Headers],0)))</f>
        <v>#N/A</v>
      </c>
      <c r="AC584" s="4" t="str" cm="1">
        <f t="array" ref="AC584">IFERROR(INDEX(Table8[],_xlfn.XMATCH($O584,Table8[Dimension Name Category],0),_xlfn.XMATCH(AC$2&amp;IF($L584," w/ tag"," w/o tag"),Table8[#Headers],0)),"")</f>
        <v/>
      </c>
      <c r="AD584" s="59" t="str">
        <f t="shared" si="141"/>
        <v/>
      </c>
      <c r="AE584" s="4" t="str">
        <f t="shared" si="142"/>
        <v/>
      </c>
      <c r="AF584" s="4" t="str">
        <f t="shared" si="143"/>
        <v/>
      </c>
      <c r="AG584" s="4" t="str" cm="1">
        <f t="array" ref="AG584">IFERROR(INDEX(Table8[],_xlfn.XMATCH($O584,Table8[Dimension Name Category],0),_xlfn.XMATCH(AG$2&amp;IF($L584," w/ tag"," w/o tag"),Table8[#Headers],0)),"")</f>
        <v/>
      </c>
      <c r="AH584" s="59" t="str">
        <f t="shared" si="144"/>
        <v/>
      </c>
      <c r="AI584" s="4"/>
      <c r="AJ584" s="4" t="str">
        <f t="shared" si="145"/>
        <v/>
      </c>
      <c r="AK584" s="4" t="str">
        <f t="shared" si="146"/>
        <v/>
      </c>
      <c r="AL584" s="4" t="e" cm="1">
        <f t="array" ref="AL584">IF(INDEX(Table2[],_xlfn.XMATCH($A584,Table2[Steel Member],0),_xlfn.XMATCH(AL$2,Table2[#Headers],0))=0,"",INDEX(Table2[],_xlfn.XMATCH($A584,Table2[Steel Member],0),_xlfn.XMATCH(AL$2,Table2[#Headers],0)))</f>
        <v>#N/A</v>
      </c>
      <c r="AM584" s="4"/>
      <c r="AN584" s="4" t="str">
        <f t="shared" si="147"/>
        <v/>
      </c>
      <c r="AO584" s="4"/>
      <c r="AP584" s="4" t="e" cm="1">
        <f t="array" ref="AP584">IF(INDEX(Table2[],_xlfn.XMATCH($A584,Table2[Steel Member],0),_xlfn.XMATCH(AP$2,Table2[#Headers],0))=0,"",INDEX(Table2[],_xlfn.XMATCH($A584,Table2[Steel Member],0),_xlfn.XMATCH(AP$2,Table2[#Headers],0)))</f>
        <v>#N/A</v>
      </c>
      <c r="AQ584" s="4"/>
      <c r="AR584" s="4"/>
      <c r="AS584" s="4"/>
      <c r="AT584" s="4"/>
    </row>
    <row r="585" spans="1:46" x14ac:dyDescent="0.25">
      <c r="A585" s="52"/>
      <c r="B585" s="52"/>
      <c r="C585" s="52"/>
      <c r="D585" s="52"/>
      <c r="E585" s="52"/>
      <c r="F585" s="64" cm="1">
        <f t="array" ref="F585">IF(COUNT(FIND(PurlinsxGirthsxBracings,$C585))&gt;0,0,ROUNDUP(IF(D585=0,0,VLOOKUP(D585,'DATA SHEET'!$B:$D,2,FALSE)),2))</f>
        <v>0</v>
      </c>
      <c r="G585" s="64" cm="1">
        <f t="array" ref="G585">IF(COUNT(FIND(PurlinsxGirthsxBracings,$C585))&gt;0,0,ROUNDUP(IF(D585=0,0,VLOOKUP(D585,'DATA SHEET'!$B:$D,3,FALSE)),2))</f>
        <v>0</v>
      </c>
      <c r="H585" s="53"/>
      <c r="I585" s="66" cm="1">
        <f t="array" ref="I585">IF(AND(ISBLANK(B585),ISBLANK(C585),ISBLANK(E585)),0,IF(COUNT(FIND(PurlinsxGirthsxBracings,$C585))&gt;0,IF(B585=0,CONCATENATE(E585," ",C585),CONCATENATE(B585," - ",E585," ",C585)),IF(B585=0,IF(ISBLANK(C585),E585,CONCATENATE(D585,", ",F585,"kg/m, ",G585,"mm surface perimeter")),IF(AND(ISBLANK(C585),ISTEXT(E585)),CONCATENATE(B585," - ",E585),IF(AND(ISBLANK(C585),ISBLANK(E585)),B585,CONCATENATE(B585," - ",D585,", ",F585,"kg/m, ",G585,"mm surface perimeter"))))&amp;IF(ISBLANK(H585),"",H585)))</f>
        <v>0</v>
      </c>
      <c r="J585" s="53"/>
      <c r="L585" s="4" t="str" cm="1">
        <f t="array" ref="L585">IF(COUNT(FIND({0,1,2,3,4,5,6,7,8,9},B585))&gt;0,COUNT(FIND({0,1,2,3,4,5,6,7,8,9},B585))&gt;0,"")</f>
        <v/>
      </c>
      <c r="M585" s="4" t="str" cm="1">
        <f t="array" aca="1" ref="M585" ca="1">IFERROR(_xlfn.IFS(R585="Count",RANDBETWEEN(1,COUNTIF($R$11:$R$653,"Count")),R585="Length",RANDBETWEEN(1,COUNTIF($R$11:$R$653,"Length"))),"")</f>
        <v/>
      </c>
      <c r="N585" s="4" t="str">
        <f ca="1">IFERROR(_xlfn.RANK.EQ(M585,$M$11:$M$653)+COUNTIF($M$11:M585,M585)-1,"")</f>
        <v/>
      </c>
      <c r="O585" s="86" t="str">
        <f>IF(A585='DATA SHEET'!$L$36,C585,IFERROR(IF(AND(ISTEXT(I585),ISBLANK(C585)),"No details",VLOOKUP(C585,DimFolder,2,FALSE)),""))</f>
        <v/>
      </c>
      <c r="P585" s="4" t="str">
        <f t="shared" si="137"/>
        <v/>
      </c>
      <c r="Q585" s="58" t="str">
        <f t="shared" si="148"/>
        <v/>
      </c>
      <c r="R585" s="4" t="e" cm="1">
        <f t="array" ref="R585">IF(INDEX(Table2[],_xlfn.XMATCH($A585,Table2[Steel Member],0),_xlfn.XMATCH(R$2,Table2[#Headers],0))=0,"",INDEX(Table2[],_xlfn.XMATCH($A585,Table2[Steel Member],0),_xlfn.XMATCH(R$2,Table2[#Headers],0)))</f>
        <v>#N/A</v>
      </c>
      <c r="S585" s="4" t="e" cm="1">
        <f t="array" ref="S585">IF(INDEX(Table2[],_xlfn.XMATCH($A585,Table2[Steel Member],0),_xlfn.XMATCH(S$2,Table2[#Headers],0))=0,"",INDEX(Table2[],_xlfn.XMATCH($A585,Table2[Steel Member],0),_xlfn.XMATCH(S$2,Table2[#Headers],0)))</f>
        <v>#N/A</v>
      </c>
      <c r="T585" s="4" t="str">
        <f t="shared" si="139"/>
        <v/>
      </c>
      <c r="U585" s="4" t="e">
        <f ca="1">VLOOKUP(N585,'COLOR CODE'!$B:$D,2,FALSE)</f>
        <v>#N/A</v>
      </c>
      <c r="V585" s="4" t="str">
        <f t="shared" si="140"/>
        <v/>
      </c>
      <c r="W585" s="4" t="e" cm="1">
        <f t="array" ref="W585">IF(INDEX(Table2[],_xlfn.XMATCH($A585,Table2[Steel Member],0),_xlfn.XMATCH(W$2,Table2[#Headers],0))=0,"",INDEX(Table2[],_xlfn.XMATCH($A585,Table2[Steel Member],0),_xlfn.XMATCH(W$2,Table2[#Headers],0)))</f>
        <v>#N/A</v>
      </c>
      <c r="X585" s="4" t="e">
        <f t="shared" si="138"/>
        <v>#N/A</v>
      </c>
      <c r="Y585" s="4" t="e" cm="1">
        <f t="array" ref="Y585">IF(INDEX(Table2[],_xlfn.XMATCH($A585,Table2[Steel Member],0),_xlfn.XMATCH(Y$2,Table2[#Headers],0))=0,"",INDEX(Table2[],_xlfn.XMATCH($A585,Table2[Steel Member],0),_xlfn.XMATCH(Y$2,Table2[#Headers],0)))</f>
        <v>#N/A</v>
      </c>
      <c r="Z585" s="4" t="e" cm="1">
        <f t="array" ref="Z585">IF(INDEX(Table2[],_xlfn.XMATCH($A585,Table2[Steel Member],0),_xlfn.XMATCH(Z$2,Table2[#Headers],0))=0,"",INDEX(Table2[],_xlfn.XMATCH($A585,Table2[Steel Member],0),_xlfn.XMATCH(Z$2,Table2[#Headers],0)))</f>
        <v>#N/A</v>
      </c>
      <c r="AA585" s="4" t="e" cm="1">
        <f t="array" ref="AA585">IF(INDEX(Table2[],_xlfn.XMATCH($A585,Table2[Steel Member],0),_xlfn.XMATCH(AA$2,Table2[#Headers],0))=0,"",INDEX(Table2[],_xlfn.XMATCH($A585,Table2[Steel Member],0),_xlfn.XMATCH(AA$2,Table2[#Headers],0)))</f>
        <v>#N/A</v>
      </c>
      <c r="AB585" s="4" t="e" cm="1">
        <f t="array" ref="AB585">IF(INDEX(Table2[],_xlfn.XMATCH($A585,Table2[Steel Member],0),_xlfn.XMATCH(AB$2,Table2[#Headers],0))=0,"",INDEX(Table2[],_xlfn.XMATCH($A585,Table2[Steel Member],0),_xlfn.XMATCH(AB$2,Table2[#Headers],0)))</f>
        <v>#N/A</v>
      </c>
      <c r="AC585" s="4" t="str" cm="1">
        <f t="array" ref="AC585">IFERROR(INDEX(Table8[],_xlfn.XMATCH($O585,Table8[Dimension Name Category],0),_xlfn.XMATCH(AC$2&amp;IF($L585," w/ tag"," w/o tag"),Table8[#Headers],0)),"")</f>
        <v/>
      </c>
      <c r="AD585" s="59" t="str">
        <f t="shared" si="141"/>
        <v/>
      </c>
      <c r="AE585" s="4" t="str">
        <f t="shared" si="142"/>
        <v/>
      </c>
      <c r="AF585" s="4" t="str">
        <f t="shared" si="143"/>
        <v/>
      </c>
      <c r="AG585" s="4" t="str" cm="1">
        <f t="array" ref="AG585">IFERROR(INDEX(Table8[],_xlfn.XMATCH($O585,Table8[Dimension Name Category],0),_xlfn.XMATCH(AG$2&amp;IF($L585," w/ tag"," w/o tag"),Table8[#Headers],0)),"")</f>
        <v/>
      </c>
      <c r="AH585" s="59" t="str">
        <f t="shared" si="144"/>
        <v/>
      </c>
      <c r="AI585" s="4"/>
      <c r="AJ585" s="4" t="str">
        <f t="shared" si="145"/>
        <v/>
      </c>
      <c r="AK585" s="4" t="str">
        <f t="shared" si="146"/>
        <v/>
      </c>
      <c r="AL585" s="4" t="e" cm="1">
        <f t="array" ref="AL585">IF(INDEX(Table2[],_xlfn.XMATCH($A585,Table2[Steel Member],0),_xlfn.XMATCH(AL$2,Table2[#Headers],0))=0,"",INDEX(Table2[],_xlfn.XMATCH($A585,Table2[Steel Member],0),_xlfn.XMATCH(AL$2,Table2[#Headers],0)))</f>
        <v>#N/A</v>
      </c>
      <c r="AM585" s="4"/>
      <c r="AN585" s="4" t="str">
        <f t="shared" si="147"/>
        <v/>
      </c>
      <c r="AO585" s="4"/>
      <c r="AP585" s="4" t="e" cm="1">
        <f t="array" ref="AP585">IF(INDEX(Table2[],_xlfn.XMATCH($A585,Table2[Steel Member],0),_xlfn.XMATCH(AP$2,Table2[#Headers],0))=0,"",INDEX(Table2[],_xlfn.XMATCH($A585,Table2[Steel Member],0),_xlfn.XMATCH(AP$2,Table2[#Headers],0)))</f>
        <v>#N/A</v>
      </c>
      <c r="AQ585" s="4"/>
      <c r="AR585" s="4"/>
      <c r="AS585" s="4"/>
      <c r="AT585" s="4"/>
    </row>
    <row r="586" spans="1:46" x14ac:dyDescent="0.25">
      <c r="A586" s="52"/>
      <c r="B586" s="52"/>
      <c r="C586" s="52"/>
      <c r="D586" s="52"/>
      <c r="E586" s="52"/>
      <c r="F586" s="64" cm="1">
        <f t="array" ref="F586">IF(COUNT(FIND(PurlinsxGirthsxBracings,$C586))&gt;0,0,ROUNDUP(IF(D586=0,0,VLOOKUP(D586,'DATA SHEET'!$B:$D,2,FALSE)),2))</f>
        <v>0</v>
      </c>
      <c r="G586" s="64" cm="1">
        <f t="array" ref="G586">IF(COUNT(FIND(PurlinsxGirthsxBracings,$C586))&gt;0,0,ROUNDUP(IF(D586=0,0,VLOOKUP(D586,'DATA SHEET'!$B:$D,3,FALSE)),2))</f>
        <v>0</v>
      </c>
      <c r="H586" s="53"/>
      <c r="I586" s="66" cm="1">
        <f t="array" ref="I586">IF(AND(ISBLANK(B586),ISBLANK(C586),ISBLANK(E586)),0,IF(COUNT(FIND(PurlinsxGirthsxBracings,$C586))&gt;0,IF(B586=0,CONCATENATE(E586," ",C586),CONCATENATE(B586," - ",E586," ",C586)),IF(B586=0,IF(ISBLANK(C586),E586,CONCATENATE(D586,", ",F586,"kg/m, ",G586,"mm surface perimeter")),IF(AND(ISBLANK(C586),ISTEXT(E586)),CONCATENATE(B586," - ",E586),IF(AND(ISBLANK(C586),ISBLANK(E586)),B586,CONCATENATE(B586," - ",D586,", ",F586,"kg/m, ",G586,"mm surface perimeter"))))&amp;IF(ISBLANK(H586),"",H586)))</f>
        <v>0</v>
      </c>
      <c r="J586" s="53"/>
      <c r="L586" s="4" t="str" cm="1">
        <f t="array" ref="L586">IF(COUNT(FIND({0,1,2,3,4,5,6,7,8,9},B586))&gt;0,COUNT(FIND({0,1,2,3,4,5,6,7,8,9},B586))&gt;0,"")</f>
        <v/>
      </c>
      <c r="M586" s="4" t="str" cm="1">
        <f t="array" aca="1" ref="M586" ca="1">IFERROR(_xlfn.IFS(R586="Count",RANDBETWEEN(1,COUNTIF($R$11:$R$653,"Count")),R586="Length",RANDBETWEEN(1,COUNTIF($R$11:$R$653,"Length"))),"")</f>
        <v/>
      </c>
      <c r="N586" s="4" t="str">
        <f ca="1">IFERROR(_xlfn.RANK.EQ(M586,$M$11:$M$653)+COUNTIF($M$11:M586,M586)-1,"")</f>
        <v/>
      </c>
      <c r="O586" s="86" t="str">
        <f>IF(A586='DATA SHEET'!$L$36,C586,IFERROR(IF(AND(ISTEXT(I586),ISBLANK(C586)),"No details",VLOOKUP(C586,DimFolder,2,FALSE)),""))</f>
        <v/>
      </c>
      <c r="P586" s="4" t="str">
        <f t="shared" si="137"/>
        <v/>
      </c>
      <c r="Q586" s="58" t="str">
        <f t="shared" si="148"/>
        <v/>
      </c>
      <c r="R586" s="4" t="e" cm="1">
        <f t="array" ref="R586">IF(INDEX(Table2[],_xlfn.XMATCH($A586,Table2[Steel Member],0),_xlfn.XMATCH(R$2,Table2[#Headers],0))=0,"",INDEX(Table2[],_xlfn.XMATCH($A586,Table2[Steel Member],0),_xlfn.XMATCH(R$2,Table2[#Headers],0)))</f>
        <v>#N/A</v>
      </c>
      <c r="S586" s="4" t="e" cm="1">
        <f t="array" ref="S586">IF(INDEX(Table2[],_xlfn.XMATCH($A586,Table2[Steel Member],0),_xlfn.XMATCH(S$2,Table2[#Headers],0))=0,"",INDEX(Table2[],_xlfn.XMATCH($A586,Table2[Steel Member],0),_xlfn.XMATCH(S$2,Table2[#Headers],0)))</f>
        <v>#N/A</v>
      </c>
      <c r="T586" s="4" t="str">
        <f t="shared" si="139"/>
        <v/>
      </c>
      <c r="U586" s="4" t="e">
        <f ca="1">VLOOKUP(N586,'COLOR CODE'!$B:$D,2,FALSE)</f>
        <v>#N/A</v>
      </c>
      <c r="V586" s="4" t="str">
        <f t="shared" si="140"/>
        <v/>
      </c>
      <c r="W586" s="4" t="e" cm="1">
        <f t="array" ref="W586">IF(INDEX(Table2[],_xlfn.XMATCH($A586,Table2[Steel Member],0),_xlfn.XMATCH(W$2,Table2[#Headers],0))=0,"",INDEX(Table2[],_xlfn.XMATCH($A586,Table2[Steel Member],0),_xlfn.XMATCH(W$2,Table2[#Headers],0)))</f>
        <v>#N/A</v>
      </c>
      <c r="X586" s="4" t="e">
        <f t="shared" si="138"/>
        <v>#N/A</v>
      </c>
      <c r="Y586" s="4" t="e" cm="1">
        <f t="array" ref="Y586">IF(INDEX(Table2[],_xlfn.XMATCH($A586,Table2[Steel Member],0),_xlfn.XMATCH(Y$2,Table2[#Headers],0))=0,"",INDEX(Table2[],_xlfn.XMATCH($A586,Table2[Steel Member],0),_xlfn.XMATCH(Y$2,Table2[#Headers],0)))</f>
        <v>#N/A</v>
      </c>
      <c r="Z586" s="4" t="e" cm="1">
        <f t="array" ref="Z586">IF(INDEX(Table2[],_xlfn.XMATCH($A586,Table2[Steel Member],0),_xlfn.XMATCH(Z$2,Table2[#Headers],0))=0,"",INDEX(Table2[],_xlfn.XMATCH($A586,Table2[Steel Member],0),_xlfn.XMATCH(Z$2,Table2[#Headers],0)))</f>
        <v>#N/A</v>
      </c>
      <c r="AA586" s="4" t="e" cm="1">
        <f t="array" ref="AA586">IF(INDEX(Table2[],_xlfn.XMATCH($A586,Table2[Steel Member],0),_xlfn.XMATCH(AA$2,Table2[#Headers],0))=0,"",INDEX(Table2[],_xlfn.XMATCH($A586,Table2[Steel Member],0),_xlfn.XMATCH(AA$2,Table2[#Headers],0)))</f>
        <v>#N/A</v>
      </c>
      <c r="AB586" s="4" t="e" cm="1">
        <f t="array" ref="AB586">IF(INDEX(Table2[],_xlfn.XMATCH($A586,Table2[Steel Member],0),_xlfn.XMATCH(AB$2,Table2[#Headers],0))=0,"",INDEX(Table2[],_xlfn.XMATCH($A586,Table2[Steel Member],0),_xlfn.XMATCH(AB$2,Table2[#Headers],0)))</f>
        <v>#N/A</v>
      </c>
      <c r="AC586" s="4" t="str" cm="1">
        <f t="array" ref="AC586">IFERROR(INDEX(Table8[],_xlfn.XMATCH($O586,Table8[Dimension Name Category],0),_xlfn.XMATCH(AC$2&amp;IF($L586," w/ tag"," w/o tag"),Table8[#Headers],0)),"")</f>
        <v/>
      </c>
      <c r="AD586" s="59" t="str">
        <f t="shared" si="141"/>
        <v/>
      </c>
      <c r="AE586" s="4" t="str">
        <f t="shared" si="142"/>
        <v/>
      </c>
      <c r="AF586" s="4" t="str">
        <f t="shared" si="143"/>
        <v/>
      </c>
      <c r="AG586" s="4" t="str" cm="1">
        <f t="array" ref="AG586">IFERROR(INDEX(Table8[],_xlfn.XMATCH($O586,Table8[Dimension Name Category],0),_xlfn.XMATCH(AG$2&amp;IF($L586," w/ tag"," w/o tag"),Table8[#Headers],0)),"")</f>
        <v/>
      </c>
      <c r="AH586" s="59" t="str">
        <f t="shared" si="144"/>
        <v/>
      </c>
      <c r="AI586" s="4"/>
      <c r="AJ586" s="4" t="str">
        <f t="shared" si="145"/>
        <v/>
      </c>
      <c r="AK586" s="4" t="str">
        <f t="shared" si="146"/>
        <v/>
      </c>
      <c r="AL586" s="4" t="e" cm="1">
        <f t="array" ref="AL586">IF(INDEX(Table2[],_xlfn.XMATCH($A586,Table2[Steel Member],0),_xlfn.XMATCH(AL$2,Table2[#Headers],0))=0,"",INDEX(Table2[],_xlfn.XMATCH($A586,Table2[Steel Member],0),_xlfn.XMATCH(AL$2,Table2[#Headers],0)))</f>
        <v>#N/A</v>
      </c>
      <c r="AM586" s="4"/>
      <c r="AN586" s="4" t="str">
        <f t="shared" si="147"/>
        <v/>
      </c>
      <c r="AO586" s="4"/>
      <c r="AP586" s="4" t="e" cm="1">
        <f t="array" ref="AP586">IF(INDEX(Table2[],_xlfn.XMATCH($A586,Table2[Steel Member],0),_xlfn.XMATCH(AP$2,Table2[#Headers],0))=0,"",INDEX(Table2[],_xlfn.XMATCH($A586,Table2[Steel Member],0),_xlfn.XMATCH(AP$2,Table2[#Headers],0)))</f>
        <v>#N/A</v>
      </c>
      <c r="AQ586" s="4"/>
      <c r="AR586" s="4"/>
      <c r="AS586" s="4"/>
      <c r="AT586" s="4"/>
    </row>
    <row r="587" spans="1:46" x14ac:dyDescent="0.25">
      <c r="A587" s="52"/>
      <c r="B587" s="52"/>
      <c r="C587" s="52"/>
      <c r="D587" s="52"/>
      <c r="E587" s="52"/>
      <c r="F587" s="64" cm="1">
        <f t="array" ref="F587">IF(COUNT(FIND(PurlinsxGirthsxBracings,$C587))&gt;0,0,ROUNDUP(IF(D587=0,0,VLOOKUP(D587,'DATA SHEET'!$B:$D,2,FALSE)),2))</f>
        <v>0</v>
      </c>
      <c r="G587" s="64" cm="1">
        <f t="array" ref="G587">IF(COUNT(FIND(PurlinsxGirthsxBracings,$C587))&gt;0,0,ROUNDUP(IF(D587=0,0,VLOOKUP(D587,'DATA SHEET'!$B:$D,3,FALSE)),2))</f>
        <v>0</v>
      </c>
      <c r="H587" s="53"/>
      <c r="I587" s="66" cm="1">
        <f t="array" ref="I587">IF(AND(ISBLANK(B587),ISBLANK(C587),ISBLANK(E587)),0,IF(COUNT(FIND(PurlinsxGirthsxBracings,$C587))&gt;0,IF(B587=0,CONCATENATE(E587," ",C587),CONCATENATE(B587," - ",E587," ",C587)),IF(B587=0,IF(ISBLANK(C587),E587,CONCATENATE(D587,", ",F587,"kg/m, ",G587,"mm surface perimeter")),IF(AND(ISBLANK(C587),ISTEXT(E587)),CONCATENATE(B587," - ",E587),IF(AND(ISBLANK(C587),ISBLANK(E587)),B587,CONCATENATE(B587," - ",D587,", ",F587,"kg/m, ",G587,"mm surface perimeter"))))&amp;IF(ISBLANK(H587),"",H587)))</f>
        <v>0</v>
      </c>
      <c r="J587" s="53"/>
      <c r="L587" s="4" t="str" cm="1">
        <f t="array" ref="L587">IF(COUNT(FIND({0,1,2,3,4,5,6,7,8,9},B587))&gt;0,COUNT(FIND({0,1,2,3,4,5,6,7,8,9},B587))&gt;0,"")</f>
        <v/>
      </c>
      <c r="M587" s="4" t="str" cm="1">
        <f t="array" aca="1" ref="M587" ca="1">IFERROR(_xlfn.IFS(R587="Count",RANDBETWEEN(1,COUNTIF($R$11:$R$653,"Count")),R587="Length",RANDBETWEEN(1,COUNTIF($R$11:$R$653,"Length"))),"")</f>
        <v/>
      </c>
      <c r="N587" s="4" t="str">
        <f ca="1">IFERROR(_xlfn.RANK.EQ(M587,$M$11:$M$653)+COUNTIF($M$11:M587,M587)-1,"")</f>
        <v/>
      </c>
      <c r="O587" s="86" t="str">
        <f>IF(A587='DATA SHEET'!$L$36,C587,IFERROR(IF(AND(ISTEXT(I587),ISBLANK(C587)),"No details",VLOOKUP(C587,DimFolder,2,FALSE)),""))</f>
        <v/>
      </c>
      <c r="P587" s="4" t="str">
        <f t="shared" ref="P587:P650" si="149">IF(AND(ISBLANK(B587),ISBLANK(C587)),"",CONCATENATE("Structural\Structural Steel\",A587,"\",O587))</f>
        <v/>
      </c>
      <c r="Q587" s="58" t="str">
        <f t="shared" si="148"/>
        <v/>
      </c>
      <c r="R587" s="4" t="e" cm="1">
        <f t="array" ref="R587">IF(INDEX(Table2[],_xlfn.XMATCH($A587,Table2[Steel Member],0),_xlfn.XMATCH(R$2,Table2[#Headers],0))=0,"",INDEX(Table2[],_xlfn.XMATCH($A587,Table2[Steel Member],0),_xlfn.XMATCH(R$2,Table2[#Headers],0)))</f>
        <v>#N/A</v>
      </c>
      <c r="S587" s="4" t="e" cm="1">
        <f t="array" ref="S587">IF(INDEX(Table2[],_xlfn.XMATCH($A587,Table2[Steel Member],0),_xlfn.XMATCH(S$2,Table2[#Headers],0))=0,"",INDEX(Table2[],_xlfn.XMATCH($A587,Table2[Steel Member],0),_xlfn.XMATCH(S$2,Table2[#Headers],0)))</f>
        <v>#N/A</v>
      </c>
      <c r="T587" s="4" t="str">
        <f t="shared" si="139"/>
        <v/>
      </c>
      <c r="U587" s="4" t="e">
        <f ca="1">VLOOKUP(N587,'COLOR CODE'!$B:$D,2,FALSE)</f>
        <v>#N/A</v>
      </c>
      <c r="V587" s="4" t="str">
        <f t="shared" si="140"/>
        <v/>
      </c>
      <c r="W587" s="4" t="e" cm="1">
        <f t="array" ref="W587">IF(INDEX(Table2[],_xlfn.XMATCH($A587,Table2[Steel Member],0),_xlfn.XMATCH(W$2,Table2[#Headers],0))=0,"",INDEX(Table2[],_xlfn.XMATCH($A587,Table2[Steel Member],0),_xlfn.XMATCH(W$2,Table2[#Headers],0)))</f>
        <v>#N/A</v>
      </c>
      <c r="X587" s="4" t="e">
        <f t="shared" si="138"/>
        <v>#N/A</v>
      </c>
      <c r="Y587" s="4" t="e" cm="1">
        <f t="array" ref="Y587">IF(INDEX(Table2[],_xlfn.XMATCH($A587,Table2[Steel Member],0),_xlfn.XMATCH(Y$2,Table2[#Headers],0))=0,"",INDEX(Table2[],_xlfn.XMATCH($A587,Table2[Steel Member],0),_xlfn.XMATCH(Y$2,Table2[#Headers],0)))</f>
        <v>#N/A</v>
      </c>
      <c r="Z587" s="4" t="e" cm="1">
        <f t="array" ref="Z587">IF(INDEX(Table2[],_xlfn.XMATCH($A587,Table2[Steel Member],0),_xlfn.XMATCH(Z$2,Table2[#Headers],0))=0,"",INDEX(Table2[],_xlfn.XMATCH($A587,Table2[Steel Member],0),_xlfn.XMATCH(Z$2,Table2[#Headers],0)))</f>
        <v>#N/A</v>
      </c>
      <c r="AA587" s="4" t="e" cm="1">
        <f t="array" ref="AA587">IF(INDEX(Table2[],_xlfn.XMATCH($A587,Table2[Steel Member],0),_xlfn.XMATCH(AA$2,Table2[#Headers],0))=0,"",INDEX(Table2[],_xlfn.XMATCH($A587,Table2[Steel Member],0),_xlfn.XMATCH(AA$2,Table2[#Headers],0)))</f>
        <v>#N/A</v>
      </c>
      <c r="AB587" s="4" t="e" cm="1">
        <f t="array" ref="AB587">IF(INDEX(Table2[],_xlfn.XMATCH($A587,Table2[Steel Member],0),_xlfn.XMATCH(AB$2,Table2[#Headers],0))=0,"",INDEX(Table2[],_xlfn.XMATCH($A587,Table2[Steel Member],0),_xlfn.XMATCH(AB$2,Table2[#Headers],0)))</f>
        <v>#N/A</v>
      </c>
      <c r="AC587" s="4" t="str" cm="1">
        <f t="array" ref="AC587">IFERROR(INDEX(Table8[],_xlfn.XMATCH($O587,Table8[Dimension Name Category],0),_xlfn.XMATCH(AC$2&amp;IF($L587," w/ tag"," w/o tag"),Table8[#Headers],0)),"")</f>
        <v/>
      </c>
      <c r="AD587" s="59" t="str">
        <f t="shared" si="141"/>
        <v/>
      </c>
      <c r="AE587" s="4" t="str">
        <f t="shared" si="142"/>
        <v/>
      </c>
      <c r="AF587" s="4" t="str">
        <f t="shared" si="143"/>
        <v/>
      </c>
      <c r="AG587" s="4" t="str" cm="1">
        <f t="array" ref="AG587">IFERROR(INDEX(Table8[],_xlfn.XMATCH($O587,Table8[Dimension Name Category],0),_xlfn.XMATCH(AG$2&amp;IF($L587," w/ tag"," w/o tag"),Table8[#Headers],0)),"")</f>
        <v/>
      </c>
      <c r="AH587" s="59" t="str">
        <f t="shared" si="144"/>
        <v/>
      </c>
      <c r="AI587" s="4"/>
      <c r="AJ587" s="4" t="str">
        <f t="shared" si="145"/>
        <v/>
      </c>
      <c r="AK587" s="4" t="str">
        <f t="shared" si="146"/>
        <v/>
      </c>
      <c r="AL587" s="4" t="e" cm="1">
        <f t="array" ref="AL587">IF(INDEX(Table2[],_xlfn.XMATCH($A587,Table2[Steel Member],0),_xlfn.XMATCH(AL$2,Table2[#Headers],0))=0,"",INDEX(Table2[],_xlfn.XMATCH($A587,Table2[Steel Member],0),_xlfn.XMATCH(AL$2,Table2[#Headers],0)))</f>
        <v>#N/A</v>
      </c>
      <c r="AM587" s="4"/>
      <c r="AN587" s="4" t="str">
        <f t="shared" si="147"/>
        <v/>
      </c>
      <c r="AO587" s="4"/>
      <c r="AP587" s="4" t="e" cm="1">
        <f t="array" ref="AP587">IF(INDEX(Table2[],_xlfn.XMATCH($A587,Table2[Steel Member],0),_xlfn.XMATCH(AP$2,Table2[#Headers],0))=0,"",INDEX(Table2[],_xlfn.XMATCH($A587,Table2[Steel Member],0),_xlfn.XMATCH(AP$2,Table2[#Headers],0)))</f>
        <v>#N/A</v>
      </c>
      <c r="AQ587" s="4"/>
      <c r="AR587" s="4"/>
      <c r="AS587" s="4"/>
      <c r="AT587" s="4"/>
    </row>
    <row r="588" spans="1:46" x14ac:dyDescent="0.25">
      <c r="A588" s="52"/>
      <c r="B588" s="52"/>
      <c r="C588" s="52"/>
      <c r="D588" s="52"/>
      <c r="E588" s="52"/>
      <c r="F588" s="64" cm="1">
        <f t="array" ref="F588">IF(COUNT(FIND(PurlinsxGirthsxBracings,$C588))&gt;0,0,ROUNDUP(IF(D588=0,0,VLOOKUP(D588,'DATA SHEET'!$B:$D,2,FALSE)),2))</f>
        <v>0</v>
      </c>
      <c r="G588" s="64" cm="1">
        <f t="array" ref="G588">IF(COUNT(FIND(PurlinsxGirthsxBracings,$C588))&gt;0,0,ROUNDUP(IF(D588=0,0,VLOOKUP(D588,'DATA SHEET'!$B:$D,3,FALSE)),2))</f>
        <v>0</v>
      </c>
      <c r="H588" s="53"/>
      <c r="I588" s="66" cm="1">
        <f t="array" ref="I588">IF(AND(ISBLANK(B588),ISBLANK(C588),ISBLANK(E588)),0,IF(COUNT(FIND(PurlinsxGirthsxBracings,$C588))&gt;0,IF(B588=0,CONCATENATE(E588," ",C588),CONCATENATE(B588," - ",E588," ",C588)),IF(B588=0,IF(ISBLANK(C588),E588,CONCATENATE(D588,", ",F588,"kg/m, ",G588,"mm surface perimeter")),IF(AND(ISBLANK(C588),ISTEXT(E588)),CONCATENATE(B588," - ",E588),IF(AND(ISBLANK(C588),ISBLANK(E588)),B588,CONCATENATE(B588," - ",D588,", ",F588,"kg/m, ",G588,"mm surface perimeter"))))&amp;IF(ISBLANK(H588),"",H588)))</f>
        <v>0</v>
      </c>
      <c r="J588" s="53"/>
      <c r="L588" s="4" t="str" cm="1">
        <f t="array" ref="L588">IF(COUNT(FIND({0,1,2,3,4,5,6,7,8,9},B588))&gt;0,COUNT(FIND({0,1,2,3,4,5,6,7,8,9},B588))&gt;0,"")</f>
        <v/>
      </c>
      <c r="M588" s="4" t="str" cm="1">
        <f t="array" aca="1" ref="M588" ca="1">IFERROR(_xlfn.IFS(R588="Count",RANDBETWEEN(1,COUNTIF($R$11:$R$653,"Count")),R588="Length",RANDBETWEEN(1,COUNTIF($R$11:$R$653,"Length"))),"")</f>
        <v/>
      </c>
      <c r="N588" s="4" t="str">
        <f ca="1">IFERROR(_xlfn.RANK.EQ(M588,$M$11:$M$653)+COUNTIF($M$11:M588,M588)-1,"")</f>
        <v/>
      </c>
      <c r="O588" s="86" t="str">
        <f>IF(A588='DATA SHEET'!$L$36,C588,IFERROR(IF(AND(ISTEXT(I588),ISBLANK(C588)),"No details",VLOOKUP(C588,DimFolder,2,FALSE)),""))</f>
        <v/>
      </c>
      <c r="P588" s="4" t="str">
        <f t="shared" si="149"/>
        <v/>
      </c>
      <c r="Q588" s="58" t="str">
        <f t="shared" si="148"/>
        <v/>
      </c>
      <c r="R588" s="4" t="e" cm="1">
        <f t="array" ref="R588">IF(INDEX(Table2[],_xlfn.XMATCH($A588,Table2[Steel Member],0),_xlfn.XMATCH(R$2,Table2[#Headers],0))=0,"",INDEX(Table2[],_xlfn.XMATCH($A588,Table2[Steel Member],0),_xlfn.XMATCH(R$2,Table2[#Headers],0)))</f>
        <v>#N/A</v>
      </c>
      <c r="S588" s="4" t="e" cm="1">
        <f t="array" ref="S588">IF(INDEX(Table2[],_xlfn.XMATCH($A588,Table2[Steel Member],0),_xlfn.XMATCH(S$2,Table2[#Headers],0))=0,"",INDEX(Table2[],_xlfn.XMATCH($A588,Table2[Steel Member],0),_xlfn.XMATCH(S$2,Table2[#Headers],0)))</f>
        <v>#N/A</v>
      </c>
      <c r="T588" s="4" t="str">
        <f t="shared" si="139"/>
        <v/>
      </c>
      <c r="U588" s="4" t="e">
        <f ca="1">VLOOKUP(N588,'COLOR CODE'!$B:$D,2,FALSE)</f>
        <v>#N/A</v>
      </c>
      <c r="V588" s="4" t="str">
        <f t="shared" si="140"/>
        <v/>
      </c>
      <c r="W588" s="4" t="e" cm="1">
        <f t="array" ref="W588">IF(INDEX(Table2[],_xlfn.XMATCH($A588,Table2[Steel Member],0),_xlfn.XMATCH(W$2,Table2[#Headers],0))=0,"",INDEX(Table2[],_xlfn.XMATCH($A588,Table2[Steel Member],0),_xlfn.XMATCH(W$2,Table2[#Headers],0)))</f>
        <v>#N/A</v>
      </c>
      <c r="X588" s="4" t="e">
        <f t="shared" si="138"/>
        <v>#N/A</v>
      </c>
      <c r="Y588" s="4" t="e" cm="1">
        <f t="array" ref="Y588">IF(INDEX(Table2[],_xlfn.XMATCH($A588,Table2[Steel Member],0),_xlfn.XMATCH(Y$2,Table2[#Headers],0))=0,"",INDEX(Table2[],_xlfn.XMATCH($A588,Table2[Steel Member],0),_xlfn.XMATCH(Y$2,Table2[#Headers],0)))</f>
        <v>#N/A</v>
      </c>
      <c r="Z588" s="4" t="e" cm="1">
        <f t="array" ref="Z588">IF(INDEX(Table2[],_xlfn.XMATCH($A588,Table2[Steel Member],0),_xlfn.XMATCH(Z$2,Table2[#Headers],0))=0,"",INDEX(Table2[],_xlfn.XMATCH($A588,Table2[Steel Member],0),_xlfn.XMATCH(Z$2,Table2[#Headers],0)))</f>
        <v>#N/A</v>
      </c>
      <c r="AA588" s="4" t="e" cm="1">
        <f t="array" ref="AA588">IF(INDEX(Table2[],_xlfn.XMATCH($A588,Table2[Steel Member],0),_xlfn.XMATCH(AA$2,Table2[#Headers],0))=0,"",INDEX(Table2[],_xlfn.XMATCH($A588,Table2[Steel Member],0),_xlfn.XMATCH(AA$2,Table2[#Headers],0)))</f>
        <v>#N/A</v>
      </c>
      <c r="AB588" s="4" t="e" cm="1">
        <f t="array" ref="AB588">IF(INDEX(Table2[],_xlfn.XMATCH($A588,Table2[Steel Member],0),_xlfn.XMATCH(AB$2,Table2[#Headers],0))=0,"",INDEX(Table2[],_xlfn.XMATCH($A588,Table2[Steel Member],0),_xlfn.XMATCH(AB$2,Table2[#Headers],0)))</f>
        <v>#N/A</v>
      </c>
      <c r="AC588" s="4" t="str" cm="1">
        <f t="array" ref="AC588">IFERROR(INDEX(Table8[],_xlfn.XMATCH($O588,Table8[Dimension Name Category],0),_xlfn.XMATCH(AC$2&amp;IF($L588," w/ tag"," w/o tag"),Table8[#Headers],0)),"")</f>
        <v/>
      </c>
      <c r="AD588" s="59" t="str">
        <f t="shared" si="141"/>
        <v/>
      </c>
      <c r="AE588" s="4" t="str">
        <f t="shared" si="142"/>
        <v/>
      </c>
      <c r="AF588" s="4" t="str">
        <f t="shared" si="143"/>
        <v/>
      </c>
      <c r="AG588" s="4" t="str" cm="1">
        <f t="array" ref="AG588">IFERROR(INDEX(Table8[],_xlfn.XMATCH($O588,Table8[Dimension Name Category],0),_xlfn.XMATCH(AG$2&amp;IF($L588," w/ tag"," w/o tag"),Table8[#Headers],0)),"")</f>
        <v/>
      </c>
      <c r="AH588" s="59" t="str">
        <f t="shared" si="144"/>
        <v/>
      </c>
      <c r="AI588" s="4"/>
      <c r="AJ588" s="4" t="str">
        <f t="shared" si="145"/>
        <v/>
      </c>
      <c r="AK588" s="4" t="str">
        <f t="shared" si="146"/>
        <v/>
      </c>
      <c r="AL588" s="4" t="e" cm="1">
        <f t="array" ref="AL588">IF(INDEX(Table2[],_xlfn.XMATCH($A588,Table2[Steel Member],0),_xlfn.XMATCH(AL$2,Table2[#Headers],0))=0,"",INDEX(Table2[],_xlfn.XMATCH($A588,Table2[Steel Member],0),_xlfn.XMATCH(AL$2,Table2[#Headers],0)))</f>
        <v>#N/A</v>
      </c>
      <c r="AM588" s="4"/>
      <c r="AN588" s="4" t="str">
        <f t="shared" si="147"/>
        <v/>
      </c>
      <c r="AO588" s="4"/>
      <c r="AP588" s="4" t="e" cm="1">
        <f t="array" ref="AP588">IF(INDEX(Table2[],_xlfn.XMATCH($A588,Table2[Steel Member],0),_xlfn.XMATCH(AP$2,Table2[#Headers],0))=0,"",INDEX(Table2[],_xlfn.XMATCH($A588,Table2[Steel Member],0),_xlfn.XMATCH(AP$2,Table2[#Headers],0)))</f>
        <v>#N/A</v>
      </c>
      <c r="AQ588" s="4"/>
      <c r="AR588" s="4"/>
      <c r="AS588" s="4"/>
      <c r="AT588" s="4"/>
    </row>
    <row r="589" spans="1:46" x14ac:dyDescent="0.25">
      <c r="A589" s="52"/>
      <c r="B589" s="52"/>
      <c r="C589" s="52"/>
      <c r="D589" s="52"/>
      <c r="E589" s="52"/>
      <c r="F589" s="64" cm="1">
        <f t="array" ref="F589">IF(COUNT(FIND(PurlinsxGirthsxBracings,$C589))&gt;0,0,ROUNDUP(IF(D589=0,0,VLOOKUP(D589,'DATA SHEET'!$B:$D,2,FALSE)),2))</f>
        <v>0</v>
      </c>
      <c r="G589" s="64" cm="1">
        <f t="array" ref="G589">IF(COUNT(FIND(PurlinsxGirthsxBracings,$C589))&gt;0,0,ROUNDUP(IF(D589=0,0,VLOOKUP(D589,'DATA SHEET'!$B:$D,3,FALSE)),2))</f>
        <v>0</v>
      </c>
      <c r="H589" s="53"/>
      <c r="I589" s="66" cm="1">
        <f t="array" ref="I589">IF(AND(ISBLANK(B589),ISBLANK(C589),ISBLANK(E589)),0,IF(COUNT(FIND(PurlinsxGirthsxBracings,$C589))&gt;0,IF(B589=0,CONCATENATE(E589," ",C589),CONCATENATE(B589," - ",E589," ",C589)),IF(B589=0,IF(ISBLANK(C589),E589,CONCATENATE(D589,", ",F589,"kg/m, ",G589,"mm surface perimeter")),IF(AND(ISBLANK(C589),ISTEXT(E589)),CONCATENATE(B589," - ",E589),IF(AND(ISBLANK(C589),ISBLANK(E589)),B589,CONCATENATE(B589," - ",D589,", ",F589,"kg/m, ",G589,"mm surface perimeter"))))&amp;IF(ISBLANK(H589),"",H589)))</f>
        <v>0</v>
      </c>
      <c r="J589" s="53"/>
      <c r="L589" s="4" t="str" cm="1">
        <f t="array" ref="L589">IF(COUNT(FIND({0,1,2,3,4,5,6,7,8,9},B589))&gt;0,COUNT(FIND({0,1,2,3,4,5,6,7,8,9},B589))&gt;0,"")</f>
        <v/>
      </c>
      <c r="M589" s="4" t="str" cm="1">
        <f t="array" aca="1" ref="M589" ca="1">IFERROR(_xlfn.IFS(R589="Count",RANDBETWEEN(1,COUNTIF($R$11:$R$653,"Count")),R589="Length",RANDBETWEEN(1,COUNTIF($R$11:$R$653,"Length"))),"")</f>
        <v/>
      </c>
      <c r="N589" s="4" t="str">
        <f ca="1">IFERROR(_xlfn.RANK.EQ(M589,$M$11:$M$653)+COUNTIF($M$11:M589,M589)-1,"")</f>
        <v/>
      </c>
      <c r="O589" s="86" t="str">
        <f>IF(A589='DATA SHEET'!$L$36,C589,IFERROR(IF(AND(ISTEXT(I589),ISBLANK(C589)),"No details",VLOOKUP(C589,DimFolder,2,FALSE)),""))</f>
        <v/>
      </c>
      <c r="P589" s="4" t="str">
        <f t="shared" si="149"/>
        <v/>
      </c>
      <c r="Q589" s="58" t="str">
        <f t="shared" si="148"/>
        <v/>
      </c>
      <c r="R589" s="4" t="e" cm="1">
        <f t="array" ref="R589">IF(INDEX(Table2[],_xlfn.XMATCH($A589,Table2[Steel Member],0),_xlfn.XMATCH(R$2,Table2[#Headers],0))=0,"",INDEX(Table2[],_xlfn.XMATCH($A589,Table2[Steel Member],0),_xlfn.XMATCH(R$2,Table2[#Headers],0)))</f>
        <v>#N/A</v>
      </c>
      <c r="S589" s="4" t="e" cm="1">
        <f t="array" ref="S589">IF(INDEX(Table2[],_xlfn.XMATCH($A589,Table2[Steel Member],0),_xlfn.XMATCH(S$2,Table2[#Headers],0))=0,"",INDEX(Table2[],_xlfn.XMATCH($A589,Table2[Steel Member],0),_xlfn.XMATCH(S$2,Table2[#Headers],0)))</f>
        <v>#N/A</v>
      </c>
      <c r="T589" s="4" t="str">
        <f t="shared" si="139"/>
        <v/>
      </c>
      <c r="U589" s="4" t="e">
        <f ca="1">VLOOKUP(N589,'COLOR CODE'!$B:$D,2,FALSE)</f>
        <v>#N/A</v>
      </c>
      <c r="V589" s="4" t="str">
        <f t="shared" si="140"/>
        <v/>
      </c>
      <c r="W589" s="4" t="e" cm="1">
        <f t="array" ref="W589">IF(INDEX(Table2[],_xlfn.XMATCH($A589,Table2[Steel Member],0),_xlfn.XMATCH(W$2,Table2[#Headers],0))=0,"",INDEX(Table2[],_xlfn.XMATCH($A589,Table2[Steel Member],0),_xlfn.XMATCH(W$2,Table2[#Headers],0)))</f>
        <v>#N/A</v>
      </c>
      <c r="X589" s="4" t="e">
        <f t="shared" si="138"/>
        <v>#N/A</v>
      </c>
      <c r="Y589" s="4" t="e" cm="1">
        <f t="array" ref="Y589">IF(INDEX(Table2[],_xlfn.XMATCH($A589,Table2[Steel Member],0),_xlfn.XMATCH(Y$2,Table2[#Headers],0))=0,"",INDEX(Table2[],_xlfn.XMATCH($A589,Table2[Steel Member],0),_xlfn.XMATCH(Y$2,Table2[#Headers],0)))</f>
        <v>#N/A</v>
      </c>
      <c r="Z589" s="4" t="e" cm="1">
        <f t="array" ref="Z589">IF(INDEX(Table2[],_xlfn.XMATCH($A589,Table2[Steel Member],0),_xlfn.XMATCH(Z$2,Table2[#Headers],0))=0,"",INDEX(Table2[],_xlfn.XMATCH($A589,Table2[Steel Member],0),_xlfn.XMATCH(Z$2,Table2[#Headers],0)))</f>
        <v>#N/A</v>
      </c>
      <c r="AA589" s="4" t="e" cm="1">
        <f t="array" ref="AA589">IF(INDEX(Table2[],_xlfn.XMATCH($A589,Table2[Steel Member],0),_xlfn.XMATCH(AA$2,Table2[#Headers],0))=0,"",INDEX(Table2[],_xlfn.XMATCH($A589,Table2[Steel Member],0),_xlfn.XMATCH(AA$2,Table2[#Headers],0)))</f>
        <v>#N/A</v>
      </c>
      <c r="AB589" s="4" t="e" cm="1">
        <f t="array" ref="AB589">IF(INDEX(Table2[],_xlfn.XMATCH($A589,Table2[Steel Member],0),_xlfn.XMATCH(AB$2,Table2[#Headers],0))=0,"",INDEX(Table2[],_xlfn.XMATCH($A589,Table2[Steel Member],0),_xlfn.XMATCH(AB$2,Table2[#Headers],0)))</f>
        <v>#N/A</v>
      </c>
      <c r="AC589" s="4" t="str" cm="1">
        <f t="array" ref="AC589">IFERROR(INDEX(Table8[],_xlfn.XMATCH($O589,Table8[Dimension Name Category],0),_xlfn.XMATCH(AC$2&amp;IF($L589," w/ tag"," w/o tag"),Table8[#Headers],0)),"")</f>
        <v/>
      </c>
      <c r="AD589" s="59" t="str">
        <f t="shared" si="141"/>
        <v/>
      </c>
      <c r="AE589" s="4" t="str">
        <f t="shared" si="142"/>
        <v/>
      </c>
      <c r="AF589" s="4" t="str">
        <f t="shared" si="143"/>
        <v/>
      </c>
      <c r="AG589" s="4" t="str" cm="1">
        <f t="array" ref="AG589">IFERROR(INDEX(Table8[],_xlfn.XMATCH($O589,Table8[Dimension Name Category],0),_xlfn.XMATCH(AG$2&amp;IF($L589," w/ tag"," w/o tag"),Table8[#Headers],0)),"")</f>
        <v/>
      </c>
      <c r="AH589" s="59" t="str">
        <f t="shared" si="144"/>
        <v/>
      </c>
      <c r="AI589" s="4"/>
      <c r="AJ589" s="4" t="str">
        <f t="shared" si="145"/>
        <v/>
      </c>
      <c r="AK589" s="4" t="str">
        <f t="shared" si="146"/>
        <v/>
      </c>
      <c r="AL589" s="4" t="e" cm="1">
        <f t="array" ref="AL589">IF(INDEX(Table2[],_xlfn.XMATCH($A589,Table2[Steel Member],0),_xlfn.XMATCH(AL$2,Table2[#Headers],0))=0,"",INDEX(Table2[],_xlfn.XMATCH($A589,Table2[Steel Member],0),_xlfn.XMATCH(AL$2,Table2[#Headers],0)))</f>
        <v>#N/A</v>
      </c>
      <c r="AM589" s="4"/>
      <c r="AN589" s="4" t="str">
        <f t="shared" si="147"/>
        <v/>
      </c>
      <c r="AO589" s="4"/>
      <c r="AP589" s="4" t="e" cm="1">
        <f t="array" ref="AP589">IF(INDEX(Table2[],_xlfn.XMATCH($A589,Table2[Steel Member],0),_xlfn.XMATCH(AP$2,Table2[#Headers],0))=0,"",INDEX(Table2[],_xlfn.XMATCH($A589,Table2[Steel Member],0),_xlfn.XMATCH(AP$2,Table2[#Headers],0)))</f>
        <v>#N/A</v>
      </c>
      <c r="AQ589" s="4"/>
      <c r="AR589" s="4"/>
      <c r="AS589" s="4"/>
      <c r="AT589" s="4"/>
    </row>
    <row r="590" spans="1:46" x14ac:dyDescent="0.25">
      <c r="A590" s="52"/>
      <c r="B590" s="52"/>
      <c r="C590" s="52"/>
      <c r="D590" s="52"/>
      <c r="E590" s="52"/>
      <c r="F590" s="64" cm="1">
        <f t="array" ref="F590">IF(COUNT(FIND(PurlinsxGirthsxBracings,$C590))&gt;0,0,ROUNDUP(IF(D590=0,0,VLOOKUP(D590,'DATA SHEET'!$B:$D,2,FALSE)),2))</f>
        <v>0</v>
      </c>
      <c r="G590" s="64" cm="1">
        <f t="array" ref="G590">IF(COUNT(FIND(PurlinsxGirthsxBracings,$C590))&gt;0,0,ROUNDUP(IF(D590=0,0,VLOOKUP(D590,'DATA SHEET'!$B:$D,3,FALSE)),2))</f>
        <v>0</v>
      </c>
      <c r="H590" s="53"/>
      <c r="I590" s="66" cm="1">
        <f t="array" ref="I590">IF(AND(ISBLANK(B590),ISBLANK(C590),ISBLANK(E590)),0,IF(COUNT(FIND(PurlinsxGirthsxBracings,$C590))&gt;0,IF(B590=0,CONCATENATE(E590," ",C590),CONCATENATE(B590," - ",E590," ",C590)),IF(B590=0,IF(ISBLANK(C590),E590,CONCATENATE(D590,", ",F590,"kg/m, ",G590,"mm surface perimeter")),IF(AND(ISBLANK(C590),ISTEXT(E590)),CONCATENATE(B590," - ",E590),IF(AND(ISBLANK(C590),ISBLANK(E590)),B590,CONCATENATE(B590," - ",D590,", ",F590,"kg/m, ",G590,"mm surface perimeter"))))&amp;IF(ISBLANK(H590),"",H590)))</f>
        <v>0</v>
      </c>
      <c r="J590" s="53"/>
      <c r="L590" s="4" t="str" cm="1">
        <f t="array" ref="L590">IF(COUNT(FIND({0,1,2,3,4,5,6,7,8,9},B590))&gt;0,COUNT(FIND({0,1,2,3,4,5,6,7,8,9},B590))&gt;0,"")</f>
        <v/>
      </c>
      <c r="M590" s="4" t="str" cm="1">
        <f t="array" aca="1" ref="M590" ca="1">IFERROR(_xlfn.IFS(R590="Count",RANDBETWEEN(1,COUNTIF($R$11:$R$653,"Count")),R590="Length",RANDBETWEEN(1,COUNTIF($R$11:$R$653,"Length"))),"")</f>
        <v/>
      </c>
      <c r="N590" s="4" t="str">
        <f ca="1">IFERROR(_xlfn.RANK.EQ(M590,$M$11:$M$653)+COUNTIF($M$11:M590,M590)-1,"")</f>
        <v/>
      </c>
      <c r="O590" s="86" t="str">
        <f>IF(A590='DATA SHEET'!$L$36,C590,IFERROR(IF(AND(ISTEXT(I590),ISBLANK(C590)),"No details",VLOOKUP(C590,DimFolder,2,FALSE)),""))</f>
        <v/>
      </c>
      <c r="P590" s="4" t="str">
        <f t="shared" si="149"/>
        <v/>
      </c>
      <c r="Q590" s="58" t="str">
        <f t="shared" si="148"/>
        <v/>
      </c>
      <c r="R590" s="4" t="e" cm="1">
        <f t="array" ref="R590">IF(INDEX(Table2[],_xlfn.XMATCH($A590,Table2[Steel Member],0),_xlfn.XMATCH(R$2,Table2[#Headers],0))=0,"",INDEX(Table2[],_xlfn.XMATCH($A590,Table2[Steel Member],0),_xlfn.XMATCH(R$2,Table2[#Headers],0)))</f>
        <v>#N/A</v>
      </c>
      <c r="S590" s="4" t="e" cm="1">
        <f t="array" ref="S590">IF(INDEX(Table2[],_xlfn.XMATCH($A590,Table2[Steel Member],0),_xlfn.XMATCH(S$2,Table2[#Headers],0))=0,"",INDEX(Table2[],_xlfn.XMATCH($A590,Table2[Steel Member],0),_xlfn.XMATCH(S$2,Table2[#Headers],0)))</f>
        <v>#N/A</v>
      </c>
      <c r="T590" s="4" t="str">
        <f t="shared" si="139"/>
        <v/>
      </c>
      <c r="U590" s="4" t="e">
        <f ca="1">VLOOKUP(N590,'COLOR CODE'!$B:$D,2,FALSE)</f>
        <v>#N/A</v>
      </c>
      <c r="V590" s="4" t="str">
        <f t="shared" si="140"/>
        <v/>
      </c>
      <c r="W590" s="4" t="e" cm="1">
        <f t="array" ref="W590">IF(INDEX(Table2[],_xlfn.XMATCH($A590,Table2[Steel Member],0),_xlfn.XMATCH(W$2,Table2[#Headers],0))=0,"",INDEX(Table2[],_xlfn.XMATCH($A590,Table2[Steel Member],0),_xlfn.XMATCH(W$2,Table2[#Headers],0)))</f>
        <v>#N/A</v>
      </c>
      <c r="X590" s="4" t="e">
        <f t="shared" si="138"/>
        <v>#N/A</v>
      </c>
      <c r="Y590" s="4" t="e" cm="1">
        <f t="array" ref="Y590">IF(INDEX(Table2[],_xlfn.XMATCH($A590,Table2[Steel Member],0),_xlfn.XMATCH(Y$2,Table2[#Headers],0))=0,"",INDEX(Table2[],_xlfn.XMATCH($A590,Table2[Steel Member],0),_xlfn.XMATCH(Y$2,Table2[#Headers],0)))</f>
        <v>#N/A</v>
      </c>
      <c r="Z590" s="4" t="e" cm="1">
        <f t="array" ref="Z590">IF(INDEX(Table2[],_xlfn.XMATCH($A590,Table2[Steel Member],0),_xlfn.XMATCH(Z$2,Table2[#Headers],0))=0,"",INDEX(Table2[],_xlfn.XMATCH($A590,Table2[Steel Member],0),_xlfn.XMATCH(Z$2,Table2[#Headers],0)))</f>
        <v>#N/A</v>
      </c>
      <c r="AA590" s="4" t="e" cm="1">
        <f t="array" ref="AA590">IF(INDEX(Table2[],_xlfn.XMATCH($A590,Table2[Steel Member],0),_xlfn.XMATCH(AA$2,Table2[#Headers],0))=0,"",INDEX(Table2[],_xlfn.XMATCH($A590,Table2[Steel Member],0),_xlfn.XMATCH(AA$2,Table2[#Headers],0)))</f>
        <v>#N/A</v>
      </c>
      <c r="AB590" s="4" t="e" cm="1">
        <f t="array" ref="AB590">IF(INDEX(Table2[],_xlfn.XMATCH($A590,Table2[Steel Member],0),_xlfn.XMATCH(AB$2,Table2[#Headers],0))=0,"",INDEX(Table2[],_xlfn.XMATCH($A590,Table2[Steel Member],0),_xlfn.XMATCH(AB$2,Table2[#Headers],0)))</f>
        <v>#N/A</v>
      </c>
      <c r="AC590" s="4" t="str" cm="1">
        <f t="array" ref="AC590">IFERROR(INDEX(Table8[],_xlfn.XMATCH($O590,Table8[Dimension Name Category],0),_xlfn.XMATCH(AC$2&amp;IF($L590," w/ tag"," w/o tag"),Table8[#Headers],0)),"")</f>
        <v/>
      </c>
      <c r="AD590" s="59" t="str">
        <f t="shared" si="141"/>
        <v/>
      </c>
      <c r="AE590" s="4" t="str">
        <f t="shared" si="142"/>
        <v/>
      </c>
      <c r="AF590" s="4" t="str">
        <f t="shared" si="143"/>
        <v/>
      </c>
      <c r="AG590" s="4" t="str" cm="1">
        <f t="array" ref="AG590">IFERROR(INDEX(Table8[],_xlfn.XMATCH($O590,Table8[Dimension Name Category],0),_xlfn.XMATCH(AG$2&amp;IF($L590," w/ tag"," w/o tag"),Table8[#Headers],0)),"")</f>
        <v/>
      </c>
      <c r="AH590" s="59" t="str">
        <f t="shared" si="144"/>
        <v/>
      </c>
      <c r="AI590" s="4"/>
      <c r="AJ590" s="4" t="str">
        <f t="shared" si="145"/>
        <v/>
      </c>
      <c r="AK590" s="4" t="str">
        <f t="shared" si="146"/>
        <v/>
      </c>
      <c r="AL590" s="4" t="e" cm="1">
        <f t="array" ref="AL590">IF(INDEX(Table2[],_xlfn.XMATCH($A590,Table2[Steel Member],0),_xlfn.XMATCH(AL$2,Table2[#Headers],0))=0,"",INDEX(Table2[],_xlfn.XMATCH($A590,Table2[Steel Member],0),_xlfn.XMATCH(AL$2,Table2[#Headers],0)))</f>
        <v>#N/A</v>
      </c>
      <c r="AM590" s="4"/>
      <c r="AN590" s="4" t="str">
        <f t="shared" si="147"/>
        <v/>
      </c>
      <c r="AO590" s="4"/>
      <c r="AP590" s="4" t="e" cm="1">
        <f t="array" ref="AP590">IF(INDEX(Table2[],_xlfn.XMATCH($A590,Table2[Steel Member],0),_xlfn.XMATCH(AP$2,Table2[#Headers],0))=0,"",INDEX(Table2[],_xlfn.XMATCH($A590,Table2[Steel Member],0),_xlfn.XMATCH(AP$2,Table2[#Headers],0)))</f>
        <v>#N/A</v>
      </c>
      <c r="AQ590" s="4"/>
      <c r="AR590" s="4"/>
      <c r="AS590" s="4"/>
      <c r="AT590" s="4"/>
    </row>
    <row r="591" spans="1:46" x14ac:dyDescent="0.25">
      <c r="A591" s="52"/>
      <c r="B591" s="52"/>
      <c r="C591" s="52"/>
      <c r="D591" s="52"/>
      <c r="E591" s="52"/>
      <c r="F591" s="64" cm="1">
        <f t="array" ref="F591">IF(COUNT(FIND(PurlinsxGirthsxBracings,$C591))&gt;0,0,ROUNDUP(IF(D591=0,0,VLOOKUP(D591,'DATA SHEET'!$B:$D,2,FALSE)),2))</f>
        <v>0</v>
      </c>
      <c r="G591" s="64" cm="1">
        <f t="array" ref="G591">IF(COUNT(FIND(PurlinsxGirthsxBracings,$C591))&gt;0,0,ROUNDUP(IF(D591=0,0,VLOOKUP(D591,'DATA SHEET'!$B:$D,3,FALSE)),2))</f>
        <v>0</v>
      </c>
      <c r="H591" s="53"/>
      <c r="I591" s="66" cm="1">
        <f t="array" ref="I591">IF(AND(ISBLANK(B591),ISBLANK(C591),ISBLANK(E591)),0,IF(COUNT(FIND(PurlinsxGirthsxBracings,$C591))&gt;0,IF(B591=0,CONCATENATE(E591," ",C591),CONCATENATE(B591," - ",E591," ",C591)),IF(B591=0,IF(ISBLANK(C591),E591,CONCATENATE(D591,", ",F591,"kg/m, ",G591,"mm surface perimeter")),IF(AND(ISBLANK(C591),ISTEXT(E591)),CONCATENATE(B591," - ",E591),IF(AND(ISBLANK(C591),ISBLANK(E591)),B591,CONCATENATE(B591," - ",D591,", ",F591,"kg/m, ",G591,"mm surface perimeter"))))&amp;IF(ISBLANK(H591),"",H591)))</f>
        <v>0</v>
      </c>
      <c r="J591" s="53"/>
      <c r="L591" s="4" t="str" cm="1">
        <f t="array" ref="L591">IF(COUNT(FIND({0,1,2,3,4,5,6,7,8,9},B591))&gt;0,COUNT(FIND({0,1,2,3,4,5,6,7,8,9},B591))&gt;0,"")</f>
        <v/>
      </c>
      <c r="M591" s="4" t="str" cm="1">
        <f t="array" aca="1" ref="M591" ca="1">IFERROR(_xlfn.IFS(R591="Count",RANDBETWEEN(1,COUNTIF($R$11:$R$653,"Count")),R591="Length",RANDBETWEEN(1,COUNTIF($R$11:$R$653,"Length"))),"")</f>
        <v/>
      </c>
      <c r="N591" s="4" t="str">
        <f ca="1">IFERROR(_xlfn.RANK.EQ(M591,$M$11:$M$653)+COUNTIF($M$11:M591,M591)-1,"")</f>
        <v/>
      </c>
      <c r="O591" s="86" t="str">
        <f>IF(A591='DATA SHEET'!$L$36,C591,IFERROR(IF(AND(ISTEXT(I591),ISBLANK(C591)),"No details",VLOOKUP(C591,DimFolder,2,FALSE)),""))</f>
        <v/>
      </c>
      <c r="P591" s="4" t="str">
        <f t="shared" si="149"/>
        <v/>
      </c>
      <c r="Q591" s="58" t="str">
        <f t="shared" si="148"/>
        <v/>
      </c>
      <c r="R591" s="4" t="e" cm="1">
        <f t="array" ref="R591">IF(INDEX(Table2[],_xlfn.XMATCH($A591,Table2[Steel Member],0),_xlfn.XMATCH(R$2,Table2[#Headers],0))=0,"",INDEX(Table2[],_xlfn.XMATCH($A591,Table2[Steel Member],0),_xlfn.XMATCH(R$2,Table2[#Headers],0)))</f>
        <v>#N/A</v>
      </c>
      <c r="S591" s="4" t="e" cm="1">
        <f t="array" ref="S591">IF(INDEX(Table2[],_xlfn.XMATCH($A591,Table2[Steel Member],0),_xlfn.XMATCH(S$2,Table2[#Headers],0))=0,"",INDEX(Table2[],_xlfn.XMATCH($A591,Table2[Steel Member],0),_xlfn.XMATCH(S$2,Table2[#Headers],0)))</f>
        <v>#N/A</v>
      </c>
      <c r="T591" s="4" t="str">
        <f t="shared" si="139"/>
        <v/>
      </c>
      <c r="U591" s="4" t="e">
        <f ca="1">VLOOKUP(N591,'COLOR CODE'!$B:$D,2,FALSE)</f>
        <v>#N/A</v>
      </c>
      <c r="V591" s="4" t="str">
        <f t="shared" si="140"/>
        <v/>
      </c>
      <c r="W591" s="4" t="e" cm="1">
        <f t="array" ref="W591">IF(INDEX(Table2[],_xlfn.XMATCH($A591,Table2[Steel Member],0),_xlfn.XMATCH(W$2,Table2[#Headers],0))=0,"",INDEX(Table2[],_xlfn.XMATCH($A591,Table2[Steel Member],0),_xlfn.XMATCH(W$2,Table2[#Headers],0)))</f>
        <v>#N/A</v>
      </c>
      <c r="X591" s="4" t="e">
        <f t="shared" ref="X591:X653" si="150">W591</f>
        <v>#N/A</v>
      </c>
      <c r="Y591" s="4" t="e" cm="1">
        <f t="array" ref="Y591">IF(INDEX(Table2[],_xlfn.XMATCH($A591,Table2[Steel Member],0),_xlfn.XMATCH(Y$2,Table2[#Headers],0))=0,"",INDEX(Table2[],_xlfn.XMATCH($A591,Table2[Steel Member],0),_xlfn.XMATCH(Y$2,Table2[#Headers],0)))</f>
        <v>#N/A</v>
      </c>
      <c r="Z591" s="4" t="e" cm="1">
        <f t="array" ref="Z591">IF(INDEX(Table2[],_xlfn.XMATCH($A591,Table2[Steel Member],0),_xlfn.XMATCH(Z$2,Table2[#Headers],0))=0,"",INDEX(Table2[],_xlfn.XMATCH($A591,Table2[Steel Member],0),_xlfn.XMATCH(Z$2,Table2[#Headers],0)))</f>
        <v>#N/A</v>
      </c>
      <c r="AA591" s="4" t="e" cm="1">
        <f t="array" ref="AA591">IF(INDEX(Table2[],_xlfn.XMATCH($A591,Table2[Steel Member],0),_xlfn.XMATCH(AA$2,Table2[#Headers],0))=0,"",INDEX(Table2[],_xlfn.XMATCH($A591,Table2[Steel Member],0),_xlfn.XMATCH(AA$2,Table2[#Headers],0)))</f>
        <v>#N/A</v>
      </c>
      <c r="AB591" s="4" t="e" cm="1">
        <f t="array" ref="AB591">IF(INDEX(Table2[],_xlfn.XMATCH($A591,Table2[Steel Member],0),_xlfn.XMATCH(AB$2,Table2[#Headers],0))=0,"",INDEX(Table2[],_xlfn.XMATCH($A591,Table2[Steel Member],0),_xlfn.XMATCH(AB$2,Table2[#Headers],0)))</f>
        <v>#N/A</v>
      </c>
      <c r="AC591" s="4" t="str" cm="1">
        <f t="array" ref="AC591">IFERROR(INDEX(Table8[],_xlfn.XMATCH($O591,Table8[Dimension Name Category],0),_xlfn.XMATCH(AC$2&amp;IF($L591," w/ tag"," w/o tag"),Table8[#Headers],0)),"")</f>
        <v/>
      </c>
      <c r="AD591" s="59" t="str">
        <f t="shared" si="141"/>
        <v/>
      </c>
      <c r="AE591" s="4" t="str">
        <f t="shared" si="142"/>
        <v/>
      </c>
      <c r="AF591" s="4" t="str">
        <f t="shared" si="143"/>
        <v/>
      </c>
      <c r="AG591" s="4" t="str" cm="1">
        <f t="array" ref="AG591">IFERROR(INDEX(Table8[],_xlfn.XMATCH($O591,Table8[Dimension Name Category],0),_xlfn.XMATCH(AG$2&amp;IF($L591," w/ tag"," w/o tag"),Table8[#Headers],0)),"")</f>
        <v/>
      </c>
      <c r="AH591" s="59" t="str">
        <f t="shared" si="144"/>
        <v/>
      </c>
      <c r="AI591" s="4"/>
      <c r="AJ591" s="4" t="str">
        <f t="shared" si="145"/>
        <v/>
      </c>
      <c r="AK591" s="4" t="str">
        <f t="shared" si="146"/>
        <v/>
      </c>
      <c r="AL591" s="4" t="e" cm="1">
        <f t="array" ref="AL591">IF(INDEX(Table2[],_xlfn.XMATCH($A591,Table2[Steel Member],0),_xlfn.XMATCH(AL$2,Table2[#Headers],0))=0,"",INDEX(Table2[],_xlfn.XMATCH($A591,Table2[Steel Member],0),_xlfn.XMATCH(AL$2,Table2[#Headers],0)))</f>
        <v>#N/A</v>
      </c>
      <c r="AM591" s="4"/>
      <c r="AN591" s="4" t="str">
        <f t="shared" si="147"/>
        <v/>
      </c>
      <c r="AO591" s="4"/>
      <c r="AP591" s="4" t="e" cm="1">
        <f t="array" ref="AP591">IF(INDEX(Table2[],_xlfn.XMATCH($A591,Table2[Steel Member],0),_xlfn.XMATCH(AP$2,Table2[#Headers],0))=0,"",INDEX(Table2[],_xlfn.XMATCH($A591,Table2[Steel Member],0),_xlfn.XMATCH(AP$2,Table2[#Headers],0)))</f>
        <v>#N/A</v>
      </c>
      <c r="AQ591" s="4"/>
      <c r="AR591" s="4"/>
      <c r="AS591" s="4"/>
      <c r="AT591" s="4"/>
    </row>
    <row r="592" spans="1:46" x14ac:dyDescent="0.25">
      <c r="A592" s="52"/>
      <c r="B592" s="52"/>
      <c r="C592" s="52"/>
      <c r="D592" s="52"/>
      <c r="E592" s="52"/>
      <c r="F592" s="64" cm="1">
        <f t="array" ref="F592">IF(COUNT(FIND(PurlinsxGirthsxBracings,$C592))&gt;0,0,ROUNDUP(IF(D592=0,0,VLOOKUP(D592,'DATA SHEET'!$B:$D,2,FALSE)),2))</f>
        <v>0</v>
      </c>
      <c r="G592" s="64" cm="1">
        <f t="array" ref="G592">IF(COUNT(FIND(PurlinsxGirthsxBracings,$C592))&gt;0,0,ROUNDUP(IF(D592=0,0,VLOOKUP(D592,'DATA SHEET'!$B:$D,3,FALSE)),2))</f>
        <v>0</v>
      </c>
      <c r="H592" s="53"/>
      <c r="I592" s="66" cm="1">
        <f t="array" ref="I592">IF(AND(ISBLANK(B592),ISBLANK(C592),ISBLANK(E592)),0,IF(COUNT(FIND(PurlinsxGirthsxBracings,$C592))&gt;0,IF(B592=0,CONCATENATE(E592," ",C592),CONCATENATE(B592," - ",E592," ",C592)),IF(B592=0,IF(ISBLANK(C592),E592,CONCATENATE(D592,", ",F592,"kg/m, ",G592,"mm surface perimeter")),IF(AND(ISBLANK(C592),ISTEXT(E592)),CONCATENATE(B592," - ",E592),IF(AND(ISBLANK(C592),ISBLANK(E592)),B592,CONCATENATE(B592," - ",D592,", ",F592,"kg/m, ",G592,"mm surface perimeter"))))&amp;IF(ISBLANK(H592),"",H592)))</f>
        <v>0</v>
      </c>
      <c r="J592" s="53"/>
      <c r="L592" s="4" t="str" cm="1">
        <f t="array" ref="L592">IF(COUNT(FIND({0,1,2,3,4,5,6,7,8,9},B592))&gt;0,COUNT(FIND({0,1,2,3,4,5,6,7,8,9},B592))&gt;0,"")</f>
        <v/>
      </c>
      <c r="M592" s="4" t="str" cm="1">
        <f t="array" aca="1" ref="M592" ca="1">IFERROR(_xlfn.IFS(R592="Count",RANDBETWEEN(1,COUNTIF($R$11:$R$653,"Count")),R592="Length",RANDBETWEEN(1,COUNTIF($R$11:$R$653,"Length"))),"")</f>
        <v/>
      </c>
      <c r="N592" s="4" t="str">
        <f ca="1">IFERROR(_xlfn.RANK.EQ(M592,$M$11:$M$653)+COUNTIF($M$11:M592,M592)-1,"")</f>
        <v/>
      </c>
      <c r="O592" s="86" t="str">
        <f>IF(A592='DATA SHEET'!$L$36,C592,IFERROR(IF(AND(ISTEXT(I592),ISBLANK(C592)),"No details",VLOOKUP(C592,DimFolder,2,FALSE)),""))</f>
        <v/>
      </c>
      <c r="P592" s="4" t="str">
        <f t="shared" si="149"/>
        <v/>
      </c>
      <c r="Q592" s="58" t="str">
        <f t="shared" si="148"/>
        <v/>
      </c>
      <c r="R592" s="4" t="e" cm="1">
        <f t="array" ref="R592">IF(INDEX(Table2[],_xlfn.XMATCH($A592,Table2[Steel Member],0),_xlfn.XMATCH(R$2,Table2[#Headers],0))=0,"",INDEX(Table2[],_xlfn.XMATCH($A592,Table2[Steel Member],0),_xlfn.XMATCH(R$2,Table2[#Headers],0)))</f>
        <v>#N/A</v>
      </c>
      <c r="S592" s="4" t="e" cm="1">
        <f t="array" ref="S592">IF(INDEX(Table2[],_xlfn.XMATCH($A592,Table2[Steel Member],0),_xlfn.XMATCH(S$2,Table2[#Headers],0))=0,"",INDEX(Table2[],_xlfn.XMATCH($A592,Table2[Steel Member],0),_xlfn.XMATCH(S$2,Table2[#Headers],0)))</f>
        <v>#N/A</v>
      </c>
      <c r="T592" s="4" t="str">
        <f t="shared" si="139"/>
        <v/>
      </c>
      <c r="U592" s="4" t="e">
        <f ca="1">VLOOKUP(N592,'COLOR CODE'!$B:$D,2,FALSE)</f>
        <v>#N/A</v>
      </c>
      <c r="V592" s="4" t="str">
        <f t="shared" si="140"/>
        <v/>
      </c>
      <c r="W592" s="4" t="e" cm="1">
        <f t="array" ref="W592">IF(INDEX(Table2[],_xlfn.XMATCH($A592,Table2[Steel Member],0),_xlfn.XMATCH(W$2,Table2[#Headers],0))=0,"",INDEX(Table2[],_xlfn.XMATCH($A592,Table2[Steel Member],0),_xlfn.XMATCH(W$2,Table2[#Headers],0)))</f>
        <v>#N/A</v>
      </c>
      <c r="X592" s="4" t="e">
        <f t="shared" si="150"/>
        <v>#N/A</v>
      </c>
      <c r="Y592" s="4" t="e" cm="1">
        <f t="array" ref="Y592">IF(INDEX(Table2[],_xlfn.XMATCH($A592,Table2[Steel Member],0),_xlfn.XMATCH(Y$2,Table2[#Headers],0))=0,"",INDEX(Table2[],_xlfn.XMATCH($A592,Table2[Steel Member],0),_xlfn.XMATCH(Y$2,Table2[#Headers],0)))</f>
        <v>#N/A</v>
      </c>
      <c r="Z592" s="4" t="e" cm="1">
        <f t="array" ref="Z592">IF(INDEX(Table2[],_xlfn.XMATCH($A592,Table2[Steel Member],0),_xlfn.XMATCH(Z$2,Table2[#Headers],0))=0,"",INDEX(Table2[],_xlfn.XMATCH($A592,Table2[Steel Member],0),_xlfn.XMATCH(Z$2,Table2[#Headers],0)))</f>
        <v>#N/A</v>
      </c>
      <c r="AA592" s="4" t="e" cm="1">
        <f t="array" ref="AA592">IF(INDEX(Table2[],_xlfn.XMATCH($A592,Table2[Steel Member],0),_xlfn.XMATCH(AA$2,Table2[#Headers],0))=0,"",INDEX(Table2[],_xlfn.XMATCH($A592,Table2[Steel Member],0),_xlfn.XMATCH(AA$2,Table2[#Headers],0)))</f>
        <v>#N/A</v>
      </c>
      <c r="AB592" s="4" t="e" cm="1">
        <f t="array" ref="AB592">IF(INDEX(Table2[],_xlfn.XMATCH($A592,Table2[Steel Member],0),_xlfn.XMATCH(AB$2,Table2[#Headers],0))=0,"",INDEX(Table2[],_xlfn.XMATCH($A592,Table2[Steel Member],0),_xlfn.XMATCH(AB$2,Table2[#Headers],0)))</f>
        <v>#N/A</v>
      </c>
      <c r="AC592" s="4" t="str" cm="1">
        <f t="array" ref="AC592">IFERROR(INDEX(Table8[],_xlfn.XMATCH($O592,Table8[Dimension Name Category],0),_xlfn.XMATCH(AC$2&amp;IF($L592," w/ tag"," w/o tag"),Table8[#Headers],0)),"")</f>
        <v/>
      </c>
      <c r="AD592" s="59" t="str">
        <f t="shared" si="141"/>
        <v/>
      </c>
      <c r="AE592" s="4" t="str">
        <f t="shared" si="142"/>
        <v/>
      </c>
      <c r="AF592" s="4" t="str">
        <f t="shared" si="143"/>
        <v/>
      </c>
      <c r="AG592" s="4" t="str" cm="1">
        <f t="array" ref="AG592">IFERROR(INDEX(Table8[],_xlfn.XMATCH($O592,Table8[Dimension Name Category],0),_xlfn.XMATCH(AG$2&amp;IF($L592," w/ tag"," w/o tag"),Table8[#Headers],0)),"")</f>
        <v/>
      </c>
      <c r="AH592" s="59" t="str">
        <f t="shared" si="144"/>
        <v/>
      </c>
      <c r="AI592" s="4"/>
      <c r="AJ592" s="4" t="str">
        <f t="shared" si="145"/>
        <v/>
      </c>
      <c r="AK592" s="4" t="str">
        <f t="shared" si="146"/>
        <v/>
      </c>
      <c r="AL592" s="4" t="e" cm="1">
        <f t="array" ref="AL592">IF(INDEX(Table2[],_xlfn.XMATCH($A592,Table2[Steel Member],0),_xlfn.XMATCH(AL$2,Table2[#Headers],0))=0,"",INDEX(Table2[],_xlfn.XMATCH($A592,Table2[Steel Member],0),_xlfn.XMATCH(AL$2,Table2[#Headers],0)))</f>
        <v>#N/A</v>
      </c>
      <c r="AM592" s="4"/>
      <c r="AN592" s="4" t="str">
        <f t="shared" si="147"/>
        <v/>
      </c>
      <c r="AO592" s="4"/>
      <c r="AP592" s="4" t="e" cm="1">
        <f t="array" ref="AP592">IF(INDEX(Table2[],_xlfn.XMATCH($A592,Table2[Steel Member],0),_xlfn.XMATCH(AP$2,Table2[#Headers],0))=0,"",INDEX(Table2[],_xlfn.XMATCH($A592,Table2[Steel Member],0),_xlfn.XMATCH(AP$2,Table2[#Headers],0)))</f>
        <v>#N/A</v>
      </c>
      <c r="AQ592" s="4"/>
      <c r="AR592" s="4"/>
      <c r="AS592" s="4"/>
      <c r="AT592" s="4"/>
    </row>
    <row r="593" spans="1:46" x14ac:dyDescent="0.25">
      <c r="A593" s="52"/>
      <c r="B593" s="52"/>
      <c r="C593" s="52"/>
      <c r="D593" s="52"/>
      <c r="E593" s="52"/>
      <c r="F593" s="64" cm="1">
        <f t="array" ref="F593">IF(COUNT(FIND(PurlinsxGirthsxBracings,$C593))&gt;0,0,ROUNDUP(IF(D593=0,0,VLOOKUP(D593,'DATA SHEET'!$B:$D,2,FALSE)),2))</f>
        <v>0</v>
      </c>
      <c r="G593" s="64" cm="1">
        <f t="array" ref="G593">IF(COUNT(FIND(PurlinsxGirthsxBracings,$C593))&gt;0,0,ROUNDUP(IF(D593=0,0,VLOOKUP(D593,'DATA SHEET'!$B:$D,3,FALSE)),2))</f>
        <v>0</v>
      </c>
      <c r="H593" s="53"/>
      <c r="I593" s="66" cm="1">
        <f t="array" ref="I593">IF(AND(ISBLANK(B593),ISBLANK(C593),ISBLANK(E593)),0,IF(COUNT(FIND(PurlinsxGirthsxBracings,$C593))&gt;0,IF(B593=0,CONCATENATE(E593," ",C593),CONCATENATE(B593," - ",E593," ",C593)),IF(B593=0,IF(ISBLANK(C593),E593,CONCATENATE(D593,", ",F593,"kg/m, ",G593,"mm surface perimeter")),IF(AND(ISBLANK(C593),ISTEXT(E593)),CONCATENATE(B593," - ",E593),IF(AND(ISBLANK(C593),ISBLANK(E593)),B593,CONCATENATE(B593," - ",D593,", ",F593,"kg/m, ",G593,"mm surface perimeter"))))&amp;IF(ISBLANK(H593),"",H593)))</f>
        <v>0</v>
      </c>
      <c r="J593" s="53"/>
      <c r="L593" s="4" t="str" cm="1">
        <f t="array" ref="L593">IF(COUNT(FIND({0,1,2,3,4,5,6,7,8,9},B593))&gt;0,COUNT(FIND({0,1,2,3,4,5,6,7,8,9},B593))&gt;0,"")</f>
        <v/>
      </c>
      <c r="M593" s="4" t="str" cm="1">
        <f t="array" aca="1" ref="M593" ca="1">IFERROR(_xlfn.IFS(R593="Count",RANDBETWEEN(1,COUNTIF($R$11:$R$653,"Count")),R593="Length",RANDBETWEEN(1,COUNTIF($R$11:$R$653,"Length"))),"")</f>
        <v/>
      </c>
      <c r="N593" s="4" t="str">
        <f ca="1">IFERROR(_xlfn.RANK.EQ(M593,$M$11:$M$653)+COUNTIF($M$11:M593,M593)-1,"")</f>
        <v/>
      </c>
      <c r="O593" s="86" t="str">
        <f>IF(A593='DATA SHEET'!$L$36,C593,IFERROR(IF(AND(ISTEXT(I593),ISBLANK(C593)),"No details",VLOOKUP(C593,DimFolder,2,FALSE)),""))</f>
        <v/>
      </c>
      <c r="P593" s="4" t="str">
        <f t="shared" si="149"/>
        <v/>
      </c>
      <c r="Q593" s="58" t="str">
        <f t="shared" si="148"/>
        <v/>
      </c>
      <c r="R593" s="4" t="e" cm="1">
        <f t="array" ref="R593">IF(INDEX(Table2[],_xlfn.XMATCH($A593,Table2[Steel Member],0),_xlfn.XMATCH(R$2,Table2[#Headers],0))=0,"",INDEX(Table2[],_xlfn.XMATCH($A593,Table2[Steel Member],0),_xlfn.XMATCH(R$2,Table2[#Headers],0)))</f>
        <v>#N/A</v>
      </c>
      <c r="S593" s="4" t="e" cm="1">
        <f t="array" ref="S593">IF(INDEX(Table2[],_xlfn.XMATCH($A593,Table2[Steel Member],0),_xlfn.XMATCH(S$2,Table2[#Headers],0))=0,"",INDEX(Table2[],_xlfn.XMATCH($A593,Table2[Steel Member],0),_xlfn.XMATCH(S$2,Table2[#Headers],0)))</f>
        <v>#N/A</v>
      </c>
      <c r="T593" s="4" t="str">
        <f t="shared" si="139"/>
        <v/>
      </c>
      <c r="U593" s="4" t="e">
        <f ca="1">VLOOKUP(N593,'COLOR CODE'!$B:$D,2,FALSE)</f>
        <v>#N/A</v>
      </c>
      <c r="V593" s="4" t="str">
        <f t="shared" si="140"/>
        <v/>
      </c>
      <c r="W593" s="4" t="e" cm="1">
        <f t="array" ref="W593">IF(INDEX(Table2[],_xlfn.XMATCH($A593,Table2[Steel Member],0),_xlfn.XMATCH(W$2,Table2[#Headers],0))=0,"",INDEX(Table2[],_xlfn.XMATCH($A593,Table2[Steel Member],0),_xlfn.XMATCH(W$2,Table2[#Headers],0)))</f>
        <v>#N/A</v>
      </c>
      <c r="X593" s="4" t="e">
        <f t="shared" si="150"/>
        <v>#N/A</v>
      </c>
      <c r="Y593" s="4" t="e" cm="1">
        <f t="array" ref="Y593">IF(INDEX(Table2[],_xlfn.XMATCH($A593,Table2[Steel Member],0),_xlfn.XMATCH(Y$2,Table2[#Headers],0))=0,"",INDEX(Table2[],_xlfn.XMATCH($A593,Table2[Steel Member],0),_xlfn.XMATCH(Y$2,Table2[#Headers],0)))</f>
        <v>#N/A</v>
      </c>
      <c r="Z593" s="4" t="e" cm="1">
        <f t="array" ref="Z593">IF(INDEX(Table2[],_xlfn.XMATCH($A593,Table2[Steel Member],0),_xlfn.XMATCH(Z$2,Table2[#Headers],0))=0,"",INDEX(Table2[],_xlfn.XMATCH($A593,Table2[Steel Member],0),_xlfn.XMATCH(Z$2,Table2[#Headers],0)))</f>
        <v>#N/A</v>
      </c>
      <c r="AA593" s="4" t="e" cm="1">
        <f t="array" ref="AA593">IF(INDEX(Table2[],_xlfn.XMATCH($A593,Table2[Steel Member],0),_xlfn.XMATCH(AA$2,Table2[#Headers],0))=0,"",INDEX(Table2[],_xlfn.XMATCH($A593,Table2[Steel Member],0),_xlfn.XMATCH(AA$2,Table2[#Headers],0)))</f>
        <v>#N/A</v>
      </c>
      <c r="AB593" s="4" t="e" cm="1">
        <f t="array" ref="AB593">IF(INDEX(Table2[],_xlfn.XMATCH($A593,Table2[Steel Member],0),_xlfn.XMATCH(AB$2,Table2[#Headers],0))=0,"",INDEX(Table2[],_xlfn.XMATCH($A593,Table2[Steel Member],0),_xlfn.XMATCH(AB$2,Table2[#Headers],0)))</f>
        <v>#N/A</v>
      </c>
      <c r="AC593" s="4" t="str" cm="1">
        <f t="array" ref="AC593">IFERROR(INDEX(Table8[],_xlfn.XMATCH($O593,Table8[Dimension Name Category],0),_xlfn.XMATCH(AC$2&amp;IF($L593," w/ tag"," w/o tag"),Table8[#Headers],0)),"")</f>
        <v/>
      </c>
      <c r="AD593" s="59" t="str">
        <f t="shared" si="141"/>
        <v/>
      </c>
      <c r="AE593" s="4" t="str">
        <f t="shared" si="142"/>
        <v/>
      </c>
      <c r="AF593" s="4" t="str">
        <f t="shared" si="143"/>
        <v/>
      </c>
      <c r="AG593" s="4" t="str" cm="1">
        <f t="array" ref="AG593">IFERROR(INDEX(Table8[],_xlfn.XMATCH($O593,Table8[Dimension Name Category],0),_xlfn.XMATCH(AG$2&amp;IF($L593," w/ tag"," w/o tag"),Table8[#Headers],0)),"")</f>
        <v/>
      </c>
      <c r="AH593" s="59" t="str">
        <f t="shared" si="144"/>
        <v/>
      </c>
      <c r="AI593" s="4"/>
      <c r="AJ593" s="4" t="str">
        <f t="shared" si="145"/>
        <v/>
      </c>
      <c r="AK593" s="4" t="str">
        <f t="shared" si="146"/>
        <v/>
      </c>
      <c r="AL593" s="4" t="e" cm="1">
        <f t="array" ref="AL593">IF(INDEX(Table2[],_xlfn.XMATCH($A593,Table2[Steel Member],0),_xlfn.XMATCH(AL$2,Table2[#Headers],0))=0,"",INDEX(Table2[],_xlfn.XMATCH($A593,Table2[Steel Member],0),_xlfn.XMATCH(AL$2,Table2[#Headers],0)))</f>
        <v>#N/A</v>
      </c>
      <c r="AM593" s="4"/>
      <c r="AN593" s="4" t="str">
        <f t="shared" si="147"/>
        <v/>
      </c>
      <c r="AO593" s="4"/>
      <c r="AP593" s="4" t="e" cm="1">
        <f t="array" ref="AP593">IF(INDEX(Table2[],_xlfn.XMATCH($A593,Table2[Steel Member],0),_xlfn.XMATCH(AP$2,Table2[#Headers],0))=0,"",INDEX(Table2[],_xlfn.XMATCH($A593,Table2[Steel Member],0),_xlfn.XMATCH(AP$2,Table2[#Headers],0)))</f>
        <v>#N/A</v>
      </c>
      <c r="AQ593" s="4"/>
      <c r="AR593" s="4"/>
      <c r="AS593" s="4"/>
      <c r="AT593" s="4"/>
    </row>
    <row r="594" spans="1:46" x14ac:dyDescent="0.25">
      <c r="A594" s="52"/>
      <c r="B594" s="52"/>
      <c r="C594" s="52"/>
      <c r="D594" s="52"/>
      <c r="E594" s="52"/>
      <c r="F594" s="64" cm="1">
        <f t="array" ref="F594">IF(COUNT(FIND(PurlinsxGirthsxBracings,$C594))&gt;0,0,ROUNDUP(IF(D594=0,0,VLOOKUP(D594,'DATA SHEET'!$B:$D,2,FALSE)),2))</f>
        <v>0</v>
      </c>
      <c r="G594" s="64" cm="1">
        <f t="array" ref="G594">IF(COUNT(FIND(PurlinsxGirthsxBracings,$C594))&gt;0,0,ROUNDUP(IF(D594=0,0,VLOOKUP(D594,'DATA SHEET'!$B:$D,3,FALSE)),2))</f>
        <v>0</v>
      </c>
      <c r="H594" s="53"/>
      <c r="I594" s="66" cm="1">
        <f t="array" ref="I594">IF(AND(ISBLANK(B594),ISBLANK(C594),ISBLANK(E594)),0,IF(COUNT(FIND(PurlinsxGirthsxBracings,$C594))&gt;0,IF(B594=0,CONCATENATE(E594," ",C594),CONCATENATE(B594," - ",E594," ",C594)),IF(B594=0,IF(ISBLANK(C594),E594,CONCATENATE(D594,", ",F594,"kg/m, ",G594,"mm surface perimeter")),IF(AND(ISBLANK(C594),ISTEXT(E594)),CONCATENATE(B594," - ",E594),IF(AND(ISBLANK(C594),ISBLANK(E594)),B594,CONCATENATE(B594," - ",D594,", ",F594,"kg/m, ",G594,"mm surface perimeter"))))&amp;IF(ISBLANK(H594),"",H594)))</f>
        <v>0</v>
      </c>
      <c r="J594" s="53"/>
      <c r="L594" s="4" t="str" cm="1">
        <f t="array" ref="L594">IF(COUNT(FIND({0,1,2,3,4,5,6,7,8,9},B594))&gt;0,COUNT(FIND({0,1,2,3,4,5,6,7,8,9},B594))&gt;0,"")</f>
        <v/>
      </c>
      <c r="M594" s="4" t="str" cm="1">
        <f t="array" aca="1" ref="M594" ca="1">IFERROR(_xlfn.IFS(R594="Count",RANDBETWEEN(1,COUNTIF($R$11:$R$653,"Count")),R594="Length",RANDBETWEEN(1,COUNTIF($R$11:$R$653,"Length"))),"")</f>
        <v/>
      </c>
      <c r="N594" s="4" t="str">
        <f ca="1">IFERROR(_xlfn.RANK.EQ(M594,$M$11:$M$653)+COUNTIF($M$11:M594,M594)-1,"")</f>
        <v/>
      </c>
      <c r="O594" s="86" t="str">
        <f>IF(A594='DATA SHEET'!$L$36,C594,IFERROR(IF(AND(ISTEXT(I594),ISBLANK(C594)),"No details",VLOOKUP(C594,DimFolder,2,FALSE)),""))</f>
        <v/>
      </c>
      <c r="P594" s="4" t="str">
        <f t="shared" si="149"/>
        <v/>
      </c>
      <c r="Q594" s="58" t="str">
        <f t="shared" si="148"/>
        <v/>
      </c>
      <c r="R594" s="4" t="e" cm="1">
        <f t="array" ref="R594">IF(INDEX(Table2[],_xlfn.XMATCH($A594,Table2[Steel Member],0),_xlfn.XMATCH(R$2,Table2[#Headers],0))=0,"",INDEX(Table2[],_xlfn.XMATCH($A594,Table2[Steel Member],0),_xlfn.XMATCH(R$2,Table2[#Headers],0)))</f>
        <v>#N/A</v>
      </c>
      <c r="S594" s="4" t="e" cm="1">
        <f t="array" ref="S594">IF(INDEX(Table2[],_xlfn.XMATCH($A594,Table2[Steel Member],0),_xlfn.XMATCH(S$2,Table2[#Headers],0))=0,"",INDEX(Table2[],_xlfn.XMATCH($A594,Table2[Steel Member],0),_xlfn.XMATCH(S$2,Table2[#Headers],0)))</f>
        <v>#N/A</v>
      </c>
      <c r="T594" s="4" t="str">
        <f t="shared" si="139"/>
        <v/>
      </c>
      <c r="U594" s="4" t="e">
        <f ca="1">VLOOKUP(N594,'COLOR CODE'!$B:$D,2,FALSE)</f>
        <v>#N/A</v>
      </c>
      <c r="V594" s="4" t="str">
        <f t="shared" si="140"/>
        <v/>
      </c>
      <c r="W594" s="4" t="e" cm="1">
        <f t="array" ref="W594">IF(INDEX(Table2[],_xlfn.XMATCH($A594,Table2[Steel Member],0),_xlfn.XMATCH(W$2,Table2[#Headers],0))=0,"",INDEX(Table2[],_xlfn.XMATCH($A594,Table2[Steel Member],0),_xlfn.XMATCH(W$2,Table2[#Headers],0)))</f>
        <v>#N/A</v>
      </c>
      <c r="X594" s="4" t="e">
        <f t="shared" si="150"/>
        <v>#N/A</v>
      </c>
      <c r="Y594" s="4" t="e" cm="1">
        <f t="array" ref="Y594">IF(INDEX(Table2[],_xlfn.XMATCH($A594,Table2[Steel Member],0),_xlfn.XMATCH(Y$2,Table2[#Headers],0))=0,"",INDEX(Table2[],_xlfn.XMATCH($A594,Table2[Steel Member],0),_xlfn.XMATCH(Y$2,Table2[#Headers],0)))</f>
        <v>#N/A</v>
      </c>
      <c r="Z594" s="4" t="e" cm="1">
        <f t="array" ref="Z594">IF(INDEX(Table2[],_xlfn.XMATCH($A594,Table2[Steel Member],0),_xlfn.XMATCH(Z$2,Table2[#Headers],0))=0,"",INDEX(Table2[],_xlfn.XMATCH($A594,Table2[Steel Member],0),_xlfn.XMATCH(Z$2,Table2[#Headers],0)))</f>
        <v>#N/A</v>
      </c>
      <c r="AA594" s="4" t="e" cm="1">
        <f t="array" ref="AA594">IF(INDEX(Table2[],_xlfn.XMATCH($A594,Table2[Steel Member],0),_xlfn.XMATCH(AA$2,Table2[#Headers],0))=0,"",INDEX(Table2[],_xlfn.XMATCH($A594,Table2[Steel Member],0),_xlfn.XMATCH(AA$2,Table2[#Headers],0)))</f>
        <v>#N/A</v>
      </c>
      <c r="AB594" s="4" t="e" cm="1">
        <f t="array" ref="AB594">IF(INDEX(Table2[],_xlfn.XMATCH($A594,Table2[Steel Member],0),_xlfn.XMATCH(AB$2,Table2[#Headers],0))=0,"",INDEX(Table2[],_xlfn.XMATCH($A594,Table2[Steel Member],0),_xlfn.XMATCH(AB$2,Table2[#Headers],0)))</f>
        <v>#N/A</v>
      </c>
      <c r="AC594" s="4" t="str" cm="1">
        <f t="array" ref="AC594">IFERROR(INDEX(Table8[],_xlfn.XMATCH($O594,Table8[Dimension Name Category],0),_xlfn.XMATCH(AC$2&amp;IF($L594," w/ tag"," w/o tag"),Table8[#Headers],0)),"")</f>
        <v/>
      </c>
      <c r="AD594" s="59" t="str">
        <f t="shared" si="141"/>
        <v/>
      </c>
      <c r="AE594" s="4" t="str">
        <f t="shared" si="142"/>
        <v/>
      </c>
      <c r="AF594" s="4" t="str">
        <f t="shared" si="143"/>
        <v/>
      </c>
      <c r="AG594" s="4" t="str" cm="1">
        <f t="array" ref="AG594">IFERROR(INDEX(Table8[],_xlfn.XMATCH($O594,Table8[Dimension Name Category],0),_xlfn.XMATCH(AG$2&amp;IF($L594," w/ tag"," w/o tag"),Table8[#Headers],0)),"")</f>
        <v/>
      </c>
      <c r="AH594" s="59" t="str">
        <f t="shared" si="144"/>
        <v/>
      </c>
      <c r="AI594" s="4"/>
      <c r="AJ594" s="4" t="str">
        <f t="shared" si="145"/>
        <v/>
      </c>
      <c r="AK594" s="4" t="str">
        <f t="shared" si="146"/>
        <v/>
      </c>
      <c r="AL594" s="4" t="e" cm="1">
        <f t="array" ref="AL594">IF(INDEX(Table2[],_xlfn.XMATCH($A594,Table2[Steel Member],0),_xlfn.XMATCH(AL$2,Table2[#Headers],0))=0,"",INDEX(Table2[],_xlfn.XMATCH($A594,Table2[Steel Member],0),_xlfn.XMATCH(AL$2,Table2[#Headers],0)))</f>
        <v>#N/A</v>
      </c>
      <c r="AM594" s="4"/>
      <c r="AN594" s="4" t="str">
        <f t="shared" si="147"/>
        <v/>
      </c>
      <c r="AO594" s="4"/>
      <c r="AP594" s="4" t="e" cm="1">
        <f t="array" ref="AP594">IF(INDEX(Table2[],_xlfn.XMATCH($A594,Table2[Steel Member],0),_xlfn.XMATCH(AP$2,Table2[#Headers],0))=0,"",INDEX(Table2[],_xlfn.XMATCH($A594,Table2[Steel Member],0),_xlfn.XMATCH(AP$2,Table2[#Headers],0)))</f>
        <v>#N/A</v>
      </c>
      <c r="AQ594" s="4"/>
      <c r="AR594" s="4"/>
      <c r="AS594" s="4"/>
      <c r="AT594" s="4"/>
    </row>
    <row r="595" spans="1:46" x14ac:dyDescent="0.25">
      <c r="A595" s="52"/>
      <c r="B595" s="52"/>
      <c r="C595" s="52"/>
      <c r="D595" s="52"/>
      <c r="E595" s="52"/>
      <c r="F595" s="64" cm="1">
        <f t="array" ref="F595">IF(COUNT(FIND(PurlinsxGirthsxBracings,$C595))&gt;0,0,ROUNDUP(IF(D595=0,0,VLOOKUP(D595,'DATA SHEET'!$B:$D,2,FALSE)),2))</f>
        <v>0</v>
      </c>
      <c r="G595" s="64" cm="1">
        <f t="array" ref="G595">IF(COUNT(FIND(PurlinsxGirthsxBracings,$C595))&gt;0,0,ROUNDUP(IF(D595=0,0,VLOOKUP(D595,'DATA SHEET'!$B:$D,3,FALSE)),2))</f>
        <v>0</v>
      </c>
      <c r="H595" s="53"/>
      <c r="I595" s="66" cm="1">
        <f t="array" ref="I595">IF(AND(ISBLANK(B595),ISBLANK(C595),ISBLANK(E595)),0,IF(COUNT(FIND(PurlinsxGirthsxBracings,$C595))&gt;0,IF(B595=0,CONCATENATE(E595," ",C595),CONCATENATE(B595," - ",E595," ",C595)),IF(B595=0,IF(ISBLANK(C595),E595,CONCATENATE(D595,", ",F595,"kg/m, ",G595,"mm surface perimeter")),IF(AND(ISBLANK(C595),ISTEXT(E595)),CONCATENATE(B595," - ",E595),IF(AND(ISBLANK(C595),ISBLANK(E595)),B595,CONCATENATE(B595," - ",D595,", ",F595,"kg/m, ",G595,"mm surface perimeter"))))&amp;IF(ISBLANK(H595),"",H595)))</f>
        <v>0</v>
      </c>
      <c r="J595" s="53"/>
      <c r="L595" s="4" t="str" cm="1">
        <f t="array" ref="L595">IF(COUNT(FIND({0,1,2,3,4,5,6,7,8,9},B595))&gt;0,COUNT(FIND({0,1,2,3,4,5,6,7,8,9},B595))&gt;0,"")</f>
        <v/>
      </c>
      <c r="M595" s="4" t="str" cm="1">
        <f t="array" aca="1" ref="M595" ca="1">IFERROR(_xlfn.IFS(R595="Count",RANDBETWEEN(1,COUNTIF($R$11:$R$653,"Count")),R595="Length",RANDBETWEEN(1,COUNTIF($R$11:$R$653,"Length"))),"")</f>
        <v/>
      </c>
      <c r="N595" s="4" t="str">
        <f ca="1">IFERROR(_xlfn.RANK.EQ(M595,$M$11:$M$653)+COUNTIF($M$11:M595,M595)-1,"")</f>
        <v/>
      </c>
      <c r="O595" s="86" t="str">
        <f>IF(A595='DATA SHEET'!$L$36,C595,IFERROR(IF(AND(ISTEXT(I595),ISBLANK(C595)),"No details",VLOOKUP(C595,DimFolder,2,FALSE)),""))</f>
        <v/>
      </c>
      <c r="P595" s="4" t="str">
        <f t="shared" si="149"/>
        <v/>
      </c>
      <c r="Q595" s="58" t="str">
        <f t="shared" si="148"/>
        <v/>
      </c>
      <c r="R595" s="4" t="e" cm="1">
        <f t="array" ref="R595">IF(INDEX(Table2[],_xlfn.XMATCH($A595,Table2[Steel Member],0),_xlfn.XMATCH(R$2,Table2[#Headers],0))=0,"",INDEX(Table2[],_xlfn.XMATCH($A595,Table2[Steel Member],0),_xlfn.XMATCH(R$2,Table2[#Headers],0)))</f>
        <v>#N/A</v>
      </c>
      <c r="S595" s="4" t="e" cm="1">
        <f t="array" ref="S595">IF(INDEX(Table2[],_xlfn.XMATCH($A595,Table2[Steel Member],0),_xlfn.XMATCH(S$2,Table2[#Headers],0))=0,"",INDEX(Table2[],_xlfn.XMATCH($A595,Table2[Steel Member],0),_xlfn.XMATCH(S$2,Table2[#Headers],0)))</f>
        <v>#N/A</v>
      </c>
      <c r="T595" s="4" t="str">
        <f t="shared" si="139"/>
        <v/>
      </c>
      <c r="U595" s="4" t="e">
        <f ca="1">VLOOKUP(N595,'COLOR CODE'!$B:$D,2,FALSE)</f>
        <v>#N/A</v>
      </c>
      <c r="V595" s="4" t="str">
        <f t="shared" si="140"/>
        <v/>
      </c>
      <c r="W595" s="4" t="e" cm="1">
        <f t="array" ref="W595">IF(INDEX(Table2[],_xlfn.XMATCH($A595,Table2[Steel Member],0),_xlfn.XMATCH(W$2,Table2[#Headers],0))=0,"",INDEX(Table2[],_xlfn.XMATCH($A595,Table2[Steel Member],0),_xlfn.XMATCH(W$2,Table2[#Headers],0)))</f>
        <v>#N/A</v>
      </c>
      <c r="X595" s="4" t="e">
        <f t="shared" si="150"/>
        <v>#N/A</v>
      </c>
      <c r="Y595" s="4" t="e" cm="1">
        <f t="array" ref="Y595">IF(INDEX(Table2[],_xlfn.XMATCH($A595,Table2[Steel Member],0),_xlfn.XMATCH(Y$2,Table2[#Headers],0))=0,"",INDEX(Table2[],_xlfn.XMATCH($A595,Table2[Steel Member],0),_xlfn.XMATCH(Y$2,Table2[#Headers],0)))</f>
        <v>#N/A</v>
      </c>
      <c r="Z595" s="4" t="e" cm="1">
        <f t="array" ref="Z595">IF(INDEX(Table2[],_xlfn.XMATCH($A595,Table2[Steel Member],0),_xlfn.XMATCH(Z$2,Table2[#Headers],0))=0,"",INDEX(Table2[],_xlfn.XMATCH($A595,Table2[Steel Member],0),_xlfn.XMATCH(Z$2,Table2[#Headers],0)))</f>
        <v>#N/A</v>
      </c>
      <c r="AA595" s="4" t="e" cm="1">
        <f t="array" ref="AA595">IF(INDEX(Table2[],_xlfn.XMATCH($A595,Table2[Steel Member],0),_xlfn.XMATCH(AA$2,Table2[#Headers],0))=0,"",INDEX(Table2[],_xlfn.XMATCH($A595,Table2[Steel Member],0),_xlfn.XMATCH(AA$2,Table2[#Headers],0)))</f>
        <v>#N/A</v>
      </c>
      <c r="AB595" s="4" t="e" cm="1">
        <f t="array" ref="AB595">IF(INDEX(Table2[],_xlfn.XMATCH($A595,Table2[Steel Member],0),_xlfn.XMATCH(AB$2,Table2[#Headers],0))=0,"",INDEX(Table2[],_xlfn.XMATCH($A595,Table2[Steel Member],0),_xlfn.XMATCH(AB$2,Table2[#Headers],0)))</f>
        <v>#N/A</v>
      </c>
      <c r="AC595" s="4" t="str" cm="1">
        <f t="array" ref="AC595">IFERROR(INDEX(Table8[],_xlfn.XMATCH($O595,Table8[Dimension Name Category],0),_xlfn.XMATCH(AC$2&amp;IF($L595," w/ tag"," w/o tag"),Table8[#Headers],0)),"")</f>
        <v/>
      </c>
      <c r="AD595" s="59" t="str">
        <f t="shared" si="141"/>
        <v/>
      </c>
      <c r="AE595" s="4" t="str">
        <f t="shared" si="142"/>
        <v/>
      </c>
      <c r="AF595" s="4" t="str">
        <f t="shared" si="143"/>
        <v/>
      </c>
      <c r="AG595" s="4" t="str" cm="1">
        <f t="array" ref="AG595">IFERROR(INDEX(Table8[],_xlfn.XMATCH($O595,Table8[Dimension Name Category],0),_xlfn.XMATCH(AG$2&amp;IF($L595," w/ tag"," w/o tag"),Table8[#Headers],0)),"")</f>
        <v/>
      </c>
      <c r="AH595" s="59" t="str">
        <f t="shared" si="144"/>
        <v/>
      </c>
      <c r="AI595" s="4"/>
      <c r="AJ595" s="4" t="str">
        <f t="shared" si="145"/>
        <v/>
      </c>
      <c r="AK595" s="4" t="str">
        <f t="shared" si="146"/>
        <v/>
      </c>
      <c r="AL595" s="4" t="e" cm="1">
        <f t="array" ref="AL595">IF(INDEX(Table2[],_xlfn.XMATCH($A595,Table2[Steel Member],0),_xlfn.XMATCH(AL$2,Table2[#Headers],0))=0,"",INDEX(Table2[],_xlfn.XMATCH($A595,Table2[Steel Member],0),_xlfn.XMATCH(AL$2,Table2[#Headers],0)))</f>
        <v>#N/A</v>
      </c>
      <c r="AM595" s="4"/>
      <c r="AN595" s="4" t="str">
        <f t="shared" si="147"/>
        <v/>
      </c>
      <c r="AO595" s="4"/>
      <c r="AP595" s="4" t="e" cm="1">
        <f t="array" ref="AP595">IF(INDEX(Table2[],_xlfn.XMATCH($A595,Table2[Steel Member],0),_xlfn.XMATCH(AP$2,Table2[#Headers],0))=0,"",INDEX(Table2[],_xlfn.XMATCH($A595,Table2[Steel Member],0),_xlfn.XMATCH(AP$2,Table2[#Headers],0)))</f>
        <v>#N/A</v>
      </c>
      <c r="AQ595" s="4"/>
      <c r="AR595" s="4"/>
      <c r="AS595" s="4"/>
      <c r="AT595" s="4"/>
    </row>
    <row r="596" spans="1:46" x14ac:dyDescent="0.25">
      <c r="A596" s="52"/>
      <c r="B596" s="52"/>
      <c r="C596" s="52"/>
      <c r="D596" s="52"/>
      <c r="E596" s="52"/>
      <c r="F596" s="64" cm="1">
        <f t="array" ref="F596">IF(COUNT(FIND(PurlinsxGirthsxBracings,$C596))&gt;0,0,ROUNDUP(IF(D596=0,0,VLOOKUP(D596,'DATA SHEET'!$B:$D,2,FALSE)),2))</f>
        <v>0</v>
      </c>
      <c r="G596" s="64" cm="1">
        <f t="array" ref="G596">IF(COUNT(FIND(PurlinsxGirthsxBracings,$C596))&gt;0,0,ROUNDUP(IF(D596=0,0,VLOOKUP(D596,'DATA SHEET'!$B:$D,3,FALSE)),2))</f>
        <v>0</v>
      </c>
      <c r="H596" s="53"/>
      <c r="I596" s="66" cm="1">
        <f t="array" ref="I596">IF(AND(ISBLANK(B596),ISBLANK(C596),ISBLANK(E596)),0,IF(COUNT(FIND(PurlinsxGirthsxBracings,$C596))&gt;0,IF(B596=0,CONCATENATE(E596," ",C596),CONCATENATE(B596," - ",E596," ",C596)),IF(B596=0,IF(ISBLANK(C596),E596,CONCATENATE(D596,", ",F596,"kg/m, ",G596,"mm surface perimeter")),IF(AND(ISBLANK(C596),ISTEXT(E596)),CONCATENATE(B596," - ",E596),IF(AND(ISBLANK(C596),ISBLANK(E596)),B596,CONCATENATE(B596," - ",D596,", ",F596,"kg/m, ",G596,"mm surface perimeter"))))&amp;IF(ISBLANK(H596),"",H596)))</f>
        <v>0</v>
      </c>
      <c r="J596" s="53"/>
      <c r="L596" s="4" t="str" cm="1">
        <f t="array" ref="L596">IF(COUNT(FIND({0,1,2,3,4,5,6,7,8,9},B596))&gt;0,COUNT(FIND({0,1,2,3,4,5,6,7,8,9},B596))&gt;0,"")</f>
        <v/>
      </c>
      <c r="M596" s="4" t="str" cm="1">
        <f t="array" aca="1" ref="M596" ca="1">IFERROR(_xlfn.IFS(R596="Count",RANDBETWEEN(1,COUNTIF($R$11:$R$653,"Count")),R596="Length",RANDBETWEEN(1,COUNTIF($R$11:$R$653,"Length"))),"")</f>
        <v/>
      </c>
      <c r="N596" s="4" t="str">
        <f ca="1">IFERROR(_xlfn.RANK.EQ(M596,$M$11:$M$653)+COUNTIF($M$11:M596,M596)-1,"")</f>
        <v/>
      </c>
      <c r="O596" s="86" t="str">
        <f>IF(A596='DATA SHEET'!$L$36,C596,IFERROR(IF(AND(ISTEXT(I596),ISBLANK(C596)),"No details",VLOOKUP(C596,DimFolder,2,FALSE)),""))</f>
        <v/>
      </c>
      <c r="P596" s="4" t="str">
        <f t="shared" si="149"/>
        <v/>
      </c>
      <c r="Q596" s="58" t="str">
        <f t="shared" si="148"/>
        <v/>
      </c>
      <c r="R596" s="4" t="e" cm="1">
        <f t="array" ref="R596">IF(INDEX(Table2[],_xlfn.XMATCH($A596,Table2[Steel Member],0),_xlfn.XMATCH(R$2,Table2[#Headers],0))=0,"",INDEX(Table2[],_xlfn.XMATCH($A596,Table2[Steel Member],0),_xlfn.XMATCH(R$2,Table2[#Headers],0)))</f>
        <v>#N/A</v>
      </c>
      <c r="S596" s="4" t="e" cm="1">
        <f t="array" ref="S596">IF(INDEX(Table2[],_xlfn.XMATCH($A596,Table2[Steel Member],0),_xlfn.XMATCH(S$2,Table2[#Headers],0))=0,"",INDEX(Table2[],_xlfn.XMATCH($A596,Table2[Steel Member],0),_xlfn.XMATCH(S$2,Table2[#Headers],0)))</f>
        <v>#N/A</v>
      </c>
      <c r="T596" s="4" t="str">
        <f t="shared" si="139"/>
        <v/>
      </c>
      <c r="U596" s="4" t="e">
        <f ca="1">VLOOKUP(N596,'COLOR CODE'!$B:$D,2,FALSE)</f>
        <v>#N/A</v>
      </c>
      <c r="V596" s="4" t="str">
        <f t="shared" si="140"/>
        <v/>
      </c>
      <c r="W596" s="4" t="e" cm="1">
        <f t="array" ref="W596">IF(INDEX(Table2[],_xlfn.XMATCH($A596,Table2[Steel Member],0),_xlfn.XMATCH(W$2,Table2[#Headers],0))=0,"",INDEX(Table2[],_xlfn.XMATCH($A596,Table2[Steel Member],0),_xlfn.XMATCH(W$2,Table2[#Headers],0)))</f>
        <v>#N/A</v>
      </c>
      <c r="X596" s="4" t="e">
        <f t="shared" si="150"/>
        <v>#N/A</v>
      </c>
      <c r="Y596" s="4" t="e" cm="1">
        <f t="array" ref="Y596">IF(INDEX(Table2[],_xlfn.XMATCH($A596,Table2[Steel Member],0),_xlfn.XMATCH(Y$2,Table2[#Headers],0))=0,"",INDEX(Table2[],_xlfn.XMATCH($A596,Table2[Steel Member],0),_xlfn.XMATCH(Y$2,Table2[#Headers],0)))</f>
        <v>#N/A</v>
      </c>
      <c r="Z596" s="4" t="e" cm="1">
        <f t="array" ref="Z596">IF(INDEX(Table2[],_xlfn.XMATCH($A596,Table2[Steel Member],0),_xlfn.XMATCH(Z$2,Table2[#Headers],0))=0,"",INDEX(Table2[],_xlfn.XMATCH($A596,Table2[Steel Member],0),_xlfn.XMATCH(Z$2,Table2[#Headers],0)))</f>
        <v>#N/A</v>
      </c>
      <c r="AA596" s="4" t="e" cm="1">
        <f t="array" ref="AA596">IF(INDEX(Table2[],_xlfn.XMATCH($A596,Table2[Steel Member],0),_xlfn.XMATCH(AA$2,Table2[#Headers],0))=0,"",INDEX(Table2[],_xlfn.XMATCH($A596,Table2[Steel Member],0),_xlfn.XMATCH(AA$2,Table2[#Headers],0)))</f>
        <v>#N/A</v>
      </c>
      <c r="AB596" s="4" t="e" cm="1">
        <f t="array" ref="AB596">IF(INDEX(Table2[],_xlfn.XMATCH($A596,Table2[Steel Member],0),_xlfn.XMATCH(AB$2,Table2[#Headers],0))=0,"",INDEX(Table2[],_xlfn.XMATCH($A596,Table2[Steel Member],0),_xlfn.XMATCH(AB$2,Table2[#Headers],0)))</f>
        <v>#N/A</v>
      </c>
      <c r="AC596" s="4" t="str" cm="1">
        <f t="array" ref="AC596">IFERROR(INDEX(Table8[],_xlfn.XMATCH($O596,Table8[Dimension Name Category],0),_xlfn.XMATCH(AC$2&amp;IF($L596," w/ tag"," w/o tag"),Table8[#Headers],0)),"")</f>
        <v/>
      </c>
      <c r="AD596" s="59" t="str">
        <f t="shared" si="141"/>
        <v/>
      </c>
      <c r="AE596" s="4" t="str">
        <f t="shared" si="142"/>
        <v/>
      </c>
      <c r="AF596" s="4" t="str">
        <f t="shared" si="143"/>
        <v/>
      </c>
      <c r="AG596" s="4" t="str" cm="1">
        <f t="array" ref="AG596">IFERROR(INDEX(Table8[],_xlfn.XMATCH($O596,Table8[Dimension Name Category],0),_xlfn.XMATCH(AG$2&amp;IF($L596," w/ tag"," w/o tag"),Table8[#Headers],0)),"")</f>
        <v/>
      </c>
      <c r="AH596" s="59" t="str">
        <f t="shared" si="144"/>
        <v/>
      </c>
      <c r="AI596" s="4"/>
      <c r="AJ596" s="4" t="str">
        <f t="shared" si="145"/>
        <v/>
      </c>
      <c r="AK596" s="4" t="str">
        <f t="shared" si="146"/>
        <v/>
      </c>
      <c r="AL596" s="4" t="e" cm="1">
        <f t="array" ref="AL596">IF(INDEX(Table2[],_xlfn.XMATCH($A596,Table2[Steel Member],0),_xlfn.XMATCH(AL$2,Table2[#Headers],0))=0,"",INDEX(Table2[],_xlfn.XMATCH($A596,Table2[Steel Member],0),_xlfn.XMATCH(AL$2,Table2[#Headers],0)))</f>
        <v>#N/A</v>
      </c>
      <c r="AM596" s="4"/>
      <c r="AN596" s="4" t="str">
        <f t="shared" si="147"/>
        <v/>
      </c>
      <c r="AO596" s="4"/>
      <c r="AP596" s="4" t="e" cm="1">
        <f t="array" ref="AP596">IF(INDEX(Table2[],_xlfn.XMATCH($A596,Table2[Steel Member],0),_xlfn.XMATCH(AP$2,Table2[#Headers],0))=0,"",INDEX(Table2[],_xlfn.XMATCH($A596,Table2[Steel Member],0),_xlfn.XMATCH(AP$2,Table2[#Headers],0)))</f>
        <v>#N/A</v>
      </c>
      <c r="AQ596" s="4"/>
      <c r="AR596" s="4"/>
      <c r="AS596" s="4"/>
      <c r="AT596" s="4"/>
    </row>
    <row r="597" spans="1:46" x14ac:dyDescent="0.25">
      <c r="A597" s="52"/>
      <c r="B597" s="52"/>
      <c r="C597" s="52"/>
      <c r="D597" s="52"/>
      <c r="E597" s="52"/>
      <c r="F597" s="64" cm="1">
        <f t="array" ref="F597">IF(COUNT(FIND(PurlinsxGirthsxBracings,$C597))&gt;0,0,ROUNDUP(IF(D597=0,0,VLOOKUP(D597,'DATA SHEET'!$B:$D,2,FALSE)),2))</f>
        <v>0</v>
      </c>
      <c r="G597" s="64" cm="1">
        <f t="array" ref="G597">IF(COUNT(FIND(PurlinsxGirthsxBracings,$C597))&gt;0,0,ROUNDUP(IF(D597=0,0,VLOOKUP(D597,'DATA SHEET'!$B:$D,3,FALSE)),2))</f>
        <v>0</v>
      </c>
      <c r="H597" s="53"/>
      <c r="I597" s="66" cm="1">
        <f t="array" ref="I597">IF(AND(ISBLANK(B597),ISBLANK(C597),ISBLANK(E597)),0,IF(COUNT(FIND(PurlinsxGirthsxBracings,$C597))&gt;0,IF(B597=0,CONCATENATE(E597," ",C597),CONCATENATE(B597," - ",E597," ",C597)),IF(B597=0,IF(ISBLANK(C597),E597,CONCATENATE(D597,", ",F597,"kg/m, ",G597,"mm surface perimeter")),IF(AND(ISBLANK(C597),ISTEXT(E597)),CONCATENATE(B597," - ",E597),IF(AND(ISBLANK(C597),ISBLANK(E597)),B597,CONCATENATE(B597," - ",D597,", ",F597,"kg/m, ",G597,"mm surface perimeter"))))&amp;IF(ISBLANK(H597),"",H597)))</f>
        <v>0</v>
      </c>
      <c r="J597" s="53"/>
      <c r="L597" s="4" t="str" cm="1">
        <f t="array" ref="L597">IF(COUNT(FIND({0,1,2,3,4,5,6,7,8,9},B597))&gt;0,COUNT(FIND({0,1,2,3,4,5,6,7,8,9},B597))&gt;0,"")</f>
        <v/>
      </c>
      <c r="M597" s="4" t="str" cm="1">
        <f t="array" aca="1" ref="M597" ca="1">IFERROR(_xlfn.IFS(R597="Count",RANDBETWEEN(1,COUNTIF($R$11:$R$653,"Count")),R597="Length",RANDBETWEEN(1,COUNTIF($R$11:$R$653,"Length"))),"")</f>
        <v/>
      </c>
      <c r="N597" s="4" t="str">
        <f ca="1">IFERROR(_xlfn.RANK.EQ(M597,$M$11:$M$653)+COUNTIF($M$11:M597,M597)-1,"")</f>
        <v/>
      </c>
      <c r="O597" s="86" t="str">
        <f>IF(A597='DATA SHEET'!$L$36,C597,IFERROR(IF(AND(ISTEXT(I597),ISBLANK(C597)),"No details",VLOOKUP(C597,DimFolder,2,FALSE)),""))</f>
        <v/>
      </c>
      <c r="P597" s="4" t="str">
        <f t="shared" si="149"/>
        <v/>
      </c>
      <c r="Q597" s="58" t="str">
        <f t="shared" si="148"/>
        <v/>
      </c>
      <c r="R597" s="4" t="e" cm="1">
        <f t="array" ref="R597">IF(INDEX(Table2[],_xlfn.XMATCH($A597,Table2[Steel Member],0),_xlfn.XMATCH(R$2,Table2[#Headers],0))=0,"",INDEX(Table2[],_xlfn.XMATCH($A597,Table2[Steel Member],0),_xlfn.XMATCH(R$2,Table2[#Headers],0)))</f>
        <v>#N/A</v>
      </c>
      <c r="S597" s="4" t="e" cm="1">
        <f t="array" ref="S597">IF(INDEX(Table2[],_xlfn.XMATCH($A597,Table2[Steel Member],0),_xlfn.XMATCH(S$2,Table2[#Headers],0))=0,"",INDEX(Table2[],_xlfn.XMATCH($A597,Table2[Steel Member],0),_xlfn.XMATCH(S$2,Table2[#Headers],0)))</f>
        <v>#N/A</v>
      </c>
      <c r="T597" s="4" t="str">
        <f t="shared" si="139"/>
        <v/>
      </c>
      <c r="U597" s="4" t="e">
        <f ca="1">VLOOKUP(N597,'COLOR CODE'!$B:$D,2,FALSE)</f>
        <v>#N/A</v>
      </c>
      <c r="V597" s="4" t="str">
        <f t="shared" si="140"/>
        <v/>
      </c>
      <c r="W597" s="4" t="e" cm="1">
        <f t="array" ref="W597">IF(INDEX(Table2[],_xlfn.XMATCH($A597,Table2[Steel Member],0),_xlfn.XMATCH(W$2,Table2[#Headers],0))=0,"",INDEX(Table2[],_xlfn.XMATCH($A597,Table2[Steel Member],0),_xlfn.XMATCH(W$2,Table2[#Headers],0)))</f>
        <v>#N/A</v>
      </c>
      <c r="X597" s="4" t="e">
        <f t="shared" si="150"/>
        <v>#N/A</v>
      </c>
      <c r="Y597" s="4" t="e" cm="1">
        <f t="array" ref="Y597">IF(INDEX(Table2[],_xlfn.XMATCH($A597,Table2[Steel Member],0),_xlfn.XMATCH(Y$2,Table2[#Headers],0))=0,"",INDEX(Table2[],_xlfn.XMATCH($A597,Table2[Steel Member],0),_xlfn.XMATCH(Y$2,Table2[#Headers],0)))</f>
        <v>#N/A</v>
      </c>
      <c r="Z597" s="4" t="e" cm="1">
        <f t="array" ref="Z597">IF(INDEX(Table2[],_xlfn.XMATCH($A597,Table2[Steel Member],0),_xlfn.XMATCH(Z$2,Table2[#Headers],0))=0,"",INDEX(Table2[],_xlfn.XMATCH($A597,Table2[Steel Member],0),_xlfn.XMATCH(Z$2,Table2[#Headers],0)))</f>
        <v>#N/A</v>
      </c>
      <c r="AA597" s="4" t="e" cm="1">
        <f t="array" ref="AA597">IF(INDEX(Table2[],_xlfn.XMATCH($A597,Table2[Steel Member],0),_xlfn.XMATCH(AA$2,Table2[#Headers],0))=0,"",INDEX(Table2[],_xlfn.XMATCH($A597,Table2[Steel Member],0),_xlfn.XMATCH(AA$2,Table2[#Headers],0)))</f>
        <v>#N/A</v>
      </c>
      <c r="AB597" s="4" t="e" cm="1">
        <f t="array" ref="AB597">IF(INDEX(Table2[],_xlfn.XMATCH($A597,Table2[Steel Member],0),_xlfn.XMATCH(AB$2,Table2[#Headers],0))=0,"",INDEX(Table2[],_xlfn.XMATCH($A597,Table2[Steel Member],0),_xlfn.XMATCH(AB$2,Table2[#Headers],0)))</f>
        <v>#N/A</v>
      </c>
      <c r="AC597" s="4" t="str" cm="1">
        <f t="array" ref="AC597">IFERROR(INDEX(Table8[],_xlfn.XMATCH($O597,Table8[Dimension Name Category],0),_xlfn.XMATCH(AC$2&amp;IF($L597," w/ tag"," w/o tag"),Table8[#Headers],0)),"")</f>
        <v/>
      </c>
      <c r="AD597" s="59" t="str">
        <f t="shared" si="141"/>
        <v/>
      </c>
      <c r="AE597" s="4" t="str">
        <f t="shared" si="142"/>
        <v/>
      </c>
      <c r="AF597" s="4" t="str">
        <f t="shared" si="143"/>
        <v/>
      </c>
      <c r="AG597" s="4" t="str" cm="1">
        <f t="array" ref="AG597">IFERROR(INDEX(Table8[],_xlfn.XMATCH($O597,Table8[Dimension Name Category],0),_xlfn.XMATCH(AG$2&amp;IF($L597," w/ tag"," w/o tag"),Table8[#Headers],0)),"")</f>
        <v/>
      </c>
      <c r="AH597" s="59" t="str">
        <f t="shared" si="144"/>
        <v/>
      </c>
      <c r="AI597" s="4"/>
      <c r="AJ597" s="4" t="str">
        <f t="shared" si="145"/>
        <v/>
      </c>
      <c r="AK597" s="4" t="str">
        <f t="shared" si="146"/>
        <v/>
      </c>
      <c r="AL597" s="4" t="e" cm="1">
        <f t="array" ref="AL597">IF(INDEX(Table2[],_xlfn.XMATCH($A597,Table2[Steel Member],0),_xlfn.XMATCH(AL$2,Table2[#Headers],0))=0,"",INDEX(Table2[],_xlfn.XMATCH($A597,Table2[Steel Member],0),_xlfn.XMATCH(AL$2,Table2[#Headers],0)))</f>
        <v>#N/A</v>
      </c>
      <c r="AM597" s="4"/>
      <c r="AN597" s="4" t="str">
        <f t="shared" si="147"/>
        <v/>
      </c>
      <c r="AO597" s="4"/>
      <c r="AP597" s="4" t="e" cm="1">
        <f t="array" ref="AP597">IF(INDEX(Table2[],_xlfn.XMATCH($A597,Table2[Steel Member],0),_xlfn.XMATCH(AP$2,Table2[#Headers],0))=0,"",INDEX(Table2[],_xlfn.XMATCH($A597,Table2[Steel Member],0),_xlfn.XMATCH(AP$2,Table2[#Headers],0)))</f>
        <v>#N/A</v>
      </c>
      <c r="AQ597" s="4"/>
      <c r="AR597" s="4"/>
      <c r="AS597" s="4"/>
      <c r="AT597" s="4"/>
    </row>
    <row r="598" spans="1:46" x14ac:dyDescent="0.25">
      <c r="A598" s="52"/>
      <c r="B598" s="52"/>
      <c r="C598" s="52"/>
      <c r="D598" s="52"/>
      <c r="E598" s="52"/>
      <c r="F598" s="64" cm="1">
        <f t="array" ref="F598">IF(COUNT(FIND(PurlinsxGirthsxBracings,$C598))&gt;0,0,ROUNDUP(IF(D598=0,0,VLOOKUP(D598,'DATA SHEET'!$B:$D,2,FALSE)),2))</f>
        <v>0</v>
      </c>
      <c r="G598" s="64" cm="1">
        <f t="array" ref="G598">IF(COUNT(FIND(PurlinsxGirthsxBracings,$C598))&gt;0,0,ROUNDUP(IF(D598=0,0,VLOOKUP(D598,'DATA SHEET'!$B:$D,3,FALSE)),2))</f>
        <v>0</v>
      </c>
      <c r="H598" s="53"/>
      <c r="I598" s="66" cm="1">
        <f t="array" ref="I598">IF(AND(ISBLANK(B598),ISBLANK(C598),ISBLANK(E598)),0,IF(COUNT(FIND(PurlinsxGirthsxBracings,$C598))&gt;0,IF(B598=0,CONCATENATE(E598," ",C598),CONCATENATE(B598," - ",E598," ",C598)),IF(B598=0,IF(ISBLANK(C598),E598,CONCATENATE(D598,", ",F598,"kg/m, ",G598,"mm surface perimeter")),IF(AND(ISBLANK(C598),ISTEXT(E598)),CONCATENATE(B598," - ",E598),IF(AND(ISBLANK(C598),ISBLANK(E598)),B598,CONCATENATE(B598," - ",D598,", ",F598,"kg/m, ",G598,"mm surface perimeter"))))&amp;IF(ISBLANK(H598),"",H598)))</f>
        <v>0</v>
      </c>
      <c r="J598" s="53"/>
      <c r="L598" s="4" t="str" cm="1">
        <f t="array" ref="L598">IF(COUNT(FIND({0,1,2,3,4,5,6,7,8,9},B598))&gt;0,COUNT(FIND({0,1,2,3,4,5,6,7,8,9},B598))&gt;0,"")</f>
        <v/>
      </c>
      <c r="M598" s="4" t="str" cm="1">
        <f t="array" aca="1" ref="M598" ca="1">IFERROR(_xlfn.IFS(R598="Count",RANDBETWEEN(1,COUNTIF($R$11:$R$653,"Count")),R598="Length",RANDBETWEEN(1,COUNTIF($R$11:$R$653,"Length"))),"")</f>
        <v/>
      </c>
      <c r="N598" s="4" t="str">
        <f ca="1">IFERROR(_xlfn.RANK.EQ(M598,$M$11:$M$653)+COUNTIF($M$11:M598,M598)-1,"")</f>
        <v/>
      </c>
      <c r="O598" s="86" t="str">
        <f>IF(A598='DATA SHEET'!$L$36,C598,IFERROR(IF(AND(ISTEXT(I598),ISBLANK(C598)),"No details",VLOOKUP(C598,DimFolder,2,FALSE)),""))</f>
        <v/>
      </c>
      <c r="P598" s="4" t="str">
        <f t="shared" si="149"/>
        <v/>
      </c>
      <c r="Q598" s="58" t="str">
        <f t="shared" si="148"/>
        <v/>
      </c>
      <c r="R598" s="4" t="e" cm="1">
        <f t="array" ref="R598">IF(INDEX(Table2[],_xlfn.XMATCH($A598,Table2[Steel Member],0),_xlfn.XMATCH(R$2,Table2[#Headers],0))=0,"",INDEX(Table2[],_xlfn.XMATCH($A598,Table2[Steel Member],0),_xlfn.XMATCH(R$2,Table2[#Headers],0)))</f>
        <v>#N/A</v>
      </c>
      <c r="S598" s="4" t="e" cm="1">
        <f t="array" ref="S598">IF(INDEX(Table2[],_xlfn.XMATCH($A598,Table2[Steel Member],0),_xlfn.XMATCH(S$2,Table2[#Headers],0))=0,"",INDEX(Table2[],_xlfn.XMATCH($A598,Table2[Steel Member],0),_xlfn.XMATCH(S$2,Table2[#Headers],0)))</f>
        <v>#N/A</v>
      </c>
      <c r="T598" s="4" t="str">
        <f t="shared" si="139"/>
        <v/>
      </c>
      <c r="U598" s="4" t="e">
        <f ca="1">VLOOKUP(N598,'COLOR CODE'!$B:$D,2,FALSE)</f>
        <v>#N/A</v>
      </c>
      <c r="V598" s="4" t="str">
        <f t="shared" si="140"/>
        <v/>
      </c>
      <c r="W598" s="4" t="e" cm="1">
        <f t="array" ref="W598">IF(INDEX(Table2[],_xlfn.XMATCH($A598,Table2[Steel Member],0),_xlfn.XMATCH(W$2,Table2[#Headers],0))=0,"",INDEX(Table2[],_xlfn.XMATCH($A598,Table2[Steel Member],0),_xlfn.XMATCH(W$2,Table2[#Headers],0)))</f>
        <v>#N/A</v>
      </c>
      <c r="X598" s="4" t="e">
        <f t="shared" si="150"/>
        <v>#N/A</v>
      </c>
      <c r="Y598" s="4" t="e" cm="1">
        <f t="array" ref="Y598">IF(INDEX(Table2[],_xlfn.XMATCH($A598,Table2[Steel Member],0),_xlfn.XMATCH(Y$2,Table2[#Headers],0))=0,"",INDEX(Table2[],_xlfn.XMATCH($A598,Table2[Steel Member],0),_xlfn.XMATCH(Y$2,Table2[#Headers],0)))</f>
        <v>#N/A</v>
      </c>
      <c r="Z598" s="4" t="e" cm="1">
        <f t="array" ref="Z598">IF(INDEX(Table2[],_xlfn.XMATCH($A598,Table2[Steel Member],0),_xlfn.XMATCH(Z$2,Table2[#Headers],0))=0,"",INDEX(Table2[],_xlfn.XMATCH($A598,Table2[Steel Member],0),_xlfn.XMATCH(Z$2,Table2[#Headers],0)))</f>
        <v>#N/A</v>
      </c>
      <c r="AA598" s="4" t="e" cm="1">
        <f t="array" ref="AA598">IF(INDEX(Table2[],_xlfn.XMATCH($A598,Table2[Steel Member],0),_xlfn.XMATCH(AA$2,Table2[#Headers],0))=0,"",INDEX(Table2[],_xlfn.XMATCH($A598,Table2[Steel Member],0),_xlfn.XMATCH(AA$2,Table2[#Headers],0)))</f>
        <v>#N/A</v>
      </c>
      <c r="AB598" s="4" t="e" cm="1">
        <f t="array" ref="AB598">IF(INDEX(Table2[],_xlfn.XMATCH($A598,Table2[Steel Member],0),_xlfn.XMATCH(AB$2,Table2[#Headers],0))=0,"",INDEX(Table2[],_xlfn.XMATCH($A598,Table2[Steel Member],0),_xlfn.XMATCH(AB$2,Table2[#Headers],0)))</f>
        <v>#N/A</v>
      </c>
      <c r="AC598" s="4" t="str" cm="1">
        <f t="array" ref="AC598">IFERROR(INDEX(Table8[],_xlfn.XMATCH($O598,Table8[Dimension Name Category],0),_xlfn.XMATCH(AC$2&amp;IF($L598," w/ tag"," w/o tag"),Table8[#Headers],0)),"")</f>
        <v/>
      </c>
      <c r="AD598" s="59" t="str">
        <f t="shared" si="141"/>
        <v/>
      </c>
      <c r="AE598" s="4" t="str">
        <f t="shared" si="142"/>
        <v/>
      </c>
      <c r="AF598" s="4" t="str">
        <f t="shared" si="143"/>
        <v/>
      </c>
      <c r="AG598" s="4" t="str" cm="1">
        <f t="array" ref="AG598">IFERROR(INDEX(Table8[],_xlfn.XMATCH($O598,Table8[Dimension Name Category],0),_xlfn.XMATCH(AG$2&amp;IF($L598," w/ tag"," w/o tag"),Table8[#Headers],0)),"")</f>
        <v/>
      </c>
      <c r="AH598" s="59" t="str">
        <f t="shared" si="144"/>
        <v/>
      </c>
      <c r="AI598" s="4"/>
      <c r="AJ598" s="4" t="str">
        <f t="shared" si="145"/>
        <v/>
      </c>
      <c r="AK598" s="4" t="str">
        <f t="shared" si="146"/>
        <v/>
      </c>
      <c r="AL598" s="4" t="e" cm="1">
        <f t="array" ref="AL598">IF(INDEX(Table2[],_xlfn.XMATCH($A598,Table2[Steel Member],0),_xlfn.XMATCH(AL$2,Table2[#Headers],0))=0,"",INDEX(Table2[],_xlfn.XMATCH($A598,Table2[Steel Member],0),_xlfn.XMATCH(AL$2,Table2[#Headers],0)))</f>
        <v>#N/A</v>
      </c>
      <c r="AM598" s="4"/>
      <c r="AN598" s="4" t="str">
        <f t="shared" si="147"/>
        <v/>
      </c>
      <c r="AO598" s="4"/>
      <c r="AP598" s="4" t="e" cm="1">
        <f t="array" ref="AP598">IF(INDEX(Table2[],_xlfn.XMATCH($A598,Table2[Steel Member],0),_xlfn.XMATCH(AP$2,Table2[#Headers],0))=0,"",INDEX(Table2[],_xlfn.XMATCH($A598,Table2[Steel Member],0),_xlfn.XMATCH(AP$2,Table2[#Headers],0)))</f>
        <v>#N/A</v>
      </c>
      <c r="AQ598" s="4"/>
      <c r="AR598" s="4"/>
      <c r="AS598" s="4"/>
      <c r="AT598" s="4"/>
    </row>
    <row r="599" spans="1:46" x14ac:dyDescent="0.25">
      <c r="A599" s="52"/>
      <c r="B599" s="52"/>
      <c r="C599" s="52"/>
      <c r="D599" s="52"/>
      <c r="E599" s="52"/>
      <c r="F599" s="64" cm="1">
        <f t="array" ref="F599">IF(COUNT(FIND(PurlinsxGirthsxBracings,$C599))&gt;0,0,ROUNDUP(IF(D599=0,0,VLOOKUP(D599,'DATA SHEET'!$B:$D,2,FALSE)),2))</f>
        <v>0</v>
      </c>
      <c r="G599" s="64" cm="1">
        <f t="array" ref="G599">IF(COUNT(FIND(PurlinsxGirthsxBracings,$C599))&gt;0,0,ROUNDUP(IF(D599=0,0,VLOOKUP(D599,'DATA SHEET'!$B:$D,3,FALSE)),2))</f>
        <v>0</v>
      </c>
      <c r="H599" s="53"/>
      <c r="I599" s="66" cm="1">
        <f t="array" ref="I599">IF(AND(ISBLANK(B599),ISBLANK(C599),ISBLANK(E599)),0,IF(COUNT(FIND(PurlinsxGirthsxBracings,$C599))&gt;0,IF(B599=0,CONCATENATE(E599," ",C599),CONCATENATE(B599," - ",E599," ",C599)),IF(B599=0,IF(ISBLANK(C599),E599,CONCATENATE(D599,", ",F599,"kg/m, ",G599,"mm surface perimeter")),IF(AND(ISBLANK(C599),ISTEXT(E599)),CONCATENATE(B599," - ",E599),IF(AND(ISBLANK(C599),ISBLANK(E599)),B599,CONCATENATE(B599," - ",D599,", ",F599,"kg/m, ",G599,"mm surface perimeter"))))&amp;IF(ISBLANK(H599),"",H599)))</f>
        <v>0</v>
      </c>
      <c r="J599" s="53"/>
      <c r="L599" s="4" t="str" cm="1">
        <f t="array" ref="L599">IF(COUNT(FIND({0,1,2,3,4,5,6,7,8,9},B599))&gt;0,COUNT(FIND({0,1,2,3,4,5,6,7,8,9},B599))&gt;0,"")</f>
        <v/>
      </c>
      <c r="M599" s="4" t="str" cm="1">
        <f t="array" aca="1" ref="M599" ca="1">IFERROR(_xlfn.IFS(R599="Count",RANDBETWEEN(1,COUNTIF($R$11:$R$653,"Count")),R599="Length",RANDBETWEEN(1,COUNTIF($R$11:$R$653,"Length"))),"")</f>
        <v/>
      </c>
      <c r="N599" s="4" t="str">
        <f ca="1">IFERROR(_xlfn.RANK.EQ(M599,$M$11:$M$653)+COUNTIF($M$11:M599,M599)-1,"")</f>
        <v/>
      </c>
      <c r="O599" s="86" t="str">
        <f>IF(A599='DATA SHEET'!$L$36,C599,IFERROR(IF(AND(ISTEXT(I599),ISBLANK(C599)),"No details",VLOOKUP(C599,DimFolder,2,FALSE)),""))</f>
        <v/>
      </c>
      <c r="P599" s="4" t="str">
        <f t="shared" si="149"/>
        <v/>
      </c>
      <c r="Q599" s="58" t="str">
        <f t="shared" si="148"/>
        <v/>
      </c>
      <c r="R599" s="4" t="e" cm="1">
        <f t="array" ref="R599">IF(INDEX(Table2[],_xlfn.XMATCH($A599,Table2[Steel Member],0),_xlfn.XMATCH(R$2,Table2[#Headers],0))=0,"",INDEX(Table2[],_xlfn.XMATCH($A599,Table2[Steel Member],0),_xlfn.XMATCH(R$2,Table2[#Headers],0)))</f>
        <v>#N/A</v>
      </c>
      <c r="S599" s="4" t="e" cm="1">
        <f t="array" ref="S599">IF(INDEX(Table2[],_xlfn.XMATCH($A599,Table2[Steel Member],0),_xlfn.XMATCH(S$2,Table2[#Headers],0))=0,"",INDEX(Table2[],_xlfn.XMATCH($A599,Table2[Steel Member],0),_xlfn.XMATCH(S$2,Table2[#Headers],0)))</f>
        <v>#N/A</v>
      </c>
      <c r="T599" s="4" t="str">
        <f t="shared" si="139"/>
        <v/>
      </c>
      <c r="U599" s="4" t="e">
        <f ca="1">VLOOKUP(N599,'COLOR CODE'!$B:$D,2,FALSE)</f>
        <v>#N/A</v>
      </c>
      <c r="V599" s="4" t="str">
        <f t="shared" si="140"/>
        <v/>
      </c>
      <c r="W599" s="4" t="e" cm="1">
        <f t="array" ref="W599">IF(INDEX(Table2[],_xlfn.XMATCH($A599,Table2[Steel Member],0),_xlfn.XMATCH(W$2,Table2[#Headers],0))=0,"",INDEX(Table2[],_xlfn.XMATCH($A599,Table2[Steel Member],0),_xlfn.XMATCH(W$2,Table2[#Headers],0)))</f>
        <v>#N/A</v>
      </c>
      <c r="X599" s="4" t="e">
        <f t="shared" si="150"/>
        <v>#N/A</v>
      </c>
      <c r="Y599" s="4" t="e" cm="1">
        <f t="array" ref="Y599">IF(INDEX(Table2[],_xlfn.XMATCH($A599,Table2[Steel Member],0),_xlfn.XMATCH(Y$2,Table2[#Headers],0))=0,"",INDEX(Table2[],_xlfn.XMATCH($A599,Table2[Steel Member],0),_xlfn.XMATCH(Y$2,Table2[#Headers],0)))</f>
        <v>#N/A</v>
      </c>
      <c r="Z599" s="4" t="e" cm="1">
        <f t="array" ref="Z599">IF(INDEX(Table2[],_xlfn.XMATCH($A599,Table2[Steel Member],0),_xlfn.XMATCH(Z$2,Table2[#Headers],0))=0,"",INDEX(Table2[],_xlfn.XMATCH($A599,Table2[Steel Member],0),_xlfn.XMATCH(Z$2,Table2[#Headers],0)))</f>
        <v>#N/A</v>
      </c>
      <c r="AA599" s="4" t="e" cm="1">
        <f t="array" ref="AA599">IF(INDEX(Table2[],_xlfn.XMATCH($A599,Table2[Steel Member],0),_xlfn.XMATCH(AA$2,Table2[#Headers],0))=0,"",INDEX(Table2[],_xlfn.XMATCH($A599,Table2[Steel Member],0),_xlfn.XMATCH(AA$2,Table2[#Headers],0)))</f>
        <v>#N/A</v>
      </c>
      <c r="AB599" s="4" t="e" cm="1">
        <f t="array" ref="AB599">IF(INDEX(Table2[],_xlfn.XMATCH($A599,Table2[Steel Member],0),_xlfn.XMATCH(AB$2,Table2[#Headers],0))=0,"",INDEX(Table2[],_xlfn.XMATCH($A599,Table2[Steel Member],0),_xlfn.XMATCH(AB$2,Table2[#Headers],0)))</f>
        <v>#N/A</v>
      </c>
      <c r="AC599" s="4" t="str" cm="1">
        <f t="array" ref="AC599">IFERROR(INDEX(Table8[],_xlfn.XMATCH($O599,Table8[Dimension Name Category],0),_xlfn.XMATCH(AC$2&amp;IF($L599," w/ tag"," w/o tag"),Table8[#Headers],0)),"")</f>
        <v/>
      </c>
      <c r="AD599" s="59" t="str">
        <f t="shared" si="141"/>
        <v/>
      </c>
      <c r="AE599" s="4" t="str">
        <f t="shared" si="142"/>
        <v/>
      </c>
      <c r="AF599" s="4" t="str">
        <f t="shared" si="143"/>
        <v/>
      </c>
      <c r="AG599" s="4" t="str" cm="1">
        <f t="array" ref="AG599">IFERROR(INDEX(Table8[],_xlfn.XMATCH($O599,Table8[Dimension Name Category],0),_xlfn.XMATCH(AG$2&amp;IF($L599," w/ tag"," w/o tag"),Table8[#Headers],0)),"")</f>
        <v/>
      </c>
      <c r="AH599" s="59" t="str">
        <f t="shared" si="144"/>
        <v/>
      </c>
      <c r="AI599" s="4"/>
      <c r="AJ599" s="4" t="str">
        <f t="shared" si="145"/>
        <v/>
      </c>
      <c r="AK599" s="4" t="str">
        <f t="shared" si="146"/>
        <v/>
      </c>
      <c r="AL599" s="4" t="e" cm="1">
        <f t="array" ref="AL599">IF(INDEX(Table2[],_xlfn.XMATCH($A599,Table2[Steel Member],0),_xlfn.XMATCH(AL$2,Table2[#Headers],0))=0,"",INDEX(Table2[],_xlfn.XMATCH($A599,Table2[Steel Member],0),_xlfn.XMATCH(AL$2,Table2[#Headers],0)))</f>
        <v>#N/A</v>
      </c>
      <c r="AM599" s="4"/>
      <c r="AN599" s="4" t="str">
        <f t="shared" si="147"/>
        <v/>
      </c>
      <c r="AO599" s="4"/>
      <c r="AP599" s="4" t="e" cm="1">
        <f t="array" ref="AP599">IF(INDEX(Table2[],_xlfn.XMATCH($A599,Table2[Steel Member],0),_xlfn.XMATCH(AP$2,Table2[#Headers],0))=0,"",INDEX(Table2[],_xlfn.XMATCH($A599,Table2[Steel Member],0),_xlfn.XMATCH(AP$2,Table2[#Headers],0)))</f>
        <v>#N/A</v>
      </c>
      <c r="AQ599" s="4"/>
      <c r="AR599" s="4"/>
      <c r="AS599" s="4"/>
      <c r="AT599" s="4"/>
    </row>
    <row r="600" spans="1:46" x14ac:dyDescent="0.25">
      <c r="A600" s="52"/>
      <c r="B600" s="52"/>
      <c r="C600" s="52"/>
      <c r="D600" s="52"/>
      <c r="E600" s="52"/>
      <c r="F600" s="64" cm="1">
        <f t="array" ref="F600">IF(COUNT(FIND(PurlinsxGirthsxBracings,$C600))&gt;0,0,ROUNDUP(IF(D600=0,0,VLOOKUP(D600,'DATA SHEET'!$B:$D,2,FALSE)),2))</f>
        <v>0</v>
      </c>
      <c r="G600" s="64" cm="1">
        <f t="array" ref="G600">IF(COUNT(FIND(PurlinsxGirthsxBracings,$C600))&gt;0,0,ROUNDUP(IF(D600=0,0,VLOOKUP(D600,'DATA SHEET'!$B:$D,3,FALSE)),2))</f>
        <v>0</v>
      </c>
      <c r="H600" s="53"/>
      <c r="I600" s="66" cm="1">
        <f t="array" ref="I600">IF(AND(ISBLANK(B600),ISBLANK(C600),ISBLANK(E600)),0,IF(COUNT(FIND(PurlinsxGirthsxBracings,$C600))&gt;0,IF(B600=0,CONCATENATE(E600," ",C600),CONCATENATE(B600," - ",E600," ",C600)),IF(B600=0,IF(ISBLANK(C600),E600,CONCATENATE(D600,", ",F600,"kg/m, ",G600,"mm surface perimeter")),IF(AND(ISBLANK(C600),ISTEXT(E600)),CONCATENATE(B600," - ",E600),IF(AND(ISBLANK(C600),ISBLANK(E600)),B600,CONCATENATE(B600," - ",D600,", ",F600,"kg/m, ",G600,"mm surface perimeter"))))&amp;IF(ISBLANK(H600),"",H600)))</f>
        <v>0</v>
      </c>
      <c r="J600" s="53"/>
      <c r="L600" s="4" t="str" cm="1">
        <f t="array" ref="L600">IF(COUNT(FIND({0,1,2,3,4,5,6,7,8,9},B600))&gt;0,COUNT(FIND({0,1,2,3,4,5,6,7,8,9},B600))&gt;0,"")</f>
        <v/>
      </c>
      <c r="M600" s="4" t="str" cm="1">
        <f t="array" aca="1" ref="M600" ca="1">IFERROR(_xlfn.IFS(R600="Count",RANDBETWEEN(1,COUNTIF($R$11:$R$653,"Count")),R600="Length",RANDBETWEEN(1,COUNTIF($R$11:$R$653,"Length"))),"")</f>
        <v/>
      </c>
      <c r="N600" s="4" t="str">
        <f ca="1">IFERROR(_xlfn.RANK.EQ(M600,$M$11:$M$653)+COUNTIF($M$11:M600,M600)-1,"")</f>
        <v/>
      </c>
      <c r="O600" s="86" t="str">
        <f>IF(A600='DATA SHEET'!$L$36,C600,IFERROR(IF(AND(ISTEXT(I600),ISBLANK(C600)),"No details",VLOOKUP(C600,DimFolder,2,FALSE)),""))</f>
        <v/>
      </c>
      <c r="P600" s="4" t="str">
        <f t="shared" si="149"/>
        <v/>
      </c>
      <c r="Q600" s="58" t="str">
        <f t="shared" si="148"/>
        <v/>
      </c>
      <c r="R600" s="4" t="e" cm="1">
        <f t="array" ref="R600">IF(INDEX(Table2[],_xlfn.XMATCH($A600,Table2[Steel Member],0),_xlfn.XMATCH(R$2,Table2[#Headers],0))=0,"",INDEX(Table2[],_xlfn.XMATCH($A600,Table2[Steel Member],0),_xlfn.XMATCH(R$2,Table2[#Headers],0)))</f>
        <v>#N/A</v>
      </c>
      <c r="S600" s="4" t="e" cm="1">
        <f t="array" ref="S600">IF(INDEX(Table2[],_xlfn.XMATCH($A600,Table2[Steel Member],0),_xlfn.XMATCH(S$2,Table2[#Headers],0))=0,"",INDEX(Table2[],_xlfn.XMATCH($A600,Table2[Steel Member],0),_xlfn.XMATCH(S$2,Table2[#Headers],0)))</f>
        <v>#N/A</v>
      </c>
      <c r="T600" s="4" t="str">
        <f t="shared" si="139"/>
        <v/>
      </c>
      <c r="U600" s="4" t="e">
        <f ca="1">VLOOKUP(N600,'COLOR CODE'!$B:$D,2,FALSE)</f>
        <v>#N/A</v>
      </c>
      <c r="V600" s="4" t="str">
        <f t="shared" si="140"/>
        <v/>
      </c>
      <c r="W600" s="4" t="e" cm="1">
        <f t="array" ref="W600">IF(INDEX(Table2[],_xlfn.XMATCH($A600,Table2[Steel Member],0),_xlfn.XMATCH(W$2,Table2[#Headers],0))=0,"",INDEX(Table2[],_xlfn.XMATCH($A600,Table2[Steel Member],0),_xlfn.XMATCH(W$2,Table2[#Headers],0)))</f>
        <v>#N/A</v>
      </c>
      <c r="X600" s="4" t="e">
        <f t="shared" si="150"/>
        <v>#N/A</v>
      </c>
      <c r="Y600" s="4" t="e" cm="1">
        <f t="array" ref="Y600">IF(INDEX(Table2[],_xlfn.XMATCH($A600,Table2[Steel Member],0),_xlfn.XMATCH(Y$2,Table2[#Headers],0))=0,"",INDEX(Table2[],_xlfn.XMATCH($A600,Table2[Steel Member],0),_xlfn.XMATCH(Y$2,Table2[#Headers],0)))</f>
        <v>#N/A</v>
      </c>
      <c r="Z600" s="4" t="e" cm="1">
        <f t="array" ref="Z600">IF(INDEX(Table2[],_xlfn.XMATCH($A600,Table2[Steel Member],0),_xlfn.XMATCH(Z$2,Table2[#Headers],0))=0,"",INDEX(Table2[],_xlfn.XMATCH($A600,Table2[Steel Member],0),_xlfn.XMATCH(Z$2,Table2[#Headers],0)))</f>
        <v>#N/A</v>
      </c>
      <c r="AA600" s="4" t="e" cm="1">
        <f t="array" ref="AA600">IF(INDEX(Table2[],_xlfn.XMATCH($A600,Table2[Steel Member],0),_xlfn.XMATCH(AA$2,Table2[#Headers],0))=0,"",INDEX(Table2[],_xlfn.XMATCH($A600,Table2[Steel Member],0),_xlfn.XMATCH(AA$2,Table2[#Headers],0)))</f>
        <v>#N/A</v>
      </c>
      <c r="AB600" s="4" t="e" cm="1">
        <f t="array" ref="AB600">IF(INDEX(Table2[],_xlfn.XMATCH($A600,Table2[Steel Member],0),_xlfn.XMATCH(AB$2,Table2[#Headers],0))=0,"",INDEX(Table2[],_xlfn.XMATCH($A600,Table2[Steel Member],0),_xlfn.XMATCH(AB$2,Table2[#Headers],0)))</f>
        <v>#N/A</v>
      </c>
      <c r="AC600" s="4" t="str" cm="1">
        <f t="array" ref="AC600">IFERROR(INDEX(Table8[],_xlfn.XMATCH($O600,Table8[Dimension Name Category],0),_xlfn.XMATCH(AC$2&amp;IF($L600," w/ tag"," w/o tag"),Table8[#Headers],0)),"")</f>
        <v/>
      </c>
      <c r="AD600" s="59" t="str">
        <f t="shared" si="141"/>
        <v/>
      </c>
      <c r="AE600" s="4" t="str">
        <f t="shared" si="142"/>
        <v/>
      </c>
      <c r="AF600" s="4" t="str">
        <f t="shared" si="143"/>
        <v/>
      </c>
      <c r="AG600" s="4" t="str" cm="1">
        <f t="array" ref="AG600">IFERROR(INDEX(Table8[],_xlfn.XMATCH($O600,Table8[Dimension Name Category],0),_xlfn.XMATCH(AG$2&amp;IF($L600," w/ tag"," w/o tag"),Table8[#Headers],0)),"")</f>
        <v/>
      </c>
      <c r="AH600" s="59" t="str">
        <f t="shared" si="144"/>
        <v/>
      </c>
      <c r="AI600" s="4"/>
      <c r="AJ600" s="4" t="str">
        <f t="shared" si="145"/>
        <v/>
      </c>
      <c r="AK600" s="4" t="str">
        <f t="shared" si="146"/>
        <v/>
      </c>
      <c r="AL600" s="4" t="e" cm="1">
        <f t="array" ref="AL600">IF(INDEX(Table2[],_xlfn.XMATCH($A600,Table2[Steel Member],0),_xlfn.XMATCH(AL$2,Table2[#Headers],0))=0,"",INDEX(Table2[],_xlfn.XMATCH($A600,Table2[Steel Member],0),_xlfn.XMATCH(AL$2,Table2[#Headers],0)))</f>
        <v>#N/A</v>
      </c>
      <c r="AM600" s="4"/>
      <c r="AN600" s="4" t="str">
        <f t="shared" si="147"/>
        <v/>
      </c>
      <c r="AO600" s="4"/>
      <c r="AP600" s="4" t="e" cm="1">
        <f t="array" ref="AP600">IF(INDEX(Table2[],_xlfn.XMATCH($A600,Table2[Steel Member],0),_xlfn.XMATCH(AP$2,Table2[#Headers],0))=0,"",INDEX(Table2[],_xlfn.XMATCH($A600,Table2[Steel Member],0),_xlfn.XMATCH(AP$2,Table2[#Headers],0)))</f>
        <v>#N/A</v>
      </c>
      <c r="AQ600" s="4"/>
      <c r="AR600" s="4"/>
      <c r="AS600" s="4"/>
      <c r="AT600" s="4"/>
    </row>
    <row r="601" spans="1:46" x14ac:dyDescent="0.25">
      <c r="A601" s="52"/>
      <c r="B601" s="52"/>
      <c r="C601" s="52"/>
      <c r="D601" s="52"/>
      <c r="E601" s="52"/>
      <c r="F601" s="64" cm="1">
        <f t="array" ref="F601">IF(COUNT(FIND(PurlinsxGirthsxBracings,$C601))&gt;0,0,ROUNDUP(IF(D601=0,0,VLOOKUP(D601,'DATA SHEET'!$B:$D,2,FALSE)),2))</f>
        <v>0</v>
      </c>
      <c r="G601" s="64" cm="1">
        <f t="array" ref="G601">IF(COUNT(FIND(PurlinsxGirthsxBracings,$C601))&gt;0,0,ROUNDUP(IF(D601=0,0,VLOOKUP(D601,'DATA SHEET'!$B:$D,3,FALSE)),2))</f>
        <v>0</v>
      </c>
      <c r="H601" s="53"/>
      <c r="I601" s="66" cm="1">
        <f t="array" ref="I601">IF(AND(ISBLANK(B601),ISBLANK(C601),ISBLANK(E601)),0,IF(COUNT(FIND(PurlinsxGirthsxBracings,$C601))&gt;0,IF(B601=0,CONCATENATE(E601," ",C601),CONCATENATE(B601," - ",E601," ",C601)),IF(B601=0,IF(ISBLANK(C601),E601,CONCATENATE(D601,", ",F601,"kg/m, ",G601,"mm surface perimeter")),IF(AND(ISBLANK(C601),ISTEXT(E601)),CONCATENATE(B601," - ",E601),IF(AND(ISBLANK(C601),ISBLANK(E601)),B601,CONCATENATE(B601," - ",D601,", ",F601,"kg/m, ",G601,"mm surface perimeter"))))&amp;IF(ISBLANK(H601),"",H601)))</f>
        <v>0</v>
      </c>
      <c r="J601" s="53"/>
      <c r="L601" s="4" t="str" cm="1">
        <f t="array" ref="L601">IF(COUNT(FIND({0,1,2,3,4,5,6,7,8,9},B601))&gt;0,COUNT(FIND({0,1,2,3,4,5,6,7,8,9},B601))&gt;0,"")</f>
        <v/>
      </c>
      <c r="M601" s="4" t="str" cm="1">
        <f t="array" aca="1" ref="M601" ca="1">IFERROR(_xlfn.IFS(R601="Count",RANDBETWEEN(1,COUNTIF($R$11:$R$653,"Count")),R601="Length",RANDBETWEEN(1,COUNTIF($R$11:$R$653,"Length"))),"")</f>
        <v/>
      </c>
      <c r="N601" s="4" t="str">
        <f ca="1">IFERROR(_xlfn.RANK.EQ(M601,$M$11:$M$653)+COUNTIF($M$11:M601,M601)-1,"")</f>
        <v/>
      </c>
      <c r="O601" s="86" t="str">
        <f>IF(A601='DATA SHEET'!$L$36,C601,IFERROR(IF(AND(ISTEXT(I601),ISBLANK(C601)),"No details",VLOOKUP(C601,DimFolder,2,FALSE)),""))</f>
        <v/>
      </c>
      <c r="P601" s="4" t="str">
        <f t="shared" si="149"/>
        <v/>
      </c>
      <c r="Q601" s="58" t="str">
        <f t="shared" si="148"/>
        <v/>
      </c>
      <c r="R601" s="4" t="e" cm="1">
        <f t="array" ref="R601">IF(INDEX(Table2[],_xlfn.XMATCH($A601,Table2[Steel Member],0),_xlfn.XMATCH(R$2,Table2[#Headers],0))=0,"",INDEX(Table2[],_xlfn.XMATCH($A601,Table2[Steel Member],0),_xlfn.XMATCH(R$2,Table2[#Headers],0)))</f>
        <v>#N/A</v>
      </c>
      <c r="S601" s="4" t="e" cm="1">
        <f t="array" ref="S601">IF(INDEX(Table2[],_xlfn.XMATCH($A601,Table2[Steel Member],0),_xlfn.XMATCH(S$2,Table2[#Headers],0))=0,"",INDEX(Table2[],_xlfn.XMATCH($A601,Table2[Steel Member],0),_xlfn.XMATCH(S$2,Table2[#Headers],0)))</f>
        <v>#N/A</v>
      </c>
      <c r="T601" s="4" t="str">
        <f t="shared" si="139"/>
        <v/>
      </c>
      <c r="U601" s="4" t="e">
        <f ca="1">VLOOKUP(N601,'COLOR CODE'!$B:$D,2,FALSE)</f>
        <v>#N/A</v>
      </c>
      <c r="V601" s="4" t="str">
        <f t="shared" si="140"/>
        <v/>
      </c>
      <c r="W601" s="4" t="e" cm="1">
        <f t="array" ref="W601">IF(INDEX(Table2[],_xlfn.XMATCH($A601,Table2[Steel Member],0),_xlfn.XMATCH(W$2,Table2[#Headers],0))=0,"",INDEX(Table2[],_xlfn.XMATCH($A601,Table2[Steel Member],0),_xlfn.XMATCH(W$2,Table2[#Headers],0)))</f>
        <v>#N/A</v>
      </c>
      <c r="X601" s="4" t="e">
        <f t="shared" si="150"/>
        <v>#N/A</v>
      </c>
      <c r="Y601" s="4" t="e" cm="1">
        <f t="array" ref="Y601">IF(INDEX(Table2[],_xlfn.XMATCH($A601,Table2[Steel Member],0),_xlfn.XMATCH(Y$2,Table2[#Headers],0))=0,"",INDEX(Table2[],_xlfn.XMATCH($A601,Table2[Steel Member],0),_xlfn.XMATCH(Y$2,Table2[#Headers],0)))</f>
        <v>#N/A</v>
      </c>
      <c r="Z601" s="4" t="e" cm="1">
        <f t="array" ref="Z601">IF(INDEX(Table2[],_xlfn.XMATCH($A601,Table2[Steel Member],0),_xlfn.XMATCH(Z$2,Table2[#Headers],0))=0,"",INDEX(Table2[],_xlfn.XMATCH($A601,Table2[Steel Member],0),_xlfn.XMATCH(Z$2,Table2[#Headers],0)))</f>
        <v>#N/A</v>
      </c>
      <c r="AA601" s="4" t="e" cm="1">
        <f t="array" ref="AA601">IF(INDEX(Table2[],_xlfn.XMATCH($A601,Table2[Steel Member],0),_xlfn.XMATCH(AA$2,Table2[#Headers],0))=0,"",INDEX(Table2[],_xlfn.XMATCH($A601,Table2[Steel Member],0),_xlfn.XMATCH(AA$2,Table2[#Headers],0)))</f>
        <v>#N/A</v>
      </c>
      <c r="AB601" s="4" t="e" cm="1">
        <f t="array" ref="AB601">IF(INDEX(Table2[],_xlfn.XMATCH($A601,Table2[Steel Member],0),_xlfn.XMATCH(AB$2,Table2[#Headers],0))=0,"",INDEX(Table2[],_xlfn.XMATCH($A601,Table2[Steel Member],0),_xlfn.XMATCH(AB$2,Table2[#Headers],0)))</f>
        <v>#N/A</v>
      </c>
      <c r="AC601" s="4" t="str" cm="1">
        <f t="array" ref="AC601">IFERROR(INDEX(Table8[],_xlfn.XMATCH($O601,Table8[Dimension Name Category],0),_xlfn.XMATCH(AC$2&amp;IF($L601," w/ tag"," w/o tag"),Table8[#Headers],0)),"")</f>
        <v/>
      </c>
      <c r="AD601" s="59" t="str">
        <f t="shared" si="141"/>
        <v/>
      </c>
      <c r="AE601" s="4" t="str">
        <f t="shared" si="142"/>
        <v/>
      </c>
      <c r="AF601" s="4" t="str">
        <f t="shared" si="143"/>
        <v/>
      </c>
      <c r="AG601" s="4" t="str" cm="1">
        <f t="array" ref="AG601">IFERROR(INDEX(Table8[],_xlfn.XMATCH($O601,Table8[Dimension Name Category],0),_xlfn.XMATCH(AG$2&amp;IF($L601," w/ tag"," w/o tag"),Table8[#Headers],0)),"")</f>
        <v/>
      </c>
      <c r="AH601" s="59" t="str">
        <f t="shared" si="144"/>
        <v/>
      </c>
      <c r="AI601" s="4"/>
      <c r="AJ601" s="4" t="str">
        <f t="shared" si="145"/>
        <v/>
      </c>
      <c r="AK601" s="4" t="str">
        <f t="shared" si="146"/>
        <v/>
      </c>
      <c r="AL601" s="4" t="e" cm="1">
        <f t="array" ref="AL601">IF(INDEX(Table2[],_xlfn.XMATCH($A601,Table2[Steel Member],0),_xlfn.XMATCH(AL$2,Table2[#Headers],0))=0,"",INDEX(Table2[],_xlfn.XMATCH($A601,Table2[Steel Member],0),_xlfn.XMATCH(AL$2,Table2[#Headers],0)))</f>
        <v>#N/A</v>
      </c>
      <c r="AM601" s="4"/>
      <c r="AN601" s="4" t="str">
        <f t="shared" si="147"/>
        <v/>
      </c>
      <c r="AO601" s="4"/>
      <c r="AP601" s="4" t="e" cm="1">
        <f t="array" ref="AP601">IF(INDEX(Table2[],_xlfn.XMATCH($A601,Table2[Steel Member],0),_xlfn.XMATCH(AP$2,Table2[#Headers],0))=0,"",INDEX(Table2[],_xlfn.XMATCH($A601,Table2[Steel Member],0),_xlfn.XMATCH(AP$2,Table2[#Headers],0)))</f>
        <v>#N/A</v>
      </c>
      <c r="AQ601" s="4"/>
      <c r="AR601" s="4"/>
      <c r="AS601" s="4"/>
      <c r="AT601" s="4"/>
    </row>
    <row r="602" spans="1:46" x14ac:dyDescent="0.25">
      <c r="A602" s="52"/>
      <c r="B602" s="52"/>
      <c r="C602" s="52"/>
      <c r="D602" s="52"/>
      <c r="E602" s="52"/>
      <c r="F602" s="64" cm="1">
        <f t="array" ref="F602">IF(COUNT(FIND(PurlinsxGirthsxBracings,$C602))&gt;0,0,ROUNDUP(IF(D602=0,0,VLOOKUP(D602,'DATA SHEET'!$B:$D,2,FALSE)),2))</f>
        <v>0</v>
      </c>
      <c r="G602" s="64" cm="1">
        <f t="array" ref="G602">IF(COUNT(FIND(PurlinsxGirthsxBracings,$C602))&gt;0,0,ROUNDUP(IF(D602=0,0,VLOOKUP(D602,'DATA SHEET'!$B:$D,3,FALSE)),2))</f>
        <v>0</v>
      </c>
      <c r="H602" s="53"/>
      <c r="I602" s="66" cm="1">
        <f t="array" ref="I602">IF(AND(ISBLANK(B602),ISBLANK(C602),ISBLANK(E602)),0,IF(COUNT(FIND(PurlinsxGirthsxBracings,$C602))&gt;0,IF(B602=0,CONCATENATE(E602," ",C602),CONCATENATE(B602," - ",E602," ",C602)),IF(B602=0,IF(ISBLANK(C602),E602,CONCATENATE(D602,", ",F602,"kg/m, ",G602,"mm surface perimeter")),IF(AND(ISBLANK(C602),ISTEXT(E602)),CONCATENATE(B602," - ",E602),IF(AND(ISBLANK(C602),ISBLANK(E602)),B602,CONCATENATE(B602," - ",D602,", ",F602,"kg/m, ",G602,"mm surface perimeter"))))&amp;IF(ISBLANK(H602),"",H602)))</f>
        <v>0</v>
      </c>
      <c r="J602" s="53"/>
      <c r="L602" s="4" t="str" cm="1">
        <f t="array" ref="L602">IF(COUNT(FIND({0,1,2,3,4,5,6,7,8,9},B602))&gt;0,COUNT(FIND({0,1,2,3,4,5,6,7,8,9},B602))&gt;0,"")</f>
        <v/>
      </c>
      <c r="M602" s="4" t="str" cm="1">
        <f t="array" aca="1" ref="M602" ca="1">IFERROR(_xlfn.IFS(R602="Count",RANDBETWEEN(1,COUNTIF($R$11:$R$653,"Count")),R602="Length",RANDBETWEEN(1,COUNTIF($R$11:$R$653,"Length"))),"")</f>
        <v/>
      </c>
      <c r="N602" s="4" t="str">
        <f ca="1">IFERROR(_xlfn.RANK.EQ(M602,$M$11:$M$653)+COUNTIF($M$11:M602,M602)-1,"")</f>
        <v/>
      </c>
      <c r="O602" s="86" t="str">
        <f>IF(A602='DATA SHEET'!$L$36,C602,IFERROR(IF(AND(ISTEXT(I602),ISBLANK(C602)),"No details",VLOOKUP(C602,DimFolder,2,FALSE)),""))</f>
        <v/>
      </c>
      <c r="P602" s="4" t="str">
        <f t="shared" si="149"/>
        <v/>
      </c>
      <c r="Q602" s="58" t="str">
        <f t="shared" si="148"/>
        <v/>
      </c>
      <c r="R602" s="4" t="e" cm="1">
        <f t="array" ref="R602">IF(INDEX(Table2[],_xlfn.XMATCH($A602,Table2[Steel Member],0),_xlfn.XMATCH(R$2,Table2[#Headers],0))=0,"",INDEX(Table2[],_xlfn.XMATCH($A602,Table2[Steel Member],0),_xlfn.XMATCH(R$2,Table2[#Headers],0)))</f>
        <v>#N/A</v>
      </c>
      <c r="S602" s="4" t="e" cm="1">
        <f t="array" ref="S602">IF(INDEX(Table2[],_xlfn.XMATCH($A602,Table2[Steel Member],0),_xlfn.XMATCH(S$2,Table2[#Headers],0))=0,"",INDEX(Table2[],_xlfn.XMATCH($A602,Table2[Steel Member],0),_xlfn.XMATCH(S$2,Table2[#Headers],0)))</f>
        <v>#N/A</v>
      </c>
      <c r="T602" s="4" t="str">
        <f t="shared" si="139"/>
        <v/>
      </c>
      <c r="U602" s="4" t="e">
        <f ca="1">VLOOKUP(N602,'COLOR CODE'!$B:$D,2,FALSE)</f>
        <v>#N/A</v>
      </c>
      <c r="V602" s="4" t="str">
        <f t="shared" si="140"/>
        <v/>
      </c>
      <c r="W602" s="4" t="e" cm="1">
        <f t="array" ref="W602">IF(INDEX(Table2[],_xlfn.XMATCH($A602,Table2[Steel Member],0),_xlfn.XMATCH(W$2,Table2[#Headers],0))=0,"",INDEX(Table2[],_xlfn.XMATCH($A602,Table2[Steel Member],0),_xlfn.XMATCH(W$2,Table2[#Headers],0)))</f>
        <v>#N/A</v>
      </c>
      <c r="X602" s="4" t="e">
        <f t="shared" si="150"/>
        <v>#N/A</v>
      </c>
      <c r="Y602" s="4" t="e" cm="1">
        <f t="array" ref="Y602">IF(INDEX(Table2[],_xlfn.XMATCH($A602,Table2[Steel Member],0),_xlfn.XMATCH(Y$2,Table2[#Headers],0))=0,"",INDEX(Table2[],_xlfn.XMATCH($A602,Table2[Steel Member],0),_xlfn.XMATCH(Y$2,Table2[#Headers],0)))</f>
        <v>#N/A</v>
      </c>
      <c r="Z602" s="4" t="e" cm="1">
        <f t="array" ref="Z602">IF(INDEX(Table2[],_xlfn.XMATCH($A602,Table2[Steel Member],0),_xlfn.XMATCH(Z$2,Table2[#Headers],0))=0,"",INDEX(Table2[],_xlfn.XMATCH($A602,Table2[Steel Member],0),_xlfn.XMATCH(Z$2,Table2[#Headers],0)))</f>
        <v>#N/A</v>
      </c>
      <c r="AA602" s="4" t="e" cm="1">
        <f t="array" ref="AA602">IF(INDEX(Table2[],_xlfn.XMATCH($A602,Table2[Steel Member],0),_xlfn.XMATCH(AA$2,Table2[#Headers],0))=0,"",INDEX(Table2[],_xlfn.XMATCH($A602,Table2[Steel Member],0),_xlfn.XMATCH(AA$2,Table2[#Headers],0)))</f>
        <v>#N/A</v>
      </c>
      <c r="AB602" s="4" t="e" cm="1">
        <f t="array" ref="AB602">IF(INDEX(Table2[],_xlfn.XMATCH($A602,Table2[Steel Member],0),_xlfn.XMATCH(AB$2,Table2[#Headers],0))=0,"",INDEX(Table2[],_xlfn.XMATCH($A602,Table2[Steel Member],0),_xlfn.XMATCH(AB$2,Table2[#Headers],0)))</f>
        <v>#N/A</v>
      </c>
      <c r="AC602" s="4" t="str" cm="1">
        <f t="array" ref="AC602">IFERROR(INDEX(Table8[],_xlfn.XMATCH($O602,Table8[Dimension Name Category],0),_xlfn.XMATCH(AC$2&amp;IF($L602," w/ tag"," w/o tag"),Table8[#Headers],0)),"")</f>
        <v/>
      </c>
      <c r="AD602" s="59" t="str">
        <f t="shared" si="141"/>
        <v/>
      </c>
      <c r="AE602" s="4" t="str">
        <f t="shared" si="142"/>
        <v/>
      </c>
      <c r="AF602" s="4" t="str">
        <f t="shared" si="143"/>
        <v/>
      </c>
      <c r="AG602" s="4" t="str" cm="1">
        <f t="array" ref="AG602">IFERROR(INDEX(Table8[],_xlfn.XMATCH($O602,Table8[Dimension Name Category],0),_xlfn.XMATCH(AG$2&amp;IF($L602," w/ tag"," w/o tag"),Table8[#Headers],0)),"")</f>
        <v/>
      </c>
      <c r="AH602" s="59" t="str">
        <f t="shared" si="144"/>
        <v/>
      </c>
      <c r="AI602" s="4"/>
      <c r="AJ602" s="4" t="str">
        <f t="shared" si="145"/>
        <v/>
      </c>
      <c r="AK602" s="4" t="str">
        <f t="shared" si="146"/>
        <v/>
      </c>
      <c r="AL602" s="4" t="e" cm="1">
        <f t="array" ref="AL602">IF(INDEX(Table2[],_xlfn.XMATCH($A602,Table2[Steel Member],0),_xlfn.XMATCH(AL$2,Table2[#Headers],0))=0,"",INDEX(Table2[],_xlfn.XMATCH($A602,Table2[Steel Member],0),_xlfn.XMATCH(AL$2,Table2[#Headers],0)))</f>
        <v>#N/A</v>
      </c>
      <c r="AM602" s="4"/>
      <c r="AN602" s="4" t="str">
        <f t="shared" si="147"/>
        <v/>
      </c>
      <c r="AO602" s="4"/>
      <c r="AP602" s="4" t="e" cm="1">
        <f t="array" ref="AP602">IF(INDEX(Table2[],_xlfn.XMATCH($A602,Table2[Steel Member],0),_xlfn.XMATCH(AP$2,Table2[#Headers],0))=0,"",INDEX(Table2[],_xlfn.XMATCH($A602,Table2[Steel Member],0),_xlfn.XMATCH(AP$2,Table2[#Headers],0)))</f>
        <v>#N/A</v>
      </c>
      <c r="AQ602" s="4"/>
      <c r="AR602" s="4"/>
      <c r="AS602" s="4"/>
      <c r="AT602" s="4"/>
    </row>
    <row r="603" spans="1:46" x14ac:dyDescent="0.25">
      <c r="A603" s="52"/>
      <c r="B603" s="52"/>
      <c r="C603" s="52"/>
      <c r="D603" s="52"/>
      <c r="E603" s="52"/>
      <c r="F603" s="64" cm="1">
        <f t="array" ref="F603">IF(COUNT(FIND(PurlinsxGirthsxBracings,$C603))&gt;0,0,ROUNDUP(IF(D603=0,0,VLOOKUP(D603,'DATA SHEET'!$B:$D,2,FALSE)),2))</f>
        <v>0</v>
      </c>
      <c r="G603" s="64" cm="1">
        <f t="array" ref="G603">IF(COUNT(FIND(PurlinsxGirthsxBracings,$C603))&gt;0,0,ROUNDUP(IF(D603=0,0,VLOOKUP(D603,'DATA SHEET'!$B:$D,3,FALSE)),2))</f>
        <v>0</v>
      </c>
      <c r="H603" s="53"/>
      <c r="I603" s="66" cm="1">
        <f t="array" ref="I603">IF(AND(ISBLANK(B603),ISBLANK(C603),ISBLANK(E603)),0,IF(COUNT(FIND(PurlinsxGirthsxBracings,$C603))&gt;0,IF(B603=0,CONCATENATE(E603," ",C603),CONCATENATE(B603," - ",E603," ",C603)),IF(B603=0,IF(ISBLANK(C603),E603,CONCATENATE(D603,", ",F603,"kg/m, ",G603,"mm surface perimeter")),IF(AND(ISBLANK(C603),ISTEXT(E603)),CONCATENATE(B603," - ",E603),IF(AND(ISBLANK(C603),ISBLANK(E603)),B603,CONCATENATE(B603," - ",D603,", ",F603,"kg/m, ",G603,"mm surface perimeter"))))&amp;IF(ISBLANK(H603),"",H603)))</f>
        <v>0</v>
      </c>
      <c r="J603" s="53"/>
      <c r="L603" s="4" t="str" cm="1">
        <f t="array" ref="L603">IF(COUNT(FIND({0,1,2,3,4,5,6,7,8,9},B603))&gt;0,COUNT(FIND({0,1,2,3,4,5,6,7,8,9},B603))&gt;0,"")</f>
        <v/>
      </c>
      <c r="M603" s="4" t="str" cm="1">
        <f t="array" aca="1" ref="M603" ca="1">IFERROR(_xlfn.IFS(R603="Count",RANDBETWEEN(1,COUNTIF($R$11:$R$653,"Count")),R603="Length",RANDBETWEEN(1,COUNTIF($R$11:$R$653,"Length"))),"")</f>
        <v/>
      </c>
      <c r="N603" s="4" t="str">
        <f ca="1">IFERROR(_xlfn.RANK.EQ(M603,$M$11:$M$653)+COUNTIF($M$11:M603,M603)-1,"")</f>
        <v/>
      </c>
      <c r="O603" s="86" t="str">
        <f>IF(A603='DATA SHEET'!$L$36,C603,IFERROR(IF(AND(ISTEXT(I603),ISBLANK(C603)),"No details",VLOOKUP(C603,DimFolder,2,FALSE)),""))</f>
        <v/>
      </c>
      <c r="P603" s="4" t="str">
        <f t="shared" si="149"/>
        <v/>
      </c>
      <c r="Q603" s="58" t="str">
        <f t="shared" si="148"/>
        <v/>
      </c>
      <c r="R603" s="4" t="e" cm="1">
        <f t="array" ref="R603">IF(INDEX(Table2[],_xlfn.XMATCH($A603,Table2[Steel Member],0),_xlfn.XMATCH(R$2,Table2[#Headers],0))=0,"",INDEX(Table2[],_xlfn.XMATCH($A603,Table2[Steel Member],0),_xlfn.XMATCH(R$2,Table2[#Headers],0)))</f>
        <v>#N/A</v>
      </c>
      <c r="S603" s="4" t="e" cm="1">
        <f t="array" ref="S603">IF(INDEX(Table2[],_xlfn.XMATCH($A603,Table2[Steel Member],0),_xlfn.XMATCH(S$2,Table2[#Headers],0))=0,"",INDEX(Table2[],_xlfn.XMATCH($A603,Table2[Steel Member],0),_xlfn.XMATCH(S$2,Table2[#Headers],0)))</f>
        <v>#N/A</v>
      </c>
      <c r="T603" s="4" t="str">
        <f t="shared" si="139"/>
        <v/>
      </c>
      <c r="U603" s="4" t="e">
        <f ca="1">VLOOKUP(N603,'COLOR CODE'!$B:$D,2,FALSE)</f>
        <v>#N/A</v>
      </c>
      <c r="V603" s="4" t="str">
        <f t="shared" si="140"/>
        <v/>
      </c>
      <c r="W603" s="4" t="e" cm="1">
        <f t="array" ref="W603">IF(INDEX(Table2[],_xlfn.XMATCH($A603,Table2[Steel Member],0),_xlfn.XMATCH(W$2,Table2[#Headers],0))=0,"",INDEX(Table2[],_xlfn.XMATCH($A603,Table2[Steel Member],0),_xlfn.XMATCH(W$2,Table2[#Headers],0)))</f>
        <v>#N/A</v>
      </c>
      <c r="X603" s="4" t="e">
        <f t="shared" si="150"/>
        <v>#N/A</v>
      </c>
      <c r="Y603" s="4" t="e" cm="1">
        <f t="array" ref="Y603">IF(INDEX(Table2[],_xlfn.XMATCH($A603,Table2[Steel Member],0),_xlfn.XMATCH(Y$2,Table2[#Headers],0))=0,"",INDEX(Table2[],_xlfn.XMATCH($A603,Table2[Steel Member],0),_xlfn.XMATCH(Y$2,Table2[#Headers],0)))</f>
        <v>#N/A</v>
      </c>
      <c r="Z603" s="4" t="e" cm="1">
        <f t="array" ref="Z603">IF(INDEX(Table2[],_xlfn.XMATCH($A603,Table2[Steel Member],0),_xlfn.XMATCH(Z$2,Table2[#Headers],0))=0,"",INDEX(Table2[],_xlfn.XMATCH($A603,Table2[Steel Member],0),_xlfn.XMATCH(Z$2,Table2[#Headers],0)))</f>
        <v>#N/A</v>
      </c>
      <c r="AA603" s="4" t="e" cm="1">
        <f t="array" ref="AA603">IF(INDEX(Table2[],_xlfn.XMATCH($A603,Table2[Steel Member],0),_xlfn.XMATCH(AA$2,Table2[#Headers],0))=0,"",INDEX(Table2[],_xlfn.XMATCH($A603,Table2[Steel Member],0),_xlfn.XMATCH(AA$2,Table2[#Headers],0)))</f>
        <v>#N/A</v>
      </c>
      <c r="AB603" s="4" t="e" cm="1">
        <f t="array" ref="AB603">IF(INDEX(Table2[],_xlfn.XMATCH($A603,Table2[Steel Member],0),_xlfn.XMATCH(AB$2,Table2[#Headers],0))=0,"",INDEX(Table2[],_xlfn.XMATCH($A603,Table2[Steel Member],0),_xlfn.XMATCH(AB$2,Table2[#Headers],0)))</f>
        <v>#N/A</v>
      </c>
      <c r="AC603" s="4" t="str" cm="1">
        <f t="array" ref="AC603">IFERROR(INDEX(Table8[],_xlfn.XMATCH($O603,Table8[Dimension Name Category],0),_xlfn.XMATCH(AC$2&amp;IF($L603," w/ tag"," w/o tag"),Table8[#Headers],0)),"")</f>
        <v/>
      </c>
      <c r="AD603" s="59" t="str">
        <f t="shared" si="141"/>
        <v/>
      </c>
      <c r="AE603" s="4" t="str">
        <f t="shared" si="142"/>
        <v/>
      </c>
      <c r="AF603" s="4" t="str">
        <f t="shared" si="143"/>
        <v/>
      </c>
      <c r="AG603" s="4" t="str" cm="1">
        <f t="array" ref="AG603">IFERROR(INDEX(Table8[],_xlfn.XMATCH($O603,Table8[Dimension Name Category],0),_xlfn.XMATCH(AG$2&amp;IF($L603," w/ tag"," w/o tag"),Table8[#Headers],0)),"")</f>
        <v/>
      </c>
      <c r="AH603" s="59" t="str">
        <f t="shared" si="144"/>
        <v/>
      </c>
      <c r="AI603" s="4"/>
      <c r="AJ603" s="4" t="str">
        <f t="shared" si="145"/>
        <v/>
      </c>
      <c r="AK603" s="4" t="str">
        <f t="shared" si="146"/>
        <v/>
      </c>
      <c r="AL603" s="4" t="e" cm="1">
        <f t="array" ref="AL603">IF(INDEX(Table2[],_xlfn.XMATCH($A603,Table2[Steel Member],0),_xlfn.XMATCH(AL$2,Table2[#Headers],0))=0,"",INDEX(Table2[],_xlfn.XMATCH($A603,Table2[Steel Member],0),_xlfn.XMATCH(AL$2,Table2[#Headers],0)))</f>
        <v>#N/A</v>
      </c>
      <c r="AM603" s="4"/>
      <c r="AN603" s="4" t="str">
        <f t="shared" si="147"/>
        <v/>
      </c>
      <c r="AO603" s="4"/>
      <c r="AP603" s="4" t="e" cm="1">
        <f t="array" ref="AP603">IF(INDEX(Table2[],_xlfn.XMATCH($A603,Table2[Steel Member],0),_xlfn.XMATCH(AP$2,Table2[#Headers],0))=0,"",INDEX(Table2[],_xlfn.XMATCH($A603,Table2[Steel Member],0),_xlfn.XMATCH(AP$2,Table2[#Headers],0)))</f>
        <v>#N/A</v>
      </c>
      <c r="AQ603" s="4"/>
      <c r="AR603" s="4"/>
      <c r="AS603" s="4"/>
      <c r="AT603" s="4"/>
    </row>
    <row r="604" spans="1:46" x14ac:dyDescent="0.25">
      <c r="A604" s="52"/>
      <c r="B604" s="52"/>
      <c r="C604" s="52"/>
      <c r="D604" s="52"/>
      <c r="E604" s="52"/>
      <c r="F604" s="64" cm="1">
        <f t="array" ref="F604">IF(COUNT(FIND(PurlinsxGirthsxBracings,$C604))&gt;0,0,ROUNDUP(IF(D604=0,0,VLOOKUP(D604,'DATA SHEET'!$B:$D,2,FALSE)),2))</f>
        <v>0</v>
      </c>
      <c r="G604" s="64" cm="1">
        <f t="array" ref="G604">IF(COUNT(FIND(PurlinsxGirthsxBracings,$C604))&gt;0,0,ROUNDUP(IF(D604=0,0,VLOOKUP(D604,'DATA SHEET'!$B:$D,3,FALSE)),2))</f>
        <v>0</v>
      </c>
      <c r="H604" s="53"/>
      <c r="I604" s="66" cm="1">
        <f t="array" ref="I604">IF(AND(ISBLANK(B604),ISBLANK(C604),ISBLANK(E604)),0,IF(COUNT(FIND(PurlinsxGirthsxBracings,$C604))&gt;0,IF(B604=0,CONCATENATE(E604," ",C604),CONCATENATE(B604," - ",E604," ",C604)),IF(B604=0,IF(ISBLANK(C604),E604,CONCATENATE(D604,", ",F604,"kg/m, ",G604,"mm surface perimeter")),IF(AND(ISBLANK(C604),ISTEXT(E604)),CONCATENATE(B604," - ",E604),IF(AND(ISBLANK(C604),ISBLANK(E604)),B604,CONCATENATE(B604," - ",D604,", ",F604,"kg/m, ",G604,"mm surface perimeter"))))&amp;IF(ISBLANK(H604),"",H604)))</f>
        <v>0</v>
      </c>
      <c r="J604" s="53"/>
      <c r="L604" s="4" t="str" cm="1">
        <f t="array" ref="L604">IF(COUNT(FIND({0,1,2,3,4,5,6,7,8,9},B604))&gt;0,COUNT(FIND({0,1,2,3,4,5,6,7,8,9},B604))&gt;0,"")</f>
        <v/>
      </c>
      <c r="M604" s="4" t="str" cm="1">
        <f t="array" aca="1" ref="M604" ca="1">IFERROR(_xlfn.IFS(R604="Count",RANDBETWEEN(1,COUNTIF($R$11:$R$653,"Count")),R604="Length",RANDBETWEEN(1,COUNTIF($R$11:$R$653,"Length"))),"")</f>
        <v/>
      </c>
      <c r="N604" s="4" t="str">
        <f ca="1">IFERROR(_xlfn.RANK.EQ(M604,$M$11:$M$653)+COUNTIF($M$11:M604,M604)-1,"")</f>
        <v/>
      </c>
      <c r="O604" s="86" t="str">
        <f>IF(A604='DATA SHEET'!$L$36,C604,IFERROR(IF(AND(ISTEXT(I604),ISBLANK(C604)),"No details",VLOOKUP(C604,DimFolder,2,FALSE)),""))</f>
        <v/>
      </c>
      <c r="P604" s="4" t="str">
        <f t="shared" si="149"/>
        <v/>
      </c>
      <c r="Q604" s="58" t="str">
        <f t="shared" si="148"/>
        <v/>
      </c>
      <c r="R604" s="4" t="e" cm="1">
        <f t="array" ref="R604">IF(INDEX(Table2[],_xlfn.XMATCH($A604,Table2[Steel Member],0),_xlfn.XMATCH(R$2,Table2[#Headers],0))=0,"",INDEX(Table2[],_xlfn.XMATCH($A604,Table2[Steel Member],0),_xlfn.XMATCH(R$2,Table2[#Headers],0)))</f>
        <v>#N/A</v>
      </c>
      <c r="S604" s="4" t="e" cm="1">
        <f t="array" ref="S604">IF(INDEX(Table2[],_xlfn.XMATCH($A604,Table2[Steel Member],0),_xlfn.XMATCH(S$2,Table2[#Headers],0))=0,"",INDEX(Table2[],_xlfn.XMATCH($A604,Table2[Steel Member],0),_xlfn.XMATCH(S$2,Table2[#Headers],0)))</f>
        <v>#N/A</v>
      </c>
      <c r="T604" s="4" t="str">
        <f t="shared" si="139"/>
        <v/>
      </c>
      <c r="U604" s="4" t="e">
        <f ca="1">VLOOKUP(N604,'COLOR CODE'!$B:$D,2,FALSE)</f>
        <v>#N/A</v>
      </c>
      <c r="V604" s="4" t="str">
        <f t="shared" si="140"/>
        <v/>
      </c>
      <c r="W604" s="4" t="e" cm="1">
        <f t="array" ref="W604">IF(INDEX(Table2[],_xlfn.XMATCH($A604,Table2[Steel Member],0),_xlfn.XMATCH(W$2,Table2[#Headers],0))=0,"",INDEX(Table2[],_xlfn.XMATCH($A604,Table2[Steel Member],0),_xlfn.XMATCH(W$2,Table2[#Headers],0)))</f>
        <v>#N/A</v>
      </c>
      <c r="X604" s="4" t="e">
        <f t="shared" si="150"/>
        <v>#N/A</v>
      </c>
      <c r="Y604" s="4" t="e" cm="1">
        <f t="array" ref="Y604">IF(INDEX(Table2[],_xlfn.XMATCH($A604,Table2[Steel Member],0),_xlfn.XMATCH(Y$2,Table2[#Headers],0))=0,"",INDEX(Table2[],_xlfn.XMATCH($A604,Table2[Steel Member],0),_xlfn.XMATCH(Y$2,Table2[#Headers],0)))</f>
        <v>#N/A</v>
      </c>
      <c r="Z604" s="4" t="e" cm="1">
        <f t="array" ref="Z604">IF(INDEX(Table2[],_xlfn.XMATCH($A604,Table2[Steel Member],0),_xlfn.XMATCH(Z$2,Table2[#Headers],0))=0,"",INDEX(Table2[],_xlfn.XMATCH($A604,Table2[Steel Member],0),_xlfn.XMATCH(Z$2,Table2[#Headers],0)))</f>
        <v>#N/A</v>
      </c>
      <c r="AA604" s="4" t="e" cm="1">
        <f t="array" ref="AA604">IF(INDEX(Table2[],_xlfn.XMATCH($A604,Table2[Steel Member],0),_xlfn.XMATCH(AA$2,Table2[#Headers],0))=0,"",INDEX(Table2[],_xlfn.XMATCH($A604,Table2[Steel Member],0),_xlfn.XMATCH(AA$2,Table2[#Headers],0)))</f>
        <v>#N/A</v>
      </c>
      <c r="AB604" s="4" t="e" cm="1">
        <f t="array" ref="AB604">IF(INDEX(Table2[],_xlfn.XMATCH($A604,Table2[Steel Member],0),_xlfn.XMATCH(AB$2,Table2[#Headers],0))=0,"",INDEX(Table2[],_xlfn.XMATCH($A604,Table2[Steel Member],0),_xlfn.XMATCH(AB$2,Table2[#Headers],0)))</f>
        <v>#N/A</v>
      </c>
      <c r="AC604" s="4" t="str" cm="1">
        <f t="array" ref="AC604">IFERROR(INDEX(Table8[],_xlfn.XMATCH($O604,Table8[Dimension Name Category],0),_xlfn.XMATCH(AC$2&amp;IF($L604," w/ tag"," w/o tag"),Table8[#Headers],0)),"")</f>
        <v/>
      </c>
      <c r="AD604" s="59" t="str">
        <f t="shared" si="141"/>
        <v/>
      </c>
      <c r="AE604" s="4" t="str">
        <f t="shared" si="142"/>
        <v/>
      </c>
      <c r="AF604" s="4" t="str">
        <f t="shared" si="143"/>
        <v/>
      </c>
      <c r="AG604" s="4" t="str" cm="1">
        <f t="array" ref="AG604">IFERROR(INDEX(Table8[],_xlfn.XMATCH($O604,Table8[Dimension Name Category],0),_xlfn.XMATCH(AG$2&amp;IF($L604," w/ tag"," w/o tag"),Table8[#Headers],0)),"")</f>
        <v/>
      </c>
      <c r="AH604" s="59" t="str">
        <f t="shared" si="144"/>
        <v/>
      </c>
      <c r="AI604" s="4"/>
      <c r="AJ604" s="4" t="str">
        <f t="shared" si="145"/>
        <v/>
      </c>
      <c r="AK604" s="4" t="str">
        <f t="shared" si="146"/>
        <v/>
      </c>
      <c r="AL604" s="4" t="e" cm="1">
        <f t="array" ref="AL604">IF(INDEX(Table2[],_xlfn.XMATCH($A604,Table2[Steel Member],0),_xlfn.XMATCH(AL$2,Table2[#Headers],0))=0,"",INDEX(Table2[],_xlfn.XMATCH($A604,Table2[Steel Member],0),_xlfn.XMATCH(AL$2,Table2[#Headers],0)))</f>
        <v>#N/A</v>
      </c>
      <c r="AM604" s="4"/>
      <c r="AN604" s="4" t="str">
        <f t="shared" si="147"/>
        <v/>
      </c>
      <c r="AO604" s="4"/>
      <c r="AP604" s="4" t="e" cm="1">
        <f t="array" ref="AP604">IF(INDEX(Table2[],_xlfn.XMATCH($A604,Table2[Steel Member],0),_xlfn.XMATCH(AP$2,Table2[#Headers],0))=0,"",INDEX(Table2[],_xlfn.XMATCH($A604,Table2[Steel Member],0),_xlfn.XMATCH(AP$2,Table2[#Headers],0)))</f>
        <v>#N/A</v>
      </c>
      <c r="AQ604" s="4"/>
      <c r="AR604" s="4"/>
      <c r="AS604" s="4"/>
      <c r="AT604" s="4"/>
    </row>
    <row r="605" spans="1:46" x14ac:dyDescent="0.25">
      <c r="A605" s="52"/>
      <c r="B605" s="52"/>
      <c r="C605" s="52"/>
      <c r="D605" s="52"/>
      <c r="E605" s="52"/>
      <c r="F605" s="64" cm="1">
        <f t="array" ref="F605">IF(COUNT(FIND(PurlinsxGirthsxBracings,$C605))&gt;0,0,ROUNDUP(IF(D605=0,0,VLOOKUP(D605,'DATA SHEET'!$B:$D,2,FALSE)),2))</f>
        <v>0</v>
      </c>
      <c r="G605" s="64" cm="1">
        <f t="array" ref="G605">IF(COUNT(FIND(PurlinsxGirthsxBracings,$C605))&gt;0,0,ROUNDUP(IF(D605=0,0,VLOOKUP(D605,'DATA SHEET'!$B:$D,3,FALSE)),2))</f>
        <v>0</v>
      </c>
      <c r="H605" s="53"/>
      <c r="I605" s="66" cm="1">
        <f t="array" ref="I605">IF(AND(ISBLANK(B605),ISBLANK(C605),ISBLANK(E605)),0,IF(COUNT(FIND(PurlinsxGirthsxBracings,$C605))&gt;0,IF(B605=0,CONCATENATE(E605," ",C605),CONCATENATE(B605," - ",E605," ",C605)),IF(B605=0,IF(ISBLANK(C605),E605,CONCATENATE(D605,", ",F605,"kg/m, ",G605,"mm surface perimeter")),IF(AND(ISBLANK(C605),ISTEXT(E605)),CONCATENATE(B605," - ",E605),IF(AND(ISBLANK(C605),ISBLANK(E605)),B605,CONCATENATE(B605," - ",D605,", ",F605,"kg/m, ",G605,"mm surface perimeter"))))&amp;IF(ISBLANK(H605),"",H605)))</f>
        <v>0</v>
      </c>
      <c r="J605" s="53"/>
      <c r="L605" s="4" t="str" cm="1">
        <f t="array" ref="L605">IF(COUNT(FIND({0,1,2,3,4,5,6,7,8,9},B605))&gt;0,COUNT(FIND({0,1,2,3,4,5,6,7,8,9},B605))&gt;0,"")</f>
        <v/>
      </c>
      <c r="M605" s="4" t="str" cm="1">
        <f t="array" aca="1" ref="M605" ca="1">IFERROR(_xlfn.IFS(R605="Count",RANDBETWEEN(1,COUNTIF($R$11:$R$653,"Count")),R605="Length",RANDBETWEEN(1,COUNTIF($R$11:$R$653,"Length"))),"")</f>
        <v/>
      </c>
      <c r="N605" s="4" t="str">
        <f ca="1">IFERROR(_xlfn.RANK.EQ(M605,$M$11:$M$653)+COUNTIF($M$11:M605,M605)-1,"")</f>
        <v/>
      </c>
      <c r="O605" s="86" t="str">
        <f>IF(A605='DATA SHEET'!$L$36,C605,IFERROR(IF(AND(ISTEXT(I605),ISBLANK(C605)),"No details",VLOOKUP(C605,DimFolder,2,FALSE)),""))</f>
        <v/>
      </c>
      <c r="P605" s="4" t="str">
        <f t="shared" si="149"/>
        <v/>
      </c>
      <c r="Q605" s="58" t="str">
        <f t="shared" si="148"/>
        <v/>
      </c>
      <c r="R605" s="4" t="e" cm="1">
        <f t="array" ref="R605">IF(INDEX(Table2[],_xlfn.XMATCH($A605,Table2[Steel Member],0),_xlfn.XMATCH(R$2,Table2[#Headers],0))=0,"",INDEX(Table2[],_xlfn.XMATCH($A605,Table2[Steel Member],0),_xlfn.XMATCH(R$2,Table2[#Headers],0)))</f>
        <v>#N/A</v>
      </c>
      <c r="S605" s="4" t="e" cm="1">
        <f t="array" ref="S605">IF(INDEX(Table2[],_xlfn.XMATCH($A605,Table2[Steel Member],0),_xlfn.XMATCH(S$2,Table2[#Headers],0))=0,"",INDEX(Table2[],_xlfn.XMATCH($A605,Table2[Steel Member],0),_xlfn.XMATCH(S$2,Table2[#Headers],0)))</f>
        <v>#N/A</v>
      </c>
      <c r="T605" s="4" t="str">
        <f t="shared" si="139"/>
        <v/>
      </c>
      <c r="U605" s="4" t="e">
        <f ca="1">VLOOKUP(N605,'COLOR CODE'!$B:$D,2,FALSE)</f>
        <v>#N/A</v>
      </c>
      <c r="V605" s="4" t="str">
        <f t="shared" si="140"/>
        <v/>
      </c>
      <c r="W605" s="4" t="e" cm="1">
        <f t="array" ref="W605">IF(INDEX(Table2[],_xlfn.XMATCH($A605,Table2[Steel Member],0),_xlfn.XMATCH(W$2,Table2[#Headers],0))=0,"",INDEX(Table2[],_xlfn.XMATCH($A605,Table2[Steel Member],0),_xlfn.XMATCH(W$2,Table2[#Headers],0)))</f>
        <v>#N/A</v>
      </c>
      <c r="X605" s="4" t="e">
        <f t="shared" si="150"/>
        <v>#N/A</v>
      </c>
      <c r="Y605" s="4" t="e" cm="1">
        <f t="array" ref="Y605">IF(INDEX(Table2[],_xlfn.XMATCH($A605,Table2[Steel Member],0),_xlfn.XMATCH(Y$2,Table2[#Headers],0))=0,"",INDEX(Table2[],_xlfn.XMATCH($A605,Table2[Steel Member],0),_xlfn.XMATCH(Y$2,Table2[#Headers],0)))</f>
        <v>#N/A</v>
      </c>
      <c r="Z605" s="4" t="e" cm="1">
        <f t="array" ref="Z605">IF(INDEX(Table2[],_xlfn.XMATCH($A605,Table2[Steel Member],0),_xlfn.XMATCH(Z$2,Table2[#Headers],0))=0,"",INDEX(Table2[],_xlfn.XMATCH($A605,Table2[Steel Member],0),_xlfn.XMATCH(Z$2,Table2[#Headers],0)))</f>
        <v>#N/A</v>
      </c>
      <c r="AA605" s="4" t="e" cm="1">
        <f t="array" ref="AA605">IF(INDEX(Table2[],_xlfn.XMATCH($A605,Table2[Steel Member],0),_xlfn.XMATCH(AA$2,Table2[#Headers],0))=0,"",INDEX(Table2[],_xlfn.XMATCH($A605,Table2[Steel Member],0),_xlfn.XMATCH(AA$2,Table2[#Headers],0)))</f>
        <v>#N/A</v>
      </c>
      <c r="AB605" s="4" t="e" cm="1">
        <f t="array" ref="AB605">IF(INDEX(Table2[],_xlfn.XMATCH($A605,Table2[Steel Member],0),_xlfn.XMATCH(AB$2,Table2[#Headers],0))=0,"",INDEX(Table2[],_xlfn.XMATCH($A605,Table2[Steel Member],0),_xlfn.XMATCH(AB$2,Table2[#Headers],0)))</f>
        <v>#N/A</v>
      </c>
      <c r="AC605" s="4" t="str" cm="1">
        <f t="array" ref="AC605">IFERROR(INDEX(Table8[],_xlfn.XMATCH($O605,Table8[Dimension Name Category],0),_xlfn.XMATCH(AC$2&amp;IF($L605," w/ tag"," w/o tag"),Table8[#Headers],0)),"")</f>
        <v/>
      </c>
      <c r="AD605" s="59" t="str">
        <f t="shared" si="141"/>
        <v/>
      </c>
      <c r="AE605" s="4" t="str">
        <f t="shared" si="142"/>
        <v/>
      </c>
      <c r="AF605" s="4" t="str">
        <f t="shared" si="143"/>
        <v/>
      </c>
      <c r="AG605" s="4" t="str" cm="1">
        <f t="array" ref="AG605">IFERROR(INDEX(Table8[],_xlfn.XMATCH($O605,Table8[Dimension Name Category],0),_xlfn.XMATCH(AG$2&amp;IF($L605," w/ tag"," w/o tag"),Table8[#Headers],0)),"")</f>
        <v/>
      </c>
      <c r="AH605" s="59" t="str">
        <f t="shared" si="144"/>
        <v/>
      </c>
      <c r="AI605" s="4"/>
      <c r="AJ605" s="4" t="str">
        <f t="shared" si="145"/>
        <v/>
      </c>
      <c r="AK605" s="4" t="str">
        <f t="shared" si="146"/>
        <v/>
      </c>
      <c r="AL605" s="4" t="e" cm="1">
        <f t="array" ref="AL605">IF(INDEX(Table2[],_xlfn.XMATCH($A605,Table2[Steel Member],0),_xlfn.XMATCH(AL$2,Table2[#Headers],0))=0,"",INDEX(Table2[],_xlfn.XMATCH($A605,Table2[Steel Member],0),_xlfn.XMATCH(AL$2,Table2[#Headers],0)))</f>
        <v>#N/A</v>
      </c>
      <c r="AM605" s="4"/>
      <c r="AN605" s="4" t="str">
        <f t="shared" si="147"/>
        <v/>
      </c>
      <c r="AO605" s="4"/>
      <c r="AP605" s="4" t="e" cm="1">
        <f t="array" ref="AP605">IF(INDEX(Table2[],_xlfn.XMATCH($A605,Table2[Steel Member],0),_xlfn.XMATCH(AP$2,Table2[#Headers],0))=0,"",INDEX(Table2[],_xlfn.XMATCH($A605,Table2[Steel Member],0),_xlfn.XMATCH(AP$2,Table2[#Headers],0)))</f>
        <v>#N/A</v>
      </c>
      <c r="AQ605" s="4"/>
      <c r="AR605" s="4"/>
      <c r="AS605" s="4"/>
      <c r="AT605" s="4"/>
    </row>
    <row r="606" spans="1:46" x14ac:dyDescent="0.25">
      <c r="A606" s="52"/>
      <c r="B606" s="52"/>
      <c r="C606" s="52"/>
      <c r="D606" s="52"/>
      <c r="E606" s="52"/>
      <c r="F606" s="64" cm="1">
        <f t="array" ref="F606">IF(COUNT(FIND(PurlinsxGirthsxBracings,$C606))&gt;0,0,ROUNDUP(IF(D606=0,0,VLOOKUP(D606,'DATA SHEET'!$B:$D,2,FALSE)),2))</f>
        <v>0</v>
      </c>
      <c r="G606" s="64" cm="1">
        <f t="array" ref="G606">IF(COUNT(FIND(PurlinsxGirthsxBracings,$C606))&gt;0,0,ROUNDUP(IF(D606=0,0,VLOOKUP(D606,'DATA SHEET'!$B:$D,3,FALSE)),2))</f>
        <v>0</v>
      </c>
      <c r="H606" s="53"/>
      <c r="I606" s="66" cm="1">
        <f t="array" ref="I606">IF(AND(ISBLANK(B606),ISBLANK(C606),ISBLANK(E606)),0,IF(COUNT(FIND(PurlinsxGirthsxBracings,$C606))&gt;0,IF(B606=0,CONCATENATE(E606," ",C606),CONCATENATE(B606," - ",E606," ",C606)),IF(B606=0,IF(ISBLANK(C606),E606,CONCATENATE(D606,", ",F606,"kg/m, ",G606,"mm surface perimeter")),IF(AND(ISBLANK(C606),ISTEXT(E606)),CONCATENATE(B606," - ",E606),IF(AND(ISBLANK(C606),ISBLANK(E606)),B606,CONCATENATE(B606," - ",D606,", ",F606,"kg/m, ",G606,"mm surface perimeter"))))&amp;IF(ISBLANK(H606),"",H606)))</f>
        <v>0</v>
      </c>
      <c r="J606" s="53"/>
      <c r="L606" s="4" t="str" cm="1">
        <f t="array" ref="L606">IF(COUNT(FIND({0,1,2,3,4,5,6,7,8,9},B606))&gt;0,COUNT(FIND({0,1,2,3,4,5,6,7,8,9},B606))&gt;0,"")</f>
        <v/>
      </c>
      <c r="M606" s="4" t="str" cm="1">
        <f t="array" aca="1" ref="M606" ca="1">IFERROR(_xlfn.IFS(R606="Count",RANDBETWEEN(1,COUNTIF($R$11:$R$653,"Count")),R606="Length",RANDBETWEEN(1,COUNTIF($R$11:$R$653,"Length"))),"")</f>
        <v/>
      </c>
      <c r="N606" s="4" t="str">
        <f ca="1">IFERROR(_xlfn.RANK.EQ(M606,$M$11:$M$653)+COUNTIF($M$11:M606,M606)-1,"")</f>
        <v/>
      </c>
      <c r="O606" s="86" t="str">
        <f>IF(A606='DATA SHEET'!$L$36,C606,IFERROR(IF(AND(ISTEXT(I606),ISBLANK(C606)),"No details",VLOOKUP(C606,DimFolder,2,FALSE)),""))</f>
        <v/>
      </c>
      <c r="P606" s="4" t="str">
        <f t="shared" si="149"/>
        <v/>
      </c>
      <c r="Q606" s="58" t="str">
        <f t="shared" si="148"/>
        <v/>
      </c>
      <c r="R606" s="4" t="e" cm="1">
        <f t="array" ref="R606">IF(INDEX(Table2[],_xlfn.XMATCH($A606,Table2[Steel Member],0),_xlfn.XMATCH(R$2,Table2[#Headers],0))=0,"",INDEX(Table2[],_xlfn.XMATCH($A606,Table2[Steel Member],0),_xlfn.XMATCH(R$2,Table2[#Headers],0)))</f>
        <v>#N/A</v>
      </c>
      <c r="S606" s="4" t="e" cm="1">
        <f t="array" ref="S606">IF(INDEX(Table2[],_xlfn.XMATCH($A606,Table2[Steel Member],0),_xlfn.XMATCH(S$2,Table2[#Headers],0))=0,"",INDEX(Table2[],_xlfn.XMATCH($A606,Table2[Steel Member],0),_xlfn.XMATCH(S$2,Table2[#Headers],0)))</f>
        <v>#N/A</v>
      </c>
      <c r="T606" s="4" t="str">
        <f t="shared" si="139"/>
        <v/>
      </c>
      <c r="U606" s="4" t="e">
        <f ca="1">VLOOKUP(N606,'COLOR CODE'!$B:$D,2,FALSE)</f>
        <v>#N/A</v>
      </c>
      <c r="V606" s="4" t="str">
        <f t="shared" si="140"/>
        <v/>
      </c>
      <c r="W606" s="4" t="e" cm="1">
        <f t="array" ref="W606">IF(INDEX(Table2[],_xlfn.XMATCH($A606,Table2[Steel Member],0),_xlfn.XMATCH(W$2,Table2[#Headers],0))=0,"",INDEX(Table2[],_xlfn.XMATCH($A606,Table2[Steel Member],0),_xlfn.XMATCH(W$2,Table2[#Headers],0)))</f>
        <v>#N/A</v>
      </c>
      <c r="X606" s="4" t="e">
        <f t="shared" si="150"/>
        <v>#N/A</v>
      </c>
      <c r="Y606" s="4" t="e" cm="1">
        <f t="array" ref="Y606">IF(INDEX(Table2[],_xlfn.XMATCH($A606,Table2[Steel Member],0),_xlfn.XMATCH(Y$2,Table2[#Headers],0))=0,"",INDEX(Table2[],_xlfn.XMATCH($A606,Table2[Steel Member],0),_xlfn.XMATCH(Y$2,Table2[#Headers],0)))</f>
        <v>#N/A</v>
      </c>
      <c r="Z606" s="4" t="e" cm="1">
        <f t="array" ref="Z606">IF(INDEX(Table2[],_xlfn.XMATCH($A606,Table2[Steel Member],0),_xlfn.XMATCH(Z$2,Table2[#Headers],0))=0,"",INDEX(Table2[],_xlfn.XMATCH($A606,Table2[Steel Member],0),_xlfn.XMATCH(Z$2,Table2[#Headers],0)))</f>
        <v>#N/A</v>
      </c>
      <c r="AA606" s="4" t="e" cm="1">
        <f t="array" ref="AA606">IF(INDEX(Table2[],_xlfn.XMATCH($A606,Table2[Steel Member],0),_xlfn.XMATCH(AA$2,Table2[#Headers],0))=0,"",INDEX(Table2[],_xlfn.XMATCH($A606,Table2[Steel Member],0),_xlfn.XMATCH(AA$2,Table2[#Headers],0)))</f>
        <v>#N/A</v>
      </c>
      <c r="AB606" s="4" t="e" cm="1">
        <f t="array" ref="AB606">IF(INDEX(Table2[],_xlfn.XMATCH($A606,Table2[Steel Member],0),_xlfn.XMATCH(AB$2,Table2[#Headers],0))=0,"",INDEX(Table2[],_xlfn.XMATCH($A606,Table2[Steel Member],0),_xlfn.XMATCH(AB$2,Table2[#Headers],0)))</f>
        <v>#N/A</v>
      </c>
      <c r="AC606" s="4" t="str" cm="1">
        <f t="array" ref="AC606">IFERROR(INDEX(Table8[],_xlfn.XMATCH($O606,Table8[Dimension Name Category],0),_xlfn.XMATCH(AC$2&amp;IF($L606," w/ tag"," w/o tag"),Table8[#Headers],0)),"")</f>
        <v/>
      </c>
      <c r="AD606" s="59" t="str">
        <f t="shared" si="141"/>
        <v/>
      </c>
      <c r="AE606" s="4" t="str">
        <f t="shared" si="142"/>
        <v/>
      </c>
      <c r="AF606" s="4" t="str">
        <f t="shared" si="143"/>
        <v/>
      </c>
      <c r="AG606" s="4" t="str" cm="1">
        <f t="array" ref="AG606">IFERROR(INDEX(Table8[],_xlfn.XMATCH($O606,Table8[Dimension Name Category],0),_xlfn.XMATCH(AG$2&amp;IF($L606," w/ tag"," w/o tag"),Table8[#Headers],0)),"")</f>
        <v/>
      </c>
      <c r="AH606" s="59" t="str">
        <f t="shared" si="144"/>
        <v/>
      </c>
      <c r="AI606" s="4"/>
      <c r="AJ606" s="4" t="str">
        <f t="shared" si="145"/>
        <v/>
      </c>
      <c r="AK606" s="4" t="str">
        <f t="shared" si="146"/>
        <v/>
      </c>
      <c r="AL606" s="4" t="e" cm="1">
        <f t="array" ref="AL606">IF(INDEX(Table2[],_xlfn.XMATCH($A606,Table2[Steel Member],0),_xlfn.XMATCH(AL$2,Table2[#Headers],0))=0,"",INDEX(Table2[],_xlfn.XMATCH($A606,Table2[Steel Member],0),_xlfn.XMATCH(AL$2,Table2[#Headers],0)))</f>
        <v>#N/A</v>
      </c>
      <c r="AM606" s="4"/>
      <c r="AN606" s="4" t="str">
        <f t="shared" si="147"/>
        <v/>
      </c>
      <c r="AO606" s="4"/>
      <c r="AP606" s="4" t="e" cm="1">
        <f t="array" ref="AP606">IF(INDEX(Table2[],_xlfn.XMATCH($A606,Table2[Steel Member],0),_xlfn.XMATCH(AP$2,Table2[#Headers],0))=0,"",INDEX(Table2[],_xlfn.XMATCH($A606,Table2[Steel Member],0),_xlfn.XMATCH(AP$2,Table2[#Headers],0)))</f>
        <v>#N/A</v>
      </c>
      <c r="AQ606" s="4"/>
      <c r="AR606" s="4"/>
      <c r="AS606" s="4"/>
      <c r="AT606" s="4"/>
    </row>
    <row r="607" spans="1:46" x14ac:dyDescent="0.25">
      <c r="A607" s="52"/>
      <c r="B607" s="52"/>
      <c r="C607" s="52"/>
      <c r="D607" s="52"/>
      <c r="E607" s="52"/>
      <c r="F607" s="64" cm="1">
        <f t="array" ref="F607">IF(COUNT(FIND(PurlinsxGirthsxBracings,$C607))&gt;0,0,ROUNDUP(IF(D607=0,0,VLOOKUP(D607,'DATA SHEET'!$B:$D,2,FALSE)),2))</f>
        <v>0</v>
      </c>
      <c r="G607" s="64" cm="1">
        <f t="array" ref="G607">IF(COUNT(FIND(PurlinsxGirthsxBracings,$C607))&gt;0,0,ROUNDUP(IF(D607=0,0,VLOOKUP(D607,'DATA SHEET'!$B:$D,3,FALSE)),2))</f>
        <v>0</v>
      </c>
      <c r="H607" s="53"/>
      <c r="I607" s="66" cm="1">
        <f t="array" ref="I607">IF(AND(ISBLANK(B607),ISBLANK(C607),ISBLANK(E607)),0,IF(COUNT(FIND(PurlinsxGirthsxBracings,$C607))&gt;0,IF(B607=0,CONCATENATE(E607," ",C607),CONCATENATE(B607," - ",E607," ",C607)),IF(B607=0,IF(ISBLANK(C607),E607,CONCATENATE(D607,", ",F607,"kg/m, ",G607,"mm surface perimeter")),IF(AND(ISBLANK(C607),ISTEXT(E607)),CONCATENATE(B607," - ",E607),IF(AND(ISBLANK(C607),ISBLANK(E607)),B607,CONCATENATE(B607," - ",D607,", ",F607,"kg/m, ",G607,"mm surface perimeter"))))&amp;IF(ISBLANK(H607),"",H607)))</f>
        <v>0</v>
      </c>
      <c r="J607" s="53"/>
      <c r="L607" s="4" t="str" cm="1">
        <f t="array" ref="L607">IF(COUNT(FIND({0,1,2,3,4,5,6,7,8,9},B607))&gt;0,COUNT(FIND({0,1,2,3,4,5,6,7,8,9},B607))&gt;0,"")</f>
        <v/>
      </c>
      <c r="M607" s="4" t="str" cm="1">
        <f t="array" aca="1" ref="M607" ca="1">IFERROR(_xlfn.IFS(R607="Count",RANDBETWEEN(1,COUNTIF($R$11:$R$653,"Count")),R607="Length",RANDBETWEEN(1,COUNTIF($R$11:$R$653,"Length"))),"")</f>
        <v/>
      </c>
      <c r="N607" s="4" t="str">
        <f ca="1">IFERROR(_xlfn.RANK.EQ(M607,$M$11:$M$653)+COUNTIF($M$11:M607,M607)-1,"")</f>
        <v/>
      </c>
      <c r="O607" s="86" t="str">
        <f>IF(A607='DATA SHEET'!$L$36,C607,IFERROR(IF(AND(ISTEXT(I607),ISBLANK(C607)),"No details",VLOOKUP(C607,DimFolder,2,FALSE)),""))</f>
        <v/>
      </c>
      <c r="P607" s="4" t="str">
        <f t="shared" si="149"/>
        <v/>
      </c>
      <c r="Q607" s="58" t="str">
        <f t="shared" si="148"/>
        <v/>
      </c>
      <c r="R607" s="4" t="e" cm="1">
        <f t="array" ref="R607">IF(INDEX(Table2[],_xlfn.XMATCH($A607,Table2[Steel Member],0),_xlfn.XMATCH(R$2,Table2[#Headers],0))=0,"",INDEX(Table2[],_xlfn.XMATCH($A607,Table2[Steel Member],0),_xlfn.XMATCH(R$2,Table2[#Headers],0)))</f>
        <v>#N/A</v>
      </c>
      <c r="S607" s="4" t="e" cm="1">
        <f t="array" ref="S607">IF(INDEX(Table2[],_xlfn.XMATCH($A607,Table2[Steel Member],0),_xlfn.XMATCH(S$2,Table2[#Headers],0))=0,"",INDEX(Table2[],_xlfn.XMATCH($A607,Table2[Steel Member],0),_xlfn.XMATCH(S$2,Table2[#Headers],0)))</f>
        <v>#N/A</v>
      </c>
      <c r="T607" s="4" t="str">
        <f t="shared" si="139"/>
        <v/>
      </c>
      <c r="U607" s="4" t="e">
        <f ca="1">VLOOKUP(N607,'COLOR CODE'!$B:$D,2,FALSE)</f>
        <v>#N/A</v>
      </c>
      <c r="V607" s="4" t="str">
        <f t="shared" si="140"/>
        <v/>
      </c>
      <c r="W607" s="4" t="e" cm="1">
        <f t="array" ref="W607">IF(INDEX(Table2[],_xlfn.XMATCH($A607,Table2[Steel Member],0),_xlfn.XMATCH(W$2,Table2[#Headers],0))=0,"",INDEX(Table2[],_xlfn.XMATCH($A607,Table2[Steel Member],0),_xlfn.XMATCH(W$2,Table2[#Headers],0)))</f>
        <v>#N/A</v>
      </c>
      <c r="X607" s="4" t="e">
        <f t="shared" si="150"/>
        <v>#N/A</v>
      </c>
      <c r="Y607" s="4" t="e" cm="1">
        <f t="array" ref="Y607">IF(INDEX(Table2[],_xlfn.XMATCH($A607,Table2[Steel Member],0),_xlfn.XMATCH(Y$2,Table2[#Headers],0))=0,"",INDEX(Table2[],_xlfn.XMATCH($A607,Table2[Steel Member],0),_xlfn.XMATCH(Y$2,Table2[#Headers],0)))</f>
        <v>#N/A</v>
      </c>
      <c r="Z607" s="4" t="e" cm="1">
        <f t="array" ref="Z607">IF(INDEX(Table2[],_xlfn.XMATCH($A607,Table2[Steel Member],0),_xlfn.XMATCH(Z$2,Table2[#Headers],0))=0,"",INDEX(Table2[],_xlfn.XMATCH($A607,Table2[Steel Member],0),_xlfn.XMATCH(Z$2,Table2[#Headers],0)))</f>
        <v>#N/A</v>
      </c>
      <c r="AA607" s="4" t="e" cm="1">
        <f t="array" ref="AA607">IF(INDEX(Table2[],_xlfn.XMATCH($A607,Table2[Steel Member],0),_xlfn.XMATCH(AA$2,Table2[#Headers],0))=0,"",INDEX(Table2[],_xlfn.XMATCH($A607,Table2[Steel Member],0),_xlfn.XMATCH(AA$2,Table2[#Headers],0)))</f>
        <v>#N/A</v>
      </c>
      <c r="AB607" s="4" t="e" cm="1">
        <f t="array" ref="AB607">IF(INDEX(Table2[],_xlfn.XMATCH($A607,Table2[Steel Member],0),_xlfn.XMATCH(AB$2,Table2[#Headers],0))=0,"",INDEX(Table2[],_xlfn.XMATCH($A607,Table2[Steel Member],0),_xlfn.XMATCH(AB$2,Table2[#Headers],0)))</f>
        <v>#N/A</v>
      </c>
      <c r="AC607" s="4" t="str" cm="1">
        <f t="array" ref="AC607">IFERROR(INDEX(Table8[],_xlfn.XMATCH($O607,Table8[Dimension Name Category],0),_xlfn.XMATCH(AC$2&amp;IF($L607," w/ tag"," w/o tag"),Table8[#Headers],0)),"")</f>
        <v/>
      </c>
      <c r="AD607" s="59" t="str">
        <f t="shared" si="141"/>
        <v/>
      </c>
      <c r="AE607" s="4" t="str">
        <f t="shared" si="142"/>
        <v/>
      </c>
      <c r="AF607" s="4" t="str">
        <f t="shared" si="143"/>
        <v/>
      </c>
      <c r="AG607" s="4" t="str" cm="1">
        <f t="array" ref="AG607">IFERROR(INDEX(Table8[],_xlfn.XMATCH($O607,Table8[Dimension Name Category],0),_xlfn.XMATCH(AG$2&amp;IF($L607," w/ tag"," w/o tag"),Table8[#Headers],0)),"")</f>
        <v/>
      </c>
      <c r="AH607" s="59" t="str">
        <f t="shared" si="144"/>
        <v/>
      </c>
      <c r="AI607" s="4"/>
      <c r="AJ607" s="4" t="str">
        <f t="shared" si="145"/>
        <v/>
      </c>
      <c r="AK607" s="4" t="str">
        <f t="shared" si="146"/>
        <v/>
      </c>
      <c r="AL607" s="4" t="e" cm="1">
        <f t="array" ref="AL607">IF(INDEX(Table2[],_xlfn.XMATCH($A607,Table2[Steel Member],0),_xlfn.XMATCH(AL$2,Table2[#Headers],0))=0,"",INDEX(Table2[],_xlfn.XMATCH($A607,Table2[Steel Member],0),_xlfn.XMATCH(AL$2,Table2[#Headers],0)))</f>
        <v>#N/A</v>
      </c>
      <c r="AM607" s="4"/>
      <c r="AN607" s="4" t="str">
        <f t="shared" si="147"/>
        <v/>
      </c>
      <c r="AO607" s="4"/>
      <c r="AP607" s="4" t="e" cm="1">
        <f t="array" ref="AP607">IF(INDEX(Table2[],_xlfn.XMATCH($A607,Table2[Steel Member],0),_xlfn.XMATCH(AP$2,Table2[#Headers],0))=0,"",INDEX(Table2[],_xlfn.XMATCH($A607,Table2[Steel Member],0),_xlfn.XMATCH(AP$2,Table2[#Headers],0)))</f>
        <v>#N/A</v>
      </c>
      <c r="AQ607" s="4"/>
      <c r="AR607" s="4"/>
      <c r="AS607" s="4"/>
      <c r="AT607" s="4"/>
    </row>
    <row r="608" spans="1:46" x14ac:dyDescent="0.25">
      <c r="A608" s="52"/>
      <c r="B608" s="52"/>
      <c r="C608" s="52"/>
      <c r="D608" s="52"/>
      <c r="E608" s="52"/>
      <c r="F608" s="64" cm="1">
        <f t="array" ref="F608">IF(COUNT(FIND(PurlinsxGirthsxBracings,$C608))&gt;0,0,ROUNDUP(IF(D608=0,0,VLOOKUP(D608,'DATA SHEET'!$B:$D,2,FALSE)),2))</f>
        <v>0</v>
      </c>
      <c r="G608" s="64" cm="1">
        <f t="array" ref="G608">IF(COUNT(FIND(PurlinsxGirthsxBracings,$C608))&gt;0,0,ROUNDUP(IF(D608=0,0,VLOOKUP(D608,'DATA SHEET'!$B:$D,3,FALSE)),2))</f>
        <v>0</v>
      </c>
      <c r="H608" s="53"/>
      <c r="I608" s="66" cm="1">
        <f t="array" ref="I608">IF(AND(ISBLANK(B608),ISBLANK(C608),ISBLANK(E608)),0,IF(COUNT(FIND(PurlinsxGirthsxBracings,$C608))&gt;0,IF(B608=0,CONCATENATE(E608," ",C608),CONCATENATE(B608," - ",E608," ",C608)),IF(B608=0,IF(ISBLANK(C608),E608,CONCATENATE(D608,", ",F608,"kg/m, ",G608,"mm surface perimeter")),IF(AND(ISBLANK(C608),ISTEXT(E608)),CONCATENATE(B608," - ",E608),IF(AND(ISBLANK(C608),ISBLANK(E608)),B608,CONCATENATE(B608," - ",D608,", ",F608,"kg/m, ",G608,"mm surface perimeter"))))&amp;IF(ISBLANK(H608),"",H608)))</f>
        <v>0</v>
      </c>
      <c r="J608" s="53"/>
      <c r="L608" s="4" t="str" cm="1">
        <f t="array" ref="L608">IF(COUNT(FIND({0,1,2,3,4,5,6,7,8,9},B608))&gt;0,COUNT(FIND({0,1,2,3,4,5,6,7,8,9},B608))&gt;0,"")</f>
        <v/>
      </c>
      <c r="M608" s="4" t="str" cm="1">
        <f t="array" aca="1" ref="M608" ca="1">IFERROR(_xlfn.IFS(R608="Count",RANDBETWEEN(1,COUNTIF($R$11:$R$653,"Count")),R608="Length",RANDBETWEEN(1,COUNTIF($R$11:$R$653,"Length"))),"")</f>
        <v/>
      </c>
      <c r="N608" s="4" t="str">
        <f ca="1">IFERROR(_xlfn.RANK.EQ(M608,$M$11:$M$653)+COUNTIF($M$11:M608,M608)-1,"")</f>
        <v/>
      </c>
      <c r="O608" s="86" t="str">
        <f>IF(A608='DATA SHEET'!$L$36,C608,IFERROR(IF(AND(ISTEXT(I608),ISBLANK(C608)),"No details",VLOOKUP(C608,DimFolder,2,FALSE)),""))</f>
        <v/>
      </c>
      <c r="P608" s="4" t="str">
        <f t="shared" si="149"/>
        <v/>
      </c>
      <c r="Q608" s="58" t="str">
        <f t="shared" si="148"/>
        <v/>
      </c>
      <c r="R608" s="4" t="e" cm="1">
        <f t="array" ref="R608">IF(INDEX(Table2[],_xlfn.XMATCH($A608,Table2[Steel Member],0),_xlfn.XMATCH(R$2,Table2[#Headers],0))=0,"",INDEX(Table2[],_xlfn.XMATCH($A608,Table2[Steel Member],0),_xlfn.XMATCH(R$2,Table2[#Headers],0)))</f>
        <v>#N/A</v>
      </c>
      <c r="S608" s="4" t="e" cm="1">
        <f t="array" ref="S608">IF(INDEX(Table2[],_xlfn.XMATCH($A608,Table2[Steel Member],0),_xlfn.XMATCH(S$2,Table2[#Headers],0))=0,"",INDEX(Table2[],_xlfn.XMATCH($A608,Table2[Steel Member],0),_xlfn.XMATCH(S$2,Table2[#Headers],0)))</f>
        <v>#N/A</v>
      </c>
      <c r="T608" s="4" t="str">
        <f t="shared" si="139"/>
        <v/>
      </c>
      <c r="U608" s="4" t="e">
        <f ca="1">VLOOKUP(N608,'COLOR CODE'!$B:$D,2,FALSE)</f>
        <v>#N/A</v>
      </c>
      <c r="V608" s="4" t="str">
        <f t="shared" si="140"/>
        <v/>
      </c>
      <c r="W608" s="4" t="e" cm="1">
        <f t="array" ref="W608">IF(INDEX(Table2[],_xlfn.XMATCH($A608,Table2[Steel Member],0),_xlfn.XMATCH(W$2,Table2[#Headers],0))=0,"",INDEX(Table2[],_xlfn.XMATCH($A608,Table2[Steel Member],0),_xlfn.XMATCH(W$2,Table2[#Headers],0)))</f>
        <v>#N/A</v>
      </c>
      <c r="X608" s="4" t="e">
        <f t="shared" si="150"/>
        <v>#N/A</v>
      </c>
      <c r="Y608" s="4" t="e" cm="1">
        <f t="array" ref="Y608">IF(INDEX(Table2[],_xlfn.XMATCH($A608,Table2[Steel Member],0),_xlfn.XMATCH(Y$2,Table2[#Headers],0))=0,"",INDEX(Table2[],_xlfn.XMATCH($A608,Table2[Steel Member],0),_xlfn.XMATCH(Y$2,Table2[#Headers],0)))</f>
        <v>#N/A</v>
      </c>
      <c r="Z608" s="4" t="e" cm="1">
        <f t="array" ref="Z608">IF(INDEX(Table2[],_xlfn.XMATCH($A608,Table2[Steel Member],0),_xlfn.XMATCH(Z$2,Table2[#Headers],0))=0,"",INDEX(Table2[],_xlfn.XMATCH($A608,Table2[Steel Member],0),_xlfn.XMATCH(Z$2,Table2[#Headers],0)))</f>
        <v>#N/A</v>
      </c>
      <c r="AA608" s="4" t="e" cm="1">
        <f t="array" ref="AA608">IF(INDEX(Table2[],_xlfn.XMATCH($A608,Table2[Steel Member],0),_xlfn.XMATCH(AA$2,Table2[#Headers],0))=0,"",INDEX(Table2[],_xlfn.XMATCH($A608,Table2[Steel Member],0),_xlfn.XMATCH(AA$2,Table2[#Headers],0)))</f>
        <v>#N/A</v>
      </c>
      <c r="AB608" s="4" t="e" cm="1">
        <f t="array" ref="AB608">IF(INDEX(Table2[],_xlfn.XMATCH($A608,Table2[Steel Member],0),_xlfn.XMATCH(AB$2,Table2[#Headers],0))=0,"",INDEX(Table2[],_xlfn.XMATCH($A608,Table2[Steel Member],0),_xlfn.XMATCH(AB$2,Table2[#Headers],0)))</f>
        <v>#N/A</v>
      </c>
      <c r="AC608" s="4" t="str" cm="1">
        <f t="array" ref="AC608">IFERROR(INDEX(Table8[],_xlfn.XMATCH($O608,Table8[Dimension Name Category],0),_xlfn.XMATCH(AC$2&amp;IF($L608," w/ tag"," w/o tag"),Table8[#Headers],0)),"")</f>
        <v/>
      </c>
      <c r="AD608" s="59" t="str">
        <f t="shared" si="141"/>
        <v/>
      </c>
      <c r="AE608" s="4" t="str">
        <f t="shared" si="142"/>
        <v/>
      </c>
      <c r="AF608" s="4" t="str">
        <f t="shared" si="143"/>
        <v/>
      </c>
      <c r="AG608" s="4" t="str" cm="1">
        <f t="array" ref="AG608">IFERROR(INDEX(Table8[],_xlfn.XMATCH($O608,Table8[Dimension Name Category],0),_xlfn.XMATCH(AG$2&amp;IF($L608," w/ tag"," w/o tag"),Table8[#Headers],0)),"")</f>
        <v/>
      </c>
      <c r="AH608" s="59" t="str">
        <f t="shared" si="144"/>
        <v/>
      </c>
      <c r="AI608" s="4"/>
      <c r="AJ608" s="4" t="str">
        <f t="shared" si="145"/>
        <v/>
      </c>
      <c r="AK608" s="4" t="str">
        <f t="shared" si="146"/>
        <v/>
      </c>
      <c r="AL608" s="4" t="e" cm="1">
        <f t="array" ref="AL608">IF(INDEX(Table2[],_xlfn.XMATCH($A608,Table2[Steel Member],0),_xlfn.XMATCH(AL$2,Table2[#Headers],0))=0,"",INDEX(Table2[],_xlfn.XMATCH($A608,Table2[Steel Member],0),_xlfn.XMATCH(AL$2,Table2[#Headers],0)))</f>
        <v>#N/A</v>
      </c>
      <c r="AM608" s="4"/>
      <c r="AN608" s="4" t="str">
        <f t="shared" si="147"/>
        <v/>
      </c>
      <c r="AO608" s="4"/>
      <c r="AP608" s="4" t="e" cm="1">
        <f t="array" ref="AP608">IF(INDEX(Table2[],_xlfn.XMATCH($A608,Table2[Steel Member],0),_xlfn.XMATCH(AP$2,Table2[#Headers],0))=0,"",INDEX(Table2[],_xlfn.XMATCH($A608,Table2[Steel Member],0),_xlfn.XMATCH(AP$2,Table2[#Headers],0)))</f>
        <v>#N/A</v>
      </c>
      <c r="AQ608" s="4"/>
      <c r="AR608" s="4"/>
      <c r="AS608" s="4"/>
      <c r="AT608" s="4"/>
    </row>
    <row r="609" spans="1:46" x14ac:dyDescent="0.25">
      <c r="A609" s="52"/>
      <c r="B609" s="52"/>
      <c r="C609" s="52"/>
      <c r="D609" s="52"/>
      <c r="E609" s="52"/>
      <c r="F609" s="64" cm="1">
        <f t="array" ref="F609">IF(COUNT(FIND(PurlinsxGirthsxBracings,$C609))&gt;0,0,ROUNDUP(IF(D609=0,0,VLOOKUP(D609,'DATA SHEET'!$B:$D,2,FALSE)),2))</f>
        <v>0</v>
      </c>
      <c r="G609" s="64" cm="1">
        <f t="array" ref="G609">IF(COUNT(FIND(PurlinsxGirthsxBracings,$C609))&gt;0,0,ROUNDUP(IF(D609=0,0,VLOOKUP(D609,'DATA SHEET'!$B:$D,3,FALSE)),2))</f>
        <v>0</v>
      </c>
      <c r="H609" s="53"/>
      <c r="I609" s="66" cm="1">
        <f t="array" ref="I609">IF(AND(ISBLANK(B609),ISBLANK(C609),ISBLANK(E609)),0,IF(COUNT(FIND(PurlinsxGirthsxBracings,$C609))&gt;0,IF(B609=0,CONCATENATE(E609," ",C609),CONCATENATE(B609," - ",E609," ",C609)),IF(B609=0,IF(ISBLANK(C609),E609,CONCATENATE(D609,", ",F609,"kg/m, ",G609,"mm surface perimeter")),IF(AND(ISBLANK(C609),ISTEXT(E609)),CONCATENATE(B609," - ",E609),IF(AND(ISBLANK(C609),ISBLANK(E609)),B609,CONCATENATE(B609," - ",D609,", ",F609,"kg/m, ",G609,"mm surface perimeter"))))&amp;IF(ISBLANK(H609),"",H609)))</f>
        <v>0</v>
      </c>
      <c r="J609" s="53"/>
      <c r="L609" s="4" t="str" cm="1">
        <f t="array" ref="L609">IF(COUNT(FIND({0,1,2,3,4,5,6,7,8,9},B609))&gt;0,COUNT(FIND({0,1,2,3,4,5,6,7,8,9},B609))&gt;0,"")</f>
        <v/>
      </c>
      <c r="M609" s="4" t="str" cm="1">
        <f t="array" aca="1" ref="M609" ca="1">IFERROR(_xlfn.IFS(R609="Count",RANDBETWEEN(1,COUNTIF($R$11:$R$653,"Count")),R609="Length",RANDBETWEEN(1,COUNTIF($R$11:$R$653,"Length"))),"")</f>
        <v/>
      </c>
      <c r="N609" s="4" t="str">
        <f ca="1">IFERROR(_xlfn.RANK.EQ(M609,$M$11:$M$653)+COUNTIF($M$11:M609,M609)-1,"")</f>
        <v/>
      </c>
      <c r="O609" s="86" t="str">
        <f>IF(A609='DATA SHEET'!$L$36,C609,IFERROR(IF(AND(ISTEXT(I609),ISBLANK(C609)),"No details",VLOOKUP(C609,DimFolder,2,FALSE)),""))</f>
        <v/>
      </c>
      <c r="P609" s="4" t="str">
        <f t="shared" si="149"/>
        <v/>
      </c>
      <c r="Q609" s="58" t="str">
        <f t="shared" si="148"/>
        <v/>
      </c>
      <c r="R609" s="4" t="e" cm="1">
        <f t="array" ref="R609">IF(INDEX(Table2[],_xlfn.XMATCH($A609,Table2[Steel Member],0),_xlfn.XMATCH(R$2,Table2[#Headers],0))=0,"",INDEX(Table2[],_xlfn.XMATCH($A609,Table2[Steel Member],0),_xlfn.XMATCH(R$2,Table2[#Headers],0)))</f>
        <v>#N/A</v>
      </c>
      <c r="S609" s="4" t="e" cm="1">
        <f t="array" ref="S609">IF(INDEX(Table2[],_xlfn.XMATCH($A609,Table2[Steel Member],0),_xlfn.XMATCH(S$2,Table2[#Headers],0))=0,"",INDEX(Table2[],_xlfn.XMATCH($A609,Table2[Steel Member],0),_xlfn.XMATCH(S$2,Table2[#Headers],0)))</f>
        <v>#N/A</v>
      </c>
      <c r="T609" s="4" t="str">
        <f t="shared" si="139"/>
        <v/>
      </c>
      <c r="U609" s="4" t="e">
        <f ca="1">VLOOKUP(N609,'COLOR CODE'!$B:$D,2,FALSE)</f>
        <v>#N/A</v>
      </c>
      <c r="V609" s="4" t="str">
        <f t="shared" si="140"/>
        <v/>
      </c>
      <c r="W609" s="4" t="e" cm="1">
        <f t="array" ref="W609">IF(INDEX(Table2[],_xlfn.XMATCH($A609,Table2[Steel Member],0),_xlfn.XMATCH(W$2,Table2[#Headers],0))=0,"",INDEX(Table2[],_xlfn.XMATCH($A609,Table2[Steel Member],0),_xlfn.XMATCH(W$2,Table2[#Headers],0)))</f>
        <v>#N/A</v>
      </c>
      <c r="X609" s="4" t="e">
        <f t="shared" si="150"/>
        <v>#N/A</v>
      </c>
      <c r="Y609" s="4" t="e" cm="1">
        <f t="array" ref="Y609">IF(INDEX(Table2[],_xlfn.XMATCH($A609,Table2[Steel Member],0),_xlfn.XMATCH(Y$2,Table2[#Headers],0))=0,"",INDEX(Table2[],_xlfn.XMATCH($A609,Table2[Steel Member],0),_xlfn.XMATCH(Y$2,Table2[#Headers],0)))</f>
        <v>#N/A</v>
      </c>
      <c r="Z609" s="4" t="e" cm="1">
        <f t="array" ref="Z609">IF(INDEX(Table2[],_xlfn.XMATCH($A609,Table2[Steel Member],0),_xlfn.XMATCH(Z$2,Table2[#Headers],0))=0,"",INDEX(Table2[],_xlfn.XMATCH($A609,Table2[Steel Member],0),_xlfn.XMATCH(Z$2,Table2[#Headers],0)))</f>
        <v>#N/A</v>
      </c>
      <c r="AA609" s="4" t="e" cm="1">
        <f t="array" ref="AA609">IF(INDEX(Table2[],_xlfn.XMATCH($A609,Table2[Steel Member],0),_xlfn.XMATCH(AA$2,Table2[#Headers],0))=0,"",INDEX(Table2[],_xlfn.XMATCH($A609,Table2[Steel Member],0),_xlfn.XMATCH(AA$2,Table2[#Headers],0)))</f>
        <v>#N/A</v>
      </c>
      <c r="AB609" s="4" t="e" cm="1">
        <f t="array" ref="AB609">IF(INDEX(Table2[],_xlfn.XMATCH($A609,Table2[Steel Member],0),_xlfn.XMATCH(AB$2,Table2[#Headers],0))=0,"",INDEX(Table2[],_xlfn.XMATCH($A609,Table2[Steel Member],0),_xlfn.XMATCH(AB$2,Table2[#Headers],0)))</f>
        <v>#N/A</v>
      </c>
      <c r="AC609" s="4" t="str" cm="1">
        <f t="array" ref="AC609">IFERROR(INDEX(Table8[],_xlfn.XMATCH($O609,Table8[Dimension Name Category],0),_xlfn.XMATCH(AC$2&amp;IF($L609," w/ tag"," w/o tag"),Table8[#Headers],0)),"")</f>
        <v/>
      </c>
      <c r="AD609" s="59" t="str">
        <f t="shared" si="141"/>
        <v/>
      </c>
      <c r="AE609" s="4" t="str">
        <f t="shared" si="142"/>
        <v/>
      </c>
      <c r="AF609" s="4" t="str">
        <f t="shared" si="143"/>
        <v/>
      </c>
      <c r="AG609" s="4" t="str" cm="1">
        <f t="array" ref="AG609">IFERROR(INDEX(Table8[],_xlfn.XMATCH($O609,Table8[Dimension Name Category],0),_xlfn.XMATCH(AG$2&amp;IF($L609," w/ tag"," w/o tag"),Table8[#Headers],0)),"")</f>
        <v/>
      </c>
      <c r="AH609" s="59" t="str">
        <f t="shared" si="144"/>
        <v/>
      </c>
      <c r="AI609" s="4"/>
      <c r="AJ609" s="4" t="str">
        <f t="shared" si="145"/>
        <v/>
      </c>
      <c r="AK609" s="4" t="str">
        <f t="shared" si="146"/>
        <v/>
      </c>
      <c r="AL609" s="4" t="e" cm="1">
        <f t="array" ref="AL609">IF(INDEX(Table2[],_xlfn.XMATCH($A609,Table2[Steel Member],0),_xlfn.XMATCH(AL$2,Table2[#Headers],0))=0,"",INDEX(Table2[],_xlfn.XMATCH($A609,Table2[Steel Member],0),_xlfn.XMATCH(AL$2,Table2[#Headers],0)))</f>
        <v>#N/A</v>
      </c>
      <c r="AM609" s="4"/>
      <c r="AN609" s="4" t="str">
        <f t="shared" si="147"/>
        <v/>
      </c>
      <c r="AO609" s="4"/>
      <c r="AP609" s="4" t="e" cm="1">
        <f t="array" ref="AP609">IF(INDEX(Table2[],_xlfn.XMATCH($A609,Table2[Steel Member],0),_xlfn.XMATCH(AP$2,Table2[#Headers],0))=0,"",INDEX(Table2[],_xlfn.XMATCH($A609,Table2[Steel Member],0),_xlfn.XMATCH(AP$2,Table2[#Headers],0)))</f>
        <v>#N/A</v>
      </c>
      <c r="AQ609" s="4"/>
      <c r="AR609" s="4"/>
      <c r="AS609" s="4"/>
      <c r="AT609" s="4"/>
    </row>
    <row r="610" spans="1:46" x14ac:dyDescent="0.25">
      <c r="A610" s="52"/>
      <c r="B610" s="52"/>
      <c r="C610" s="52"/>
      <c r="D610" s="52"/>
      <c r="E610" s="52"/>
      <c r="F610" s="64" cm="1">
        <f t="array" ref="F610">IF(COUNT(FIND(PurlinsxGirthsxBracings,$C610))&gt;0,0,ROUNDUP(IF(D610=0,0,VLOOKUP(D610,'DATA SHEET'!$B:$D,2,FALSE)),2))</f>
        <v>0</v>
      </c>
      <c r="G610" s="64" cm="1">
        <f t="array" ref="G610">IF(COUNT(FIND(PurlinsxGirthsxBracings,$C610))&gt;0,0,ROUNDUP(IF(D610=0,0,VLOOKUP(D610,'DATA SHEET'!$B:$D,3,FALSE)),2))</f>
        <v>0</v>
      </c>
      <c r="H610" s="53"/>
      <c r="I610" s="66" cm="1">
        <f t="array" ref="I610">IF(AND(ISBLANK(B610),ISBLANK(C610),ISBLANK(E610)),0,IF(COUNT(FIND(PurlinsxGirthsxBracings,$C610))&gt;0,IF(B610=0,CONCATENATE(E610," ",C610),CONCATENATE(B610," - ",E610," ",C610)),IF(B610=0,IF(ISBLANK(C610),E610,CONCATENATE(D610,", ",F610,"kg/m, ",G610,"mm surface perimeter")),IF(AND(ISBLANK(C610),ISTEXT(E610)),CONCATENATE(B610," - ",E610),IF(AND(ISBLANK(C610),ISBLANK(E610)),B610,CONCATENATE(B610," - ",D610,", ",F610,"kg/m, ",G610,"mm surface perimeter"))))&amp;IF(ISBLANK(H610),"",H610)))</f>
        <v>0</v>
      </c>
      <c r="J610" s="53"/>
      <c r="L610" s="4" t="str" cm="1">
        <f t="array" ref="L610">IF(COUNT(FIND({0,1,2,3,4,5,6,7,8,9},B610))&gt;0,COUNT(FIND({0,1,2,3,4,5,6,7,8,9},B610))&gt;0,"")</f>
        <v/>
      </c>
      <c r="M610" s="4" t="str" cm="1">
        <f t="array" aca="1" ref="M610" ca="1">IFERROR(_xlfn.IFS(R610="Count",RANDBETWEEN(1,COUNTIF($R$11:$R$653,"Count")),R610="Length",RANDBETWEEN(1,COUNTIF($R$11:$R$653,"Length"))),"")</f>
        <v/>
      </c>
      <c r="N610" s="4" t="str">
        <f ca="1">IFERROR(_xlfn.RANK.EQ(M610,$M$11:$M$653)+COUNTIF($M$11:M610,M610)-1,"")</f>
        <v/>
      </c>
      <c r="O610" s="86" t="str">
        <f>IF(A610='DATA SHEET'!$L$36,C610,IFERROR(IF(AND(ISTEXT(I610),ISBLANK(C610)),"No details",VLOOKUP(C610,DimFolder,2,FALSE)),""))</f>
        <v/>
      </c>
      <c r="P610" s="4" t="str">
        <f t="shared" si="149"/>
        <v/>
      </c>
      <c r="Q610" s="58" t="str">
        <f t="shared" si="148"/>
        <v/>
      </c>
      <c r="R610" s="4" t="e" cm="1">
        <f t="array" ref="R610">IF(INDEX(Table2[],_xlfn.XMATCH($A610,Table2[Steel Member],0),_xlfn.XMATCH(R$2,Table2[#Headers],0))=0,"",INDEX(Table2[],_xlfn.XMATCH($A610,Table2[Steel Member],0),_xlfn.XMATCH(R$2,Table2[#Headers],0)))</f>
        <v>#N/A</v>
      </c>
      <c r="S610" s="4" t="e" cm="1">
        <f t="array" ref="S610">IF(INDEX(Table2[],_xlfn.XMATCH($A610,Table2[Steel Member],0),_xlfn.XMATCH(S$2,Table2[#Headers],0))=0,"",INDEX(Table2[],_xlfn.XMATCH($A610,Table2[Steel Member],0),_xlfn.XMATCH(S$2,Table2[#Headers],0)))</f>
        <v>#N/A</v>
      </c>
      <c r="T610" s="4" t="str">
        <f t="shared" si="139"/>
        <v/>
      </c>
      <c r="U610" s="4" t="e">
        <f ca="1">VLOOKUP(N610,'COLOR CODE'!$B:$D,2,FALSE)</f>
        <v>#N/A</v>
      </c>
      <c r="V610" s="4" t="str">
        <f t="shared" si="140"/>
        <v/>
      </c>
      <c r="W610" s="4" t="e" cm="1">
        <f t="array" ref="W610">IF(INDEX(Table2[],_xlfn.XMATCH($A610,Table2[Steel Member],0),_xlfn.XMATCH(W$2,Table2[#Headers],0))=0,"",INDEX(Table2[],_xlfn.XMATCH($A610,Table2[Steel Member],0),_xlfn.XMATCH(W$2,Table2[#Headers],0)))</f>
        <v>#N/A</v>
      </c>
      <c r="X610" s="4" t="e">
        <f t="shared" si="150"/>
        <v>#N/A</v>
      </c>
      <c r="Y610" s="4" t="e" cm="1">
        <f t="array" ref="Y610">IF(INDEX(Table2[],_xlfn.XMATCH($A610,Table2[Steel Member],0),_xlfn.XMATCH(Y$2,Table2[#Headers],0))=0,"",INDEX(Table2[],_xlfn.XMATCH($A610,Table2[Steel Member],0),_xlfn.XMATCH(Y$2,Table2[#Headers],0)))</f>
        <v>#N/A</v>
      </c>
      <c r="Z610" s="4" t="e" cm="1">
        <f t="array" ref="Z610">IF(INDEX(Table2[],_xlfn.XMATCH($A610,Table2[Steel Member],0),_xlfn.XMATCH(Z$2,Table2[#Headers],0))=0,"",INDEX(Table2[],_xlfn.XMATCH($A610,Table2[Steel Member],0),_xlfn.XMATCH(Z$2,Table2[#Headers],0)))</f>
        <v>#N/A</v>
      </c>
      <c r="AA610" s="4" t="e" cm="1">
        <f t="array" ref="AA610">IF(INDEX(Table2[],_xlfn.XMATCH($A610,Table2[Steel Member],0),_xlfn.XMATCH(AA$2,Table2[#Headers],0))=0,"",INDEX(Table2[],_xlfn.XMATCH($A610,Table2[Steel Member],0),_xlfn.XMATCH(AA$2,Table2[#Headers],0)))</f>
        <v>#N/A</v>
      </c>
      <c r="AB610" s="4" t="e" cm="1">
        <f t="array" ref="AB610">IF(INDEX(Table2[],_xlfn.XMATCH($A610,Table2[Steel Member],0),_xlfn.XMATCH(AB$2,Table2[#Headers],0))=0,"",INDEX(Table2[],_xlfn.XMATCH($A610,Table2[Steel Member],0),_xlfn.XMATCH(AB$2,Table2[#Headers],0)))</f>
        <v>#N/A</v>
      </c>
      <c r="AC610" s="4" t="str" cm="1">
        <f t="array" ref="AC610">IFERROR(INDEX(Table8[],_xlfn.XMATCH($O610,Table8[Dimension Name Category],0),_xlfn.XMATCH(AC$2&amp;IF($L610," w/ tag"," w/o tag"),Table8[#Headers],0)),"")</f>
        <v/>
      </c>
      <c r="AD610" s="59" t="str">
        <f t="shared" si="141"/>
        <v/>
      </c>
      <c r="AE610" s="4" t="str">
        <f t="shared" si="142"/>
        <v/>
      </c>
      <c r="AF610" s="4" t="str">
        <f t="shared" si="143"/>
        <v/>
      </c>
      <c r="AG610" s="4" t="str" cm="1">
        <f t="array" ref="AG610">IFERROR(INDEX(Table8[],_xlfn.XMATCH($O610,Table8[Dimension Name Category],0),_xlfn.XMATCH(AG$2&amp;IF($L610," w/ tag"," w/o tag"),Table8[#Headers],0)),"")</f>
        <v/>
      </c>
      <c r="AH610" s="59" t="str">
        <f t="shared" si="144"/>
        <v/>
      </c>
      <c r="AI610" s="4"/>
      <c r="AJ610" s="4" t="str">
        <f t="shared" si="145"/>
        <v/>
      </c>
      <c r="AK610" s="4" t="str">
        <f t="shared" si="146"/>
        <v/>
      </c>
      <c r="AL610" s="4" t="e" cm="1">
        <f t="array" ref="AL610">IF(INDEX(Table2[],_xlfn.XMATCH($A610,Table2[Steel Member],0),_xlfn.XMATCH(AL$2,Table2[#Headers],0))=0,"",INDEX(Table2[],_xlfn.XMATCH($A610,Table2[Steel Member],0),_xlfn.XMATCH(AL$2,Table2[#Headers],0)))</f>
        <v>#N/A</v>
      </c>
      <c r="AM610" s="4"/>
      <c r="AN610" s="4" t="str">
        <f t="shared" si="147"/>
        <v/>
      </c>
      <c r="AO610" s="4"/>
      <c r="AP610" s="4" t="e" cm="1">
        <f t="array" ref="AP610">IF(INDEX(Table2[],_xlfn.XMATCH($A610,Table2[Steel Member],0),_xlfn.XMATCH(AP$2,Table2[#Headers],0))=0,"",INDEX(Table2[],_xlfn.XMATCH($A610,Table2[Steel Member],0),_xlfn.XMATCH(AP$2,Table2[#Headers],0)))</f>
        <v>#N/A</v>
      </c>
      <c r="AQ610" s="4"/>
      <c r="AR610" s="4"/>
      <c r="AS610" s="4"/>
      <c r="AT610" s="4"/>
    </row>
    <row r="611" spans="1:46" x14ac:dyDescent="0.25">
      <c r="A611" s="52"/>
      <c r="B611" s="52"/>
      <c r="C611" s="52"/>
      <c r="D611" s="52"/>
      <c r="E611" s="52"/>
      <c r="F611" s="64" cm="1">
        <f t="array" ref="F611">IF(COUNT(FIND(PurlinsxGirthsxBracings,$C611))&gt;0,0,ROUNDUP(IF(D611=0,0,VLOOKUP(D611,'DATA SHEET'!$B:$D,2,FALSE)),2))</f>
        <v>0</v>
      </c>
      <c r="G611" s="64" cm="1">
        <f t="array" ref="G611">IF(COUNT(FIND(PurlinsxGirthsxBracings,$C611))&gt;0,0,ROUNDUP(IF(D611=0,0,VLOOKUP(D611,'DATA SHEET'!$B:$D,3,FALSE)),2))</f>
        <v>0</v>
      </c>
      <c r="H611" s="53"/>
      <c r="I611" s="66" cm="1">
        <f t="array" ref="I611">IF(AND(ISBLANK(B611),ISBLANK(C611),ISBLANK(E611)),0,IF(COUNT(FIND(PurlinsxGirthsxBracings,$C611))&gt;0,IF(B611=0,CONCATENATE(E611," ",C611),CONCATENATE(B611," - ",E611," ",C611)),IF(B611=0,IF(ISBLANK(C611),E611,CONCATENATE(D611,", ",F611,"kg/m, ",G611,"mm surface perimeter")),IF(AND(ISBLANK(C611),ISTEXT(E611)),CONCATENATE(B611," - ",E611),IF(AND(ISBLANK(C611),ISBLANK(E611)),B611,CONCATENATE(B611," - ",D611,", ",F611,"kg/m, ",G611,"mm surface perimeter"))))&amp;IF(ISBLANK(H611),"",H611)))</f>
        <v>0</v>
      </c>
      <c r="J611" s="53"/>
      <c r="L611" s="4" t="str" cm="1">
        <f t="array" ref="L611">IF(COUNT(FIND({0,1,2,3,4,5,6,7,8,9},B611))&gt;0,COUNT(FIND({0,1,2,3,4,5,6,7,8,9},B611))&gt;0,"")</f>
        <v/>
      </c>
      <c r="M611" s="4" t="str" cm="1">
        <f t="array" aca="1" ref="M611" ca="1">IFERROR(_xlfn.IFS(R611="Count",RANDBETWEEN(1,COUNTIF($R$11:$R$653,"Count")),R611="Length",RANDBETWEEN(1,COUNTIF($R$11:$R$653,"Length"))),"")</f>
        <v/>
      </c>
      <c r="N611" s="4" t="str">
        <f ca="1">IFERROR(_xlfn.RANK.EQ(M611,$M$11:$M$653)+COUNTIF($M$11:M611,M611)-1,"")</f>
        <v/>
      </c>
      <c r="O611" s="86" t="str">
        <f>IF(A611='DATA SHEET'!$L$36,C611,IFERROR(IF(AND(ISTEXT(I611),ISBLANK(C611)),"No details",VLOOKUP(C611,DimFolder,2,FALSE)),""))</f>
        <v/>
      </c>
      <c r="P611" s="4" t="str">
        <f t="shared" si="149"/>
        <v/>
      </c>
      <c r="Q611" s="58" t="str">
        <f t="shared" si="148"/>
        <v/>
      </c>
      <c r="R611" s="4" t="e" cm="1">
        <f t="array" ref="R611">IF(INDEX(Table2[],_xlfn.XMATCH($A611,Table2[Steel Member],0),_xlfn.XMATCH(R$2,Table2[#Headers],0))=0,"",INDEX(Table2[],_xlfn.XMATCH($A611,Table2[Steel Member],0),_xlfn.XMATCH(R$2,Table2[#Headers],0)))</f>
        <v>#N/A</v>
      </c>
      <c r="S611" s="4" t="e" cm="1">
        <f t="array" ref="S611">IF(INDEX(Table2[],_xlfn.XMATCH($A611,Table2[Steel Member],0),_xlfn.XMATCH(S$2,Table2[#Headers],0))=0,"",INDEX(Table2[],_xlfn.XMATCH($A611,Table2[Steel Member],0),_xlfn.XMATCH(S$2,Table2[#Headers],0)))</f>
        <v>#N/A</v>
      </c>
      <c r="T611" s="4" t="str">
        <f t="shared" si="139"/>
        <v/>
      </c>
      <c r="U611" s="4" t="e">
        <f ca="1">VLOOKUP(N611,'COLOR CODE'!$B:$D,2,FALSE)</f>
        <v>#N/A</v>
      </c>
      <c r="V611" s="4" t="str">
        <f t="shared" si="140"/>
        <v/>
      </c>
      <c r="W611" s="4" t="e" cm="1">
        <f t="array" ref="W611">IF(INDEX(Table2[],_xlfn.XMATCH($A611,Table2[Steel Member],0),_xlfn.XMATCH(W$2,Table2[#Headers],0))=0,"",INDEX(Table2[],_xlfn.XMATCH($A611,Table2[Steel Member],0),_xlfn.XMATCH(W$2,Table2[#Headers],0)))</f>
        <v>#N/A</v>
      </c>
      <c r="X611" s="4" t="e">
        <f t="shared" si="150"/>
        <v>#N/A</v>
      </c>
      <c r="Y611" s="4" t="e" cm="1">
        <f t="array" ref="Y611">IF(INDEX(Table2[],_xlfn.XMATCH($A611,Table2[Steel Member],0),_xlfn.XMATCH(Y$2,Table2[#Headers],0))=0,"",INDEX(Table2[],_xlfn.XMATCH($A611,Table2[Steel Member],0),_xlfn.XMATCH(Y$2,Table2[#Headers],0)))</f>
        <v>#N/A</v>
      </c>
      <c r="Z611" s="4" t="e" cm="1">
        <f t="array" ref="Z611">IF(INDEX(Table2[],_xlfn.XMATCH($A611,Table2[Steel Member],0),_xlfn.XMATCH(Z$2,Table2[#Headers],0))=0,"",INDEX(Table2[],_xlfn.XMATCH($A611,Table2[Steel Member],0),_xlfn.XMATCH(Z$2,Table2[#Headers],0)))</f>
        <v>#N/A</v>
      </c>
      <c r="AA611" s="4" t="e" cm="1">
        <f t="array" ref="AA611">IF(INDEX(Table2[],_xlfn.XMATCH($A611,Table2[Steel Member],0),_xlfn.XMATCH(AA$2,Table2[#Headers],0))=0,"",INDEX(Table2[],_xlfn.XMATCH($A611,Table2[Steel Member],0),_xlfn.XMATCH(AA$2,Table2[#Headers],0)))</f>
        <v>#N/A</v>
      </c>
      <c r="AB611" s="4" t="e" cm="1">
        <f t="array" ref="AB611">IF(INDEX(Table2[],_xlfn.XMATCH($A611,Table2[Steel Member],0),_xlfn.XMATCH(AB$2,Table2[#Headers],0))=0,"",INDEX(Table2[],_xlfn.XMATCH($A611,Table2[Steel Member],0),_xlfn.XMATCH(AB$2,Table2[#Headers],0)))</f>
        <v>#N/A</v>
      </c>
      <c r="AC611" s="4" t="str" cm="1">
        <f t="array" ref="AC611">IFERROR(INDEX(Table8[],_xlfn.XMATCH($O611,Table8[Dimension Name Category],0),_xlfn.XMATCH(AC$2&amp;IF($L611," w/ tag"," w/o tag"),Table8[#Headers],0)),"")</f>
        <v/>
      </c>
      <c r="AD611" s="59" t="str">
        <f t="shared" si="141"/>
        <v/>
      </c>
      <c r="AE611" s="4" t="str">
        <f t="shared" si="142"/>
        <v/>
      </c>
      <c r="AF611" s="4" t="str">
        <f t="shared" si="143"/>
        <v/>
      </c>
      <c r="AG611" s="4" t="str" cm="1">
        <f t="array" ref="AG611">IFERROR(INDEX(Table8[],_xlfn.XMATCH($O611,Table8[Dimension Name Category],0),_xlfn.XMATCH(AG$2&amp;IF($L611," w/ tag"," w/o tag"),Table8[#Headers],0)),"")</f>
        <v/>
      </c>
      <c r="AH611" s="59" t="str">
        <f t="shared" si="144"/>
        <v/>
      </c>
      <c r="AI611" s="4"/>
      <c r="AJ611" s="4" t="str">
        <f t="shared" si="145"/>
        <v/>
      </c>
      <c r="AK611" s="4" t="str">
        <f t="shared" si="146"/>
        <v/>
      </c>
      <c r="AL611" s="4" t="e" cm="1">
        <f t="array" ref="AL611">IF(INDEX(Table2[],_xlfn.XMATCH($A611,Table2[Steel Member],0),_xlfn.XMATCH(AL$2,Table2[#Headers],0))=0,"",INDEX(Table2[],_xlfn.XMATCH($A611,Table2[Steel Member],0),_xlfn.XMATCH(AL$2,Table2[#Headers],0)))</f>
        <v>#N/A</v>
      </c>
      <c r="AM611" s="4"/>
      <c r="AN611" s="4" t="str">
        <f t="shared" si="147"/>
        <v/>
      </c>
      <c r="AO611" s="4"/>
      <c r="AP611" s="4" t="e" cm="1">
        <f t="array" ref="AP611">IF(INDEX(Table2[],_xlfn.XMATCH($A611,Table2[Steel Member],0),_xlfn.XMATCH(AP$2,Table2[#Headers],0))=0,"",INDEX(Table2[],_xlfn.XMATCH($A611,Table2[Steel Member],0),_xlfn.XMATCH(AP$2,Table2[#Headers],0)))</f>
        <v>#N/A</v>
      </c>
      <c r="AQ611" s="4"/>
      <c r="AR611" s="4"/>
      <c r="AS611" s="4"/>
      <c r="AT611" s="4"/>
    </row>
    <row r="612" spans="1:46" x14ac:dyDescent="0.25">
      <c r="A612" s="52"/>
      <c r="B612" s="52"/>
      <c r="C612" s="52"/>
      <c r="D612" s="52"/>
      <c r="E612" s="52"/>
      <c r="F612" s="64" cm="1">
        <f t="array" ref="F612">IF(COUNT(FIND(PurlinsxGirthsxBracings,$C612))&gt;0,0,ROUNDUP(IF(D612=0,0,VLOOKUP(D612,'DATA SHEET'!$B:$D,2,FALSE)),2))</f>
        <v>0</v>
      </c>
      <c r="G612" s="64" cm="1">
        <f t="array" ref="G612">IF(COUNT(FIND(PurlinsxGirthsxBracings,$C612))&gt;0,0,ROUNDUP(IF(D612=0,0,VLOOKUP(D612,'DATA SHEET'!$B:$D,3,FALSE)),2))</f>
        <v>0</v>
      </c>
      <c r="H612" s="53"/>
      <c r="I612" s="66" cm="1">
        <f t="array" ref="I612">IF(AND(ISBLANK(B612),ISBLANK(C612),ISBLANK(E612)),0,IF(COUNT(FIND(PurlinsxGirthsxBracings,$C612))&gt;0,IF(B612=0,CONCATENATE(E612," ",C612),CONCATENATE(B612," - ",E612," ",C612)),IF(B612=0,IF(ISBLANK(C612),E612,CONCATENATE(D612,", ",F612,"kg/m, ",G612,"mm surface perimeter")),IF(AND(ISBLANK(C612),ISTEXT(E612)),CONCATENATE(B612," - ",E612),IF(AND(ISBLANK(C612),ISBLANK(E612)),B612,CONCATENATE(B612," - ",D612,", ",F612,"kg/m, ",G612,"mm surface perimeter"))))&amp;IF(ISBLANK(H612),"",H612)))</f>
        <v>0</v>
      </c>
      <c r="J612" s="53"/>
      <c r="L612" s="4" t="str" cm="1">
        <f t="array" ref="L612">IF(COUNT(FIND({0,1,2,3,4,5,6,7,8,9},B612))&gt;0,COUNT(FIND({0,1,2,3,4,5,6,7,8,9},B612))&gt;0,"")</f>
        <v/>
      </c>
      <c r="M612" s="4" t="str" cm="1">
        <f t="array" aca="1" ref="M612" ca="1">IFERROR(_xlfn.IFS(R612="Count",RANDBETWEEN(1,COUNTIF($R$11:$R$653,"Count")),R612="Length",RANDBETWEEN(1,COUNTIF($R$11:$R$653,"Length"))),"")</f>
        <v/>
      </c>
      <c r="N612" s="4" t="str">
        <f ca="1">IFERROR(_xlfn.RANK.EQ(M612,$M$11:$M$653)+COUNTIF($M$11:M612,M612)-1,"")</f>
        <v/>
      </c>
      <c r="O612" s="86" t="str">
        <f>IF(A612='DATA SHEET'!$L$36,C612,IFERROR(IF(AND(ISTEXT(I612),ISBLANK(C612)),"No details",VLOOKUP(C612,DimFolder,2,FALSE)),""))</f>
        <v/>
      </c>
      <c r="P612" s="4" t="str">
        <f t="shared" si="149"/>
        <v/>
      </c>
      <c r="Q612" s="58" t="str">
        <f t="shared" si="148"/>
        <v/>
      </c>
      <c r="R612" s="4" t="e" cm="1">
        <f t="array" ref="R612">IF(INDEX(Table2[],_xlfn.XMATCH($A612,Table2[Steel Member],0),_xlfn.XMATCH(R$2,Table2[#Headers],0))=0,"",INDEX(Table2[],_xlfn.XMATCH($A612,Table2[Steel Member],0),_xlfn.XMATCH(R$2,Table2[#Headers],0)))</f>
        <v>#N/A</v>
      </c>
      <c r="S612" s="4" t="e" cm="1">
        <f t="array" ref="S612">IF(INDEX(Table2[],_xlfn.XMATCH($A612,Table2[Steel Member],0),_xlfn.XMATCH(S$2,Table2[#Headers],0))=0,"",INDEX(Table2[],_xlfn.XMATCH($A612,Table2[Steel Member],0),_xlfn.XMATCH(S$2,Table2[#Headers],0)))</f>
        <v>#N/A</v>
      </c>
      <c r="T612" s="4" t="str">
        <f t="shared" si="139"/>
        <v/>
      </c>
      <c r="U612" s="4" t="e">
        <f ca="1">VLOOKUP(N612,'COLOR CODE'!$B:$D,2,FALSE)</f>
        <v>#N/A</v>
      </c>
      <c r="V612" s="4" t="str">
        <f t="shared" si="140"/>
        <v/>
      </c>
      <c r="W612" s="4" t="e" cm="1">
        <f t="array" ref="W612">IF(INDEX(Table2[],_xlfn.XMATCH($A612,Table2[Steel Member],0),_xlfn.XMATCH(W$2,Table2[#Headers],0))=0,"",INDEX(Table2[],_xlfn.XMATCH($A612,Table2[Steel Member],0),_xlfn.XMATCH(W$2,Table2[#Headers],0)))</f>
        <v>#N/A</v>
      </c>
      <c r="X612" s="4" t="e">
        <f t="shared" si="150"/>
        <v>#N/A</v>
      </c>
      <c r="Y612" s="4" t="e" cm="1">
        <f t="array" ref="Y612">IF(INDEX(Table2[],_xlfn.XMATCH($A612,Table2[Steel Member],0),_xlfn.XMATCH(Y$2,Table2[#Headers],0))=0,"",INDEX(Table2[],_xlfn.XMATCH($A612,Table2[Steel Member],0),_xlfn.XMATCH(Y$2,Table2[#Headers],0)))</f>
        <v>#N/A</v>
      </c>
      <c r="Z612" s="4" t="e" cm="1">
        <f t="array" ref="Z612">IF(INDEX(Table2[],_xlfn.XMATCH($A612,Table2[Steel Member],0),_xlfn.XMATCH(Z$2,Table2[#Headers],0))=0,"",INDEX(Table2[],_xlfn.XMATCH($A612,Table2[Steel Member],0),_xlfn.XMATCH(Z$2,Table2[#Headers],0)))</f>
        <v>#N/A</v>
      </c>
      <c r="AA612" s="4" t="e" cm="1">
        <f t="array" ref="AA612">IF(INDEX(Table2[],_xlfn.XMATCH($A612,Table2[Steel Member],0),_xlfn.XMATCH(AA$2,Table2[#Headers],0))=0,"",INDEX(Table2[],_xlfn.XMATCH($A612,Table2[Steel Member],0),_xlfn.XMATCH(AA$2,Table2[#Headers],0)))</f>
        <v>#N/A</v>
      </c>
      <c r="AB612" s="4" t="e" cm="1">
        <f t="array" ref="AB612">IF(INDEX(Table2[],_xlfn.XMATCH($A612,Table2[Steel Member],0),_xlfn.XMATCH(AB$2,Table2[#Headers],0))=0,"",INDEX(Table2[],_xlfn.XMATCH($A612,Table2[Steel Member],0),_xlfn.XMATCH(AB$2,Table2[#Headers],0)))</f>
        <v>#N/A</v>
      </c>
      <c r="AC612" s="4" t="str" cm="1">
        <f t="array" ref="AC612">IFERROR(INDEX(Table8[],_xlfn.XMATCH($O612,Table8[Dimension Name Category],0),_xlfn.XMATCH(AC$2&amp;IF($L612," w/ tag"," w/o tag"),Table8[#Headers],0)),"")</f>
        <v/>
      </c>
      <c r="AD612" s="59" t="str">
        <f t="shared" si="141"/>
        <v/>
      </c>
      <c r="AE612" s="4" t="str">
        <f t="shared" si="142"/>
        <v/>
      </c>
      <c r="AF612" s="4" t="str">
        <f t="shared" si="143"/>
        <v/>
      </c>
      <c r="AG612" s="4" t="str" cm="1">
        <f t="array" ref="AG612">IFERROR(INDEX(Table8[],_xlfn.XMATCH($O612,Table8[Dimension Name Category],0),_xlfn.XMATCH(AG$2&amp;IF($L612," w/ tag"," w/o tag"),Table8[#Headers],0)),"")</f>
        <v/>
      </c>
      <c r="AH612" s="59" t="str">
        <f t="shared" si="144"/>
        <v/>
      </c>
      <c r="AI612" s="4"/>
      <c r="AJ612" s="4" t="str">
        <f t="shared" si="145"/>
        <v/>
      </c>
      <c r="AK612" s="4" t="str">
        <f t="shared" si="146"/>
        <v/>
      </c>
      <c r="AL612" s="4" t="e" cm="1">
        <f t="array" ref="AL612">IF(INDEX(Table2[],_xlfn.XMATCH($A612,Table2[Steel Member],0),_xlfn.XMATCH(AL$2,Table2[#Headers],0))=0,"",INDEX(Table2[],_xlfn.XMATCH($A612,Table2[Steel Member],0),_xlfn.XMATCH(AL$2,Table2[#Headers],0)))</f>
        <v>#N/A</v>
      </c>
      <c r="AM612" s="4"/>
      <c r="AN612" s="4" t="str">
        <f t="shared" si="147"/>
        <v/>
      </c>
      <c r="AO612" s="4"/>
      <c r="AP612" s="4" t="e" cm="1">
        <f t="array" ref="AP612">IF(INDEX(Table2[],_xlfn.XMATCH($A612,Table2[Steel Member],0),_xlfn.XMATCH(AP$2,Table2[#Headers],0))=0,"",INDEX(Table2[],_xlfn.XMATCH($A612,Table2[Steel Member],0),_xlfn.XMATCH(AP$2,Table2[#Headers],0)))</f>
        <v>#N/A</v>
      </c>
      <c r="AQ612" s="4"/>
      <c r="AR612" s="4"/>
      <c r="AS612" s="4"/>
      <c r="AT612" s="4"/>
    </row>
    <row r="613" spans="1:46" x14ac:dyDescent="0.25">
      <c r="A613" s="52"/>
      <c r="B613" s="52"/>
      <c r="C613" s="52"/>
      <c r="D613" s="52"/>
      <c r="E613" s="52"/>
      <c r="F613" s="64" cm="1">
        <f t="array" ref="F613">IF(COUNT(FIND(PurlinsxGirthsxBracings,$C613))&gt;0,0,ROUNDUP(IF(D613=0,0,VLOOKUP(D613,'DATA SHEET'!$B:$D,2,FALSE)),2))</f>
        <v>0</v>
      </c>
      <c r="G613" s="64" cm="1">
        <f t="array" ref="G613">IF(COUNT(FIND(PurlinsxGirthsxBracings,$C613))&gt;0,0,ROUNDUP(IF(D613=0,0,VLOOKUP(D613,'DATA SHEET'!$B:$D,3,FALSE)),2))</f>
        <v>0</v>
      </c>
      <c r="H613" s="53"/>
      <c r="I613" s="66" cm="1">
        <f t="array" ref="I613">IF(AND(ISBLANK(B613),ISBLANK(C613),ISBLANK(E613)),0,IF(COUNT(FIND(PurlinsxGirthsxBracings,$C613))&gt;0,IF(B613=0,CONCATENATE(E613," ",C613),CONCATENATE(B613," - ",E613," ",C613)),IF(B613=0,IF(ISBLANK(C613),E613,CONCATENATE(D613,", ",F613,"kg/m, ",G613,"mm surface perimeter")),IF(AND(ISBLANK(C613),ISTEXT(E613)),CONCATENATE(B613," - ",E613),IF(AND(ISBLANK(C613),ISBLANK(E613)),B613,CONCATENATE(B613," - ",D613,", ",F613,"kg/m, ",G613,"mm surface perimeter"))))&amp;IF(ISBLANK(H613),"",H613)))</f>
        <v>0</v>
      </c>
      <c r="J613" s="53"/>
      <c r="L613" s="4" t="str" cm="1">
        <f t="array" ref="L613">IF(COUNT(FIND({0,1,2,3,4,5,6,7,8,9},B613))&gt;0,COUNT(FIND({0,1,2,3,4,5,6,7,8,9},B613))&gt;0,"")</f>
        <v/>
      </c>
      <c r="M613" s="4" t="str" cm="1">
        <f t="array" aca="1" ref="M613" ca="1">IFERROR(_xlfn.IFS(R613="Count",RANDBETWEEN(1,COUNTIF($R$11:$R$653,"Count")),R613="Length",RANDBETWEEN(1,COUNTIF($R$11:$R$653,"Length"))),"")</f>
        <v/>
      </c>
      <c r="N613" s="4" t="str">
        <f ca="1">IFERROR(_xlfn.RANK.EQ(M613,$M$11:$M$653)+COUNTIF($M$11:M613,M613)-1,"")</f>
        <v/>
      </c>
      <c r="O613" s="86" t="str">
        <f>IF(A613='DATA SHEET'!$L$36,C613,IFERROR(IF(AND(ISTEXT(I613),ISBLANK(C613)),"No details",VLOOKUP(C613,DimFolder,2,FALSE)),""))</f>
        <v/>
      </c>
      <c r="P613" s="4" t="str">
        <f t="shared" si="149"/>
        <v/>
      </c>
      <c r="Q613" s="58" t="str">
        <f t="shared" si="148"/>
        <v/>
      </c>
      <c r="R613" s="4" t="e" cm="1">
        <f t="array" ref="R613">IF(INDEX(Table2[],_xlfn.XMATCH($A613,Table2[Steel Member],0),_xlfn.XMATCH(R$2,Table2[#Headers],0))=0,"",INDEX(Table2[],_xlfn.XMATCH($A613,Table2[Steel Member],0),_xlfn.XMATCH(R$2,Table2[#Headers],0)))</f>
        <v>#N/A</v>
      </c>
      <c r="S613" s="4" t="e" cm="1">
        <f t="array" ref="S613">IF(INDEX(Table2[],_xlfn.XMATCH($A613,Table2[Steel Member],0),_xlfn.XMATCH(S$2,Table2[#Headers],0))=0,"",INDEX(Table2[],_xlfn.XMATCH($A613,Table2[Steel Member],0),_xlfn.XMATCH(S$2,Table2[#Headers],0)))</f>
        <v>#N/A</v>
      </c>
      <c r="T613" s="4" t="str">
        <f t="shared" si="139"/>
        <v/>
      </c>
      <c r="U613" s="4" t="e">
        <f ca="1">VLOOKUP(N613,'COLOR CODE'!$B:$D,2,FALSE)</f>
        <v>#N/A</v>
      </c>
      <c r="V613" s="4" t="str">
        <f t="shared" si="140"/>
        <v/>
      </c>
      <c r="W613" s="4" t="e" cm="1">
        <f t="array" ref="W613">IF(INDEX(Table2[],_xlfn.XMATCH($A613,Table2[Steel Member],0),_xlfn.XMATCH(W$2,Table2[#Headers],0))=0,"",INDEX(Table2[],_xlfn.XMATCH($A613,Table2[Steel Member],0),_xlfn.XMATCH(W$2,Table2[#Headers],0)))</f>
        <v>#N/A</v>
      </c>
      <c r="X613" s="4" t="e">
        <f t="shared" si="150"/>
        <v>#N/A</v>
      </c>
      <c r="Y613" s="4" t="e" cm="1">
        <f t="array" ref="Y613">IF(INDEX(Table2[],_xlfn.XMATCH($A613,Table2[Steel Member],0),_xlfn.XMATCH(Y$2,Table2[#Headers],0))=0,"",INDEX(Table2[],_xlfn.XMATCH($A613,Table2[Steel Member],0),_xlfn.XMATCH(Y$2,Table2[#Headers],0)))</f>
        <v>#N/A</v>
      </c>
      <c r="Z613" s="4" t="e" cm="1">
        <f t="array" ref="Z613">IF(INDEX(Table2[],_xlfn.XMATCH($A613,Table2[Steel Member],0),_xlfn.XMATCH(Z$2,Table2[#Headers],0))=0,"",INDEX(Table2[],_xlfn.XMATCH($A613,Table2[Steel Member],0),_xlfn.XMATCH(Z$2,Table2[#Headers],0)))</f>
        <v>#N/A</v>
      </c>
      <c r="AA613" s="4" t="e" cm="1">
        <f t="array" ref="AA613">IF(INDEX(Table2[],_xlfn.XMATCH($A613,Table2[Steel Member],0),_xlfn.XMATCH(AA$2,Table2[#Headers],0))=0,"",INDEX(Table2[],_xlfn.XMATCH($A613,Table2[Steel Member],0),_xlfn.XMATCH(AA$2,Table2[#Headers],0)))</f>
        <v>#N/A</v>
      </c>
      <c r="AB613" s="4" t="e" cm="1">
        <f t="array" ref="AB613">IF(INDEX(Table2[],_xlfn.XMATCH($A613,Table2[Steel Member],0),_xlfn.XMATCH(AB$2,Table2[#Headers],0))=0,"",INDEX(Table2[],_xlfn.XMATCH($A613,Table2[Steel Member],0),_xlfn.XMATCH(AB$2,Table2[#Headers],0)))</f>
        <v>#N/A</v>
      </c>
      <c r="AC613" s="4" t="str" cm="1">
        <f t="array" ref="AC613">IFERROR(INDEX(Table8[],_xlfn.XMATCH($O613,Table8[Dimension Name Category],0),_xlfn.XMATCH(AC$2&amp;IF($L613," w/ tag"," w/o tag"),Table8[#Headers],0)),"")</f>
        <v/>
      </c>
      <c r="AD613" s="59" t="str">
        <f t="shared" si="141"/>
        <v/>
      </c>
      <c r="AE613" s="4" t="str">
        <f t="shared" si="142"/>
        <v/>
      </c>
      <c r="AF613" s="4" t="str">
        <f t="shared" si="143"/>
        <v/>
      </c>
      <c r="AG613" s="4" t="str" cm="1">
        <f t="array" ref="AG613">IFERROR(INDEX(Table8[],_xlfn.XMATCH($O613,Table8[Dimension Name Category],0),_xlfn.XMATCH(AG$2&amp;IF($L613," w/ tag"," w/o tag"),Table8[#Headers],0)),"")</f>
        <v/>
      </c>
      <c r="AH613" s="59" t="str">
        <f t="shared" si="144"/>
        <v/>
      </c>
      <c r="AI613" s="4"/>
      <c r="AJ613" s="4" t="str">
        <f t="shared" si="145"/>
        <v/>
      </c>
      <c r="AK613" s="4" t="str">
        <f t="shared" si="146"/>
        <v/>
      </c>
      <c r="AL613" s="4" t="e" cm="1">
        <f t="array" ref="AL613">IF(INDEX(Table2[],_xlfn.XMATCH($A613,Table2[Steel Member],0),_xlfn.XMATCH(AL$2,Table2[#Headers],0))=0,"",INDEX(Table2[],_xlfn.XMATCH($A613,Table2[Steel Member],0),_xlfn.XMATCH(AL$2,Table2[#Headers],0)))</f>
        <v>#N/A</v>
      </c>
      <c r="AM613" s="4"/>
      <c r="AN613" s="4" t="str">
        <f t="shared" si="147"/>
        <v/>
      </c>
      <c r="AO613" s="4"/>
      <c r="AP613" s="4" t="e" cm="1">
        <f t="array" ref="AP613">IF(INDEX(Table2[],_xlfn.XMATCH($A613,Table2[Steel Member],0),_xlfn.XMATCH(AP$2,Table2[#Headers],0))=0,"",INDEX(Table2[],_xlfn.XMATCH($A613,Table2[Steel Member],0),_xlfn.XMATCH(AP$2,Table2[#Headers],0)))</f>
        <v>#N/A</v>
      </c>
      <c r="AQ613" s="4"/>
      <c r="AR613" s="4"/>
      <c r="AS613" s="4"/>
      <c r="AT613" s="4"/>
    </row>
    <row r="614" spans="1:46" x14ac:dyDescent="0.25">
      <c r="A614" s="52"/>
      <c r="B614" s="52"/>
      <c r="C614" s="52"/>
      <c r="D614" s="52"/>
      <c r="E614" s="52"/>
      <c r="F614" s="64" cm="1">
        <f t="array" ref="F614">IF(COUNT(FIND(PurlinsxGirthsxBracings,$C614))&gt;0,0,ROUNDUP(IF(D614=0,0,VLOOKUP(D614,'DATA SHEET'!$B:$D,2,FALSE)),2))</f>
        <v>0</v>
      </c>
      <c r="G614" s="64" cm="1">
        <f t="array" ref="G614">IF(COUNT(FIND(PurlinsxGirthsxBracings,$C614))&gt;0,0,ROUNDUP(IF(D614=0,0,VLOOKUP(D614,'DATA SHEET'!$B:$D,3,FALSE)),2))</f>
        <v>0</v>
      </c>
      <c r="H614" s="53"/>
      <c r="I614" s="66" cm="1">
        <f t="array" ref="I614">IF(AND(ISBLANK(B614),ISBLANK(C614),ISBLANK(E614)),0,IF(COUNT(FIND(PurlinsxGirthsxBracings,$C614))&gt;0,IF(B614=0,CONCATENATE(E614," ",C614),CONCATENATE(B614," - ",E614," ",C614)),IF(B614=0,IF(ISBLANK(C614),E614,CONCATENATE(D614,", ",F614,"kg/m, ",G614,"mm surface perimeter")),IF(AND(ISBLANK(C614),ISTEXT(E614)),CONCATENATE(B614," - ",E614),IF(AND(ISBLANK(C614),ISBLANK(E614)),B614,CONCATENATE(B614," - ",D614,", ",F614,"kg/m, ",G614,"mm surface perimeter"))))&amp;IF(ISBLANK(H614),"",H614)))</f>
        <v>0</v>
      </c>
      <c r="J614" s="53"/>
      <c r="L614" s="4" t="str" cm="1">
        <f t="array" ref="L614">IF(COUNT(FIND({0,1,2,3,4,5,6,7,8,9},B614))&gt;0,COUNT(FIND({0,1,2,3,4,5,6,7,8,9},B614))&gt;0,"")</f>
        <v/>
      </c>
      <c r="M614" s="4" t="str" cm="1">
        <f t="array" aca="1" ref="M614" ca="1">IFERROR(_xlfn.IFS(R614="Count",RANDBETWEEN(1,COUNTIF($R$11:$R$653,"Count")),R614="Length",RANDBETWEEN(1,COUNTIF($R$11:$R$653,"Length"))),"")</f>
        <v/>
      </c>
      <c r="N614" s="4" t="str">
        <f ca="1">IFERROR(_xlfn.RANK.EQ(M614,$M$11:$M$653)+COUNTIF($M$11:M614,M614)-1,"")</f>
        <v/>
      </c>
      <c r="O614" s="86" t="str">
        <f>IF(A614='DATA SHEET'!$L$36,C614,IFERROR(IF(AND(ISTEXT(I614),ISBLANK(C614)),"No details",VLOOKUP(C614,DimFolder,2,FALSE)),""))</f>
        <v/>
      </c>
      <c r="P614" s="4" t="str">
        <f t="shared" si="149"/>
        <v/>
      </c>
      <c r="Q614" s="58" t="str">
        <f t="shared" si="148"/>
        <v/>
      </c>
      <c r="R614" s="4" t="e" cm="1">
        <f t="array" ref="R614">IF(INDEX(Table2[],_xlfn.XMATCH($A614,Table2[Steel Member],0),_xlfn.XMATCH(R$2,Table2[#Headers],0))=0,"",INDEX(Table2[],_xlfn.XMATCH($A614,Table2[Steel Member],0),_xlfn.XMATCH(R$2,Table2[#Headers],0)))</f>
        <v>#N/A</v>
      </c>
      <c r="S614" s="4" t="e" cm="1">
        <f t="array" ref="S614">IF(INDEX(Table2[],_xlfn.XMATCH($A614,Table2[Steel Member],0),_xlfn.XMATCH(S$2,Table2[#Headers],0))=0,"",INDEX(Table2[],_xlfn.XMATCH($A614,Table2[Steel Member],0),_xlfn.XMATCH(S$2,Table2[#Headers],0)))</f>
        <v>#N/A</v>
      </c>
      <c r="T614" s="4" t="str">
        <f t="shared" si="139"/>
        <v/>
      </c>
      <c r="U614" s="4" t="e">
        <f ca="1">VLOOKUP(N614,'COLOR CODE'!$B:$D,2,FALSE)</f>
        <v>#N/A</v>
      </c>
      <c r="V614" s="4" t="str">
        <f t="shared" si="140"/>
        <v/>
      </c>
      <c r="W614" s="4" t="e" cm="1">
        <f t="array" ref="W614">IF(INDEX(Table2[],_xlfn.XMATCH($A614,Table2[Steel Member],0),_xlfn.XMATCH(W$2,Table2[#Headers],0))=0,"",INDEX(Table2[],_xlfn.XMATCH($A614,Table2[Steel Member],0),_xlfn.XMATCH(W$2,Table2[#Headers],0)))</f>
        <v>#N/A</v>
      </c>
      <c r="X614" s="4" t="e">
        <f t="shared" si="150"/>
        <v>#N/A</v>
      </c>
      <c r="Y614" s="4" t="e" cm="1">
        <f t="array" ref="Y614">IF(INDEX(Table2[],_xlfn.XMATCH($A614,Table2[Steel Member],0),_xlfn.XMATCH(Y$2,Table2[#Headers],0))=0,"",INDEX(Table2[],_xlfn.XMATCH($A614,Table2[Steel Member],0),_xlfn.XMATCH(Y$2,Table2[#Headers],0)))</f>
        <v>#N/A</v>
      </c>
      <c r="Z614" s="4" t="e" cm="1">
        <f t="array" ref="Z614">IF(INDEX(Table2[],_xlfn.XMATCH($A614,Table2[Steel Member],0),_xlfn.XMATCH(Z$2,Table2[#Headers],0))=0,"",INDEX(Table2[],_xlfn.XMATCH($A614,Table2[Steel Member],0),_xlfn.XMATCH(Z$2,Table2[#Headers],0)))</f>
        <v>#N/A</v>
      </c>
      <c r="AA614" s="4" t="e" cm="1">
        <f t="array" ref="AA614">IF(INDEX(Table2[],_xlfn.XMATCH($A614,Table2[Steel Member],0),_xlfn.XMATCH(AA$2,Table2[#Headers],0))=0,"",INDEX(Table2[],_xlfn.XMATCH($A614,Table2[Steel Member],0),_xlfn.XMATCH(AA$2,Table2[#Headers],0)))</f>
        <v>#N/A</v>
      </c>
      <c r="AB614" s="4" t="e" cm="1">
        <f t="array" ref="AB614">IF(INDEX(Table2[],_xlfn.XMATCH($A614,Table2[Steel Member],0),_xlfn.XMATCH(AB$2,Table2[#Headers],0))=0,"",INDEX(Table2[],_xlfn.XMATCH($A614,Table2[Steel Member],0),_xlfn.XMATCH(AB$2,Table2[#Headers],0)))</f>
        <v>#N/A</v>
      </c>
      <c r="AC614" s="4" t="str" cm="1">
        <f t="array" ref="AC614">IFERROR(INDEX(Table8[],_xlfn.XMATCH($O614,Table8[Dimension Name Category],0),_xlfn.XMATCH(AC$2&amp;IF($L614," w/ tag"," w/o tag"),Table8[#Headers],0)),"")</f>
        <v/>
      </c>
      <c r="AD614" s="59" t="str">
        <f t="shared" si="141"/>
        <v/>
      </c>
      <c r="AE614" s="4" t="str">
        <f t="shared" si="142"/>
        <v/>
      </c>
      <c r="AF614" s="4" t="str">
        <f t="shared" si="143"/>
        <v/>
      </c>
      <c r="AG614" s="4" t="str" cm="1">
        <f t="array" ref="AG614">IFERROR(INDEX(Table8[],_xlfn.XMATCH($O614,Table8[Dimension Name Category],0),_xlfn.XMATCH(AG$2&amp;IF($L614," w/ tag"," w/o tag"),Table8[#Headers],0)),"")</f>
        <v/>
      </c>
      <c r="AH614" s="59" t="str">
        <f t="shared" si="144"/>
        <v/>
      </c>
      <c r="AI614" s="4"/>
      <c r="AJ614" s="4" t="str">
        <f t="shared" si="145"/>
        <v/>
      </c>
      <c r="AK614" s="4" t="str">
        <f t="shared" si="146"/>
        <v/>
      </c>
      <c r="AL614" s="4" t="e" cm="1">
        <f t="array" ref="AL614">IF(INDEX(Table2[],_xlfn.XMATCH($A614,Table2[Steel Member],0),_xlfn.XMATCH(AL$2,Table2[#Headers],0))=0,"",INDEX(Table2[],_xlfn.XMATCH($A614,Table2[Steel Member],0),_xlfn.XMATCH(AL$2,Table2[#Headers],0)))</f>
        <v>#N/A</v>
      </c>
      <c r="AM614" s="4"/>
      <c r="AN614" s="4" t="str">
        <f t="shared" si="147"/>
        <v/>
      </c>
      <c r="AO614" s="4"/>
      <c r="AP614" s="4" t="e" cm="1">
        <f t="array" ref="AP614">IF(INDEX(Table2[],_xlfn.XMATCH($A614,Table2[Steel Member],0),_xlfn.XMATCH(AP$2,Table2[#Headers],0))=0,"",INDEX(Table2[],_xlfn.XMATCH($A614,Table2[Steel Member],0),_xlfn.XMATCH(AP$2,Table2[#Headers],0)))</f>
        <v>#N/A</v>
      </c>
      <c r="AQ614" s="4"/>
      <c r="AR614" s="4"/>
      <c r="AS614" s="4"/>
      <c r="AT614" s="4"/>
    </row>
    <row r="615" spans="1:46" x14ac:dyDescent="0.25">
      <c r="A615" s="52"/>
      <c r="B615" s="52"/>
      <c r="C615" s="52"/>
      <c r="D615" s="52"/>
      <c r="E615" s="52"/>
      <c r="F615" s="64" cm="1">
        <f t="array" ref="F615">IF(COUNT(FIND(PurlinsxGirthsxBracings,$C615))&gt;0,0,ROUNDUP(IF(D615=0,0,VLOOKUP(D615,'DATA SHEET'!$B:$D,2,FALSE)),2))</f>
        <v>0</v>
      </c>
      <c r="G615" s="64" cm="1">
        <f t="array" ref="G615">IF(COUNT(FIND(PurlinsxGirthsxBracings,$C615))&gt;0,0,ROUNDUP(IF(D615=0,0,VLOOKUP(D615,'DATA SHEET'!$B:$D,3,FALSE)),2))</f>
        <v>0</v>
      </c>
      <c r="H615" s="53"/>
      <c r="I615" s="66" cm="1">
        <f t="array" ref="I615">IF(AND(ISBLANK(B615),ISBLANK(C615),ISBLANK(E615)),0,IF(COUNT(FIND(PurlinsxGirthsxBracings,$C615))&gt;0,IF(B615=0,CONCATENATE(E615," ",C615),CONCATENATE(B615," - ",E615," ",C615)),IF(B615=0,IF(ISBLANK(C615),E615,CONCATENATE(D615,", ",F615,"kg/m, ",G615,"mm surface perimeter")),IF(AND(ISBLANK(C615),ISTEXT(E615)),CONCATENATE(B615," - ",E615),IF(AND(ISBLANK(C615),ISBLANK(E615)),B615,CONCATENATE(B615," - ",D615,", ",F615,"kg/m, ",G615,"mm surface perimeter"))))&amp;IF(ISBLANK(H615),"",H615)))</f>
        <v>0</v>
      </c>
      <c r="J615" s="53"/>
      <c r="L615" s="4" t="str" cm="1">
        <f t="array" ref="L615">IF(COUNT(FIND({0,1,2,3,4,5,6,7,8,9},B615))&gt;0,COUNT(FIND({0,1,2,3,4,5,6,7,8,9},B615))&gt;0,"")</f>
        <v/>
      </c>
      <c r="M615" s="4" t="str" cm="1">
        <f t="array" aca="1" ref="M615" ca="1">IFERROR(_xlfn.IFS(R615="Count",RANDBETWEEN(1,COUNTIF($R$11:$R$653,"Count")),R615="Length",RANDBETWEEN(1,COUNTIF($R$11:$R$653,"Length"))),"")</f>
        <v/>
      </c>
      <c r="N615" s="4" t="str">
        <f ca="1">IFERROR(_xlfn.RANK.EQ(M615,$M$11:$M$653)+COUNTIF($M$11:M615,M615)-1,"")</f>
        <v/>
      </c>
      <c r="O615" s="86" t="str">
        <f>IF(A615='DATA SHEET'!$L$36,C615,IFERROR(IF(AND(ISTEXT(I615),ISBLANK(C615)),"No details",VLOOKUP(C615,DimFolder,2,FALSE)),""))</f>
        <v/>
      </c>
      <c r="P615" s="4" t="str">
        <f t="shared" si="149"/>
        <v/>
      </c>
      <c r="Q615" s="58" t="str">
        <f t="shared" si="148"/>
        <v/>
      </c>
      <c r="R615" s="4" t="e" cm="1">
        <f t="array" ref="R615">IF(INDEX(Table2[],_xlfn.XMATCH($A615,Table2[Steel Member],0),_xlfn.XMATCH(R$2,Table2[#Headers],0))=0,"",INDEX(Table2[],_xlfn.XMATCH($A615,Table2[Steel Member],0),_xlfn.XMATCH(R$2,Table2[#Headers],0)))</f>
        <v>#N/A</v>
      </c>
      <c r="S615" s="4" t="e" cm="1">
        <f t="array" ref="S615">IF(INDEX(Table2[],_xlfn.XMATCH($A615,Table2[Steel Member],0),_xlfn.XMATCH(S$2,Table2[#Headers],0))=0,"",INDEX(Table2[],_xlfn.XMATCH($A615,Table2[Steel Member],0),_xlfn.XMATCH(S$2,Table2[#Headers],0)))</f>
        <v>#N/A</v>
      </c>
      <c r="T615" s="4" t="str">
        <f t="shared" si="139"/>
        <v/>
      </c>
      <c r="U615" s="4" t="e">
        <f ca="1">VLOOKUP(N615,'COLOR CODE'!$B:$D,2,FALSE)</f>
        <v>#N/A</v>
      </c>
      <c r="V615" s="4" t="str">
        <f t="shared" si="140"/>
        <v/>
      </c>
      <c r="W615" s="4" t="e" cm="1">
        <f t="array" ref="W615">IF(INDEX(Table2[],_xlfn.XMATCH($A615,Table2[Steel Member],0),_xlfn.XMATCH(W$2,Table2[#Headers],0))=0,"",INDEX(Table2[],_xlfn.XMATCH($A615,Table2[Steel Member],0),_xlfn.XMATCH(W$2,Table2[#Headers],0)))</f>
        <v>#N/A</v>
      </c>
      <c r="X615" s="4" t="e">
        <f t="shared" si="150"/>
        <v>#N/A</v>
      </c>
      <c r="Y615" s="4" t="e" cm="1">
        <f t="array" ref="Y615">IF(INDEX(Table2[],_xlfn.XMATCH($A615,Table2[Steel Member],0),_xlfn.XMATCH(Y$2,Table2[#Headers],0))=0,"",INDEX(Table2[],_xlfn.XMATCH($A615,Table2[Steel Member],0),_xlfn.XMATCH(Y$2,Table2[#Headers],0)))</f>
        <v>#N/A</v>
      </c>
      <c r="Z615" s="4" t="e" cm="1">
        <f t="array" ref="Z615">IF(INDEX(Table2[],_xlfn.XMATCH($A615,Table2[Steel Member],0),_xlfn.XMATCH(Z$2,Table2[#Headers],0))=0,"",INDEX(Table2[],_xlfn.XMATCH($A615,Table2[Steel Member],0),_xlfn.XMATCH(Z$2,Table2[#Headers],0)))</f>
        <v>#N/A</v>
      </c>
      <c r="AA615" s="4" t="e" cm="1">
        <f t="array" ref="AA615">IF(INDEX(Table2[],_xlfn.XMATCH($A615,Table2[Steel Member],0),_xlfn.XMATCH(AA$2,Table2[#Headers],0))=0,"",INDEX(Table2[],_xlfn.XMATCH($A615,Table2[Steel Member],0),_xlfn.XMATCH(AA$2,Table2[#Headers],0)))</f>
        <v>#N/A</v>
      </c>
      <c r="AB615" s="4" t="e" cm="1">
        <f t="array" ref="AB615">IF(INDEX(Table2[],_xlfn.XMATCH($A615,Table2[Steel Member],0),_xlfn.XMATCH(AB$2,Table2[#Headers],0))=0,"",INDEX(Table2[],_xlfn.XMATCH($A615,Table2[Steel Member],0),_xlfn.XMATCH(AB$2,Table2[#Headers],0)))</f>
        <v>#N/A</v>
      </c>
      <c r="AC615" s="4" t="str" cm="1">
        <f t="array" ref="AC615">IFERROR(INDEX(Table8[],_xlfn.XMATCH($O615,Table8[Dimension Name Category],0),_xlfn.XMATCH(AC$2&amp;IF($L615," w/ tag"," w/o tag"),Table8[#Headers],0)),"")</f>
        <v/>
      </c>
      <c r="AD615" s="59" t="str">
        <f t="shared" si="141"/>
        <v/>
      </c>
      <c r="AE615" s="4" t="str">
        <f t="shared" si="142"/>
        <v/>
      </c>
      <c r="AF615" s="4" t="str">
        <f t="shared" si="143"/>
        <v/>
      </c>
      <c r="AG615" s="4" t="str" cm="1">
        <f t="array" ref="AG615">IFERROR(INDEX(Table8[],_xlfn.XMATCH($O615,Table8[Dimension Name Category],0),_xlfn.XMATCH(AG$2&amp;IF($L615," w/ tag"," w/o tag"),Table8[#Headers],0)),"")</f>
        <v/>
      </c>
      <c r="AH615" s="59" t="str">
        <f t="shared" si="144"/>
        <v/>
      </c>
      <c r="AI615" s="4"/>
      <c r="AJ615" s="4" t="str">
        <f t="shared" si="145"/>
        <v/>
      </c>
      <c r="AK615" s="4" t="str">
        <f t="shared" si="146"/>
        <v/>
      </c>
      <c r="AL615" s="4" t="e" cm="1">
        <f t="array" ref="AL615">IF(INDEX(Table2[],_xlfn.XMATCH($A615,Table2[Steel Member],0),_xlfn.XMATCH(AL$2,Table2[#Headers],0))=0,"",INDEX(Table2[],_xlfn.XMATCH($A615,Table2[Steel Member],0),_xlfn.XMATCH(AL$2,Table2[#Headers],0)))</f>
        <v>#N/A</v>
      </c>
      <c r="AM615" s="4"/>
      <c r="AN615" s="4" t="str">
        <f t="shared" si="147"/>
        <v/>
      </c>
      <c r="AO615" s="4"/>
      <c r="AP615" s="4" t="e" cm="1">
        <f t="array" ref="AP615">IF(INDEX(Table2[],_xlfn.XMATCH($A615,Table2[Steel Member],0),_xlfn.XMATCH(AP$2,Table2[#Headers],0))=0,"",INDEX(Table2[],_xlfn.XMATCH($A615,Table2[Steel Member],0),_xlfn.XMATCH(AP$2,Table2[#Headers],0)))</f>
        <v>#N/A</v>
      </c>
      <c r="AQ615" s="4"/>
      <c r="AR615" s="4"/>
      <c r="AS615" s="4"/>
      <c r="AT615" s="4"/>
    </row>
    <row r="616" spans="1:46" x14ac:dyDescent="0.25">
      <c r="A616" s="52"/>
      <c r="B616" s="52"/>
      <c r="C616" s="52"/>
      <c r="D616" s="52"/>
      <c r="E616" s="52"/>
      <c r="F616" s="64" cm="1">
        <f t="array" ref="F616">IF(COUNT(FIND(PurlinsxGirthsxBracings,$C616))&gt;0,0,ROUNDUP(IF(D616=0,0,VLOOKUP(D616,'DATA SHEET'!$B:$D,2,FALSE)),2))</f>
        <v>0</v>
      </c>
      <c r="G616" s="64" cm="1">
        <f t="array" ref="G616">IF(COUNT(FIND(PurlinsxGirthsxBracings,$C616))&gt;0,0,ROUNDUP(IF(D616=0,0,VLOOKUP(D616,'DATA SHEET'!$B:$D,3,FALSE)),2))</f>
        <v>0</v>
      </c>
      <c r="H616" s="53"/>
      <c r="I616" s="66" cm="1">
        <f t="array" ref="I616">IF(AND(ISBLANK(B616),ISBLANK(C616),ISBLANK(E616)),0,IF(COUNT(FIND(PurlinsxGirthsxBracings,$C616))&gt;0,IF(B616=0,CONCATENATE(E616," ",C616),CONCATENATE(B616," - ",E616," ",C616)),IF(B616=0,IF(ISBLANK(C616),E616,CONCATENATE(D616,", ",F616,"kg/m, ",G616,"mm surface perimeter")),IF(AND(ISBLANK(C616),ISTEXT(E616)),CONCATENATE(B616," - ",E616),IF(AND(ISBLANK(C616),ISBLANK(E616)),B616,CONCATENATE(B616," - ",D616,", ",F616,"kg/m, ",G616,"mm surface perimeter"))))&amp;IF(ISBLANK(H616),"",H616)))</f>
        <v>0</v>
      </c>
      <c r="J616" s="53"/>
      <c r="L616" s="4" t="str" cm="1">
        <f t="array" ref="L616">IF(COUNT(FIND({0,1,2,3,4,5,6,7,8,9},B616))&gt;0,COUNT(FIND({0,1,2,3,4,5,6,7,8,9},B616))&gt;0,"")</f>
        <v/>
      </c>
      <c r="M616" s="4" t="str" cm="1">
        <f t="array" aca="1" ref="M616" ca="1">IFERROR(_xlfn.IFS(R616="Count",RANDBETWEEN(1,COUNTIF($R$11:$R$653,"Count")),R616="Length",RANDBETWEEN(1,COUNTIF($R$11:$R$653,"Length"))),"")</f>
        <v/>
      </c>
      <c r="N616" s="4" t="str">
        <f ca="1">IFERROR(_xlfn.RANK.EQ(M616,$M$11:$M$653)+COUNTIF($M$11:M616,M616)-1,"")</f>
        <v/>
      </c>
      <c r="O616" s="86" t="str">
        <f>IF(A616='DATA SHEET'!$L$36,C616,IFERROR(IF(AND(ISTEXT(I616),ISBLANK(C616)),"No details",VLOOKUP(C616,DimFolder,2,FALSE)),""))</f>
        <v/>
      </c>
      <c r="P616" s="4" t="str">
        <f t="shared" si="149"/>
        <v/>
      </c>
      <c r="Q616" s="58" t="str">
        <f t="shared" si="148"/>
        <v/>
      </c>
      <c r="R616" s="4" t="e" cm="1">
        <f t="array" ref="R616">IF(INDEX(Table2[],_xlfn.XMATCH($A616,Table2[Steel Member],0),_xlfn.XMATCH(R$2,Table2[#Headers],0))=0,"",INDEX(Table2[],_xlfn.XMATCH($A616,Table2[Steel Member],0),_xlfn.XMATCH(R$2,Table2[#Headers],0)))</f>
        <v>#N/A</v>
      </c>
      <c r="S616" s="4" t="e" cm="1">
        <f t="array" ref="S616">IF(INDEX(Table2[],_xlfn.XMATCH($A616,Table2[Steel Member],0),_xlfn.XMATCH(S$2,Table2[#Headers],0))=0,"",INDEX(Table2[],_xlfn.XMATCH($A616,Table2[Steel Member],0),_xlfn.XMATCH(S$2,Table2[#Headers],0)))</f>
        <v>#N/A</v>
      </c>
      <c r="T616" s="4" t="str">
        <f t="shared" si="139"/>
        <v/>
      </c>
      <c r="U616" s="4" t="e">
        <f ca="1">VLOOKUP(N616,'COLOR CODE'!$B:$D,2,FALSE)</f>
        <v>#N/A</v>
      </c>
      <c r="V616" s="4" t="str">
        <f t="shared" si="140"/>
        <v/>
      </c>
      <c r="W616" s="4" t="e" cm="1">
        <f t="array" ref="W616">IF(INDEX(Table2[],_xlfn.XMATCH($A616,Table2[Steel Member],0),_xlfn.XMATCH(W$2,Table2[#Headers],0))=0,"",INDEX(Table2[],_xlfn.XMATCH($A616,Table2[Steel Member],0),_xlfn.XMATCH(W$2,Table2[#Headers],0)))</f>
        <v>#N/A</v>
      </c>
      <c r="X616" s="4" t="e">
        <f t="shared" si="150"/>
        <v>#N/A</v>
      </c>
      <c r="Y616" s="4" t="e" cm="1">
        <f t="array" ref="Y616">IF(INDEX(Table2[],_xlfn.XMATCH($A616,Table2[Steel Member],0),_xlfn.XMATCH(Y$2,Table2[#Headers],0))=0,"",INDEX(Table2[],_xlfn.XMATCH($A616,Table2[Steel Member],0),_xlfn.XMATCH(Y$2,Table2[#Headers],0)))</f>
        <v>#N/A</v>
      </c>
      <c r="Z616" s="4" t="e" cm="1">
        <f t="array" ref="Z616">IF(INDEX(Table2[],_xlfn.XMATCH($A616,Table2[Steel Member],0),_xlfn.XMATCH(Z$2,Table2[#Headers],0))=0,"",INDEX(Table2[],_xlfn.XMATCH($A616,Table2[Steel Member],0),_xlfn.XMATCH(Z$2,Table2[#Headers],0)))</f>
        <v>#N/A</v>
      </c>
      <c r="AA616" s="4" t="e" cm="1">
        <f t="array" ref="AA616">IF(INDEX(Table2[],_xlfn.XMATCH($A616,Table2[Steel Member],0),_xlfn.XMATCH(AA$2,Table2[#Headers],0))=0,"",INDEX(Table2[],_xlfn.XMATCH($A616,Table2[Steel Member],0),_xlfn.XMATCH(AA$2,Table2[#Headers],0)))</f>
        <v>#N/A</v>
      </c>
      <c r="AB616" s="4" t="e" cm="1">
        <f t="array" ref="AB616">IF(INDEX(Table2[],_xlfn.XMATCH($A616,Table2[Steel Member],0),_xlfn.XMATCH(AB$2,Table2[#Headers],0))=0,"",INDEX(Table2[],_xlfn.XMATCH($A616,Table2[Steel Member],0),_xlfn.XMATCH(AB$2,Table2[#Headers],0)))</f>
        <v>#N/A</v>
      </c>
      <c r="AC616" s="4" t="str" cm="1">
        <f t="array" ref="AC616">IFERROR(INDEX(Table8[],_xlfn.XMATCH($O616,Table8[Dimension Name Category],0),_xlfn.XMATCH(AC$2&amp;IF($L616," w/ tag"," w/o tag"),Table8[#Headers],0)),"")</f>
        <v/>
      </c>
      <c r="AD616" s="59" t="str">
        <f t="shared" si="141"/>
        <v/>
      </c>
      <c r="AE616" s="4" t="str">
        <f t="shared" si="142"/>
        <v/>
      </c>
      <c r="AF616" s="4" t="str">
        <f t="shared" si="143"/>
        <v/>
      </c>
      <c r="AG616" s="4" t="str" cm="1">
        <f t="array" ref="AG616">IFERROR(INDEX(Table8[],_xlfn.XMATCH($O616,Table8[Dimension Name Category],0),_xlfn.XMATCH(AG$2&amp;IF($L616," w/ tag"," w/o tag"),Table8[#Headers],0)),"")</f>
        <v/>
      </c>
      <c r="AH616" s="59" t="str">
        <f t="shared" si="144"/>
        <v/>
      </c>
      <c r="AI616" s="4"/>
      <c r="AJ616" s="4" t="str">
        <f t="shared" si="145"/>
        <v/>
      </c>
      <c r="AK616" s="4" t="str">
        <f t="shared" si="146"/>
        <v/>
      </c>
      <c r="AL616" s="4" t="e" cm="1">
        <f t="array" ref="AL616">IF(INDEX(Table2[],_xlfn.XMATCH($A616,Table2[Steel Member],0),_xlfn.XMATCH(AL$2,Table2[#Headers],0))=0,"",INDEX(Table2[],_xlfn.XMATCH($A616,Table2[Steel Member],0),_xlfn.XMATCH(AL$2,Table2[#Headers],0)))</f>
        <v>#N/A</v>
      </c>
      <c r="AM616" s="4"/>
      <c r="AN616" s="4" t="str">
        <f t="shared" si="147"/>
        <v/>
      </c>
      <c r="AO616" s="4"/>
      <c r="AP616" s="4" t="e" cm="1">
        <f t="array" ref="AP616">IF(INDEX(Table2[],_xlfn.XMATCH($A616,Table2[Steel Member],0),_xlfn.XMATCH(AP$2,Table2[#Headers],0))=0,"",INDEX(Table2[],_xlfn.XMATCH($A616,Table2[Steel Member],0),_xlfn.XMATCH(AP$2,Table2[#Headers],0)))</f>
        <v>#N/A</v>
      </c>
      <c r="AQ616" s="4"/>
      <c r="AR616" s="4"/>
      <c r="AS616" s="4"/>
      <c r="AT616" s="4"/>
    </row>
    <row r="617" spans="1:46" x14ac:dyDescent="0.25">
      <c r="A617" s="52"/>
      <c r="B617" s="52"/>
      <c r="C617" s="52"/>
      <c r="D617" s="52"/>
      <c r="E617" s="52"/>
      <c r="F617" s="64" cm="1">
        <f t="array" ref="F617">IF(COUNT(FIND(PurlinsxGirthsxBracings,$C617))&gt;0,0,ROUNDUP(IF(D617=0,0,VLOOKUP(D617,'DATA SHEET'!$B:$D,2,FALSE)),2))</f>
        <v>0</v>
      </c>
      <c r="G617" s="64" cm="1">
        <f t="array" ref="G617">IF(COUNT(FIND(PurlinsxGirthsxBracings,$C617))&gt;0,0,ROUNDUP(IF(D617=0,0,VLOOKUP(D617,'DATA SHEET'!$B:$D,3,FALSE)),2))</f>
        <v>0</v>
      </c>
      <c r="H617" s="53"/>
      <c r="I617" s="66" cm="1">
        <f t="array" ref="I617">IF(AND(ISBLANK(B617),ISBLANK(C617),ISBLANK(E617)),0,IF(COUNT(FIND(PurlinsxGirthsxBracings,$C617))&gt;0,IF(B617=0,CONCATENATE(E617," ",C617),CONCATENATE(B617," - ",E617," ",C617)),IF(B617=0,IF(ISBLANK(C617),E617,CONCATENATE(D617,", ",F617,"kg/m, ",G617,"mm surface perimeter")),IF(AND(ISBLANK(C617),ISTEXT(E617)),CONCATENATE(B617," - ",E617),IF(AND(ISBLANK(C617),ISBLANK(E617)),B617,CONCATENATE(B617," - ",D617,", ",F617,"kg/m, ",G617,"mm surface perimeter"))))&amp;IF(ISBLANK(H617),"",H617)))</f>
        <v>0</v>
      </c>
      <c r="J617" s="53"/>
      <c r="L617" s="4" t="str" cm="1">
        <f t="array" ref="L617">IF(COUNT(FIND({0,1,2,3,4,5,6,7,8,9},B617))&gt;0,COUNT(FIND({0,1,2,3,4,5,6,7,8,9},B617))&gt;0,"")</f>
        <v/>
      </c>
      <c r="M617" s="4" t="str" cm="1">
        <f t="array" aca="1" ref="M617" ca="1">IFERROR(_xlfn.IFS(R617="Count",RANDBETWEEN(1,COUNTIF($R$11:$R$653,"Count")),R617="Length",RANDBETWEEN(1,COUNTIF($R$11:$R$653,"Length"))),"")</f>
        <v/>
      </c>
      <c r="N617" s="4" t="str">
        <f ca="1">IFERROR(_xlfn.RANK.EQ(M617,$M$11:$M$653)+COUNTIF($M$11:M617,M617)-1,"")</f>
        <v/>
      </c>
      <c r="O617" s="86" t="str">
        <f>IF(A617='DATA SHEET'!$L$36,C617,IFERROR(IF(AND(ISTEXT(I617),ISBLANK(C617)),"No details",VLOOKUP(C617,DimFolder,2,FALSE)),""))</f>
        <v/>
      </c>
      <c r="P617" s="4" t="str">
        <f t="shared" si="149"/>
        <v/>
      </c>
      <c r="Q617" s="58" t="str">
        <f t="shared" si="148"/>
        <v/>
      </c>
      <c r="R617" s="4" t="e" cm="1">
        <f t="array" ref="R617">IF(INDEX(Table2[],_xlfn.XMATCH($A617,Table2[Steel Member],0),_xlfn.XMATCH(R$2,Table2[#Headers],0))=0,"",INDEX(Table2[],_xlfn.XMATCH($A617,Table2[Steel Member],0),_xlfn.XMATCH(R$2,Table2[#Headers],0)))</f>
        <v>#N/A</v>
      </c>
      <c r="S617" s="4" t="e" cm="1">
        <f t="array" ref="S617">IF(INDEX(Table2[],_xlfn.XMATCH($A617,Table2[Steel Member],0),_xlfn.XMATCH(S$2,Table2[#Headers],0))=0,"",INDEX(Table2[],_xlfn.XMATCH($A617,Table2[Steel Member],0),_xlfn.XMATCH(S$2,Table2[#Headers],0)))</f>
        <v>#N/A</v>
      </c>
      <c r="T617" s="4" t="str">
        <f t="shared" si="139"/>
        <v/>
      </c>
      <c r="U617" s="4" t="e">
        <f ca="1">VLOOKUP(N617,'COLOR CODE'!$B:$D,2,FALSE)</f>
        <v>#N/A</v>
      </c>
      <c r="V617" s="4" t="str">
        <f t="shared" si="140"/>
        <v/>
      </c>
      <c r="W617" s="4" t="e" cm="1">
        <f t="array" ref="W617">IF(INDEX(Table2[],_xlfn.XMATCH($A617,Table2[Steel Member],0),_xlfn.XMATCH(W$2,Table2[#Headers],0))=0,"",INDEX(Table2[],_xlfn.XMATCH($A617,Table2[Steel Member],0),_xlfn.XMATCH(W$2,Table2[#Headers],0)))</f>
        <v>#N/A</v>
      </c>
      <c r="X617" s="4" t="e">
        <f t="shared" si="150"/>
        <v>#N/A</v>
      </c>
      <c r="Y617" s="4" t="e" cm="1">
        <f t="array" ref="Y617">IF(INDEX(Table2[],_xlfn.XMATCH($A617,Table2[Steel Member],0),_xlfn.XMATCH(Y$2,Table2[#Headers],0))=0,"",INDEX(Table2[],_xlfn.XMATCH($A617,Table2[Steel Member],0),_xlfn.XMATCH(Y$2,Table2[#Headers],0)))</f>
        <v>#N/A</v>
      </c>
      <c r="Z617" s="4" t="e" cm="1">
        <f t="array" ref="Z617">IF(INDEX(Table2[],_xlfn.XMATCH($A617,Table2[Steel Member],0),_xlfn.XMATCH(Z$2,Table2[#Headers],0))=0,"",INDEX(Table2[],_xlfn.XMATCH($A617,Table2[Steel Member],0),_xlfn.XMATCH(Z$2,Table2[#Headers],0)))</f>
        <v>#N/A</v>
      </c>
      <c r="AA617" s="4" t="e" cm="1">
        <f t="array" ref="AA617">IF(INDEX(Table2[],_xlfn.XMATCH($A617,Table2[Steel Member],0),_xlfn.XMATCH(AA$2,Table2[#Headers],0))=0,"",INDEX(Table2[],_xlfn.XMATCH($A617,Table2[Steel Member],0),_xlfn.XMATCH(AA$2,Table2[#Headers],0)))</f>
        <v>#N/A</v>
      </c>
      <c r="AB617" s="4" t="e" cm="1">
        <f t="array" ref="AB617">IF(INDEX(Table2[],_xlfn.XMATCH($A617,Table2[Steel Member],0),_xlfn.XMATCH(AB$2,Table2[#Headers],0))=0,"",INDEX(Table2[],_xlfn.XMATCH($A617,Table2[Steel Member],0),_xlfn.XMATCH(AB$2,Table2[#Headers],0)))</f>
        <v>#N/A</v>
      </c>
      <c r="AC617" s="4" t="str" cm="1">
        <f t="array" ref="AC617">IFERROR(INDEX(Table8[],_xlfn.XMATCH($O617,Table8[Dimension Name Category],0),_xlfn.XMATCH(AC$2&amp;IF($L617," w/ tag"," w/o tag"),Table8[#Headers],0)),"")</f>
        <v/>
      </c>
      <c r="AD617" s="59" t="str">
        <f t="shared" si="141"/>
        <v/>
      </c>
      <c r="AE617" s="4" t="str">
        <f t="shared" si="142"/>
        <v/>
      </c>
      <c r="AF617" s="4" t="str">
        <f t="shared" si="143"/>
        <v/>
      </c>
      <c r="AG617" s="4" t="str" cm="1">
        <f t="array" ref="AG617">IFERROR(INDEX(Table8[],_xlfn.XMATCH($O617,Table8[Dimension Name Category],0),_xlfn.XMATCH(AG$2&amp;IF($L617," w/ tag"," w/o tag"),Table8[#Headers],0)),"")</f>
        <v/>
      </c>
      <c r="AH617" s="59" t="str">
        <f t="shared" si="144"/>
        <v/>
      </c>
      <c r="AI617" s="4"/>
      <c r="AJ617" s="4" t="str">
        <f t="shared" si="145"/>
        <v/>
      </c>
      <c r="AK617" s="4" t="str">
        <f t="shared" si="146"/>
        <v/>
      </c>
      <c r="AL617" s="4" t="e" cm="1">
        <f t="array" ref="AL617">IF(INDEX(Table2[],_xlfn.XMATCH($A617,Table2[Steel Member],0),_xlfn.XMATCH(AL$2,Table2[#Headers],0))=0,"",INDEX(Table2[],_xlfn.XMATCH($A617,Table2[Steel Member],0),_xlfn.XMATCH(AL$2,Table2[#Headers],0)))</f>
        <v>#N/A</v>
      </c>
      <c r="AM617" s="4"/>
      <c r="AN617" s="4" t="str">
        <f t="shared" si="147"/>
        <v/>
      </c>
      <c r="AO617" s="4"/>
      <c r="AP617" s="4" t="e" cm="1">
        <f t="array" ref="AP617">IF(INDEX(Table2[],_xlfn.XMATCH($A617,Table2[Steel Member],0),_xlfn.XMATCH(AP$2,Table2[#Headers],0))=0,"",INDEX(Table2[],_xlfn.XMATCH($A617,Table2[Steel Member],0),_xlfn.XMATCH(AP$2,Table2[#Headers],0)))</f>
        <v>#N/A</v>
      </c>
      <c r="AQ617" s="4"/>
      <c r="AR617" s="4"/>
      <c r="AS617" s="4"/>
      <c r="AT617" s="4"/>
    </row>
    <row r="618" spans="1:46" x14ac:dyDescent="0.25">
      <c r="A618" s="52"/>
      <c r="B618" s="52"/>
      <c r="C618" s="52"/>
      <c r="D618" s="52"/>
      <c r="E618" s="52"/>
      <c r="F618" s="64" cm="1">
        <f t="array" ref="F618">IF(COUNT(FIND(PurlinsxGirthsxBracings,$C618))&gt;0,0,ROUNDUP(IF(D618=0,0,VLOOKUP(D618,'DATA SHEET'!$B:$D,2,FALSE)),2))</f>
        <v>0</v>
      </c>
      <c r="G618" s="64" cm="1">
        <f t="array" ref="G618">IF(COUNT(FIND(PurlinsxGirthsxBracings,$C618))&gt;0,0,ROUNDUP(IF(D618=0,0,VLOOKUP(D618,'DATA SHEET'!$B:$D,3,FALSE)),2))</f>
        <v>0</v>
      </c>
      <c r="H618" s="53"/>
      <c r="I618" s="66" cm="1">
        <f t="array" ref="I618">IF(AND(ISBLANK(B618),ISBLANK(C618),ISBLANK(E618)),0,IF(COUNT(FIND(PurlinsxGirthsxBracings,$C618))&gt;0,IF(B618=0,CONCATENATE(E618," ",C618),CONCATENATE(B618," - ",E618," ",C618)),IF(B618=0,IF(ISBLANK(C618),E618,CONCATENATE(D618,", ",F618,"kg/m, ",G618,"mm surface perimeter")),IF(AND(ISBLANK(C618),ISTEXT(E618)),CONCATENATE(B618," - ",E618),IF(AND(ISBLANK(C618),ISBLANK(E618)),B618,CONCATENATE(B618," - ",D618,", ",F618,"kg/m, ",G618,"mm surface perimeter"))))&amp;IF(ISBLANK(H618),"",H618)))</f>
        <v>0</v>
      </c>
      <c r="J618" s="53"/>
      <c r="L618" s="4" t="str" cm="1">
        <f t="array" ref="L618">IF(COUNT(FIND({0,1,2,3,4,5,6,7,8,9},B618))&gt;0,COUNT(FIND({0,1,2,3,4,5,6,7,8,9},B618))&gt;0,"")</f>
        <v/>
      </c>
      <c r="M618" s="4" t="str" cm="1">
        <f t="array" aca="1" ref="M618" ca="1">IFERROR(_xlfn.IFS(R618="Count",RANDBETWEEN(1,COUNTIF($R$11:$R$653,"Count")),R618="Length",RANDBETWEEN(1,COUNTIF($R$11:$R$653,"Length"))),"")</f>
        <v/>
      </c>
      <c r="N618" s="4" t="str">
        <f ca="1">IFERROR(_xlfn.RANK.EQ(M618,$M$11:$M$653)+COUNTIF($M$11:M618,M618)-1,"")</f>
        <v/>
      </c>
      <c r="O618" s="86" t="str">
        <f>IF(A618='DATA SHEET'!$L$36,C618,IFERROR(IF(AND(ISTEXT(I618),ISBLANK(C618)),"No details",VLOOKUP(C618,DimFolder,2,FALSE)),""))</f>
        <v/>
      </c>
      <c r="P618" s="4" t="str">
        <f t="shared" si="149"/>
        <v/>
      </c>
      <c r="Q618" s="58" t="str">
        <f t="shared" si="148"/>
        <v/>
      </c>
      <c r="R618" s="4" t="e" cm="1">
        <f t="array" ref="R618">IF(INDEX(Table2[],_xlfn.XMATCH($A618,Table2[Steel Member],0),_xlfn.XMATCH(R$2,Table2[#Headers],0))=0,"",INDEX(Table2[],_xlfn.XMATCH($A618,Table2[Steel Member],0),_xlfn.XMATCH(R$2,Table2[#Headers],0)))</f>
        <v>#N/A</v>
      </c>
      <c r="S618" s="4" t="e" cm="1">
        <f t="array" ref="S618">IF(INDEX(Table2[],_xlfn.XMATCH($A618,Table2[Steel Member],0),_xlfn.XMATCH(S$2,Table2[#Headers],0))=0,"",INDEX(Table2[],_xlfn.XMATCH($A618,Table2[Steel Member],0),_xlfn.XMATCH(S$2,Table2[#Headers],0)))</f>
        <v>#N/A</v>
      </c>
      <c r="T618" s="4" t="str">
        <f t="shared" si="139"/>
        <v/>
      </c>
      <c r="U618" s="4" t="e">
        <f ca="1">VLOOKUP(N618,'COLOR CODE'!$B:$D,2,FALSE)</f>
        <v>#N/A</v>
      </c>
      <c r="V618" s="4" t="str">
        <f t="shared" si="140"/>
        <v/>
      </c>
      <c r="W618" s="4" t="e" cm="1">
        <f t="array" ref="W618">IF(INDEX(Table2[],_xlfn.XMATCH($A618,Table2[Steel Member],0),_xlfn.XMATCH(W$2,Table2[#Headers],0))=0,"",INDEX(Table2[],_xlfn.XMATCH($A618,Table2[Steel Member],0),_xlfn.XMATCH(W$2,Table2[#Headers],0)))</f>
        <v>#N/A</v>
      </c>
      <c r="X618" s="4" t="e">
        <f t="shared" si="150"/>
        <v>#N/A</v>
      </c>
      <c r="Y618" s="4" t="e" cm="1">
        <f t="array" ref="Y618">IF(INDEX(Table2[],_xlfn.XMATCH($A618,Table2[Steel Member],0),_xlfn.XMATCH(Y$2,Table2[#Headers],0))=0,"",INDEX(Table2[],_xlfn.XMATCH($A618,Table2[Steel Member],0),_xlfn.XMATCH(Y$2,Table2[#Headers],0)))</f>
        <v>#N/A</v>
      </c>
      <c r="Z618" s="4" t="e" cm="1">
        <f t="array" ref="Z618">IF(INDEX(Table2[],_xlfn.XMATCH($A618,Table2[Steel Member],0),_xlfn.XMATCH(Z$2,Table2[#Headers],0))=0,"",INDEX(Table2[],_xlfn.XMATCH($A618,Table2[Steel Member],0),_xlfn.XMATCH(Z$2,Table2[#Headers],0)))</f>
        <v>#N/A</v>
      </c>
      <c r="AA618" s="4" t="e" cm="1">
        <f t="array" ref="AA618">IF(INDEX(Table2[],_xlfn.XMATCH($A618,Table2[Steel Member],0),_xlfn.XMATCH(AA$2,Table2[#Headers],0))=0,"",INDEX(Table2[],_xlfn.XMATCH($A618,Table2[Steel Member],0),_xlfn.XMATCH(AA$2,Table2[#Headers],0)))</f>
        <v>#N/A</v>
      </c>
      <c r="AB618" s="4" t="e" cm="1">
        <f t="array" ref="AB618">IF(INDEX(Table2[],_xlfn.XMATCH($A618,Table2[Steel Member],0),_xlfn.XMATCH(AB$2,Table2[#Headers],0))=0,"",INDEX(Table2[],_xlfn.XMATCH($A618,Table2[Steel Member],0),_xlfn.XMATCH(AB$2,Table2[#Headers],0)))</f>
        <v>#N/A</v>
      </c>
      <c r="AC618" s="4" t="str" cm="1">
        <f t="array" ref="AC618">IFERROR(INDEX(Table8[],_xlfn.XMATCH($O618,Table8[Dimension Name Category],0),_xlfn.XMATCH(AC$2&amp;IF($L618," w/ tag"," w/o tag"),Table8[#Headers],0)),"")</f>
        <v/>
      </c>
      <c r="AD618" s="59" t="str">
        <f t="shared" si="141"/>
        <v/>
      </c>
      <c r="AE618" s="4" t="str">
        <f t="shared" si="142"/>
        <v/>
      </c>
      <c r="AF618" s="4" t="str">
        <f t="shared" si="143"/>
        <v/>
      </c>
      <c r="AG618" s="4" t="str" cm="1">
        <f t="array" ref="AG618">IFERROR(INDEX(Table8[],_xlfn.XMATCH($O618,Table8[Dimension Name Category],0),_xlfn.XMATCH(AG$2&amp;IF($L618," w/ tag"," w/o tag"),Table8[#Headers],0)),"")</f>
        <v/>
      </c>
      <c r="AH618" s="59" t="str">
        <f t="shared" si="144"/>
        <v/>
      </c>
      <c r="AI618" s="4"/>
      <c r="AJ618" s="4" t="str">
        <f t="shared" si="145"/>
        <v/>
      </c>
      <c r="AK618" s="4" t="str">
        <f t="shared" si="146"/>
        <v/>
      </c>
      <c r="AL618" s="4" t="e" cm="1">
        <f t="array" ref="AL618">IF(INDEX(Table2[],_xlfn.XMATCH($A618,Table2[Steel Member],0),_xlfn.XMATCH(AL$2,Table2[#Headers],0))=0,"",INDEX(Table2[],_xlfn.XMATCH($A618,Table2[Steel Member],0),_xlfn.XMATCH(AL$2,Table2[#Headers],0)))</f>
        <v>#N/A</v>
      </c>
      <c r="AM618" s="4"/>
      <c r="AN618" s="4" t="str">
        <f t="shared" si="147"/>
        <v/>
      </c>
      <c r="AO618" s="4"/>
      <c r="AP618" s="4" t="e" cm="1">
        <f t="array" ref="AP618">IF(INDEX(Table2[],_xlfn.XMATCH($A618,Table2[Steel Member],0),_xlfn.XMATCH(AP$2,Table2[#Headers],0))=0,"",INDEX(Table2[],_xlfn.XMATCH($A618,Table2[Steel Member],0),_xlfn.XMATCH(AP$2,Table2[#Headers],0)))</f>
        <v>#N/A</v>
      </c>
      <c r="AQ618" s="4"/>
      <c r="AR618" s="4"/>
      <c r="AS618" s="4"/>
      <c r="AT618" s="4"/>
    </row>
    <row r="619" spans="1:46" x14ac:dyDescent="0.25">
      <c r="A619" s="52"/>
      <c r="B619" s="52"/>
      <c r="C619" s="52"/>
      <c r="D619" s="52"/>
      <c r="E619" s="52"/>
      <c r="F619" s="64" cm="1">
        <f t="array" ref="F619">IF(COUNT(FIND(PurlinsxGirthsxBracings,$C619))&gt;0,0,ROUNDUP(IF(D619=0,0,VLOOKUP(D619,'DATA SHEET'!$B:$D,2,FALSE)),2))</f>
        <v>0</v>
      </c>
      <c r="G619" s="64" cm="1">
        <f t="array" ref="G619">IF(COUNT(FIND(PurlinsxGirthsxBracings,$C619))&gt;0,0,ROUNDUP(IF(D619=0,0,VLOOKUP(D619,'DATA SHEET'!$B:$D,3,FALSE)),2))</f>
        <v>0</v>
      </c>
      <c r="H619" s="53"/>
      <c r="I619" s="66" cm="1">
        <f t="array" ref="I619">IF(AND(ISBLANK(B619),ISBLANK(C619),ISBLANK(E619)),0,IF(COUNT(FIND(PurlinsxGirthsxBracings,$C619))&gt;0,IF(B619=0,CONCATENATE(E619," ",C619),CONCATENATE(B619," - ",E619," ",C619)),IF(B619=0,IF(ISBLANK(C619),E619,CONCATENATE(D619,", ",F619,"kg/m, ",G619,"mm surface perimeter")),IF(AND(ISBLANK(C619),ISTEXT(E619)),CONCATENATE(B619," - ",E619),IF(AND(ISBLANK(C619),ISBLANK(E619)),B619,CONCATENATE(B619," - ",D619,", ",F619,"kg/m, ",G619,"mm surface perimeter"))))&amp;IF(ISBLANK(H619),"",H619)))</f>
        <v>0</v>
      </c>
      <c r="J619" s="53"/>
      <c r="L619" s="4" t="str" cm="1">
        <f t="array" ref="L619">IF(COUNT(FIND({0,1,2,3,4,5,6,7,8,9},B619))&gt;0,COUNT(FIND({0,1,2,3,4,5,6,7,8,9},B619))&gt;0,"")</f>
        <v/>
      </c>
      <c r="M619" s="4" t="str" cm="1">
        <f t="array" aca="1" ref="M619" ca="1">IFERROR(_xlfn.IFS(R619="Count",RANDBETWEEN(1,COUNTIF($R$11:$R$653,"Count")),R619="Length",RANDBETWEEN(1,COUNTIF($R$11:$R$653,"Length"))),"")</f>
        <v/>
      </c>
      <c r="N619" s="4" t="str">
        <f ca="1">IFERROR(_xlfn.RANK.EQ(M619,$M$11:$M$653)+COUNTIF($M$11:M619,M619)-1,"")</f>
        <v/>
      </c>
      <c r="O619" s="86" t="str">
        <f>IF(A619='DATA SHEET'!$L$36,C619,IFERROR(IF(AND(ISTEXT(I619),ISBLANK(C619)),"No details",VLOOKUP(C619,DimFolder,2,FALSE)),""))</f>
        <v/>
      </c>
      <c r="P619" s="4" t="str">
        <f t="shared" si="149"/>
        <v/>
      </c>
      <c r="Q619" s="58" t="str">
        <f t="shared" si="148"/>
        <v/>
      </c>
      <c r="R619" s="4" t="e" cm="1">
        <f t="array" ref="R619">IF(INDEX(Table2[],_xlfn.XMATCH($A619,Table2[Steel Member],0),_xlfn.XMATCH(R$2,Table2[#Headers],0))=0,"",INDEX(Table2[],_xlfn.XMATCH($A619,Table2[Steel Member],0),_xlfn.XMATCH(R$2,Table2[#Headers],0)))</f>
        <v>#N/A</v>
      </c>
      <c r="S619" s="4" t="e" cm="1">
        <f t="array" ref="S619">IF(INDEX(Table2[],_xlfn.XMATCH($A619,Table2[Steel Member],0),_xlfn.XMATCH(S$2,Table2[#Headers],0))=0,"",INDEX(Table2[],_xlfn.XMATCH($A619,Table2[Steel Member],0),_xlfn.XMATCH(S$2,Table2[#Headers],0)))</f>
        <v>#N/A</v>
      </c>
      <c r="T619" s="4" t="str">
        <f t="shared" si="139"/>
        <v/>
      </c>
      <c r="U619" s="4" t="e">
        <f ca="1">VLOOKUP(N619,'COLOR CODE'!$B:$D,2,FALSE)</f>
        <v>#N/A</v>
      </c>
      <c r="V619" s="4" t="str">
        <f t="shared" si="140"/>
        <v/>
      </c>
      <c r="W619" s="4" t="e" cm="1">
        <f t="array" ref="W619">IF(INDEX(Table2[],_xlfn.XMATCH($A619,Table2[Steel Member],0),_xlfn.XMATCH(W$2,Table2[#Headers],0))=0,"",INDEX(Table2[],_xlfn.XMATCH($A619,Table2[Steel Member],0),_xlfn.XMATCH(W$2,Table2[#Headers],0)))</f>
        <v>#N/A</v>
      </c>
      <c r="X619" s="4" t="e">
        <f t="shared" si="150"/>
        <v>#N/A</v>
      </c>
      <c r="Y619" s="4" t="e" cm="1">
        <f t="array" ref="Y619">IF(INDEX(Table2[],_xlfn.XMATCH($A619,Table2[Steel Member],0),_xlfn.XMATCH(Y$2,Table2[#Headers],0))=0,"",INDEX(Table2[],_xlfn.XMATCH($A619,Table2[Steel Member],0),_xlfn.XMATCH(Y$2,Table2[#Headers],0)))</f>
        <v>#N/A</v>
      </c>
      <c r="Z619" s="4" t="e" cm="1">
        <f t="array" ref="Z619">IF(INDEX(Table2[],_xlfn.XMATCH($A619,Table2[Steel Member],0),_xlfn.XMATCH(Z$2,Table2[#Headers],0))=0,"",INDEX(Table2[],_xlfn.XMATCH($A619,Table2[Steel Member],0),_xlfn.XMATCH(Z$2,Table2[#Headers],0)))</f>
        <v>#N/A</v>
      </c>
      <c r="AA619" s="4" t="e" cm="1">
        <f t="array" ref="AA619">IF(INDEX(Table2[],_xlfn.XMATCH($A619,Table2[Steel Member],0),_xlfn.XMATCH(AA$2,Table2[#Headers],0))=0,"",INDEX(Table2[],_xlfn.XMATCH($A619,Table2[Steel Member],0),_xlfn.XMATCH(AA$2,Table2[#Headers],0)))</f>
        <v>#N/A</v>
      </c>
      <c r="AB619" s="4" t="e" cm="1">
        <f t="array" ref="AB619">IF(INDEX(Table2[],_xlfn.XMATCH($A619,Table2[Steel Member],0),_xlfn.XMATCH(AB$2,Table2[#Headers],0))=0,"",INDEX(Table2[],_xlfn.XMATCH($A619,Table2[Steel Member],0),_xlfn.XMATCH(AB$2,Table2[#Headers],0)))</f>
        <v>#N/A</v>
      </c>
      <c r="AC619" s="4" t="str" cm="1">
        <f t="array" ref="AC619">IFERROR(INDEX(Table8[],_xlfn.XMATCH($O619,Table8[Dimension Name Category],0),_xlfn.XMATCH(AC$2&amp;IF($L619," w/ tag"," w/o tag"),Table8[#Headers],0)),"")</f>
        <v/>
      </c>
      <c r="AD619" s="59" t="str">
        <f t="shared" si="141"/>
        <v/>
      </c>
      <c r="AE619" s="4" t="str">
        <f t="shared" si="142"/>
        <v/>
      </c>
      <c r="AF619" s="4" t="str">
        <f t="shared" si="143"/>
        <v/>
      </c>
      <c r="AG619" s="4" t="str" cm="1">
        <f t="array" ref="AG619">IFERROR(INDEX(Table8[],_xlfn.XMATCH($O619,Table8[Dimension Name Category],0),_xlfn.XMATCH(AG$2&amp;IF($L619," w/ tag"," w/o tag"),Table8[#Headers],0)),"")</f>
        <v/>
      </c>
      <c r="AH619" s="59" t="str">
        <f t="shared" si="144"/>
        <v/>
      </c>
      <c r="AI619" s="4"/>
      <c r="AJ619" s="4" t="str">
        <f t="shared" si="145"/>
        <v/>
      </c>
      <c r="AK619" s="4" t="str">
        <f t="shared" si="146"/>
        <v/>
      </c>
      <c r="AL619" s="4" t="e" cm="1">
        <f t="array" ref="AL619">IF(INDEX(Table2[],_xlfn.XMATCH($A619,Table2[Steel Member],0),_xlfn.XMATCH(AL$2,Table2[#Headers],0))=0,"",INDEX(Table2[],_xlfn.XMATCH($A619,Table2[Steel Member],0),_xlfn.XMATCH(AL$2,Table2[#Headers],0)))</f>
        <v>#N/A</v>
      </c>
      <c r="AM619" s="4"/>
      <c r="AN619" s="4" t="str">
        <f t="shared" si="147"/>
        <v/>
      </c>
      <c r="AO619" s="4"/>
      <c r="AP619" s="4" t="e" cm="1">
        <f t="array" ref="AP619">IF(INDEX(Table2[],_xlfn.XMATCH($A619,Table2[Steel Member],0),_xlfn.XMATCH(AP$2,Table2[#Headers],0))=0,"",INDEX(Table2[],_xlfn.XMATCH($A619,Table2[Steel Member],0),_xlfn.XMATCH(AP$2,Table2[#Headers],0)))</f>
        <v>#N/A</v>
      </c>
      <c r="AQ619" s="4"/>
      <c r="AR619" s="4"/>
      <c r="AS619" s="4"/>
      <c r="AT619" s="4"/>
    </row>
    <row r="620" spans="1:46" x14ac:dyDescent="0.25">
      <c r="A620" s="52"/>
      <c r="B620" s="52"/>
      <c r="C620" s="52"/>
      <c r="D620" s="52"/>
      <c r="E620" s="52"/>
      <c r="F620" s="64" cm="1">
        <f t="array" ref="F620">IF(COUNT(FIND(PurlinsxGirthsxBracings,$C620))&gt;0,0,ROUNDUP(IF(D620=0,0,VLOOKUP(D620,'DATA SHEET'!$B:$D,2,FALSE)),2))</f>
        <v>0</v>
      </c>
      <c r="G620" s="64" cm="1">
        <f t="array" ref="G620">IF(COUNT(FIND(PurlinsxGirthsxBracings,$C620))&gt;0,0,ROUNDUP(IF(D620=0,0,VLOOKUP(D620,'DATA SHEET'!$B:$D,3,FALSE)),2))</f>
        <v>0</v>
      </c>
      <c r="H620" s="53"/>
      <c r="I620" s="66" cm="1">
        <f t="array" ref="I620">IF(AND(ISBLANK(B620),ISBLANK(C620),ISBLANK(E620)),0,IF(COUNT(FIND(PurlinsxGirthsxBracings,$C620))&gt;0,IF(B620=0,CONCATENATE(E620," ",C620),CONCATENATE(B620," - ",E620," ",C620)),IF(B620=0,IF(ISBLANK(C620),E620,CONCATENATE(D620,", ",F620,"kg/m, ",G620,"mm surface perimeter")),IF(AND(ISBLANK(C620),ISTEXT(E620)),CONCATENATE(B620," - ",E620),IF(AND(ISBLANK(C620),ISBLANK(E620)),B620,CONCATENATE(B620," - ",D620,", ",F620,"kg/m, ",G620,"mm surface perimeter"))))&amp;IF(ISBLANK(H620),"",H620)))</f>
        <v>0</v>
      </c>
      <c r="J620" s="53"/>
      <c r="L620" s="4" t="str" cm="1">
        <f t="array" ref="L620">IF(COUNT(FIND({0,1,2,3,4,5,6,7,8,9},B620))&gt;0,COUNT(FIND({0,1,2,3,4,5,6,7,8,9},B620))&gt;0,"")</f>
        <v/>
      </c>
      <c r="M620" s="4" t="str" cm="1">
        <f t="array" aca="1" ref="M620" ca="1">IFERROR(_xlfn.IFS(R620="Count",RANDBETWEEN(1,COUNTIF($R$11:$R$653,"Count")),R620="Length",RANDBETWEEN(1,COUNTIF($R$11:$R$653,"Length"))),"")</f>
        <v/>
      </c>
      <c r="N620" s="4" t="str">
        <f ca="1">IFERROR(_xlfn.RANK.EQ(M620,$M$11:$M$653)+COUNTIF($M$11:M620,M620)-1,"")</f>
        <v/>
      </c>
      <c r="O620" s="86" t="str">
        <f>IF(A620='DATA SHEET'!$L$36,C620,IFERROR(IF(AND(ISTEXT(I620),ISBLANK(C620)),"No details",VLOOKUP(C620,DimFolder,2,FALSE)),""))</f>
        <v/>
      </c>
      <c r="P620" s="4" t="str">
        <f t="shared" si="149"/>
        <v/>
      </c>
      <c r="Q620" s="58" t="str">
        <f t="shared" si="148"/>
        <v/>
      </c>
      <c r="R620" s="4" t="e" cm="1">
        <f t="array" ref="R620">IF(INDEX(Table2[],_xlfn.XMATCH($A620,Table2[Steel Member],0),_xlfn.XMATCH(R$2,Table2[#Headers],0))=0,"",INDEX(Table2[],_xlfn.XMATCH($A620,Table2[Steel Member],0),_xlfn.XMATCH(R$2,Table2[#Headers],0)))</f>
        <v>#N/A</v>
      </c>
      <c r="S620" s="4" t="e" cm="1">
        <f t="array" ref="S620">IF(INDEX(Table2[],_xlfn.XMATCH($A620,Table2[Steel Member],0),_xlfn.XMATCH(S$2,Table2[#Headers],0))=0,"",INDEX(Table2[],_xlfn.XMATCH($A620,Table2[Steel Member],0),_xlfn.XMATCH(S$2,Table2[#Headers],0)))</f>
        <v>#N/A</v>
      </c>
      <c r="T620" s="4" t="str">
        <f t="shared" si="139"/>
        <v/>
      </c>
      <c r="U620" s="4" t="e">
        <f ca="1">VLOOKUP(N620,'COLOR CODE'!$B:$D,2,FALSE)</f>
        <v>#N/A</v>
      </c>
      <c r="V620" s="4" t="str">
        <f t="shared" si="140"/>
        <v/>
      </c>
      <c r="W620" s="4" t="e" cm="1">
        <f t="array" ref="W620">IF(INDEX(Table2[],_xlfn.XMATCH($A620,Table2[Steel Member],0),_xlfn.XMATCH(W$2,Table2[#Headers],0))=0,"",INDEX(Table2[],_xlfn.XMATCH($A620,Table2[Steel Member],0),_xlfn.XMATCH(W$2,Table2[#Headers],0)))</f>
        <v>#N/A</v>
      </c>
      <c r="X620" s="4" t="e">
        <f t="shared" si="150"/>
        <v>#N/A</v>
      </c>
      <c r="Y620" s="4" t="e" cm="1">
        <f t="array" ref="Y620">IF(INDEX(Table2[],_xlfn.XMATCH($A620,Table2[Steel Member],0),_xlfn.XMATCH(Y$2,Table2[#Headers],0))=0,"",INDEX(Table2[],_xlfn.XMATCH($A620,Table2[Steel Member],0),_xlfn.XMATCH(Y$2,Table2[#Headers],0)))</f>
        <v>#N/A</v>
      </c>
      <c r="Z620" s="4" t="e" cm="1">
        <f t="array" ref="Z620">IF(INDEX(Table2[],_xlfn.XMATCH($A620,Table2[Steel Member],0),_xlfn.XMATCH(Z$2,Table2[#Headers],0))=0,"",INDEX(Table2[],_xlfn.XMATCH($A620,Table2[Steel Member],0),_xlfn.XMATCH(Z$2,Table2[#Headers],0)))</f>
        <v>#N/A</v>
      </c>
      <c r="AA620" s="4" t="e" cm="1">
        <f t="array" ref="AA620">IF(INDEX(Table2[],_xlfn.XMATCH($A620,Table2[Steel Member],0),_xlfn.XMATCH(AA$2,Table2[#Headers],0))=0,"",INDEX(Table2[],_xlfn.XMATCH($A620,Table2[Steel Member],0),_xlfn.XMATCH(AA$2,Table2[#Headers],0)))</f>
        <v>#N/A</v>
      </c>
      <c r="AB620" s="4" t="e" cm="1">
        <f t="array" ref="AB620">IF(INDEX(Table2[],_xlfn.XMATCH($A620,Table2[Steel Member],0),_xlfn.XMATCH(AB$2,Table2[#Headers],0))=0,"",INDEX(Table2[],_xlfn.XMATCH($A620,Table2[Steel Member],0),_xlfn.XMATCH(AB$2,Table2[#Headers],0)))</f>
        <v>#N/A</v>
      </c>
      <c r="AC620" s="4" t="str" cm="1">
        <f t="array" ref="AC620">IFERROR(INDEX(Table8[],_xlfn.XMATCH($O620,Table8[Dimension Name Category],0),_xlfn.XMATCH(AC$2&amp;IF($L620," w/ tag"," w/o tag"),Table8[#Headers],0)),"")</f>
        <v/>
      </c>
      <c r="AD620" s="59" t="str">
        <f t="shared" si="141"/>
        <v/>
      </c>
      <c r="AE620" s="4" t="str">
        <f t="shared" si="142"/>
        <v/>
      </c>
      <c r="AF620" s="4" t="str">
        <f t="shared" si="143"/>
        <v/>
      </c>
      <c r="AG620" s="4" t="str" cm="1">
        <f t="array" ref="AG620">IFERROR(INDEX(Table8[],_xlfn.XMATCH($O620,Table8[Dimension Name Category],0),_xlfn.XMATCH(AG$2&amp;IF($L620," w/ tag"," w/o tag"),Table8[#Headers],0)),"")</f>
        <v/>
      </c>
      <c r="AH620" s="59" t="str">
        <f t="shared" si="144"/>
        <v/>
      </c>
      <c r="AI620" s="4"/>
      <c r="AJ620" s="4" t="str">
        <f t="shared" si="145"/>
        <v/>
      </c>
      <c r="AK620" s="4" t="str">
        <f t="shared" si="146"/>
        <v/>
      </c>
      <c r="AL620" s="4" t="e" cm="1">
        <f t="array" ref="AL620">IF(INDEX(Table2[],_xlfn.XMATCH($A620,Table2[Steel Member],0),_xlfn.XMATCH(AL$2,Table2[#Headers],0))=0,"",INDEX(Table2[],_xlfn.XMATCH($A620,Table2[Steel Member],0),_xlfn.XMATCH(AL$2,Table2[#Headers],0)))</f>
        <v>#N/A</v>
      </c>
      <c r="AM620" s="4"/>
      <c r="AN620" s="4" t="str">
        <f t="shared" si="147"/>
        <v/>
      </c>
      <c r="AO620" s="4"/>
      <c r="AP620" s="4" t="e" cm="1">
        <f t="array" ref="AP620">IF(INDEX(Table2[],_xlfn.XMATCH($A620,Table2[Steel Member],0),_xlfn.XMATCH(AP$2,Table2[#Headers],0))=0,"",INDEX(Table2[],_xlfn.XMATCH($A620,Table2[Steel Member],0),_xlfn.XMATCH(AP$2,Table2[#Headers],0)))</f>
        <v>#N/A</v>
      </c>
      <c r="AQ620" s="4"/>
      <c r="AR620" s="4"/>
      <c r="AS620" s="4"/>
      <c r="AT620" s="4"/>
    </row>
    <row r="621" spans="1:46" x14ac:dyDescent="0.25">
      <c r="A621" s="52"/>
      <c r="B621" s="52"/>
      <c r="C621" s="52"/>
      <c r="D621" s="52"/>
      <c r="E621" s="52"/>
      <c r="F621" s="64" cm="1">
        <f t="array" ref="F621">IF(COUNT(FIND(PurlinsxGirthsxBracings,$C621))&gt;0,0,ROUNDUP(IF(D621=0,0,VLOOKUP(D621,'DATA SHEET'!$B:$D,2,FALSE)),2))</f>
        <v>0</v>
      </c>
      <c r="G621" s="64" cm="1">
        <f t="array" ref="G621">IF(COUNT(FIND(PurlinsxGirthsxBracings,$C621))&gt;0,0,ROUNDUP(IF(D621=0,0,VLOOKUP(D621,'DATA SHEET'!$B:$D,3,FALSE)),2))</f>
        <v>0</v>
      </c>
      <c r="H621" s="53"/>
      <c r="I621" s="66" cm="1">
        <f t="array" ref="I621">IF(AND(ISBLANK(B621),ISBLANK(C621),ISBLANK(E621)),0,IF(COUNT(FIND(PurlinsxGirthsxBracings,$C621))&gt;0,IF(B621=0,CONCATENATE(E621," ",C621),CONCATENATE(B621," - ",E621," ",C621)),IF(B621=0,IF(ISBLANK(C621),E621,CONCATENATE(D621,", ",F621,"kg/m, ",G621,"mm surface perimeter")),IF(AND(ISBLANK(C621),ISTEXT(E621)),CONCATENATE(B621," - ",E621),IF(AND(ISBLANK(C621),ISBLANK(E621)),B621,CONCATENATE(B621," - ",D621,", ",F621,"kg/m, ",G621,"mm surface perimeter"))))&amp;IF(ISBLANK(H621),"",H621)))</f>
        <v>0</v>
      </c>
      <c r="J621" s="53"/>
      <c r="L621" s="4" t="str" cm="1">
        <f t="array" ref="L621">IF(COUNT(FIND({0,1,2,3,4,5,6,7,8,9},B621))&gt;0,COUNT(FIND({0,1,2,3,4,5,6,7,8,9},B621))&gt;0,"")</f>
        <v/>
      </c>
      <c r="M621" s="4" t="str" cm="1">
        <f t="array" aca="1" ref="M621" ca="1">IFERROR(_xlfn.IFS(R621="Count",RANDBETWEEN(1,COUNTIF($R$11:$R$653,"Count")),R621="Length",RANDBETWEEN(1,COUNTIF($R$11:$R$653,"Length"))),"")</f>
        <v/>
      </c>
      <c r="N621" s="4" t="str">
        <f ca="1">IFERROR(_xlfn.RANK.EQ(M621,$M$11:$M$653)+COUNTIF($M$11:M621,M621)-1,"")</f>
        <v/>
      </c>
      <c r="O621" s="86" t="str">
        <f>IF(A621='DATA SHEET'!$L$36,C621,IFERROR(IF(AND(ISTEXT(I621),ISBLANK(C621)),"No details",VLOOKUP(C621,DimFolder,2,FALSE)),""))</f>
        <v/>
      </c>
      <c r="P621" s="4" t="str">
        <f t="shared" si="149"/>
        <v/>
      </c>
      <c r="Q621" s="58" t="str">
        <f t="shared" si="148"/>
        <v/>
      </c>
      <c r="R621" s="4" t="e" cm="1">
        <f t="array" ref="R621">IF(INDEX(Table2[],_xlfn.XMATCH($A621,Table2[Steel Member],0),_xlfn.XMATCH(R$2,Table2[#Headers],0))=0,"",INDEX(Table2[],_xlfn.XMATCH($A621,Table2[Steel Member],0),_xlfn.XMATCH(R$2,Table2[#Headers],0)))</f>
        <v>#N/A</v>
      </c>
      <c r="S621" s="4" t="e" cm="1">
        <f t="array" ref="S621">IF(INDEX(Table2[],_xlfn.XMATCH($A621,Table2[Steel Member],0),_xlfn.XMATCH(S$2,Table2[#Headers],0))=0,"",INDEX(Table2[],_xlfn.XMATCH($A621,Table2[Steel Member],0),_xlfn.XMATCH(S$2,Table2[#Headers],0)))</f>
        <v>#N/A</v>
      </c>
      <c r="T621" s="4" t="str">
        <f t="shared" si="139"/>
        <v/>
      </c>
      <c r="U621" s="4" t="e">
        <f ca="1">VLOOKUP(N621,'COLOR CODE'!$B:$D,2,FALSE)</f>
        <v>#N/A</v>
      </c>
      <c r="V621" s="4" t="str">
        <f t="shared" si="140"/>
        <v/>
      </c>
      <c r="W621" s="4" t="e" cm="1">
        <f t="array" ref="W621">IF(INDEX(Table2[],_xlfn.XMATCH($A621,Table2[Steel Member],0),_xlfn.XMATCH(W$2,Table2[#Headers],0))=0,"",INDEX(Table2[],_xlfn.XMATCH($A621,Table2[Steel Member],0),_xlfn.XMATCH(W$2,Table2[#Headers],0)))</f>
        <v>#N/A</v>
      </c>
      <c r="X621" s="4" t="e">
        <f t="shared" si="150"/>
        <v>#N/A</v>
      </c>
      <c r="Y621" s="4" t="e" cm="1">
        <f t="array" ref="Y621">IF(INDEX(Table2[],_xlfn.XMATCH($A621,Table2[Steel Member],0),_xlfn.XMATCH(Y$2,Table2[#Headers],0))=0,"",INDEX(Table2[],_xlfn.XMATCH($A621,Table2[Steel Member],0),_xlfn.XMATCH(Y$2,Table2[#Headers],0)))</f>
        <v>#N/A</v>
      </c>
      <c r="Z621" s="4" t="e" cm="1">
        <f t="array" ref="Z621">IF(INDEX(Table2[],_xlfn.XMATCH($A621,Table2[Steel Member],0),_xlfn.XMATCH(Z$2,Table2[#Headers],0))=0,"",INDEX(Table2[],_xlfn.XMATCH($A621,Table2[Steel Member],0),_xlfn.XMATCH(Z$2,Table2[#Headers],0)))</f>
        <v>#N/A</v>
      </c>
      <c r="AA621" s="4" t="e" cm="1">
        <f t="array" ref="AA621">IF(INDEX(Table2[],_xlfn.XMATCH($A621,Table2[Steel Member],0),_xlfn.XMATCH(AA$2,Table2[#Headers],0))=0,"",INDEX(Table2[],_xlfn.XMATCH($A621,Table2[Steel Member],0),_xlfn.XMATCH(AA$2,Table2[#Headers],0)))</f>
        <v>#N/A</v>
      </c>
      <c r="AB621" s="4" t="e" cm="1">
        <f t="array" ref="AB621">IF(INDEX(Table2[],_xlfn.XMATCH($A621,Table2[Steel Member],0),_xlfn.XMATCH(AB$2,Table2[#Headers],0))=0,"",INDEX(Table2[],_xlfn.XMATCH($A621,Table2[Steel Member],0),_xlfn.XMATCH(AB$2,Table2[#Headers],0)))</f>
        <v>#N/A</v>
      </c>
      <c r="AC621" s="4" t="str" cm="1">
        <f t="array" ref="AC621">IFERROR(INDEX(Table8[],_xlfn.XMATCH($O621,Table8[Dimension Name Category],0),_xlfn.XMATCH(AC$2&amp;IF($L621," w/ tag"," w/o tag"),Table8[#Headers],0)),"")</f>
        <v/>
      </c>
      <c r="AD621" s="59" t="str">
        <f t="shared" si="141"/>
        <v/>
      </c>
      <c r="AE621" s="4" t="str">
        <f t="shared" si="142"/>
        <v/>
      </c>
      <c r="AF621" s="4" t="str">
        <f t="shared" si="143"/>
        <v/>
      </c>
      <c r="AG621" s="4" t="str" cm="1">
        <f t="array" ref="AG621">IFERROR(INDEX(Table8[],_xlfn.XMATCH($O621,Table8[Dimension Name Category],0),_xlfn.XMATCH(AG$2&amp;IF($L621," w/ tag"," w/o tag"),Table8[#Headers],0)),"")</f>
        <v/>
      </c>
      <c r="AH621" s="59" t="str">
        <f t="shared" si="144"/>
        <v/>
      </c>
      <c r="AI621" s="4"/>
      <c r="AJ621" s="4" t="str">
        <f t="shared" si="145"/>
        <v/>
      </c>
      <c r="AK621" s="4" t="str">
        <f t="shared" si="146"/>
        <v/>
      </c>
      <c r="AL621" s="4" t="e" cm="1">
        <f t="array" ref="AL621">IF(INDEX(Table2[],_xlfn.XMATCH($A621,Table2[Steel Member],0),_xlfn.XMATCH(AL$2,Table2[#Headers],0))=0,"",INDEX(Table2[],_xlfn.XMATCH($A621,Table2[Steel Member],0),_xlfn.XMATCH(AL$2,Table2[#Headers],0)))</f>
        <v>#N/A</v>
      </c>
      <c r="AM621" s="4"/>
      <c r="AN621" s="4" t="str">
        <f t="shared" si="147"/>
        <v/>
      </c>
      <c r="AO621" s="4"/>
      <c r="AP621" s="4" t="e" cm="1">
        <f t="array" ref="AP621">IF(INDEX(Table2[],_xlfn.XMATCH($A621,Table2[Steel Member],0),_xlfn.XMATCH(AP$2,Table2[#Headers],0))=0,"",INDEX(Table2[],_xlfn.XMATCH($A621,Table2[Steel Member],0),_xlfn.XMATCH(AP$2,Table2[#Headers],0)))</f>
        <v>#N/A</v>
      </c>
      <c r="AQ621" s="4"/>
      <c r="AR621" s="4"/>
      <c r="AS621" s="4"/>
      <c r="AT621" s="4"/>
    </row>
    <row r="622" spans="1:46" x14ac:dyDescent="0.25">
      <c r="A622" s="52"/>
      <c r="B622" s="52"/>
      <c r="C622" s="52"/>
      <c r="D622" s="52"/>
      <c r="E622" s="52"/>
      <c r="F622" s="64" cm="1">
        <f t="array" ref="F622">IF(COUNT(FIND(PurlinsxGirthsxBracings,$C622))&gt;0,0,ROUNDUP(IF(D622=0,0,VLOOKUP(D622,'DATA SHEET'!$B:$D,2,FALSE)),2))</f>
        <v>0</v>
      </c>
      <c r="G622" s="64" cm="1">
        <f t="array" ref="G622">IF(COUNT(FIND(PurlinsxGirthsxBracings,$C622))&gt;0,0,ROUNDUP(IF(D622=0,0,VLOOKUP(D622,'DATA SHEET'!$B:$D,3,FALSE)),2))</f>
        <v>0</v>
      </c>
      <c r="H622" s="53"/>
      <c r="I622" s="66" cm="1">
        <f t="array" ref="I622">IF(AND(ISBLANK(B622),ISBLANK(C622),ISBLANK(E622)),0,IF(COUNT(FIND(PurlinsxGirthsxBracings,$C622))&gt;0,IF(B622=0,CONCATENATE(E622," ",C622),CONCATENATE(B622," - ",E622," ",C622)),IF(B622=0,IF(ISBLANK(C622),E622,CONCATENATE(D622,", ",F622,"kg/m, ",G622,"mm surface perimeter")),IF(AND(ISBLANK(C622),ISTEXT(E622)),CONCATENATE(B622," - ",E622),IF(AND(ISBLANK(C622),ISBLANK(E622)),B622,CONCATENATE(B622," - ",D622,", ",F622,"kg/m, ",G622,"mm surface perimeter"))))&amp;IF(ISBLANK(H622),"",H622)))</f>
        <v>0</v>
      </c>
      <c r="J622" s="53"/>
      <c r="L622" s="4" t="str" cm="1">
        <f t="array" ref="L622">IF(COUNT(FIND({0,1,2,3,4,5,6,7,8,9},B622))&gt;0,COUNT(FIND({0,1,2,3,4,5,6,7,8,9},B622))&gt;0,"")</f>
        <v/>
      </c>
      <c r="M622" s="4" t="str" cm="1">
        <f t="array" aca="1" ref="M622" ca="1">IFERROR(_xlfn.IFS(R622="Count",RANDBETWEEN(1,COUNTIF($R$11:$R$653,"Count")),R622="Length",RANDBETWEEN(1,COUNTIF($R$11:$R$653,"Length"))),"")</f>
        <v/>
      </c>
      <c r="N622" s="4" t="str">
        <f ca="1">IFERROR(_xlfn.RANK.EQ(M622,$M$11:$M$653)+COUNTIF($M$11:M622,M622)-1,"")</f>
        <v/>
      </c>
      <c r="O622" s="86" t="str">
        <f>IF(A622='DATA SHEET'!$L$36,C622,IFERROR(IF(AND(ISTEXT(I622),ISBLANK(C622)),"No details",VLOOKUP(C622,DimFolder,2,FALSE)),""))</f>
        <v/>
      </c>
      <c r="P622" s="4" t="str">
        <f t="shared" si="149"/>
        <v/>
      </c>
      <c r="Q622" s="58" t="str">
        <f t="shared" si="148"/>
        <v/>
      </c>
      <c r="R622" s="4" t="e" cm="1">
        <f t="array" ref="R622">IF(INDEX(Table2[],_xlfn.XMATCH($A622,Table2[Steel Member],0),_xlfn.XMATCH(R$2,Table2[#Headers],0))=0,"",INDEX(Table2[],_xlfn.XMATCH($A622,Table2[Steel Member],0),_xlfn.XMATCH(R$2,Table2[#Headers],0)))</f>
        <v>#N/A</v>
      </c>
      <c r="S622" s="4" t="e" cm="1">
        <f t="array" ref="S622">IF(INDEX(Table2[],_xlfn.XMATCH($A622,Table2[Steel Member],0),_xlfn.XMATCH(S$2,Table2[#Headers],0))=0,"",INDEX(Table2[],_xlfn.XMATCH($A622,Table2[Steel Member],0),_xlfn.XMATCH(S$2,Table2[#Headers],0)))</f>
        <v>#N/A</v>
      </c>
      <c r="T622" s="4" t="str">
        <f t="shared" si="139"/>
        <v/>
      </c>
      <c r="U622" s="4" t="e">
        <f ca="1">VLOOKUP(N622,'COLOR CODE'!$B:$D,2,FALSE)</f>
        <v>#N/A</v>
      </c>
      <c r="V622" s="4" t="str">
        <f t="shared" si="140"/>
        <v/>
      </c>
      <c r="W622" s="4" t="e" cm="1">
        <f t="array" ref="W622">IF(INDEX(Table2[],_xlfn.XMATCH($A622,Table2[Steel Member],0),_xlfn.XMATCH(W$2,Table2[#Headers],0))=0,"",INDEX(Table2[],_xlfn.XMATCH($A622,Table2[Steel Member],0),_xlfn.XMATCH(W$2,Table2[#Headers],0)))</f>
        <v>#N/A</v>
      </c>
      <c r="X622" s="4" t="e">
        <f t="shared" si="150"/>
        <v>#N/A</v>
      </c>
      <c r="Y622" s="4" t="e" cm="1">
        <f t="array" ref="Y622">IF(INDEX(Table2[],_xlfn.XMATCH($A622,Table2[Steel Member],0),_xlfn.XMATCH(Y$2,Table2[#Headers],0))=0,"",INDEX(Table2[],_xlfn.XMATCH($A622,Table2[Steel Member],0),_xlfn.XMATCH(Y$2,Table2[#Headers],0)))</f>
        <v>#N/A</v>
      </c>
      <c r="Z622" s="4" t="e" cm="1">
        <f t="array" ref="Z622">IF(INDEX(Table2[],_xlfn.XMATCH($A622,Table2[Steel Member],0),_xlfn.XMATCH(Z$2,Table2[#Headers],0))=0,"",INDEX(Table2[],_xlfn.XMATCH($A622,Table2[Steel Member],0),_xlfn.XMATCH(Z$2,Table2[#Headers],0)))</f>
        <v>#N/A</v>
      </c>
      <c r="AA622" s="4" t="e" cm="1">
        <f t="array" ref="AA622">IF(INDEX(Table2[],_xlfn.XMATCH($A622,Table2[Steel Member],0),_xlfn.XMATCH(AA$2,Table2[#Headers],0))=0,"",INDEX(Table2[],_xlfn.XMATCH($A622,Table2[Steel Member],0),_xlfn.XMATCH(AA$2,Table2[#Headers],0)))</f>
        <v>#N/A</v>
      </c>
      <c r="AB622" s="4" t="e" cm="1">
        <f t="array" ref="AB622">IF(INDEX(Table2[],_xlfn.XMATCH($A622,Table2[Steel Member],0),_xlfn.XMATCH(AB$2,Table2[#Headers],0))=0,"",INDEX(Table2[],_xlfn.XMATCH($A622,Table2[Steel Member],0),_xlfn.XMATCH(AB$2,Table2[#Headers],0)))</f>
        <v>#N/A</v>
      </c>
      <c r="AC622" s="4" t="str" cm="1">
        <f t="array" ref="AC622">IFERROR(INDEX(Table8[],_xlfn.XMATCH($O622,Table8[Dimension Name Category],0),_xlfn.XMATCH(AC$2&amp;IF($L622," w/ tag"," w/o tag"),Table8[#Headers],0)),"")</f>
        <v/>
      </c>
      <c r="AD622" s="59" t="str">
        <f t="shared" si="141"/>
        <v/>
      </c>
      <c r="AE622" s="4" t="str">
        <f t="shared" si="142"/>
        <v/>
      </c>
      <c r="AF622" s="4" t="str">
        <f t="shared" si="143"/>
        <v/>
      </c>
      <c r="AG622" s="4" t="str" cm="1">
        <f t="array" ref="AG622">IFERROR(INDEX(Table8[],_xlfn.XMATCH($O622,Table8[Dimension Name Category],0),_xlfn.XMATCH(AG$2&amp;IF($L622," w/ tag"," w/o tag"),Table8[#Headers],0)),"")</f>
        <v/>
      </c>
      <c r="AH622" s="59" t="str">
        <f t="shared" si="144"/>
        <v/>
      </c>
      <c r="AI622" s="4"/>
      <c r="AJ622" s="4" t="str">
        <f t="shared" si="145"/>
        <v/>
      </c>
      <c r="AK622" s="4" t="str">
        <f t="shared" si="146"/>
        <v/>
      </c>
      <c r="AL622" s="4" t="e" cm="1">
        <f t="array" ref="AL622">IF(INDEX(Table2[],_xlfn.XMATCH($A622,Table2[Steel Member],0),_xlfn.XMATCH(AL$2,Table2[#Headers],0))=0,"",INDEX(Table2[],_xlfn.XMATCH($A622,Table2[Steel Member],0),_xlfn.XMATCH(AL$2,Table2[#Headers],0)))</f>
        <v>#N/A</v>
      </c>
      <c r="AM622" s="4"/>
      <c r="AN622" s="4" t="str">
        <f t="shared" si="147"/>
        <v/>
      </c>
      <c r="AO622" s="4"/>
      <c r="AP622" s="4" t="e" cm="1">
        <f t="array" ref="AP622">IF(INDEX(Table2[],_xlfn.XMATCH($A622,Table2[Steel Member],0),_xlfn.XMATCH(AP$2,Table2[#Headers],0))=0,"",INDEX(Table2[],_xlfn.XMATCH($A622,Table2[Steel Member],0),_xlfn.XMATCH(AP$2,Table2[#Headers],0)))</f>
        <v>#N/A</v>
      </c>
      <c r="AQ622" s="4"/>
      <c r="AR622" s="4"/>
      <c r="AS622" s="4"/>
      <c r="AT622" s="4"/>
    </row>
    <row r="623" spans="1:46" x14ac:dyDescent="0.25">
      <c r="A623" s="52"/>
      <c r="B623" s="52"/>
      <c r="C623" s="52"/>
      <c r="D623" s="52"/>
      <c r="E623" s="52"/>
      <c r="F623" s="64" cm="1">
        <f t="array" ref="F623">IF(COUNT(FIND(PurlinsxGirthsxBracings,$C623))&gt;0,0,ROUNDUP(IF(D623=0,0,VLOOKUP(D623,'DATA SHEET'!$B:$D,2,FALSE)),2))</f>
        <v>0</v>
      </c>
      <c r="G623" s="64" cm="1">
        <f t="array" ref="G623">IF(COUNT(FIND(PurlinsxGirthsxBracings,$C623))&gt;0,0,ROUNDUP(IF(D623=0,0,VLOOKUP(D623,'DATA SHEET'!$B:$D,3,FALSE)),2))</f>
        <v>0</v>
      </c>
      <c r="H623" s="53"/>
      <c r="I623" s="66" cm="1">
        <f t="array" ref="I623">IF(AND(ISBLANK(B623),ISBLANK(C623),ISBLANK(E623)),0,IF(COUNT(FIND(PurlinsxGirthsxBracings,$C623))&gt;0,IF(B623=0,CONCATENATE(E623," ",C623),CONCATENATE(B623," - ",E623," ",C623)),IF(B623=0,IF(ISBLANK(C623),E623,CONCATENATE(D623,", ",F623,"kg/m, ",G623,"mm surface perimeter")),IF(AND(ISBLANK(C623),ISTEXT(E623)),CONCATENATE(B623," - ",E623),IF(AND(ISBLANK(C623),ISBLANK(E623)),B623,CONCATENATE(B623," - ",D623,", ",F623,"kg/m, ",G623,"mm surface perimeter"))))&amp;IF(ISBLANK(H623),"",H623)))</f>
        <v>0</v>
      </c>
      <c r="J623" s="53"/>
      <c r="L623" s="4" t="str" cm="1">
        <f t="array" ref="L623">IF(COUNT(FIND({0,1,2,3,4,5,6,7,8,9},B623))&gt;0,COUNT(FIND({0,1,2,3,4,5,6,7,8,9},B623))&gt;0,"")</f>
        <v/>
      </c>
      <c r="M623" s="4" t="str" cm="1">
        <f t="array" aca="1" ref="M623" ca="1">IFERROR(_xlfn.IFS(R623="Count",RANDBETWEEN(1,COUNTIF($R$11:$R$653,"Count")),R623="Length",RANDBETWEEN(1,COUNTIF($R$11:$R$653,"Length"))),"")</f>
        <v/>
      </c>
      <c r="N623" s="4" t="str">
        <f ca="1">IFERROR(_xlfn.RANK.EQ(M623,$M$11:$M$653)+COUNTIF($M$11:M623,M623)-1,"")</f>
        <v/>
      </c>
      <c r="O623" s="86" t="str">
        <f>IF(A623='DATA SHEET'!$L$36,C623,IFERROR(IF(AND(ISTEXT(I623),ISBLANK(C623)),"No details",VLOOKUP(C623,DimFolder,2,FALSE)),""))</f>
        <v/>
      </c>
      <c r="P623" s="4" t="str">
        <f t="shared" si="149"/>
        <v/>
      </c>
      <c r="Q623" s="58" t="str">
        <f t="shared" si="148"/>
        <v/>
      </c>
      <c r="R623" s="4" t="e" cm="1">
        <f t="array" ref="R623">IF(INDEX(Table2[],_xlfn.XMATCH($A623,Table2[Steel Member],0),_xlfn.XMATCH(R$2,Table2[#Headers],0))=0,"",INDEX(Table2[],_xlfn.XMATCH($A623,Table2[Steel Member],0),_xlfn.XMATCH(R$2,Table2[#Headers],0)))</f>
        <v>#N/A</v>
      </c>
      <c r="S623" s="4" t="e" cm="1">
        <f t="array" ref="S623">IF(INDEX(Table2[],_xlfn.XMATCH($A623,Table2[Steel Member],0),_xlfn.XMATCH(S$2,Table2[#Headers],0))=0,"",INDEX(Table2[],_xlfn.XMATCH($A623,Table2[Steel Member],0),_xlfn.XMATCH(S$2,Table2[#Headers],0)))</f>
        <v>#N/A</v>
      </c>
      <c r="T623" s="4" t="str">
        <f t="shared" si="139"/>
        <v/>
      </c>
      <c r="U623" s="4" t="e">
        <f ca="1">VLOOKUP(N623,'COLOR CODE'!$B:$D,2,FALSE)</f>
        <v>#N/A</v>
      </c>
      <c r="V623" s="4" t="str">
        <f t="shared" si="140"/>
        <v/>
      </c>
      <c r="W623" s="4" t="e" cm="1">
        <f t="array" ref="W623">IF(INDEX(Table2[],_xlfn.XMATCH($A623,Table2[Steel Member],0),_xlfn.XMATCH(W$2,Table2[#Headers],0))=0,"",INDEX(Table2[],_xlfn.XMATCH($A623,Table2[Steel Member],0),_xlfn.XMATCH(W$2,Table2[#Headers],0)))</f>
        <v>#N/A</v>
      </c>
      <c r="X623" s="4" t="e">
        <f t="shared" si="150"/>
        <v>#N/A</v>
      </c>
      <c r="Y623" s="4" t="e" cm="1">
        <f t="array" ref="Y623">IF(INDEX(Table2[],_xlfn.XMATCH($A623,Table2[Steel Member],0),_xlfn.XMATCH(Y$2,Table2[#Headers],0))=0,"",INDEX(Table2[],_xlfn.XMATCH($A623,Table2[Steel Member],0),_xlfn.XMATCH(Y$2,Table2[#Headers],0)))</f>
        <v>#N/A</v>
      </c>
      <c r="Z623" s="4" t="e" cm="1">
        <f t="array" ref="Z623">IF(INDEX(Table2[],_xlfn.XMATCH($A623,Table2[Steel Member],0),_xlfn.XMATCH(Z$2,Table2[#Headers],0))=0,"",INDEX(Table2[],_xlfn.XMATCH($A623,Table2[Steel Member],0),_xlfn.XMATCH(Z$2,Table2[#Headers],0)))</f>
        <v>#N/A</v>
      </c>
      <c r="AA623" s="4" t="e" cm="1">
        <f t="array" ref="AA623">IF(INDEX(Table2[],_xlfn.XMATCH($A623,Table2[Steel Member],0),_xlfn.XMATCH(AA$2,Table2[#Headers],0))=0,"",INDEX(Table2[],_xlfn.XMATCH($A623,Table2[Steel Member],0),_xlfn.XMATCH(AA$2,Table2[#Headers],0)))</f>
        <v>#N/A</v>
      </c>
      <c r="AB623" s="4" t="e" cm="1">
        <f t="array" ref="AB623">IF(INDEX(Table2[],_xlfn.XMATCH($A623,Table2[Steel Member],0),_xlfn.XMATCH(AB$2,Table2[#Headers],0))=0,"",INDEX(Table2[],_xlfn.XMATCH($A623,Table2[Steel Member],0),_xlfn.XMATCH(AB$2,Table2[#Headers],0)))</f>
        <v>#N/A</v>
      </c>
      <c r="AC623" s="4" t="str" cm="1">
        <f t="array" ref="AC623">IFERROR(INDEX(Table8[],_xlfn.XMATCH($O623,Table8[Dimension Name Category],0),_xlfn.XMATCH(AC$2&amp;IF($L623," w/ tag"," w/o tag"),Table8[#Headers],0)),"")</f>
        <v/>
      </c>
      <c r="AD623" s="59" t="str">
        <f t="shared" si="141"/>
        <v/>
      </c>
      <c r="AE623" s="4" t="str">
        <f t="shared" si="142"/>
        <v/>
      </c>
      <c r="AF623" s="4" t="str">
        <f t="shared" si="143"/>
        <v/>
      </c>
      <c r="AG623" s="4" t="str" cm="1">
        <f t="array" ref="AG623">IFERROR(INDEX(Table8[],_xlfn.XMATCH($O623,Table8[Dimension Name Category],0),_xlfn.XMATCH(AG$2&amp;IF($L623," w/ tag"," w/o tag"),Table8[#Headers],0)),"")</f>
        <v/>
      </c>
      <c r="AH623" s="59" t="str">
        <f t="shared" si="144"/>
        <v/>
      </c>
      <c r="AI623" s="4"/>
      <c r="AJ623" s="4" t="str">
        <f t="shared" si="145"/>
        <v/>
      </c>
      <c r="AK623" s="4" t="str">
        <f t="shared" si="146"/>
        <v/>
      </c>
      <c r="AL623" s="4" t="e" cm="1">
        <f t="array" ref="AL623">IF(INDEX(Table2[],_xlfn.XMATCH($A623,Table2[Steel Member],0),_xlfn.XMATCH(AL$2,Table2[#Headers],0))=0,"",INDEX(Table2[],_xlfn.XMATCH($A623,Table2[Steel Member],0),_xlfn.XMATCH(AL$2,Table2[#Headers],0)))</f>
        <v>#N/A</v>
      </c>
      <c r="AM623" s="4"/>
      <c r="AN623" s="4" t="str">
        <f t="shared" si="147"/>
        <v/>
      </c>
      <c r="AO623" s="4"/>
      <c r="AP623" s="4" t="e" cm="1">
        <f t="array" ref="AP623">IF(INDEX(Table2[],_xlfn.XMATCH($A623,Table2[Steel Member],0),_xlfn.XMATCH(AP$2,Table2[#Headers],0))=0,"",INDEX(Table2[],_xlfn.XMATCH($A623,Table2[Steel Member],0),_xlfn.XMATCH(AP$2,Table2[#Headers],0)))</f>
        <v>#N/A</v>
      </c>
      <c r="AQ623" s="4"/>
      <c r="AR623" s="4"/>
      <c r="AS623" s="4"/>
      <c r="AT623" s="4"/>
    </row>
    <row r="624" spans="1:46" x14ac:dyDescent="0.25">
      <c r="A624" s="52"/>
      <c r="B624" s="52"/>
      <c r="C624" s="52"/>
      <c r="D624" s="52"/>
      <c r="E624" s="52"/>
      <c r="F624" s="64" cm="1">
        <f t="array" ref="F624">IF(COUNT(FIND(PurlinsxGirthsxBracings,$C624))&gt;0,0,ROUNDUP(IF(D624=0,0,VLOOKUP(D624,'DATA SHEET'!$B:$D,2,FALSE)),2))</f>
        <v>0</v>
      </c>
      <c r="G624" s="64" cm="1">
        <f t="array" ref="G624">IF(COUNT(FIND(PurlinsxGirthsxBracings,$C624))&gt;0,0,ROUNDUP(IF(D624=0,0,VLOOKUP(D624,'DATA SHEET'!$B:$D,3,FALSE)),2))</f>
        <v>0</v>
      </c>
      <c r="H624" s="53"/>
      <c r="I624" s="66" cm="1">
        <f t="array" ref="I624">IF(AND(ISBLANK(B624),ISBLANK(C624),ISBLANK(E624)),0,IF(COUNT(FIND(PurlinsxGirthsxBracings,$C624))&gt;0,IF(B624=0,CONCATENATE(E624," ",C624),CONCATENATE(B624," - ",E624," ",C624)),IF(B624=0,IF(ISBLANK(C624),E624,CONCATENATE(D624,", ",F624,"kg/m, ",G624,"mm surface perimeter")),IF(AND(ISBLANK(C624),ISTEXT(E624)),CONCATENATE(B624," - ",E624),IF(AND(ISBLANK(C624),ISBLANK(E624)),B624,CONCATENATE(B624," - ",D624,", ",F624,"kg/m, ",G624,"mm surface perimeter"))))&amp;IF(ISBLANK(H624),"",H624)))</f>
        <v>0</v>
      </c>
      <c r="J624" s="53"/>
      <c r="L624" s="4" t="str" cm="1">
        <f t="array" ref="L624">IF(COUNT(FIND({0,1,2,3,4,5,6,7,8,9},B624))&gt;0,COUNT(FIND({0,1,2,3,4,5,6,7,8,9},B624))&gt;0,"")</f>
        <v/>
      </c>
      <c r="M624" s="4" t="str" cm="1">
        <f t="array" aca="1" ref="M624" ca="1">IFERROR(_xlfn.IFS(R624="Count",RANDBETWEEN(1,COUNTIF($R$11:$R$653,"Count")),R624="Length",RANDBETWEEN(1,COUNTIF($R$11:$R$653,"Length"))),"")</f>
        <v/>
      </c>
      <c r="N624" s="4" t="str">
        <f ca="1">IFERROR(_xlfn.RANK.EQ(M624,$M$11:$M$653)+COUNTIF($M$11:M624,M624)-1,"")</f>
        <v/>
      </c>
      <c r="O624" s="86" t="str">
        <f>IF(A624='DATA SHEET'!$L$36,C624,IFERROR(IF(AND(ISTEXT(I624),ISBLANK(C624)),"No details",VLOOKUP(C624,DimFolder,2,FALSE)),""))</f>
        <v/>
      </c>
      <c r="P624" s="4" t="str">
        <f t="shared" si="149"/>
        <v/>
      </c>
      <c r="Q624" s="58" t="str">
        <f t="shared" si="148"/>
        <v/>
      </c>
      <c r="R624" s="4" t="e" cm="1">
        <f t="array" ref="R624">IF(INDEX(Table2[],_xlfn.XMATCH($A624,Table2[Steel Member],0),_xlfn.XMATCH(R$2,Table2[#Headers],0))=0,"",INDEX(Table2[],_xlfn.XMATCH($A624,Table2[Steel Member],0),_xlfn.XMATCH(R$2,Table2[#Headers],0)))</f>
        <v>#N/A</v>
      </c>
      <c r="S624" s="4" t="e" cm="1">
        <f t="array" ref="S624">IF(INDEX(Table2[],_xlfn.XMATCH($A624,Table2[Steel Member],0),_xlfn.XMATCH(S$2,Table2[#Headers],0))=0,"",INDEX(Table2[],_xlfn.XMATCH($A624,Table2[Steel Member],0),_xlfn.XMATCH(S$2,Table2[#Headers],0)))</f>
        <v>#N/A</v>
      </c>
      <c r="T624" s="4" t="str">
        <f t="shared" si="139"/>
        <v/>
      </c>
      <c r="U624" s="4" t="e">
        <f ca="1">VLOOKUP(N624,'COLOR CODE'!$B:$D,2,FALSE)</f>
        <v>#N/A</v>
      </c>
      <c r="V624" s="4" t="str">
        <f t="shared" si="140"/>
        <v/>
      </c>
      <c r="W624" s="4" t="e" cm="1">
        <f t="array" ref="W624">IF(INDEX(Table2[],_xlfn.XMATCH($A624,Table2[Steel Member],0),_xlfn.XMATCH(W$2,Table2[#Headers],0))=0,"",INDEX(Table2[],_xlfn.XMATCH($A624,Table2[Steel Member],0),_xlfn.XMATCH(W$2,Table2[#Headers],0)))</f>
        <v>#N/A</v>
      </c>
      <c r="X624" s="4" t="e">
        <f t="shared" si="150"/>
        <v>#N/A</v>
      </c>
      <c r="Y624" s="4" t="e" cm="1">
        <f t="array" ref="Y624">IF(INDEX(Table2[],_xlfn.XMATCH($A624,Table2[Steel Member],0),_xlfn.XMATCH(Y$2,Table2[#Headers],0))=0,"",INDEX(Table2[],_xlfn.XMATCH($A624,Table2[Steel Member],0),_xlfn.XMATCH(Y$2,Table2[#Headers],0)))</f>
        <v>#N/A</v>
      </c>
      <c r="Z624" s="4" t="e" cm="1">
        <f t="array" ref="Z624">IF(INDEX(Table2[],_xlfn.XMATCH($A624,Table2[Steel Member],0),_xlfn.XMATCH(Z$2,Table2[#Headers],0))=0,"",INDEX(Table2[],_xlfn.XMATCH($A624,Table2[Steel Member],0),_xlfn.XMATCH(Z$2,Table2[#Headers],0)))</f>
        <v>#N/A</v>
      </c>
      <c r="AA624" s="4" t="e" cm="1">
        <f t="array" ref="AA624">IF(INDEX(Table2[],_xlfn.XMATCH($A624,Table2[Steel Member],0),_xlfn.XMATCH(AA$2,Table2[#Headers],0))=0,"",INDEX(Table2[],_xlfn.XMATCH($A624,Table2[Steel Member],0),_xlfn.XMATCH(AA$2,Table2[#Headers],0)))</f>
        <v>#N/A</v>
      </c>
      <c r="AB624" s="4" t="e" cm="1">
        <f t="array" ref="AB624">IF(INDEX(Table2[],_xlfn.XMATCH($A624,Table2[Steel Member],0),_xlfn.XMATCH(AB$2,Table2[#Headers],0))=0,"",INDEX(Table2[],_xlfn.XMATCH($A624,Table2[Steel Member],0),_xlfn.XMATCH(AB$2,Table2[#Headers],0)))</f>
        <v>#N/A</v>
      </c>
      <c r="AC624" s="4" t="str" cm="1">
        <f t="array" ref="AC624">IFERROR(INDEX(Table8[],_xlfn.XMATCH($O624,Table8[Dimension Name Category],0),_xlfn.XMATCH(AC$2&amp;IF($L624," w/ tag"," w/o tag"),Table8[#Headers],0)),"")</f>
        <v/>
      </c>
      <c r="AD624" s="59" t="str">
        <f t="shared" si="141"/>
        <v/>
      </c>
      <c r="AE624" s="4" t="str">
        <f t="shared" si="142"/>
        <v/>
      </c>
      <c r="AF624" s="4" t="str">
        <f t="shared" si="143"/>
        <v/>
      </c>
      <c r="AG624" s="4" t="str" cm="1">
        <f t="array" ref="AG624">IFERROR(INDEX(Table8[],_xlfn.XMATCH($O624,Table8[Dimension Name Category],0),_xlfn.XMATCH(AG$2&amp;IF($L624," w/ tag"," w/o tag"),Table8[#Headers],0)),"")</f>
        <v/>
      </c>
      <c r="AH624" s="59" t="str">
        <f t="shared" si="144"/>
        <v/>
      </c>
      <c r="AI624" s="4"/>
      <c r="AJ624" s="4" t="str">
        <f t="shared" si="145"/>
        <v/>
      </c>
      <c r="AK624" s="4" t="str">
        <f t="shared" si="146"/>
        <v/>
      </c>
      <c r="AL624" s="4" t="e" cm="1">
        <f t="array" ref="AL624">IF(INDEX(Table2[],_xlfn.XMATCH($A624,Table2[Steel Member],0),_xlfn.XMATCH(AL$2,Table2[#Headers],0))=0,"",INDEX(Table2[],_xlfn.XMATCH($A624,Table2[Steel Member],0),_xlfn.XMATCH(AL$2,Table2[#Headers],0)))</f>
        <v>#N/A</v>
      </c>
      <c r="AM624" s="4"/>
      <c r="AN624" s="4" t="str">
        <f t="shared" si="147"/>
        <v/>
      </c>
      <c r="AO624" s="4"/>
      <c r="AP624" s="4" t="e" cm="1">
        <f t="array" ref="AP624">IF(INDEX(Table2[],_xlfn.XMATCH($A624,Table2[Steel Member],0),_xlfn.XMATCH(AP$2,Table2[#Headers],0))=0,"",INDEX(Table2[],_xlfn.XMATCH($A624,Table2[Steel Member],0),_xlfn.XMATCH(AP$2,Table2[#Headers],0)))</f>
        <v>#N/A</v>
      </c>
      <c r="AQ624" s="4"/>
      <c r="AR624" s="4"/>
      <c r="AS624" s="4"/>
      <c r="AT624" s="4"/>
    </row>
    <row r="625" spans="1:46" x14ac:dyDescent="0.25">
      <c r="A625" s="52"/>
      <c r="B625" s="52"/>
      <c r="C625" s="52"/>
      <c r="D625" s="52"/>
      <c r="E625" s="52"/>
      <c r="F625" s="64" cm="1">
        <f t="array" ref="F625">IF(COUNT(FIND(PurlinsxGirthsxBracings,$C625))&gt;0,0,ROUNDUP(IF(D625=0,0,VLOOKUP(D625,'DATA SHEET'!$B:$D,2,FALSE)),2))</f>
        <v>0</v>
      </c>
      <c r="G625" s="64" cm="1">
        <f t="array" ref="G625">IF(COUNT(FIND(PurlinsxGirthsxBracings,$C625))&gt;0,0,ROUNDUP(IF(D625=0,0,VLOOKUP(D625,'DATA SHEET'!$B:$D,3,FALSE)),2))</f>
        <v>0</v>
      </c>
      <c r="H625" s="53"/>
      <c r="I625" s="66" cm="1">
        <f t="array" ref="I625">IF(AND(ISBLANK(B625),ISBLANK(C625),ISBLANK(E625)),0,IF(COUNT(FIND(PurlinsxGirthsxBracings,$C625))&gt;0,IF(B625=0,CONCATENATE(E625," ",C625),CONCATENATE(B625," - ",E625," ",C625)),IF(B625=0,IF(ISBLANK(C625),E625,CONCATENATE(D625,", ",F625,"kg/m, ",G625,"mm surface perimeter")),IF(AND(ISBLANK(C625),ISTEXT(E625)),CONCATENATE(B625," - ",E625),IF(AND(ISBLANK(C625),ISBLANK(E625)),B625,CONCATENATE(B625," - ",D625,", ",F625,"kg/m, ",G625,"mm surface perimeter"))))&amp;IF(ISBLANK(H625),"",H625)))</f>
        <v>0</v>
      </c>
      <c r="J625" s="53"/>
      <c r="L625" s="4" t="str" cm="1">
        <f t="array" ref="L625">IF(COUNT(FIND({0,1,2,3,4,5,6,7,8,9},B625))&gt;0,COUNT(FIND({0,1,2,3,4,5,6,7,8,9},B625))&gt;0,"")</f>
        <v/>
      </c>
      <c r="M625" s="4" t="str" cm="1">
        <f t="array" aca="1" ref="M625" ca="1">IFERROR(_xlfn.IFS(R625="Count",RANDBETWEEN(1,COUNTIF($R$11:$R$653,"Count")),R625="Length",RANDBETWEEN(1,COUNTIF($R$11:$R$653,"Length"))),"")</f>
        <v/>
      </c>
      <c r="N625" s="4" t="str">
        <f ca="1">IFERROR(_xlfn.RANK.EQ(M625,$M$11:$M$653)+COUNTIF($M$11:M625,M625)-1,"")</f>
        <v/>
      </c>
      <c r="O625" s="86" t="str">
        <f>IF(A625='DATA SHEET'!$L$36,C625,IFERROR(IF(AND(ISTEXT(I625),ISBLANK(C625)),"No details",VLOOKUP(C625,DimFolder,2,FALSE)),""))</f>
        <v/>
      </c>
      <c r="P625" s="4" t="str">
        <f t="shared" si="149"/>
        <v/>
      </c>
      <c r="Q625" s="58" t="str">
        <f t="shared" si="148"/>
        <v/>
      </c>
      <c r="R625" s="4" t="e" cm="1">
        <f t="array" ref="R625">IF(INDEX(Table2[],_xlfn.XMATCH($A625,Table2[Steel Member],0),_xlfn.XMATCH(R$2,Table2[#Headers],0))=0,"",INDEX(Table2[],_xlfn.XMATCH($A625,Table2[Steel Member],0),_xlfn.XMATCH(R$2,Table2[#Headers],0)))</f>
        <v>#N/A</v>
      </c>
      <c r="S625" s="4" t="e" cm="1">
        <f t="array" ref="S625">IF(INDEX(Table2[],_xlfn.XMATCH($A625,Table2[Steel Member],0),_xlfn.XMATCH(S$2,Table2[#Headers],0))=0,"",INDEX(Table2[],_xlfn.XMATCH($A625,Table2[Steel Member],0),_xlfn.XMATCH(S$2,Table2[#Headers],0)))</f>
        <v>#N/A</v>
      </c>
      <c r="T625" s="4" t="str">
        <f t="shared" si="139"/>
        <v/>
      </c>
      <c r="U625" s="4" t="e">
        <f ca="1">VLOOKUP(N625,'COLOR CODE'!$B:$D,2,FALSE)</f>
        <v>#N/A</v>
      </c>
      <c r="V625" s="4" t="str">
        <f t="shared" si="140"/>
        <v/>
      </c>
      <c r="W625" s="4" t="e" cm="1">
        <f t="array" ref="W625">IF(INDEX(Table2[],_xlfn.XMATCH($A625,Table2[Steel Member],0),_xlfn.XMATCH(W$2,Table2[#Headers],0))=0,"",INDEX(Table2[],_xlfn.XMATCH($A625,Table2[Steel Member],0),_xlfn.XMATCH(W$2,Table2[#Headers],0)))</f>
        <v>#N/A</v>
      </c>
      <c r="X625" s="4" t="e">
        <f t="shared" si="150"/>
        <v>#N/A</v>
      </c>
      <c r="Y625" s="4" t="e" cm="1">
        <f t="array" ref="Y625">IF(INDEX(Table2[],_xlfn.XMATCH($A625,Table2[Steel Member],0),_xlfn.XMATCH(Y$2,Table2[#Headers],0))=0,"",INDEX(Table2[],_xlfn.XMATCH($A625,Table2[Steel Member],0),_xlfn.XMATCH(Y$2,Table2[#Headers],0)))</f>
        <v>#N/A</v>
      </c>
      <c r="Z625" s="4" t="e" cm="1">
        <f t="array" ref="Z625">IF(INDEX(Table2[],_xlfn.XMATCH($A625,Table2[Steel Member],0),_xlfn.XMATCH(Z$2,Table2[#Headers],0))=0,"",INDEX(Table2[],_xlfn.XMATCH($A625,Table2[Steel Member],0),_xlfn.XMATCH(Z$2,Table2[#Headers],0)))</f>
        <v>#N/A</v>
      </c>
      <c r="AA625" s="4" t="e" cm="1">
        <f t="array" ref="AA625">IF(INDEX(Table2[],_xlfn.XMATCH($A625,Table2[Steel Member],0),_xlfn.XMATCH(AA$2,Table2[#Headers],0))=0,"",INDEX(Table2[],_xlfn.XMATCH($A625,Table2[Steel Member],0),_xlfn.XMATCH(AA$2,Table2[#Headers],0)))</f>
        <v>#N/A</v>
      </c>
      <c r="AB625" s="4" t="e" cm="1">
        <f t="array" ref="AB625">IF(INDEX(Table2[],_xlfn.XMATCH($A625,Table2[Steel Member],0),_xlfn.XMATCH(AB$2,Table2[#Headers],0))=0,"",INDEX(Table2[],_xlfn.XMATCH($A625,Table2[Steel Member],0),_xlfn.XMATCH(AB$2,Table2[#Headers],0)))</f>
        <v>#N/A</v>
      </c>
      <c r="AC625" s="4" t="str" cm="1">
        <f t="array" ref="AC625">IFERROR(INDEX(Table8[],_xlfn.XMATCH($O625,Table8[Dimension Name Category],0),_xlfn.XMATCH(AC$2&amp;IF($L625," w/ tag"," w/o tag"),Table8[#Headers],0)),"")</f>
        <v/>
      </c>
      <c r="AD625" s="59" t="str">
        <f t="shared" si="141"/>
        <v/>
      </c>
      <c r="AE625" s="4" t="str">
        <f t="shared" si="142"/>
        <v/>
      </c>
      <c r="AF625" s="4" t="str">
        <f t="shared" si="143"/>
        <v/>
      </c>
      <c r="AG625" s="4" t="str" cm="1">
        <f t="array" ref="AG625">IFERROR(INDEX(Table8[],_xlfn.XMATCH($O625,Table8[Dimension Name Category],0),_xlfn.XMATCH(AG$2&amp;IF($L625," w/ tag"," w/o tag"),Table8[#Headers],0)),"")</f>
        <v/>
      </c>
      <c r="AH625" s="59" t="str">
        <f t="shared" si="144"/>
        <v/>
      </c>
      <c r="AI625" s="4"/>
      <c r="AJ625" s="4" t="str">
        <f t="shared" si="145"/>
        <v/>
      </c>
      <c r="AK625" s="4" t="str">
        <f t="shared" si="146"/>
        <v/>
      </c>
      <c r="AL625" s="4" t="e" cm="1">
        <f t="array" ref="AL625">IF(INDEX(Table2[],_xlfn.XMATCH($A625,Table2[Steel Member],0),_xlfn.XMATCH(AL$2,Table2[#Headers],0))=0,"",INDEX(Table2[],_xlfn.XMATCH($A625,Table2[Steel Member],0),_xlfn.XMATCH(AL$2,Table2[#Headers],0)))</f>
        <v>#N/A</v>
      </c>
      <c r="AM625" s="4"/>
      <c r="AN625" s="4" t="str">
        <f t="shared" si="147"/>
        <v/>
      </c>
      <c r="AO625" s="4"/>
      <c r="AP625" s="4" t="e" cm="1">
        <f t="array" ref="AP625">IF(INDEX(Table2[],_xlfn.XMATCH($A625,Table2[Steel Member],0),_xlfn.XMATCH(AP$2,Table2[#Headers],0))=0,"",INDEX(Table2[],_xlfn.XMATCH($A625,Table2[Steel Member],0),_xlfn.XMATCH(AP$2,Table2[#Headers],0)))</f>
        <v>#N/A</v>
      </c>
      <c r="AQ625" s="4"/>
      <c r="AR625" s="4"/>
      <c r="AS625" s="4"/>
      <c r="AT625" s="4"/>
    </row>
    <row r="626" spans="1:46" x14ac:dyDescent="0.25">
      <c r="A626" s="52"/>
      <c r="B626" s="52"/>
      <c r="C626" s="52"/>
      <c r="D626" s="52"/>
      <c r="E626" s="52"/>
      <c r="F626" s="64" cm="1">
        <f t="array" ref="F626">IF(COUNT(FIND(PurlinsxGirthsxBracings,$C626))&gt;0,0,ROUNDUP(IF(D626=0,0,VLOOKUP(D626,'DATA SHEET'!$B:$D,2,FALSE)),2))</f>
        <v>0</v>
      </c>
      <c r="G626" s="64" cm="1">
        <f t="array" ref="G626">IF(COUNT(FIND(PurlinsxGirthsxBracings,$C626))&gt;0,0,ROUNDUP(IF(D626=0,0,VLOOKUP(D626,'DATA SHEET'!$B:$D,3,FALSE)),2))</f>
        <v>0</v>
      </c>
      <c r="H626" s="53"/>
      <c r="I626" s="66" cm="1">
        <f t="array" ref="I626">IF(AND(ISBLANK(B626),ISBLANK(C626),ISBLANK(E626)),0,IF(COUNT(FIND(PurlinsxGirthsxBracings,$C626))&gt;0,IF(B626=0,CONCATENATE(E626," ",C626),CONCATENATE(B626," - ",E626," ",C626)),IF(B626=0,IF(ISBLANK(C626),E626,CONCATENATE(D626,", ",F626,"kg/m, ",G626,"mm surface perimeter")),IF(AND(ISBLANK(C626),ISTEXT(E626)),CONCATENATE(B626," - ",E626),IF(AND(ISBLANK(C626),ISBLANK(E626)),B626,CONCATENATE(B626," - ",D626,", ",F626,"kg/m, ",G626,"mm surface perimeter"))))&amp;IF(ISBLANK(H626),"",H626)))</f>
        <v>0</v>
      </c>
      <c r="J626" s="53"/>
      <c r="L626" s="4" t="str" cm="1">
        <f t="array" ref="L626">IF(COUNT(FIND({0,1,2,3,4,5,6,7,8,9},B626))&gt;0,COUNT(FIND({0,1,2,3,4,5,6,7,8,9},B626))&gt;0,"")</f>
        <v/>
      </c>
      <c r="M626" s="4" t="str" cm="1">
        <f t="array" aca="1" ref="M626" ca="1">IFERROR(_xlfn.IFS(R626="Count",RANDBETWEEN(1,COUNTIF($R$11:$R$653,"Count")),R626="Length",RANDBETWEEN(1,COUNTIF($R$11:$R$653,"Length"))),"")</f>
        <v/>
      </c>
      <c r="N626" s="4" t="str">
        <f ca="1">IFERROR(_xlfn.RANK.EQ(M626,$M$11:$M$653)+COUNTIF($M$11:M626,M626)-1,"")</f>
        <v/>
      </c>
      <c r="O626" s="86" t="str">
        <f>IF(A626='DATA SHEET'!$L$36,C626,IFERROR(IF(AND(ISTEXT(I626),ISBLANK(C626)),"No details",VLOOKUP(C626,DimFolder,2,FALSE)),""))</f>
        <v/>
      </c>
      <c r="P626" s="4" t="str">
        <f t="shared" si="149"/>
        <v/>
      </c>
      <c r="Q626" s="58" t="str">
        <f t="shared" si="148"/>
        <v/>
      </c>
      <c r="R626" s="4" t="e" cm="1">
        <f t="array" ref="R626">IF(INDEX(Table2[],_xlfn.XMATCH($A626,Table2[Steel Member],0),_xlfn.XMATCH(R$2,Table2[#Headers],0))=0,"",INDEX(Table2[],_xlfn.XMATCH($A626,Table2[Steel Member],0),_xlfn.XMATCH(R$2,Table2[#Headers],0)))</f>
        <v>#N/A</v>
      </c>
      <c r="S626" s="4" t="e" cm="1">
        <f t="array" ref="S626">IF(INDEX(Table2[],_xlfn.XMATCH($A626,Table2[Steel Member],0),_xlfn.XMATCH(S$2,Table2[#Headers],0))=0,"",INDEX(Table2[],_xlfn.XMATCH($A626,Table2[Steel Member],0),_xlfn.XMATCH(S$2,Table2[#Headers],0)))</f>
        <v>#N/A</v>
      </c>
      <c r="T626" s="4" t="str">
        <f t="shared" si="139"/>
        <v/>
      </c>
      <c r="U626" s="4" t="e">
        <f ca="1">VLOOKUP(N626,'COLOR CODE'!$B:$D,2,FALSE)</f>
        <v>#N/A</v>
      </c>
      <c r="V626" s="4" t="str">
        <f t="shared" si="140"/>
        <v/>
      </c>
      <c r="W626" s="4" t="e" cm="1">
        <f t="array" ref="W626">IF(INDEX(Table2[],_xlfn.XMATCH($A626,Table2[Steel Member],0),_xlfn.XMATCH(W$2,Table2[#Headers],0))=0,"",INDEX(Table2[],_xlfn.XMATCH($A626,Table2[Steel Member],0),_xlfn.XMATCH(W$2,Table2[#Headers],0)))</f>
        <v>#N/A</v>
      </c>
      <c r="X626" s="4" t="e">
        <f t="shared" si="150"/>
        <v>#N/A</v>
      </c>
      <c r="Y626" s="4" t="e" cm="1">
        <f t="array" ref="Y626">IF(INDEX(Table2[],_xlfn.XMATCH($A626,Table2[Steel Member],0),_xlfn.XMATCH(Y$2,Table2[#Headers],0))=0,"",INDEX(Table2[],_xlfn.XMATCH($A626,Table2[Steel Member],0),_xlfn.XMATCH(Y$2,Table2[#Headers],0)))</f>
        <v>#N/A</v>
      </c>
      <c r="Z626" s="4" t="e" cm="1">
        <f t="array" ref="Z626">IF(INDEX(Table2[],_xlfn.XMATCH($A626,Table2[Steel Member],0),_xlfn.XMATCH(Z$2,Table2[#Headers],0))=0,"",INDEX(Table2[],_xlfn.XMATCH($A626,Table2[Steel Member],0),_xlfn.XMATCH(Z$2,Table2[#Headers],0)))</f>
        <v>#N/A</v>
      </c>
      <c r="AA626" s="4" t="e" cm="1">
        <f t="array" ref="AA626">IF(INDEX(Table2[],_xlfn.XMATCH($A626,Table2[Steel Member],0),_xlfn.XMATCH(AA$2,Table2[#Headers],0))=0,"",INDEX(Table2[],_xlfn.XMATCH($A626,Table2[Steel Member],0),_xlfn.XMATCH(AA$2,Table2[#Headers],0)))</f>
        <v>#N/A</v>
      </c>
      <c r="AB626" s="4" t="e" cm="1">
        <f t="array" ref="AB626">IF(INDEX(Table2[],_xlfn.XMATCH($A626,Table2[Steel Member],0),_xlfn.XMATCH(AB$2,Table2[#Headers],0))=0,"",INDEX(Table2[],_xlfn.XMATCH($A626,Table2[Steel Member],0),_xlfn.XMATCH(AB$2,Table2[#Headers],0)))</f>
        <v>#N/A</v>
      </c>
      <c r="AC626" s="4" t="str" cm="1">
        <f t="array" ref="AC626">IFERROR(INDEX(Table8[],_xlfn.XMATCH($O626,Table8[Dimension Name Category],0),_xlfn.XMATCH(AC$2&amp;IF($L626," w/ tag"," w/o tag"),Table8[#Headers],0)),"")</f>
        <v/>
      </c>
      <c r="AD626" s="59" t="str">
        <f t="shared" si="141"/>
        <v/>
      </c>
      <c r="AE626" s="4" t="str">
        <f t="shared" si="142"/>
        <v/>
      </c>
      <c r="AF626" s="4" t="str">
        <f t="shared" si="143"/>
        <v/>
      </c>
      <c r="AG626" s="4" t="str" cm="1">
        <f t="array" ref="AG626">IFERROR(INDEX(Table8[],_xlfn.XMATCH($O626,Table8[Dimension Name Category],0),_xlfn.XMATCH(AG$2&amp;IF($L626," w/ tag"," w/o tag"),Table8[#Headers],0)),"")</f>
        <v/>
      </c>
      <c r="AH626" s="59" t="str">
        <f t="shared" si="144"/>
        <v/>
      </c>
      <c r="AI626" s="4"/>
      <c r="AJ626" s="4" t="str">
        <f t="shared" si="145"/>
        <v/>
      </c>
      <c r="AK626" s="4" t="str">
        <f t="shared" si="146"/>
        <v/>
      </c>
      <c r="AL626" s="4" t="e" cm="1">
        <f t="array" ref="AL626">IF(INDEX(Table2[],_xlfn.XMATCH($A626,Table2[Steel Member],0),_xlfn.XMATCH(AL$2,Table2[#Headers],0))=0,"",INDEX(Table2[],_xlfn.XMATCH($A626,Table2[Steel Member],0),_xlfn.XMATCH(AL$2,Table2[#Headers],0)))</f>
        <v>#N/A</v>
      </c>
      <c r="AM626" s="4"/>
      <c r="AN626" s="4" t="str">
        <f t="shared" si="147"/>
        <v/>
      </c>
      <c r="AO626" s="4"/>
      <c r="AP626" s="4" t="e" cm="1">
        <f t="array" ref="AP626">IF(INDEX(Table2[],_xlfn.XMATCH($A626,Table2[Steel Member],0),_xlfn.XMATCH(AP$2,Table2[#Headers],0))=0,"",INDEX(Table2[],_xlfn.XMATCH($A626,Table2[Steel Member],0),_xlfn.XMATCH(AP$2,Table2[#Headers],0)))</f>
        <v>#N/A</v>
      </c>
      <c r="AQ626" s="4"/>
      <c r="AR626" s="4"/>
      <c r="AS626" s="4"/>
      <c r="AT626" s="4"/>
    </row>
    <row r="627" spans="1:46" x14ac:dyDescent="0.25">
      <c r="A627" s="52"/>
      <c r="B627" s="52"/>
      <c r="C627" s="52"/>
      <c r="D627" s="52"/>
      <c r="E627" s="52"/>
      <c r="F627" s="64" cm="1">
        <f t="array" ref="F627">IF(COUNT(FIND(PurlinsxGirthsxBracings,$C627))&gt;0,0,ROUNDUP(IF(D627=0,0,VLOOKUP(D627,'DATA SHEET'!$B:$D,2,FALSE)),2))</f>
        <v>0</v>
      </c>
      <c r="G627" s="64" cm="1">
        <f t="array" ref="G627">IF(COUNT(FIND(PurlinsxGirthsxBracings,$C627))&gt;0,0,ROUNDUP(IF(D627=0,0,VLOOKUP(D627,'DATA SHEET'!$B:$D,3,FALSE)),2))</f>
        <v>0</v>
      </c>
      <c r="H627" s="53"/>
      <c r="I627" s="66" cm="1">
        <f t="array" ref="I627">IF(AND(ISBLANK(B627),ISBLANK(C627),ISBLANK(E627)),0,IF(COUNT(FIND(PurlinsxGirthsxBracings,$C627))&gt;0,IF(B627=0,CONCATENATE(E627," ",C627),CONCATENATE(B627," - ",E627," ",C627)),IF(B627=0,IF(ISBLANK(C627),E627,CONCATENATE(D627,", ",F627,"kg/m, ",G627,"mm surface perimeter")),IF(AND(ISBLANK(C627),ISTEXT(E627)),CONCATENATE(B627," - ",E627),IF(AND(ISBLANK(C627),ISBLANK(E627)),B627,CONCATENATE(B627," - ",D627,", ",F627,"kg/m, ",G627,"mm surface perimeter"))))&amp;IF(ISBLANK(H627),"",H627)))</f>
        <v>0</v>
      </c>
      <c r="J627" s="53"/>
      <c r="L627" s="4" t="str" cm="1">
        <f t="array" ref="L627">IF(COUNT(FIND({0,1,2,3,4,5,6,7,8,9},B627))&gt;0,COUNT(FIND({0,1,2,3,4,5,6,7,8,9},B627))&gt;0,"")</f>
        <v/>
      </c>
      <c r="M627" s="4" t="str" cm="1">
        <f t="array" aca="1" ref="M627" ca="1">IFERROR(_xlfn.IFS(R627="Count",RANDBETWEEN(1,COUNTIF($R$11:$R$653,"Count")),R627="Length",RANDBETWEEN(1,COUNTIF($R$11:$R$653,"Length"))),"")</f>
        <v/>
      </c>
      <c r="N627" s="4" t="str">
        <f ca="1">IFERROR(_xlfn.RANK.EQ(M627,$M$11:$M$653)+COUNTIF($M$11:M627,M627)-1,"")</f>
        <v/>
      </c>
      <c r="O627" s="86" t="str">
        <f>IF(A627='DATA SHEET'!$L$36,C627,IFERROR(IF(AND(ISTEXT(I627),ISBLANK(C627)),"No details",VLOOKUP(C627,DimFolder,2,FALSE)),""))</f>
        <v/>
      </c>
      <c r="P627" s="4" t="str">
        <f t="shared" si="149"/>
        <v/>
      </c>
      <c r="Q627" s="58" t="str">
        <f t="shared" si="148"/>
        <v/>
      </c>
      <c r="R627" s="4" t="e" cm="1">
        <f t="array" ref="R627">IF(INDEX(Table2[],_xlfn.XMATCH($A627,Table2[Steel Member],0),_xlfn.XMATCH(R$2,Table2[#Headers],0))=0,"",INDEX(Table2[],_xlfn.XMATCH($A627,Table2[Steel Member],0),_xlfn.XMATCH(R$2,Table2[#Headers],0)))</f>
        <v>#N/A</v>
      </c>
      <c r="S627" s="4" t="e" cm="1">
        <f t="array" ref="S627">IF(INDEX(Table2[],_xlfn.XMATCH($A627,Table2[Steel Member],0),_xlfn.XMATCH(S$2,Table2[#Headers],0))=0,"",INDEX(Table2[],_xlfn.XMATCH($A627,Table2[Steel Member],0),_xlfn.XMATCH(S$2,Table2[#Headers],0)))</f>
        <v>#N/A</v>
      </c>
      <c r="T627" s="4" t="str">
        <f t="shared" si="139"/>
        <v/>
      </c>
      <c r="U627" s="4" t="e">
        <f ca="1">VLOOKUP(N627,'COLOR CODE'!$B:$D,2,FALSE)</f>
        <v>#N/A</v>
      </c>
      <c r="V627" s="4" t="str">
        <f t="shared" si="140"/>
        <v/>
      </c>
      <c r="W627" s="4" t="e" cm="1">
        <f t="array" ref="W627">IF(INDEX(Table2[],_xlfn.XMATCH($A627,Table2[Steel Member],0),_xlfn.XMATCH(W$2,Table2[#Headers],0))=0,"",INDEX(Table2[],_xlfn.XMATCH($A627,Table2[Steel Member],0),_xlfn.XMATCH(W$2,Table2[#Headers],0)))</f>
        <v>#N/A</v>
      </c>
      <c r="X627" s="4" t="e">
        <f t="shared" si="150"/>
        <v>#N/A</v>
      </c>
      <c r="Y627" s="4" t="e" cm="1">
        <f t="array" ref="Y627">IF(INDEX(Table2[],_xlfn.XMATCH($A627,Table2[Steel Member],0),_xlfn.XMATCH(Y$2,Table2[#Headers],0))=0,"",INDEX(Table2[],_xlfn.XMATCH($A627,Table2[Steel Member],0),_xlfn.XMATCH(Y$2,Table2[#Headers],0)))</f>
        <v>#N/A</v>
      </c>
      <c r="Z627" s="4" t="e" cm="1">
        <f t="array" ref="Z627">IF(INDEX(Table2[],_xlfn.XMATCH($A627,Table2[Steel Member],0),_xlfn.XMATCH(Z$2,Table2[#Headers],0))=0,"",INDEX(Table2[],_xlfn.XMATCH($A627,Table2[Steel Member],0),_xlfn.XMATCH(Z$2,Table2[#Headers],0)))</f>
        <v>#N/A</v>
      </c>
      <c r="AA627" s="4" t="e" cm="1">
        <f t="array" ref="AA627">IF(INDEX(Table2[],_xlfn.XMATCH($A627,Table2[Steel Member],0),_xlfn.XMATCH(AA$2,Table2[#Headers],0))=0,"",INDEX(Table2[],_xlfn.XMATCH($A627,Table2[Steel Member],0),_xlfn.XMATCH(AA$2,Table2[#Headers],0)))</f>
        <v>#N/A</v>
      </c>
      <c r="AB627" s="4" t="e" cm="1">
        <f t="array" ref="AB627">IF(INDEX(Table2[],_xlfn.XMATCH($A627,Table2[Steel Member],0),_xlfn.XMATCH(AB$2,Table2[#Headers],0))=0,"",INDEX(Table2[],_xlfn.XMATCH($A627,Table2[Steel Member],0),_xlfn.XMATCH(AB$2,Table2[#Headers],0)))</f>
        <v>#N/A</v>
      </c>
      <c r="AC627" s="4" t="str" cm="1">
        <f t="array" ref="AC627">IFERROR(INDEX(Table8[],_xlfn.XMATCH($O627,Table8[Dimension Name Category],0),_xlfn.XMATCH(AC$2&amp;IF($L627," w/ tag"," w/o tag"),Table8[#Headers],0)),"")</f>
        <v/>
      </c>
      <c r="AD627" s="59" t="str">
        <f t="shared" si="141"/>
        <v/>
      </c>
      <c r="AE627" s="4" t="str">
        <f t="shared" si="142"/>
        <v/>
      </c>
      <c r="AF627" s="4" t="str">
        <f t="shared" si="143"/>
        <v/>
      </c>
      <c r="AG627" s="4" t="str" cm="1">
        <f t="array" ref="AG627">IFERROR(INDEX(Table8[],_xlfn.XMATCH($O627,Table8[Dimension Name Category],0),_xlfn.XMATCH(AG$2&amp;IF($L627," w/ tag"," w/o tag"),Table8[#Headers],0)),"")</f>
        <v/>
      </c>
      <c r="AH627" s="59" t="str">
        <f t="shared" si="144"/>
        <v/>
      </c>
      <c r="AI627" s="4"/>
      <c r="AJ627" s="4" t="str">
        <f t="shared" si="145"/>
        <v/>
      </c>
      <c r="AK627" s="4" t="str">
        <f t="shared" si="146"/>
        <v/>
      </c>
      <c r="AL627" s="4" t="e" cm="1">
        <f t="array" ref="AL627">IF(INDEX(Table2[],_xlfn.XMATCH($A627,Table2[Steel Member],0),_xlfn.XMATCH(AL$2,Table2[#Headers],0))=0,"",INDEX(Table2[],_xlfn.XMATCH($A627,Table2[Steel Member],0),_xlfn.XMATCH(AL$2,Table2[#Headers],0)))</f>
        <v>#N/A</v>
      </c>
      <c r="AM627" s="4"/>
      <c r="AN627" s="4" t="str">
        <f t="shared" si="147"/>
        <v/>
      </c>
      <c r="AO627" s="4"/>
      <c r="AP627" s="4" t="e" cm="1">
        <f t="array" ref="AP627">IF(INDEX(Table2[],_xlfn.XMATCH($A627,Table2[Steel Member],0),_xlfn.XMATCH(AP$2,Table2[#Headers],0))=0,"",INDEX(Table2[],_xlfn.XMATCH($A627,Table2[Steel Member],0),_xlfn.XMATCH(AP$2,Table2[#Headers],0)))</f>
        <v>#N/A</v>
      </c>
      <c r="AQ627" s="4"/>
      <c r="AR627" s="4"/>
      <c r="AS627" s="4"/>
      <c r="AT627" s="4"/>
    </row>
    <row r="628" spans="1:46" x14ac:dyDescent="0.25">
      <c r="A628" s="52"/>
      <c r="B628" s="52"/>
      <c r="C628" s="52"/>
      <c r="D628" s="52"/>
      <c r="E628" s="52"/>
      <c r="F628" s="64" cm="1">
        <f t="array" ref="F628">IF(COUNT(FIND(PurlinsxGirthsxBracings,$C628))&gt;0,0,ROUNDUP(IF(D628=0,0,VLOOKUP(D628,'DATA SHEET'!$B:$D,2,FALSE)),2))</f>
        <v>0</v>
      </c>
      <c r="G628" s="64" cm="1">
        <f t="array" ref="G628">IF(COUNT(FIND(PurlinsxGirthsxBracings,$C628))&gt;0,0,ROUNDUP(IF(D628=0,0,VLOOKUP(D628,'DATA SHEET'!$B:$D,3,FALSE)),2))</f>
        <v>0</v>
      </c>
      <c r="H628" s="53"/>
      <c r="I628" s="66" cm="1">
        <f t="array" ref="I628">IF(AND(ISBLANK(B628),ISBLANK(C628),ISBLANK(E628)),0,IF(COUNT(FIND(PurlinsxGirthsxBracings,$C628))&gt;0,IF(B628=0,CONCATENATE(E628," ",C628),CONCATENATE(B628," - ",E628," ",C628)),IF(B628=0,IF(ISBLANK(C628),E628,CONCATENATE(D628,", ",F628,"kg/m, ",G628,"mm surface perimeter")),IF(AND(ISBLANK(C628),ISTEXT(E628)),CONCATENATE(B628," - ",E628),IF(AND(ISBLANK(C628),ISBLANK(E628)),B628,CONCATENATE(B628," - ",D628,", ",F628,"kg/m, ",G628,"mm surface perimeter"))))&amp;IF(ISBLANK(H628),"",H628)))</f>
        <v>0</v>
      </c>
      <c r="J628" s="53"/>
      <c r="L628" s="4" t="str" cm="1">
        <f t="array" ref="L628">IF(COUNT(FIND({0,1,2,3,4,5,6,7,8,9},B628))&gt;0,COUNT(FIND({0,1,2,3,4,5,6,7,8,9},B628))&gt;0,"")</f>
        <v/>
      </c>
      <c r="M628" s="4" t="str" cm="1">
        <f t="array" aca="1" ref="M628" ca="1">IFERROR(_xlfn.IFS(R628="Count",RANDBETWEEN(1,COUNTIF($R$11:$R$653,"Count")),R628="Length",RANDBETWEEN(1,COUNTIF($R$11:$R$653,"Length"))),"")</f>
        <v/>
      </c>
      <c r="N628" s="4" t="str">
        <f ca="1">IFERROR(_xlfn.RANK.EQ(M628,$M$11:$M$653)+COUNTIF($M$11:M628,M628)-1,"")</f>
        <v/>
      </c>
      <c r="O628" s="86" t="str">
        <f>IF(A628='DATA SHEET'!$L$36,C628,IFERROR(IF(AND(ISTEXT(I628),ISBLANK(C628)),"No details",VLOOKUP(C628,DimFolder,2,FALSE)),""))</f>
        <v/>
      </c>
      <c r="P628" s="4" t="str">
        <f t="shared" si="149"/>
        <v/>
      </c>
      <c r="Q628" s="58" t="str">
        <f t="shared" si="148"/>
        <v/>
      </c>
      <c r="R628" s="4" t="e" cm="1">
        <f t="array" ref="R628">IF(INDEX(Table2[],_xlfn.XMATCH($A628,Table2[Steel Member],0),_xlfn.XMATCH(R$2,Table2[#Headers],0))=0,"",INDEX(Table2[],_xlfn.XMATCH($A628,Table2[Steel Member],0),_xlfn.XMATCH(R$2,Table2[#Headers],0)))</f>
        <v>#N/A</v>
      </c>
      <c r="S628" s="4" t="e" cm="1">
        <f t="array" ref="S628">IF(INDEX(Table2[],_xlfn.XMATCH($A628,Table2[Steel Member],0),_xlfn.XMATCH(S$2,Table2[#Headers],0))=0,"",INDEX(Table2[],_xlfn.XMATCH($A628,Table2[Steel Member],0),_xlfn.XMATCH(S$2,Table2[#Headers],0)))</f>
        <v>#N/A</v>
      </c>
      <c r="T628" s="4" t="str">
        <f t="shared" si="139"/>
        <v/>
      </c>
      <c r="U628" s="4" t="e">
        <f ca="1">VLOOKUP(N628,'COLOR CODE'!$B:$D,2,FALSE)</f>
        <v>#N/A</v>
      </c>
      <c r="V628" s="4" t="str">
        <f t="shared" si="140"/>
        <v/>
      </c>
      <c r="W628" s="4" t="e" cm="1">
        <f t="array" ref="W628">IF(INDEX(Table2[],_xlfn.XMATCH($A628,Table2[Steel Member],0),_xlfn.XMATCH(W$2,Table2[#Headers],0))=0,"",INDEX(Table2[],_xlfn.XMATCH($A628,Table2[Steel Member],0),_xlfn.XMATCH(W$2,Table2[#Headers],0)))</f>
        <v>#N/A</v>
      </c>
      <c r="X628" s="4" t="e">
        <f t="shared" si="150"/>
        <v>#N/A</v>
      </c>
      <c r="Y628" s="4" t="e" cm="1">
        <f t="array" ref="Y628">IF(INDEX(Table2[],_xlfn.XMATCH($A628,Table2[Steel Member],0),_xlfn.XMATCH(Y$2,Table2[#Headers],0))=0,"",INDEX(Table2[],_xlfn.XMATCH($A628,Table2[Steel Member],0),_xlfn.XMATCH(Y$2,Table2[#Headers],0)))</f>
        <v>#N/A</v>
      </c>
      <c r="Z628" s="4" t="e" cm="1">
        <f t="array" ref="Z628">IF(INDEX(Table2[],_xlfn.XMATCH($A628,Table2[Steel Member],0),_xlfn.XMATCH(Z$2,Table2[#Headers],0))=0,"",INDEX(Table2[],_xlfn.XMATCH($A628,Table2[Steel Member],0),_xlfn.XMATCH(Z$2,Table2[#Headers],0)))</f>
        <v>#N/A</v>
      </c>
      <c r="AA628" s="4" t="e" cm="1">
        <f t="array" ref="AA628">IF(INDEX(Table2[],_xlfn.XMATCH($A628,Table2[Steel Member],0),_xlfn.XMATCH(AA$2,Table2[#Headers],0))=0,"",INDEX(Table2[],_xlfn.XMATCH($A628,Table2[Steel Member],0),_xlfn.XMATCH(AA$2,Table2[#Headers],0)))</f>
        <v>#N/A</v>
      </c>
      <c r="AB628" s="4" t="e" cm="1">
        <f t="array" ref="AB628">IF(INDEX(Table2[],_xlfn.XMATCH($A628,Table2[Steel Member],0),_xlfn.XMATCH(AB$2,Table2[#Headers],0))=0,"",INDEX(Table2[],_xlfn.XMATCH($A628,Table2[Steel Member],0),_xlfn.XMATCH(AB$2,Table2[#Headers],0)))</f>
        <v>#N/A</v>
      </c>
      <c r="AC628" s="4" t="str" cm="1">
        <f t="array" ref="AC628">IFERROR(INDEX(Table8[],_xlfn.XMATCH($O628,Table8[Dimension Name Category],0),_xlfn.XMATCH(AC$2&amp;IF($L628," w/ tag"," w/o tag"),Table8[#Headers],0)),"")</f>
        <v/>
      </c>
      <c r="AD628" s="59" t="str">
        <f t="shared" si="141"/>
        <v/>
      </c>
      <c r="AE628" s="4" t="str">
        <f t="shared" si="142"/>
        <v/>
      </c>
      <c r="AF628" s="4" t="str">
        <f t="shared" si="143"/>
        <v/>
      </c>
      <c r="AG628" s="4" t="str" cm="1">
        <f t="array" ref="AG628">IFERROR(INDEX(Table8[],_xlfn.XMATCH($O628,Table8[Dimension Name Category],0),_xlfn.XMATCH(AG$2&amp;IF($L628," w/ tag"," w/o tag"),Table8[#Headers],0)),"")</f>
        <v/>
      </c>
      <c r="AH628" s="59" t="str">
        <f t="shared" si="144"/>
        <v/>
      </c>
      <c r="AI628" s="4"/>
      <c r="AJ628" s="4" t="str">
        <f t="shared" si="145"/>
        <v/>
      </c>
      <c r="AK628" s="4" t="str">
        <f t="shared" si="146"/>
        <v/>
      </c>
      <c r="AL628" s="4" t="e" cm="1">
        <f t="array" ref="AL628">IF(INDEX(Table2[],_xlfn.XMATCH($A628,Table2[Steel Member],0),_xlfn.XMATCH(AL$2,Table2[#Headers],0))=0,"",INDEX(Table2[],_xlfn.XMATCH($A628,Table2[Steel Member],0),_xlfn.XMATCH(AL$2,Table2[#Headers],0)))</f>
        <v>#N/A</v>
      </c>
      <c r="AM628" s="4"/>
      <c r="AN628" s="4" t="str">
        <f t="shared" si="147"/>
        <v/>
      </c>
      <c r="AO628" s="4"/>
      <c r="AP628" s="4" t="e" cm="1">
        <f t="array" ref="AP628">IF(INDEX(Table2[],_xlfn.XMATCH($A628,Table2[Steel Member],0),_xlfn.XMATCH(AP$2,Table2[#Headers],0))=0,"",INDEX(Table2[],_xlfn.XMATCH($A628,Table2[Steel Member],0),_xlfn.XMATCH(AP$2,Table2[#Headers],0)))</f>
        <v>#N/A</v>
      </c>
      <c r="AQ628" s="4"/>
      <c r="AR628" s="4"/>
      <c r="AS628" s="4"/>
      <c r="AT628" s="4"/>
    </row>
    <row r="629" spans="1:46" x14ac:dyDescent="0.25">
      <c r="A629" s="52"/>
      <c r="B629" s="52"/>
      <c r="C629" s="52"/>
      <c r="D629" s="52"/>
      <c r="E629" s="52"/>
      <c r="F629" s="64" cm="1">
        <f t="array" ref="F629">IF(COUNT(FIND(PurlinsxGirthsxBracings,$C629))&gt;0,0,ROUNDUP(IF(D629=0,0,VLOOKUP(D629,'DATA SHEET'!$B:$D,2,FALSE)),2))</f>
        <v>0</v>
      </c>
      <c r="G629" s="64" cm="1">
        <f t="array" ref="G629">IF(COUNT(FIND(PurlinsxGirthsxBracings,$C629))&gt;0,0,ROUNDUP(IF(D629=0,0,VLOOKUP(D629,'DATA SHEET'!$B:$D,3,FALSE)),2))</f>
        <v>0</v>
      </c>
      <c r="H629" s="53"/>
      <c r="I629" s="66" cm="1">
        <f t="array" ref="I629">IF(AND(ISBLANK(B629),ISBLANK(C629),ISBLANK(E629)),0,IF(COUNT(FIND(PurlinsxGirthsxBracings,$C629))&gt;0,IF(B629=0,CONCATENATE(E629," ",C629),CONCATENATE(B629," - ",E629," ",C629)),IF(B629=0,IF(ISBLANK(C629),E629,CONCATENATE(D629,", ",F629,"kg/m, ",G629,"mm surface perimeter")),IF(AND(ISBLANK(C629),ISTEXT(E629)),CONCATENATE(B629," - ",E629),IF(AND(ISBLANK(C629),ISBLANK(E629)),B629,CONCATENATE(B629," - ",D629,", ",F629,"kg/m, ",G629,"mm surface perimeter"))))&amp;IF(ISBLANK(H629),"",H629)))</f>
        <v>0</v>
      </c>
      <c r="J629" s="53"/>
      <c r="L629" s="4" t="str" cm="1">
        <f t="array" ref="L629">IF(COUNT(FIND({0,1,2,3,4,5,6,7,8,9},B629))&gt;0,COUNT(FIND({0,1,2,3,4,5,6,7,8,9},B629))&gt;0,"")</f>
        <v/>
      </c>
      <c r="M629" s="4" t="str" cm="1">
        <f t="array" aca="1" ref="M629" ca="1">IFERROR(_xlfn.IFS(R629="Count",RANDBETWEEN(1,COUNTIF($R$11:$R$653,"Count")),R629="Length",RANDBETWEEN(1,COUNTIF($R$11:$R$653,"Length"))),"")</f>
        <v/>
      </c>
      <c r="N629" s="4" t="str">
        <f ca="1">IFERROR(_xlfn.RANK.EQ(M629,$M$11:$M$653)+COUNTIF($M$11:M629,M629)-1,"")</f>
        <v/>
      </c>
      <c r="O629" s="86" t="str">
        <f>IF(A629='DATA SHEET'!$L$36,C629,IFERROR(IF(AND(ISTEXT(I629),ISBLANK(C629)),"No details",VLOOKUP(C629,DimFolder,2,FALSE)),""))</f>
        <v/>
      </c>
      <c r="P629" s="4" t="str">
        <f t="shared" si="149"/>
        <v/>
      </c>
      <c r="Q629" s="58" t="str">
        <f t="shared" si="148"/>
        <v/>
      </c>
      <c r="R629" s="4" t="e" cm="1">
        <f t="array" ref="R629">IF(INDEX(Table2[],_xlfn.XMATCH($A629,Table2[Steel Member],0),_xlfn.XMATCH(R$2,Table2[#Headers],0))=0,"",INDEX(Table2[],_xlfn.XMATCH($A629,Table2[Steel Member],0),_xlfn.XMATCH(R$2,Table2[#Headers],0)))</f>
        <v>#N/A</v>
      </c>
      <c r="S629" s="4" t="e" cm="1">
        <f t="array" ref="S629">IF(INDEX(Table2[],_xlfn.XMATCH($A629,Table2[Steel Member],0),_xlfn.XMATCH(S$2,Table2[#Headers],0))=0,"",INDEX(Table2[],_xlfn.XMATCH($A629,Table2[Steel Member],0),_xlfn.XMATCH(S$2,Table2[#Headers],0)))</f>
        <v>#N/A</v>
      </c>
      <c r="T629" s="4" t="str">
        <f t="shared" ref="T629:T653" si="151">IF(AND(ISBLANK(B629),ISBLANK(C629)),"","t")</f>
        <v/>
      </c>
      <c r="U629" s="4" t="e">
        <f ca="1">VLOOKUP(N629,'COLOR CODE'!$B:$D,2,FALSE)</f>
        <v>#N/A</v>
      </c>
      <c r="V629" s="4" t="str">
        <f t="shared" ref="V629:V653" si="152">IF(AND(ISBLANK(B629),ISBLANK(C629)),"","Red")</f>
        <v/>
      </c>
      <c r="W629" s="4" t="e" cm="1">
        <f t="array" ref="W629">IF(INDEX(Table2[],_xlfn.XMATCH($A629,Table2[Steel Member],0),_xlfn.XMATCH(W$2,Table2[#Headers],0))=0,"",INDEX(Table2[],_xlfn.XMATCH($A629,Table2[Steel Member],0),_xlfn.XMATCH(W$2,Table2[#Headers],0)))</f>
        <v>#N/A</v>
      </c>
      <c r="X629" s="4" t="e">
        <f t="shared" si="150"/>
        <v>#N/A</v>
      </c>
      <c r="Y629" s="4" t="e" cm="1">
        <f t="array" ref="Y629">IF(INDEX(Table2[],_xlfn.XMATCH($A629,Table2[Steel Member],0),_xlfn.XMATCH(Y$2,Table2[#Headers],0))=0,"",INDEX(Table2[],_xlfn.XMATCH($A629,Table2[Steel Member],0),_xlfn.XMATCH(Y$2,Table2[#Headers],0)))</f>
        <v>#N/A</v>
      </c>
      <c r="Z629" s="4" t="e" cm="1">
        <f t="array" ref="Z629">IF(INDEX(Table2[],_xlfn.XMATCH($A629,Table2[Steel Member],0),_xlfn.XMATCH(Z$2,Table2[#Headers],0))=0,"",INDEX(Table2[],_xlfn.XMATCH($A629,Table2[Steel Member],0),_xlfn.XMATCH(Z$2,Table2[#Headers],0)))</f>
        <v>#N/A</v>
      </c>
      <c r="AA629" s="4" t="e" cm="1">
        <f t="array" ref="AA629">IF(INDEX(Table2[],_xlfn.XMATCH($A629,Table2[Steel Member],0),_xlfn.XMATCH(AA$2,Table2[#Headers],0))=0,"",INDEX(Table2[],_xlfn.XMATCH($A629,Table2[Steel Member],0),_xlfn.XMATCH(AA$2,Table2[#Headers],0)))</f>
        <v>#N/A</v>
      </c>
      <c r="AB629" s="4" t="e" cm="1">
        <f t="array" ref="AB629">IF(INDEX(Table2[],_xlfn.XMATCH($A629,Table2[Steel Member],0),_xlfn.XMATCH(AB$2,Table2[#Headers],0))=0,"",INDEX(Table2[],_xlfn.XMATCH($A629,Table2[Steel Member],0),_xlfn.XMATCH(AB$2,Table2[#Headers],0)))</f>
        <v>#N/A</v>
      </c>
      <c r="AC629" s="4" t="str" cm="1">
        <f t="array" ref="AC629">IFERROR(INDEX(Table8[],_xlfn.XMATCH($O629,Table8[Dimension Name Category],0),_xlfn.XMATCH(AC$2&amp;IF($L629," w/ tag"," w/o tag"),Table8[#Headers],0)),"")</f>
        <v/>
      </c>
      <c r="AD629" s="59" t="str">
        <f t="shared" ref="AD629:AD653" si="153">IF(OR($AC629="",$AC629=0),"",IF($A629=Column,"{Length}*XNUMBER({Dimension Group Name},"&amp;$AC629&amp;")/1000","{Length}*XNUMBER({Dimension Group Name},"&amp;$AC629&amp;")/1000*{Slope Factor}"))</f>
        <v/>
      </c>
      <c r="AE629" s="4" t="str">
        <f t="shared" ref="AE629:AE653" si="154">IF(AND(ISBLANK(B629),ISBLANK(C629)),"",IF($A629=Purlins_Girths_Bracings,"","Steel Surface Area"))</f>
        <v/>
      </c>
      <c r="AF629" s="4" t="str">
        <f t="shared" ref="AF629:AF653" si="155">IF(AND(ISBLANK(B629),ISBLANK(C629)),"",IF($A629=Purlins_Girths_Bracings,"","m2"))</f>
        <v/>
      </c>
      <c r="AG629" s="4" t="str" cm="1">
        <f t="array" ref="AG629">IFERROR(INDEX(Table8[],_xlfn.XMATCH($O629,Table8[Dimension Name Category],0),_xlfn.XMATCH(AG$2&amp;IF($L629," w/ tag"," w/o tag"),Table8[#Headers],0)),"")</f>
        <v/>
      </c>
      <c r="AH629" s="59" t="str">
        <f t="shared" ref="AH629:AH653" si="156">IF(OR($AG629="",$AG629=0),"",IF($A629=Column,"{Length}*XNUMBER({Dimension Group Name},"&amp;$AG629&amp;")/1000","{Length}*XNUMBER({Dimension Group Name},"&amp;$AG629&amp;")/1000*{Slope Factor}"))</f>
        <v/>
      </c>
      <c r="AI629" s="4"/>
      <c r="AJ629" s="4" t="str">
        <f t="shared" ref="AJ629:AJ653" si="157">IF(OR($A629=Column,$A629=""),"","Slope Length")</f>
        <v/>
      </c>
      <c r="AK629" s="4" t="str">
        <f t="shared" ref="AK629:AK653" si="158">IF(OR($A629=Column,$A629=""),"","m")</f>
        <v/>
      </c>
      <c r="AL629" s="4" t="e" cm="1">
        <f t="array" ref="AL629">IF(INDEX(Table2[],_xlfn.XMATCH($A629,Table2[Steel Member],0),_xlfn.XMATCH(AL$2,Table2[#Headers],0))=0,"",INDEX(Table2[],_xlfn.XMATCH($A629,Table2[Steel Member],0),_xlfn.XMATCH(AL$2,Table2[#Headers],0)))</f>
        <v>#N/A</v>
      </c>
      <c r="AM629" s="4"/>
      <c r="AN629" s="4" t="str">
        <f t="shared" ref="AN629:AN653" si="159">IF(OR($A629=Column,$A629=""),"","Slope Factor")</f>
        <v/>
      </c>
      <c r="AO629" s="4"/>
      <c r="AP629" s="4" t="e" cm="1">
        <f t="array" ref="AP629">IF(INDEX(Table2[],_xlfn.XMATCH($A629,Table2[Steel Member],0),_xlfn.XMATCH(AP$2,Table2[#Headers],0))=0,"",INDEX(Table2[],_xlfn.XMATCH($A629,Table2[Steel Member],0),_xlfn.XMATCH(AP$2,Table2[#Headers],0)))</f>
        <v>#N/A</v>
      </c>
      <c r="AQ629" s="4"/>
      <c r="AR629" s="4"/>
      <c r="AS629" s="4"/>
      <c r="AT629" s="4"/>
    </row>
    <row r="630" spans="1:46" x14ac:dyDescent="0.25">
      <c r="A630" s="52"/>
      <c r="B630" s="52"/>
      <c r="C630" s="52"/>
      <c r="D630" s="52"/>
      <c r="E630" s="52"/>
      <c r="F630" s="64" cm="1">
        <f t="array" ref="F630">IF(COUNT(FIND(PurlinsxGirthsxBracings,$C630))&gt;0,0,ROUNDUP(IF(D630=0,0,VLOOKUP(D630,'DATA SHEET'!$B:$D,2,FALSE)),2))</f>
        <v>0</v>
      </c>
      <c r="G630" s="64" cm="1">
        <f t="array" ref="G630">IF(COUNT(FIND(PurlinsxGirthsxBracings,$C630))&gt;0,0,ROUNDUP(IF(D630=0,0,VLOOKUP(D630,'DATA SHEET'!$B:$D,3,FALSE)),2))</f>
        <v>0</v>
      </c>
      <c r="H630" s="53"/>
      <c r="I630" s="66" cm="1">
        <f t="array" ref="I630">IF(AND(ISBLANK(B630),ISBLANK(C630),ISBLANK(E630)),0,IF(COUNT(FIND(PurlinsxGirthsxBracings,$C630))&gt;0,IF(B630=0,CONCATENATE(E630," ",C630),CONCATENATE(B630," - ",E630," ",C630)),IF(B630=0,IF(ISBLANK(C630),E630,CONCATENATE(D630,", ",F630,"kg/m, ",G630,"mm surface perimeter")),IF(AND(ISBLANK(C630),ISTEXT(E630)),CONCATENATE(B630," - ",E630),IF(AND(ISBLANK(C630),ISBLANK(E630)),B630,CONCATENATE(B630," - ",D630,", ",F630,"kg/m, ",G630,"mm surface perimeter"))))&amp;IF(ISBLANK(H630),"",H630)))</f>
        <v>0</v>
      </c>
      <c r="J630" s="53"/>
      <c r="L630" s="4" t="str" cm="1">
        <f t="array" ref="L630">IF(COUNT(FIND({0,1,2,3,4,5,6,7,8,9},B630))&gt;0,COUNT(FIND({0,1,2,3,4,5,6,7,8,9},B630))&gt;0,"")</f>
        <v/>
      </c>
      <c r="M630" s="4" t="str" cm="1">
        <f t="array" aca="1" ref="M630" ca="1">IFERROR(_xlfn.IFS(R630="Count",RANDBETWEEN(1,COUNTIF($R$11:$R$653,"Count")),R630="Length",RANDBETWEEN(1,COUNTIF($R$11:$R$653,"Length"))),"")</f>
        <v/>
      </c>
      <c r="N630" s="4" t="str">
        <f ca="1">IFERROR(_xlfn.RANK.EQ(M630,$M$11:$M$653)+COUNTIF($M$11:M630,M630)-1,"")</f>
        <v/>
      </c>
      <c r="O630" s="86" t="str">
        <f>IF(A630='DATA SHEET'!$L$36,C630,IFERROR(IF(AND(ISTEXT(I630),ISBLANK(C630)),"No details",VLOOKUP(C630,DimFolder,2,FALSE)),""))</f>
        <v/>
      </c>
      <c r="P630" s="4" t="str">
        <f t="shared" si="149"/>
        <v/>
      </c>
      <c r="Q630" s="58" t="str">
        <f t="shared" ref="Q630:Q653" si="160">IF(AND(ISBLANK(B630),ISBLANK(C630)),"",I630)</f>
        <v/>
      </c>
      <c r="R630" s="4" t="e" cm="1">
        <f t="array" ref="R630">IF(INDEX(Table2[],_xlfn.XMATCH($A630,Table2[Steel Member],0),_xlfn.XMATCH(R$2,Table2[#Headers],0))=0,"",INDEX(Table2[],_xlfn.XMATCH($A630,Table2[Steel Member],0),_xlfn.XMATCH(R$2,Table2[#Headers],0)))</f>
        <v>#N/A</v>
      </c>
      <c r="S630" s="4" t="e" cm="1">
        <f t="array" ref="S630">IF(INDEX(Table2[],_xlfn.XMATCH($A630,Table2[Steel Member],0),_xlfn.XMATCH(S$2,Table2[#Headers],0))=0,"",INDEX(Table2[],_xlfn.XMATCH($A630,Table2[Steel Member],0),_xlfn.XMATCH(S$2,Table2[#Headers],0)))</f>
        <v>#N/A</v>
      </c>
      <c r="T630" s="4" t="str">
        <f t="shared" si="151"/>
        <v/>
      </c>
      <c r="U630" s="4" t="e">
        <f ca="1">VLOOKUP(N630,'COLOR CODE'!$B:$D,2,FALSE)</f>
        <v>#N/A</v>
      </c>
      <c r="V630" s="4" t="str">
        <f t="shared" si="152"/>
        <v/>
      </c>
      <c r="W630" s="4" t="e" cm="1">
        <f t="array" ref="W630">IF(INDEX(Table2[],_xlfn.XMATCH($A630,Table2[Steel Member],0),_xlfn.XMATCH(W$2,Table2[#Headers],0))=0,"",INDEX(Table2[],_xlfn.XMATCH($A630,Table2[Steel Member],0),_xlfn.XMATCH(W$2,Table2[#Headers],0)))</f>
        <v>#N/A</v>
      </c>
      <c r="X630" s="4" t="e">
        <f t="shared" si="150"/>
        <v>#N/A</v>
      </c>
      <c r="Y630" s="4" t="e" cm="1">
        <f t="array" ref="Y630">IF(INDEX(Table2[],_xlfn.XMATCH($A630,Table2[Steel Member],0),_xlfn.XMATCH(Y$2,Table2[#Headers],0))=0,"",INDEX(Table2[],_xlfn.XMATCH($A630,Table2[Steel Member],0),_xlfn.XMATCH(Y$2,Table2[#Headers],0)))</f>
        <v>#N/A</v>
      </c>
      <c r="Z630" s="4" t="e" cm="1">
        <f t="array" ref="Z630">IF(INDEX(Table2[],_xlfn.XMATCH($A630,Table2[Steel Member],0),_xlfn.XMATCH(Z$2,Table2[#Headers],0))=0,"",INDEX(Table2[],_xlfn.XMATCH($A630,Table2[Steel Member],0),_xlfn.XMATCH(Z$2,Table2[#Headers],0)))</f>
        <v>#N/A</v>
      </c>
      <c r="AA630" s="4" t="e" cm="1">
        <f t="array" ref="AA630">IF(INDEX(Table2[],_xlfn.XMATCH($A630,Table2[Steel Member],0),_xlfn.XMATCH(AA$2,Table2[#Headers],0))=0,"",INDEX(Table2[],_xlfn.XMATCH($A630,Table2[Steel Member],0),_xlfn.XMATCH(AA$2,Table2[#Headers],0)))</f>
        <v>#N/A</v>
      </c>
      <c r="AB630" s="4" t="e" cm="1">
        <f t="array" ref="AB630">IF(INDEX(Table2[],_xlfn.XMATCH($A630,Table2[Steel Member],0),_xlfn.XMATCH(AB$2,Table2[#Headers],0))=0,"",INDEX(Table2[],_xlfn.XMATCH($A630,Table2[Steel Member],0),_xlfn.XMATCH(AB$2,Table2[#Headers],0)))</f>
        <v>#N/A</v>
      </c>
      <c r="AC630" s="4" t="str" cm="1">
        <f t="array" ref="AC630">IFERROR(INDEX(Table8[],_xlfn.XMATCH($O630,Table8[Dimension Name Category],0),_xlfn.XMATCH(AC$2&amp;IF($L630," w/ tag"," w/o tag"),Table8[#Headers],0)),"")</f>
        <v/>
      </c>
      <c r="AD630" s="59" t="str">
        <f t="shared" si="153"/>
        <v/>
      </c>
      <c r="AE630" s="4" t="str">
        <f t="shared" si="154"/>
        <v/>
      </c>
      <c r="AF630" s="4" t="str">
        <f t="shared" si="155"/>
        <v/>
      </c>
      <c r="AG630" s="4" t="str" cm="1">
        <f t="array" ref="AG630">IFERROR(INDEX(Table8[],_xlfn.XMATCH($O630,Table8[Dimension Name Category],0),_xlfn.XMATCH(AG$2&amp;IF($L630," w/ tag"," w/o tag"),Table8[#Headers],0)),"")</f>
        <v/>
      </c>
      <c r="AH630" s="59" t="str">
        <f t="shared" si="156"/>
        <v/>
      </c>
      <c r="AI630" s="4"/>
      <c r="AJ630" s="4" t="str">
        <f t="shared" si="157"/>
        <v/>
      </c>
      <c r="AK630" s="4" t="str">
        <f t="shared" si="158"/>
        <v/>
      </c>
      <c r="AL630" s="4" t="e" cm="1">
        <f t="array" ref="AL630">IF(INDEX(Table2[],_xlfn.XMATCH($A630,Table2[Steel Member],0),_xlfn.XMATCH(AL$2,Table2[#Headers],0))=0,"",INDEX(Table2[],_xlfn.XMATCH($A630,Table2[Steel Member],0),_xlfn.XMATCH(AL$2,Table2[#Headers],0)))</f>
        <v>#N/A</v>
      </c>
      <c r="AM630" s="4"/>
      <c r="AN630" s="4" t="str">
        <f t="shared" si="159"/>
        <v/>
      </c>
      <c r="AO630" s="4"/>
      <c r="AP630" s="4" t="e" cm="1">
        <f t="array" ref="AP630">IF(INDEX(Table2[],_xlfn.XMATCH($A630,Table2[Steel Member],0),_xlfn.XMATCH(AP$2,Table2[#Headers],0))=0,"",INDEX(Table2[],_xlfn.XMATCH($A630,Table2[Steel Member],0),_xlfn.XMATCH(AP$2,Table2[#Headers],0)))</f>
        <v>#N/A</v>
      </c>
      <c r="AQ630" s="4"/>
      <c r="AR630" s="4"/>
      <c r="AS630" s="4"/>
      <c r="AT630" s="4"/>
    </row>
    <row r="631" spans="1:46" x14ac:dyDescent="0.25">
      <c r="A631" s="52"/>
      <c r="B631" s="52"/>
      <c r="C631" s="52"/>
      <c r="D631" s="52"/>
      <c r="E631" s="52"/>
      <c r="F631" s="64" cm="1">
        <f t="array" ref="F631">IF(COUNT(FIND(PurlinsxGirthsxBracings,$C631))&gt;0,0,ROUNDUP(IF(D631=0,0,VLOOKUP(D631,'DATA SHEET'!$B:$D,2,FALSE)),2))</f>
        <v>0</v>
      </c>
      <c r="G631" s="64" cm="1">
        <f t="array" ref="G631">IF(COUNT(FIND(PurlinsxGirthsxBracings,$C631))&gt;0,0,ROUNDUP(IF(D631=0,0,VLOOKUP(D631,'DATA SHEET'!$B:$D,3,FALSE)),2))</f>
        <v>0</v>
      </c>
      <c r="H631" s="53"/>
      <c r="I631" s="66" cm="1">
        <f t="array" ref="I631">IF(AND(ISBLANK(B631),ISBLANK(C631),ISBLANK(E631)),0,IF(COUNT(FIND(PurlinsxGirthsxBracings,$C631))&gt;0,IF(B631=0,CONCATENATE(E631," ",C631),CONCATENATE(B631," - ",E631," ",C631)),IF(B631=0,IF(ISBLANK(C631),E631,CONCATENATE(D631,", ",F631,"kg/m, ",G631,"mm surface perimeter")),IF(AND(ISBLANK(C631),ISTEXT(E631)),CONCATENATE(B631," - ",E631),IF(AND(ISBLANK(C631),ISBLANK(E631)),B631,CONCATENATE(B631," - ",D631,", ",F631,"kg/m, ",G631,"mm surface perimeter"))))&amp;IF(ISBLANK(H631),"",H631)))</f>
        <v>0</v>
      </c>
      <c r="J631" s="53"/>
      <c r="L631" s="4" t="str" cm="1">
        <f t="array" ref="L631">IF(COUNT(FIND({0,1,2,3,4,5,6,7,8,9},B631))&gt;0,COUNT(FIND({0,1,2,3,4,5,6,7,8,9},B631))&gt;0,"")</f>
        <v/>
      </c>
      <c r="M631" s="4" t="str" cm="1">
        <f t="array" aca="1" ref="M631" ca="1">IFERROR(_xlfn.IFS(R631="Count",RANDBETWEEN(1,COUNTIF($R$11:$R$653,"Count")),R631="Length",RANDBETWEEN(1,COUNTIF($R$11:$R$653,"Length"))),"")</f>
        <v/>
      </c>
      <c r="N631" s="4" t="str">
        <f ca="1">IFERROR(_xlfn.RANK.EQ(M631,$M$11:$M$653)+COUNTIF($M$11:M631,M631)-1,"")</f>
        <v/>
      </c>
      <c r="O631" s="86" t="str">
        <f>IF(A631='DATA SHEET'!$L$36,C631,IFERROR(IF(AND(ISTEXT(I631),ISBLANK(C631)),"No details",VLOOKUP(C631,DimFolder,2,FALSE)),""))</f>
        <v/>
      </c>
      <c r="P631" s="4" t="str">
        <f t="shared" si="149"/>
        <v/>
      </c>
      <c r="Q631" s="58" t="str">
        <f t="shared" si="160"/>
        <v/>
      </c>
      <c r="R631" s="4" t="e" cm="1">
        <f t="array" ref="R631">IF(INDEX(Table2[],_xlfn.XMATCH($A631,Table2[Steel Member],0),_xlfn.XMATCH(R$2,Table2[#Headers],0))=0,"",INDEX(Table2[],_xlfn.XMATCH($A631,Table2[Steel Member],0),_xlfn.XMATCH(R$2,Table2[#Headers],0)))</f>
        <v>#N/A</v>
      </c>
      <c r="S631" s="4" t="e" cm="1">
        <f t="array" ref="S631">IF(INDEX(Table2[],_xlfn.XMATCH($A631,Table2[Steel Member],0),_xlfn.XMATCH(S$2,Table2[#Headers],0))=0,"",INDEX(Table2[],_xlfn.XMATCH($A631,Table2[Steel Member],0),_xlfn.XMATCH(S$2,Table2[#Headers],0)))</f>
        <v>#N/A</v>
      </c>
      <c r="T631" s="4" t="str">
        <f t="shared" si="151"/>
        <v/>
      </c>
      <c r="U631" s="4" t="e">
        <f ca="1">VLOOKUP(N631,'COLOR CODE'!$B:$D,2,FALSE)</f>
        <v>#N/A</v>
      </c>
      <c r="V631" s="4" t="str">
        <f t="shared" si="152"/>
        <v/>
      </c>
      <c r="W631" s="4" t="e" cm="1">
        <f t="array" ref="W631">IF(INDEX(Table2[],_xlfn.XMATCH($A631,Table2[Steel Member],0),_xlfn.XMATCH(W$2,Table2[#Headers],0))=0,"",INDEX(Table2[],_xlfn.XMATCH($A631,Table2[Steel Member],0),_xlfn.XMATCH(W$2,Table2[#Headers],0)))</f>
        <v>#N/A</v>
      </c>
      <c r="X631" s="4" t="e">
        <f t="shared" si="150"/>
        <v>#N/A</v>
      </c>
      <c r="Y631" s="4" t="e" cm="1">
        <f t="array" ref="Y631">IF(INDEX(Table2[],_xlfn.XMATCH($A631,Table2[Steel Member],0),_xlfn.XMATCH(Y$2,Table2[#Headers],0))=0,"",INDEX(Table2[],_xlfn.XMATCH($A631,Table2[Steel Member],0),_xlfn.XMATCH(Y$2,Table2[#Headers],0)))</f>
        <v>#N/A</v>
      </c>
      <c r="Z631" s="4" t="e" cm="1">
        <f t="array" ref="Z631">IF(INDEX(Table2[],_xlfn.XMATCH($A631,Table2[Steel Member],0),_xlfn.XMATCH(Z$2,Table2[#Headers],0))=0,"",INDEX(Table2[],_xlfn.XMATCH($A631,Table2[Steel Member],0),_xlfn.XMATCH(Z$2,Table2[#Headers],0)))</f>
        <v>#N/A</v>
      </c>
      <c r="AA631" s="4" t="e" cm="1">
        <f t="array" ref="AA631">IF(INDEX(Table2[],_xlfn.XMATCH($A631,Table2[Steel Member],0),_xlfn.XMATCH(AA$2,Table2[#Headers],0))=0,"",INDEX(Table2[],_xlfn.XMATCH($A631,Table2[Steel Member],0),_xlfn.XMATCH(AA$2,Table2[#Headers],0)))</f>
        <v>#N/A</v>
      </c>
      <c r="AB631" s="4" t="e" cm="1">
        <f t="array" ref="AB631">IF(INDEX(Table2[],_xlfn.XMATCH($A631,Table2[Steel Member],0),_xlfn.XMATCH(AB$2,Table2[#Headers],0))=0,"",INDEX(Table2[],_xlfn.XMATCH($A631,Table2[Steel Member],0),_xlfn.XMATCH(AB$2,Table2[#Headers],0)))</f>
        <v>#N/A</v>
      </c>
      <c r="AC631" s="4" t="str" cm="1">
        <f t="array" ref="AC631">IFERROR(INDEX(Table8[],_xlfn.XMATCH($O631,Table8[Dimension Name Category],0),_xlfn.XMATCH(AC$2&amp;IF($L631," w/ tag"," w/o tag"),Table8[#Headers],0)),"")</f>
        <v/>
      </c>
      <c r="AD631" s="59" t="str">
        <f t="shared" si="153"/>
        <v/>
      </c>
      <c r="AE631" s="4" t="str">
        <f t="shared" si="154"/>
        <v/>
      </c>
      <c r="AF631" s="4" t="str">
        <f t="shared" si="155"/>
        <v/>
      </c>
      <c r="AG631" s="4" t="str" cm="1">
        <f t="array" ref="AG631">IFERROR(INDEX(Table8[],_xlfn.XMATCH($O631,Table8[Dimension Name Category],0),_xlfn.XMATCH(AG$2&amp;IF($L631," w/ tag"," w/o tag"),Table8[#Headers],0)),"")</f>
        <v/>
      </c>
      <c r="AH631" s="59" t="str">
        <f t="shared" si="156"/>
        <v/>
      </c>
      <c r="AI631" s="4"/>
      <c r="AJ631" s="4" t="str">
        <f t="shared" si="157"/>
        <v/>
      </c>
      <c r="AK631" s="4" t="str">
        <f t="shared" si="158"/>
        <v/>
      </c>
      <c r="AL631" s="4" t="e" cm="1">
        <f t="array" ref="AL631">IF(INDEX(Table2[],_xlfn.XMATCH($A631,Table2[Steel Member],0),_xlfn.XMATCH(AL$2,Table2[#Headers],0))=0,"",INDEX(Table2[],_xlfn.XMATCH($A631,Table2[Steel Member],0),_xlfn.XMATCH(AL$2,Table2[#Headers],0)))</f>
        <v>#N/A</v>
      </c>
      <c r="AM631" s="4"/>
      <c r="AN631" s="4" t="str">
        <f t="shared" si="159"/>
        <v/>
      </c>
      <c r="AO631" s="4"/>
      <c r="AP631" s="4" t="e" cm="1">
        <f t="array" ref="AP631">IF(INDEX(Table2[],_xlfn.XMATCH($A631,Table2[Steel Member],0),_xlfn.XMATCH(AP$2,Table2[#Headers],0))=0,"",INDEX(Table2[],_xlfn.XMATCH($A631,Table2[Steel Member],0),_xlfn.XMATCH(AP$2,Table2[#Headers],0)))</f>
        <v>#N/A</v>
      </c>
      <c r="AQ631" s="4"/>
      <c r="AR631" s="4"/>
      <c r="AS631" s="4"/>
      <c r="AT631" s="4"/>
    </row>
    <row r="632" spans="1:46" x14ac:dyDescent="0.25">
      <c r="A632" s="52"/>
      <c r="B632" s="52"/>
      <c r="C632" s="52"/>
      <c r="D632" s="52"/>
      <c r="E632" s="52"/>
      <c r="F632" s="64" cm="1">
        <f t="array" ref="F632">IF(COUNT(FIND(PurlinsxGirthsxBracings,$C632))&gt;0,0,ROUNDUP(IF(D632=0,0,VLOOKUP(D632,'DATA SHEET'!$B:$D,2,FALSE)),2))</f>
        <v>0</v>
      </c>
      <c r="G632" s="64" cm="1">
        <f t="array" ref="G632">IF(COUNT(FIND(PurlinsxGirthsxBracings,$C632))&gt;0,0,ROUNDUP(IF(D632=0,0,VLOOKUP(D632,'DATA SHEET'!$B:$D,3,FALSE)),2))</f>
        <v>0</v>
      </c>
      <c r="H632" s="53"/>
      <c r="I632" s="66" cm="1">
        <f t="array" ref="I632">IF(AND(ISBLANK(B632),ISBLANK(C632),ISBLANK(E632)),0,IF(COUNT(FIND(PurlinsxGirthsxBracings,$C632))&gt;0,IF(B632=0,CONCATENATE(E632," ",C632),CONCATENATE(B632," - ",E632," ",C632)),IF(B632=0,IF(ISBLANK(C632),E632,CONCATENATE(D632,", ",F632,"kg/m, ",G632,"mm surface perimeter")),IF(AND(ISBLANK(C632),ISTEXT(E632)),CONCATENATE(B632," - ",E632),IF(AND(ISBLANK(C632),ISBLANK(E632)),B632,CONCATENATE(B632," - ",D632,", ",F632,"kg/m, ",G632,"mm surface perimeter"))))&amp;IF(ISBLANK(H632),"",H632)))</f>
        <v>0</v>
      </c>
      <c r="J632" s="53"/>
      <c r="L632" s="4" t="str" cm="1">
        <f t="array" ref="L632">IF(COUNT(FIND({0,1,2,3,4,5,6,7,8,9},B632))&gt;0,COUNT(FIND({0,1,2,3,4,5,6,7,8,9},B632))&gt;0,"")</f>
        <v/>
      </c>
      <c r="M632" s="4" t="str" cm="1">
        <f t="array" aca="1" ref="M632" ca="1">IFERROR(_xlfn.IFS(R632="Count",RANDBETWEEN(1,COUNTIF($R$11:$R$653,"Count")),R632="Length",RANDBETWEEN(1,COUNTIF($R$11:$R$653,"Length"))),"")</f>
        <v/>
      </c>
      <c r="N632" s="4" t="str">
        <f ca="1">IFERROR(_xlfn.RANK.EQ(M632,$M$11:$M$653)+COUNTIF($M$11:M632,M632)-1,"")</f>
        <v/>
      </c>
      <c r="O632" s="86" t="str">
        <f>IF(A632='DATA SHEET'!$L$36,C632,IFERROR(IF(AND(ISTEXT(I632),ISBLANK(C632)),"No details",VLOOKUP(C632,DimFolder,2,FALSE)),""))</f>
        <v/>
      </c>
      <c r="P632" s="4" t="str">
        <f t="shared" si="149"/>
        <v/>
      </c>
      <c r="Q632" s="58" t="str">
        <f t="shared" si="160"/>
        <v/>
      </c>
      <c r="R632" s="4" t="e" cm="1">
        <f t="array" ref="R632">IF(INDEX(Table2[],_xlfn.XMATCH($A632,Table2[Steel Member],0),_xlfn.XMATCH(R$2,Table2[#Headers],0))=0,"",INDEX(Table2[],_xlfn.XMATCH($A632,Table2[Steel Member],0),_xlfn.XMATCH(R$2,Table2[#Headers],0)))</f>
        <v>#N/A</v>
      </c>
      <c r="S632" s="4" t="e" cm="1">
        <f t="array" ref="S632">IF(INDEX(Table2[],_xlfn.XMATCH($A632,Table2[Steel Member],0),_xlfn.XMATCH(S$2,Table2[#Headers],0))=0,"",INDEX(Table2[],_xlfn.XMATCH($A632,Table2[Steel Member],0),_xlfn.XMATCH(S$2,Table2[#Headers],0)))</f>
        <v>#N/A</v>
      </c>
      <c r="T632" s="4" t="str">
        <f t="shared" si="151"/>
        <v/>
      </c>
      <c r="U632" s="4" t="e">
        <f ca="1">VLOOKUP(N632,'COLOR CODE'!$B:$D,2,FALSE)</f>
        <v>#N/A</v>
      </c>
      <c r="V632" s="4" t="str">
        <f t="shared" si="152"/>
        <v/>
      </c>
      <c r="W632" s="4" t="e" cm="1">
        <f t="array" ref="W632">IF(INDEX(Table2[],_xlfn.XMATCH($A632,Table2[Steel Member],0),_xlfn.XMATCH(W$2,Table2[#Headers],0))=0,"",INDEX(Table2[],_xlfn.XMATCH($A632,Table2[Steel Member],0),_xlfn.XMATCH(W$2,Table2[#Headers],0)))</f>
        <v>#N/A</v>
      </c>
      <c r="X632" s="4" t="e">
        <f t="shared" si="150"/>
        <v>#N/A</v>
      </c>
      <c r="Y632" s="4" t="e" cm="1">
        <f t="array" ref="Y632">IF(INDEX(Table2[],_xlfn.XMATCH($A632,Table2[Steel Member],0),_xlfn.XMATCH(Y$2,Table2[#Headers],0))=0,"",INDEX(Table2[],_xlfn.XMATCH($A632,Table2[Steel Member],0),_xlfn.XMATCH(Y$2,Table2[#Headers],0)))</f>
        <v>#N/A</v>
      </c>
      <c r="Z632" s="4" t="e" cm="1">
        <f t="array" ref="Z632">IF(INDEX(Table2[],_xlfn.XMATCH($A632,Table2[Steel Member],0),_xlfn.XMATCH(Z$2,Table2[#Headers],0))=0,"",INDEX(Table2[],_xlfn.XMATCH($A632,Table2[Steel Member],0),_xlfn.XMATCH(Z$2,Table2[#Headers],0)))</f>
        <v>#N/A</v>
      </c>
      <c r="AA632" s="4" t="e" cm="1">
        <f t="array" ref="AA632">IF(INDEX(Table2[],_xlfn.XMATCH($A632,Table2[Steel Member],0),_xlfn.XMATCH(AA$2,Table2[#Headers],0))=0,"",INDEX(Table2[],_xlfn.XMATCH($A632,Table2[Steel Member],0),_xlfn.XMATCH(AA$2,Table2[#Headers],0)))</f>
        <v>#N/A</v>
      </c>
      <c r="AB632" s="4" t="e" cm="1">
        <f t="array" ref="AB632">IF(INDEX(Table2[],_xlfn.XMATCH($A632,Table2[Steel Member],0),_xlfn.XMATCH(AB$2,Table2[#Headers],0))=0,"",INDEX(Table2[],_xlfn.XMATCH($A632,Table2[Steel Member],0),_xlfn.XMATCH(AB$2,Table2[#Headers],0)))</f>
        <v>#N/A</v>
      </c>
      <c r="AC632" s="4" t="str" cm="1">
        <f t="array" ref="AC632">IFERROR(INDEX(Table8[],_xlfn.XMATCH($O632,Table8[Dimension Name Category],0),_xlfn.XMATCH(AC$2&amp;IF($L632," w/ tag"," w/o tag"),Table8[#Headers],0)),"")</f>
        <v/>
      </c>
      <c r="AD632" s="59" t="str">
        <f t="shared" si="153"/>
        <v/>
      </c>
      <c r="AE632" s="4" t="str">
        <f t="shared" si="154"/>
        <v/>
      </c>
      <c r="AF632" s="4" t="str">
        <f t="shared" si="155"/>
        <v/>
      </c>
      <c r="AG632" s="4" t="str" cm="1">
        <f t="array" ref="AG632">IFERROR(INDEX(Table8[],_xlfn.XMATCH($O632,Table8[Dimension Name Category],0),_xlfn.XMATCH(AG$2&amp;IF($L632," w/ tag"," w/o tag"),Table8[#Headers],0)),"")</f>
        <v/>
      </c>
      <c r="AH632" s="59" t="str">
        <f t="shared" si="156"/>
        <v/>
      </c>
      <c r="AI632" s="4"/>
      <c r="AJ632" s="4" t="str">
        <f t="shared" si="157"/>
        <v/>
      </c>
      <c r="AK632" s="4" t="str">
        <f t="shared" si="158"/>
        <v/>
      </c>
      <c r="AL632" s="4" t="e" cm="1">
        <f t="array" ref="AL632">IF(INDEX(Table2[],_xlfn.XMATCH($A632,Table2[Steel Member],0),_xlfn.XMATCH(AL$2,Table2[#Headers],0))=0,"",INDEX(Table2[],_xlfn.XMATCH($A632,Table2[Steel Member],0),_xlfn.XMATCH(AL$2,Table2[#Headers],0)))</f>
        <v>#N/A</v>
      </c>
      <c r="AM632" s="4"/>
      <c r="AN632" s="4" t="str">
        <f t="shared" si="159"/>
        <v/>
      </c>
      <c r="AO632" s="4"/>
      <c r="AP632" s="4" t="e" cm="1">
        <f t="array" ref="AP632">IF(INDEX(Table2[],_xlfn.XMATCH($A632,Table2[Steel Member],0),_xlfn.XMATCH(AP$2,Table2[#Headers],0))=0,"",INDEX(Table2[],_xlfn.XMATCH($A632,Table2[Steel Member],0),_xlfn.XMATCH(AP$2,Table2[#Headers],0)))</f>
        <v>#N/A</v>
      </c>
      <c r="AQ632" s="4"/>
      <c r="AR632" s="4"/>
      <c r="AS632" s="4"/>
      <c r="AT632" s="4"/>
    </row>
    <row r="633" spans="1:46" x14ac:dyDescent="0.25">
      <c r="A633" s="52"/>
      <c r="B633" s="52"/>
      <c r="C633" s="52"/>
      <c r="D633" s="52"/>
      <c r="E633" s="52"/>
      <c r="F633" s="64" cm="1">
        <f t="array" ref="F633">IF(COUNT(FIND(PurlinsxGirthsxBracings,$C633))&gt;0,0,ROUNDUP(IF(D633=0,0,VLOOKUP(D633,'DATA SHEET'!$B:$D,2,FALSE)),2))</f>
        <v>0</v>
      </c>
      <c r="G633" s="64" cm="1">
        <f t="array" ref="G633">IF(COUNT(FIND(PurlinsxGirthsxBracings,$C633))&gt;0,0,ROUNDUP(IF(D633=0,0,VLOOKUP(D633,'DATA SHEET'!$B:$D,3,FALSE)),2))</f>
        <v>0</v>
      </c>
      <c r="H633" s="53"/>
      <c r="I633" s="66" cm="1">
        <f t="array" ref="I633">IF(AND(ISBLANK(B633),ISBLANK(C633),ISBLANK(E633)),0,IF(COUNT(FIND(PurlinsxGirthsxBracings,$C633))&gt;0,IF(B633=0,CONCATENATE(E633," ",C633),CONCATENATE(B633," - ",E633," ",C633)),IF(B633=0,IF(ISBLANK(C633),E633,CONCATENATE(D633,", ",F633,"kg/m, ",G633,"mm surface perimeter")),IF(AND(ISBLANK(C633),ISTEXT(E633)),CONCATENATE(B633," - ",E633),IF(AND(ISBLANK(C633),ISBLANK(E633)),B633,CONCATENATE(B633," - ",D633,", ",F633,"kg/m, ",G633,"mm surface perimeter"))))&amp;IF(ISBLANK(H633),"",H633)))</f>
        <v>0</v>
      </c>
      <c r="J633" s="53"/>
      <c r="L633" s="4" t="str" cm="1">
        <f t="array" ref="L633">IF(COUNT(FIND({0,1,2,3,4,5,6,7,8,9},B633))&gt;0,COUNT(FIND({0,1,2,3,4,5,6,7,8,9},B633))&gt;0,"")</f>
        <v/>
      </c>
      <c r="M633" s="4" t="str" cm="1">
        <f t="array" aca="1" ref="M633" ca="1">IFERROR(_xlfn.IFS(R633="Count",RANDBETWEEN(1,COUNTIF($R$11:$R$653,"Count")),R633="Length",RANDBETWEEN(1,COUNTIF($R$11:$R$653,"Length"))),"")</f>
        <v/>
      </c>
      <c r="N633" s="4" t="str">
        <f ca="1">IFERROR(_xlfn.RANK.EQ(M633,$M$11:$M$653)+COUNTIF($M$11:M633,M633)-1,"")</f>
        <v/>
      </c>
      <c r="O633" s="86" t="str">
        <f>IF(A633='DATA SHEET'!$L$36,C633,IFERROR(IF(AND(ISTEXT(I633),ISBLANK(C633)),"No details",VLOOKUP(C633,DimFolder,2,FALSE)),""))</f>
        <v/>
      </c>
      <c r="P633" s="4" t="str">
        <f t="shared" si="149"/>
        <v/>
      </c>
      <c r="Q633" s="58" t="str">
        <f t="shared" si="160"/>
        <v/>
      </c>
      <c r="R633" s="4" t="e" cm="1">
        <f t="array" ref="R633">IF(INDEX(Table2[],_xlfn.XMATCH($A633,Table2[Steel Member],0),_xlfn.XMATCH(R$2,Table2[#Headers],0))=0,"",INDEX(Table2[],_xlfn.XMATCH($A633,Table2[Steel Member],0),_xlfn.XMATCH(R$2,Table2[#Headers],0)))</f>
        <v>#N/A</v>
      </c>
      <c r="S633" s="4" t="e" cm="1">
        <f t="array" ref="S633">IF(INDEX(Table2[],_xlfn.XMATCH($A633,Table2[Steel Member],0),_xlfn.XMATCH(S$2,Table2[#Headers],0))=0,"",INDEX(Table2[],_xlfn.XMATCH($A633,Table2[Steel Member],0),_xlfn.XMATCH(S$2,Table2[#Headers],0)))</f>
        <v>#N/A</v>
      </c>
      <c r="T633" s="4" t="str">
        <f t="shared" si="151"/>
        <v/>
      </c>
      <c r="U633" s="4" t="e">
        <f ca="1">VLOOKUP(N633,'COLOR CODE'!$B:$D,2,FALSE)</f>
        <v>#N/A</v>
      </c>
      <c r="V633" s="4" t="str">
        <f t="shared" si="152"/>
        <v/>
      </c>
      <c r="W633" s="4" t="e" cm="1">
        <f t="array" ref="W633">IF(INDEX(Table2[],_xlfn.XMATCH($A633,Table2[Steel Member],0),_xlfn.XMATCH(W$2,Table2[#Headers],0))=0,"",INDEX(Table2[],_xlfn.XMATCH($A633,Table2[Steel Member],0),_xlfn.XMATCH(W$2,Table2[#Headers],0)))</f>
        <v>#N/A</v>
      </c>
      <c r="X633" s="4" t="e">
        <f t="shared" si="150"/>
        <v>#N/A</v>
      </c>
      <c r="Y633" s="4" t="e" cm="1">
        <f t="array" ref="Y633">IF(INDEX(Table2[],_xlfn.XMATCH($A633,Table2[Steel Member],0),_xlfn.XMATCH(Y$2,Table2[#Headers],0))=0,"",INDEX(Table2[],_xlfn.XMATCH($A633,Table2[Steel Member],0),_xlfn.XMATCH(Y$2,Table2[#Headers],0)))</f>
        <v>#N/A</v>
      </c>
      <c r="Z633" s="4" t="e" cm="1">
        <f t="array" ref="Z633">IF(INDEX(Table2[],_xlfn.XMATCH($A633,Table2[Steel Member],0),_xlfn.XMATCH(Z$2,Table2[#Headers],0))=0,"",INDEX(Table2[],_xlfn.XMATCH($A633,Table2[Steel Member],0),_xlfn.XMATCH(Z$2,Table2[#Headers],0)))</f>
        <v>#N/A</v>
      </c>
      <c r="AA633" s="4" t="e" cm="1">
        <f t="array" ref="AA633">IF(INDEX(Table2[],_xlfn.XMATCH($A633,Table2[Steel Member],0),_xlfn.XMATCH(AA$2,Table2[#Headers],0))=0,"",INDEX(Table2[],_xlfn.XMATCH($A633,Table2[Steel Member],0),_xlfn.XMATCH(AA$2,Table2[#Headers],0)))</f>
        <v>#N/A</v>
      </c>
      <c r="AB633" s="4" t="e" cm="1">
        <f t="array" ref="AB633">IF(INDEX(Table2[],_xlfn.XMATCH($A633,Table2[Steel Member],0),_xlfn.XMATCH(AB$2,Table2[#Headers],0))=0,"",INDEX(Table2[],_xlfn.XMATCH($A633,Table2[Steel Member],0),_xlfn.XMATCH(AB$2,Table2[#Headers],0)))</f>
        <v>#N/A</v>
      </c>
      <c r="AC633" s="4" t="str" cm="1">
        <f t="array" ref="AC633">IFERROR(INDEX(Table8[],_xlfn.XMATCH($O633,Table8[Dimension Name Category],0),_xlfn.XMATCH(AC$2&amp;IF($L633," w/ tag"," w/o tag"),Table8[#Headers],0)),"")</f>
        <v/>
      </c>
      <c r="AD633" s="59" t="str">
        <f t="shared" si="153"/>
        <v/>
      </c>
      <c r="AE633" s="4" t="str">
        <f t="shared" si="154"/>
        <v/>
      </c>
      <c r="AF633" s="4" t="str">
        <f t="shared" si="155"/>
        <v/>
      </c>
      <c r="AG633" s="4" t="str" cm="1">
        <f t="array" ref="AG633">IFERROR(INDEX(Table8[],_xlfn.XMATCH($O633,Table8[Dimension Name Category],0),_xlfn.XMATCH(AG$2&amp;IF($L633," w/ tag"," w/o tag"),Table8[#Headers],0)),"")</f>
        <v/>
      </c>
      <c r="AH633" s="59" t="str">
        <f t="shared" si="156"/>
        <v/>
      </c>
      <c r="AI633" s="4"/>
      <c r="AJ633" s="4" t="str">
        <f t="shared" si="157"/>
        <v/>
      </c>
      <c r="AK633" s="4" t="str">
        <f t="shared" si="158"/>
        <v/>
      </c>
      <c r="AL633" s="4" t="e" cm="1">
        <f t="array" ref="AL633">IF(INDEX(Table2[],_xlfn.XMATCH($A633,Table2[Steel Member],0),_xlfn.XMATCH(AL$2,Table2[#Headers],0))=0,"",INDEX(Table2[],_xlfn.XMATCH($A633,Table2[Steel Member],0),_xlfn.XMATCH(AL$2,Table2[#Headers],0)))</f>
        <v>#N/A</v>
      </c>
      <c r="AM633" s="4"/>
      <c r="AN633" s="4" t="str">
        <f t="shared" si="159"/>
        <v/>
      </c>
      <c r="AO633" s="4"/>
      <c r="AP633" s="4" t="e" cm="1">
        <f t="array" ref="AP633">IF(INDEX(Table2[],_xlfn.XMATCH($A633,Table2[Steel Member],0),_xlfn.XMATCH(AP$2,Table2[#Headers],0))=0,"",INDEX(Table2[],_xlfn.XMATCH($A633,Table2[Steel Member],0),_xlfn.XMATCH(AP$2,Table2[#Headers],0)))</f>
        <v>#N/A</v>
      </c>
      <c r="AQ633" s="4"/>
      <c r="AR633" s="4"/>
      <c r="AS633" s="4"/>
      <c r="AT633" s="4"/>
    </row>
    <row r="634" spans="1:46" x14ac:dyDescent="0.25">
      <c r="A634" s="52"/>
      <c r="B634" s="52"/>
      <c r="C634" s="52"/>
      <c r="D634" s="52"/>
      <c r="E634" s="52"/>
      <c r="F634" s="64" cm="1">
        <f t="array" ref="F634">IF(COUNT(FIND(PurlinsxGirthsxBracings,$C634))&gt;0,0,ROUNDUP(IF(D634=0,0,VLOOKUP(D634,'DATA SHEET'!$B:$D,2,FALSE)),2))</f>
        <v>0</v>
      </c>
      <c r="G634" s="64" cm="1">
        <f t="array" ref="G634">IF(COUNT(FIND(PurlinsxGirthsxBracings,$C634))&gt;0,0,ROUNDUP(IF(D634=0,0,VLOOKUP(D634,'DATA SHEET'!$B:$D,3,FALSE)),2))</f>
        <v>0</v>
      </c>
      <c r="H634" s="53"/>
      <c r="I634" s="66" cm="1">
        <f t="array" ref="I634">IF(AND(ISBLANK(B634),ISBLANK(C634),ISBLANK(E634)),0,IF(COUNT(FIND(PurlinsxGirthsxBracings,$C634))&gt;0,IF(B634=0,CONCATENATE(E634," ",C634),CONCATENATE(B634," - ",E634," ",C634)),IF(B634=0,IF(ISBLANK(C634),E634,CONCATENATE(D634,", ",F634,"kg/m, ",G634,"mm surface perimeter")),IF(AND(ISBLANK(C634),ISTEXT(E634)),CONCATENATE(B634," - ",E634),IF(AND(ISBLANK(C634),ISBLANK(E634)),B634,CONCATENATE(B634," - ",D634,", ",F634,"kg/m, ",G634,"mm surface perimeter"))))&amp;IF(ISBLANK(H634),"",H634)))</f>
        <v>0</v>
      </c>
      <c r="J634" s="53"/>
      <c r="L634" s="4" t="str" cm="1">
        <f t="array" ref="L634">IF(COUNT(FIND({0,1,2,3,4,5,6,7,8,9},B634))&gt;0,COUNT(FIND({0,1,2,3,4,5,6,7,8,9},B634))&gt;0,"")</f>
        <v/>
      </c>
      <c r="M634" s="4" t="str" cm="1">
        <f t="array" aca="1" ref="M634" ca="1">IFERROR(_xlfn.IFS(R634="Count",RANDBETWEEN(1,COUNTIF($R$11:$R$653,"Count")),R634="Length",RANDBETWEEN(1,COUNTIF($R$11:$R$653,"Length"))),"")</f>
        <v/>
      </c>
      <c r="N634" s="4" t="str">
        <f ca="1">IFERROR(_xlfn.RANK.EQ(M634,$M$11:$M$653)+COUNTIF($M$11:M634,M634)-1,"")</f>
        <v/>
      </c>
      <c r="O634" s="86" t="str">
        <f>IF(A634='DATA SHEET'!$L$36,C634,IFERROR(IF(AND(ISTEXT(I634),ISBLANK(C634)),"No details",VLOOKUP(C634,DimFolder,2,FALSE)),""))</f>
        <v/>
      </c>
      <c r="P634" s="4" t="str">
        <f t="shared" si="149"/>
        <v/>
      </c>
      <c r="Q634" s="58" t="str">
        <f t="shared" si="160"/>
        <v/>
      </c>
      <c r="R634" s="4" t="e" cm="1">
        <f t="array" ref="R634">IF(INDEX(Table2[],_xlfn.XMATCH($A634,Table2[Steel Member],0),_xlfn.XMATCH(R$2,Table2[#Headers],0))=0,"",INDEX(Table2[],_xlfn.XMATCH($A634,Table2[Steel Member],0),_xlfn.XMATCH(R$2,Table2[#Headers],0)))</f>
        <v>#N/A</v>
      </c>
      <c r="S634" s="4" t="e" cm="1">
        <f t="array" ref="S634">IF(INDEX(Table2[],_xlfn.XMATCH($A634,Table2[Steel Member],0),_xlfn.XMATCH(S$2,Table2[#Headers],0))=0,"",INDEX(Table2[],_xlfn.XMATCH($A634,Table2[Steel Member],0),_xlfn.XMATCH(S$2,Table2[#Headers],0)))</f>
        <v>#N/A</v>
      </c>
      <c r="T634" s="4" t="str">
        <f t="shared" si="151"/>
        <v/>
      </c>
      <c r="U634" s="4" t="e">
        <f ca="1">VLOOKUP(N634,'COLOR CODE'!$B:$D,2,FALSE)</f>
        <v>#N/A</v>
      </c>
      <c r="V634" s="4" t="str">
        <f t="shared" si="152"/>
        <v/>
      </c>
      <c r="W634" s="4" t="e" cm="1">
        <f t="array" ref="W634">IF(INDEX(Table2[],_xlfn.XMATCH($A634,Table2[Steel Member],0),_xlfn.XMATCH(W$2,Table2[#Headers],0))=0,"",INDEX(Table2[],_xlfn.XMATCH($A634,Table2[Steel Member],0),_xlfn.XMATCH(W$2,Table2[#Headers],0)))</f>
        <v>#N/A</v>
      </c>
      <c r="X634" s="4" t="e">
        <f t="shared" si="150"/>
        <v>#N/A</v>
      </c>
      <c r="Y634" s="4" t="e" cm="1">
        <f t="array" ref="Y634">IF(INDEX(Table2[],_xlfn.XMATCH($A634,Table2[Steel Member],0),_xlfn.XMATCH(Y$2,Table2[#Headers],0))=0,"",INDEX(Table2[],_xlfn.XMATCH($A634,Table2[Steel Member],0),_xlfn.XMATCH(Y$2,Table2[#Headers],0)))</f>
        <v>#N/A</v>
      </c>
      <c r="Z634" s="4" t="e" cm="1">
        <f t="array" ref="Z634">IF(INDEX(Table2[],_xlfn.XMATCH($A634,Table2[Steel Member],0),_xlfn.XMATCH(Z$2,Table2[#Headers],0))=0,"",INDEX(Table2[],_xlfn.XMATCH($A634,Table2[Steel Member],0),_xlfn.XMATCH(Z$2,Table2[#Headers],0)))</f>
        <v>#N/A</v>
      </c>
      <c r="AA634" s="4" t="e" cm="1">
        <f t="array" ref="AA634">IF(INDEX(Table2[],_xlfn.XMATCH($A634,Table2[Steel Member],0),_xlfn.XMATCH(AA$2,Table2[#Headers],0))=0,"",INDEX(Table2[],_xlfn.XMATCH($A634,Table2[Steel Member],0),_xlfn.XMATCH(AA$2,Table2[#Headers],0)))</f>
        <v>#N/A</v>
      </c>
      <c r="AB634" s="4" t="e" cm="1">
        <f t="array" ref="AB634">IF(INDEX(Table2[],_xlfn.XMATCH($A634,Table2[Steel Member],0),_xlfn.XMATCH(AB$2,Table2[#Headers],0))=0,"",INDEX(Table2[],_xlfn.XMATCH($A634,Table2[Steel Member],0),_xlfn.XMATCH(AB$2,Table2[#Headers],0)))</f>
        <v>#N/A</v>
      </c>
      <c r="AC634" s="4" t="str" cm="1">
        <f t="array" ref="AC634">IFERROR(INDEX(Table8[],_xlfn.XMATCH($O634,Table8[Dimension Name Category],0),_xlfn.XMATCH(AC$2&amp;IF($L634," w/ tag"," w/o tag"),Table8[#Headers],0)),"")</f>
        <v/>
      </c>
      <c r="AD634" s="59" t="str">
        <f t="shared" si="153"/>
        <v/>
      </c>
      <c r="AE634" s="4" t="str">
        <f t="shared" si="154"/>
        <v/>
      </c>
      <c r="AF634" s="4" t="str">
        <f t="shared" si="155"/>
        <v/>
      </c>
      <c r="AG634" s="4" t="str" cm="1">
        <f t="array" ref="AG634">IFERROR(INDEX(Table8[],_xlfn.XMATCH($O634,Table8[Dimension Name Category],0),_xlfn.XMATCH(AG$2&amp;IF($L634," w/ tag"," w/o tag"),Table8[#Headers],0)),"")</f>
        <v/>
      </c>
      <c r="AH634" s="59" t="str">
        <f t="shared" si="156"/>
        <v/>
      </c>
      <c r="AI634" s="4"/>
      <c r="AJ634" s="4" t="str">
        <f t="shared" si="157"/>
        <v/>
      </c>
      <c r="AK634" s="4" t="str">
        <f t="shared" si="158"/>
        <v/>
      </c>
      <c r="AL634" s="4" t="e" cm="1">
        <f t="array" ref="AL634">IF(INDEX(Table2[],_xlfn.XMATCH($A634,Table2[Steel Member],0),_xlfn.XMATCH(AL$2,Table2[#Headers],0))=0,"",INDEX(Table2[],_xlfn.XMATCH($A634,Table2[Steel Member],0),_xlfn.XMATCH(AL$2,Table2[#Headers],0)))</f>
        <v>#N/A</v>
      </c>
      <c r="AM634" s="4"/>
      <c r="AN634" s="4" t="str">
        <f t="shared" si="159"/>
        <v/>
      </c>
      <c r="AO634" s="4"/>
      <c r="AP634" s="4" t="e" cm="1">
        <f t="array" ref="AP634">IF(INDEX(Table2[],_xlfn.XMATCH($A634,Table2[Steel Member],0),_xlfn.XMATCH(AP$2,Table2[#Headers],0))=0,"",INDEX(Table2[],_xlfn.XMATCH($A634,Table2[Steel Member],0),_xlfn.XMATCH(AP$2,Table2[#Headers],0)))</f>
        <v>#N/A</v>
      </c>
      <c r="AQ634" s="4"/>
      <c r="AR634" s="4"/>
      <c r="AS634" s="4"/>
      <c r="AT634" s="4"/>
    </row>
    <row r="635" spans="1:46" x14ac:dyDescent="0.25">
      <c r="A635" s="52"/>
      <c r="B635" s="52"/>
      <c r="C635" s="52"/>
      <c r="D635" s="52"/>
      <c r="E635" s="52"/>
      <c r="F635" s="64" cm="1">
        <f t="array" ref="F635">IF(COUNT(FIND(PurlinsxGirthsxBracings,$C635))&gt;0,0,ROUNDUP(IF(D635=0,0,VLOOKUP(D635,'DATA SHEET'!$B:$D,2,FALSE)),2))</f>
        <v>0</v>
      </c>
      <c r="G635" s="64" cm="1">
        <f t="array" ref="G635">IF(COUNT(FIND(PurlinsxGirthsxBracings,$C635))&gt;0,0,ROUNDUP(IF(D635=0,0,VLOOKUP(D635,'DATA SHEET'!$B:$D,3,FALSE)),2))</f>
        <v>0</v>
      </c>
      <c r="H635" s="53"/>
      <c r="I635" s="66" cm="1">
        <f t="array" ref="I635">IF(AND(ISBLANK(B635),ISBLANK(C635),ISBLANK(E635)),0,IF(COUNT(FIND(PurlinsxGirthsxBracings,$C635))&gt;0,IF(B635=0,CONCATENATE(E635," ",C635),CONCATENATE(B635," - ",E635," ",C635)),IF(B635=0,IF(ISBLANK(C635),E635,CONCATENATE(D635,", ",F635,"kg/m, ",G635,"mm surface perimeter")),IF(AND(ISBLANK(C635),ISTEXT(E635)),CONCATENATE(B635," - ",E635),IF(AND(ISBLANK(C635),ISBLANK(E635)),B635,CONCATENATE(B635," - ",D635,", ",F635,"kg/m, ",G635,"mm surface perimeter"))))&amp;IF(ISBLANK(H635),"",H635)))</f>
        <v>0</v>
      </c>
      <c r="J635" s="53"/>
      <c r="L635" s="4" t="str" cm="1">
        <f t="array" ref="L635">IF(COUNT(FIND({0,1,2,3,4,5,6,7,8,9},B635))&gt;0,COUNT(FIND({0,1,2,3,4,5,6,7,8,9},B635))&gt;0,"")</f>
        <v/>
      </c>
      <c r="M635" s="4" t="str" cm="1">
        <f t="array" aca="1" ref="M635" ca="1">IFERROR(_xlfn.IFS(R635="Count",RANDBETWEEN(1,COUNTIF($R$11:$R$653,"Count")),R635="Length",RANDBETWEEN(1,COUNTIF($R$11:$R$653,"Length"))),"")</f>
        <v/>
      </c>
      <c r="N635" s="4" t="str">
        <f ca="1">IFERROR(_xlfn.RANK.EQ(M635,$M$11:$M$653)+COUNTIF($M$11:M635,M635)-1,"")</f>
        <v/>
      </c>
      <c r="O635" s="86" t="str">
        <f>IF(A635='DATA SHEET'!$L$36,C635,IFERROR(IF(AND(ISTEXT(I635),ISBLANK(C635)),"No details",VLOOKUP(C635,DimFolder,2,FALSE)),""))</f>
        <v/>
      </c>
      <c r="P635" s="4" t="str">
        <f t="shared" si="149"/>
        <v/>
      </c>
      <c r="Q635" s="58" t="str">
        <f t="shared" si="160"/>
        <v/>
      </c>
      <c r="R635" s="4" t="e" cm="1">
        <f t="array" ref="R635">IF(INDEX(Table2[],_xlfn.XMATCH($A635,Table2[Steel Member],0),_xlfn.XMATCH(R$2,Table2[#Headers],0))=0,"",INDEX(Table2[],_xlfn.XMATCH($A635,Table2[Steel Member],0),_xlfn.XMATCH(R$2,Table2[#Headers],0)))</f>
        <v>#N/A</v>
      </c>
      <c r="S635" s="4" t="e" cm="1">
        <f t="array" ref="S635">IF(INDEX(Table2[],_xlfn.XMATCH($A635,Table2[Steel Member],0),_xlfn.XMATCH(S$2,Table2[#Headers],0))=0,"",INDEX(Table2[],_xlfn.XMATCH($A635,Table2[Steel Member],0),_xlfn.XMATCH(S$2,Table2[#Headers],0)))</f>
        <v>#N/A</v>
      </c>
      <c r="T635" s="4" t="str">
        <f t="shared" si="151"/>
        <v/>
      </c>
      <c r="U635" s="4" t="e">
        <f ca="1">VLOOKUP(N635,'COLOR CODE'!$B:$D,2,FALSE)</f>
        <v>#N/A</v>
      </c>
      <c r="V635" s="4" t="str">
        <f t="shared" si="152"/>
        <v/>
      </c>
      <c r="W635" s="4" t="e" cm="1">
        <f t="array" ref="W635">IF(INDEX(Table2[],_xlfn.XMATCH($A635,Table2[Steel Member],0),_xlfn.XMATCH(W$2,Table2[#Headers],0))=0,"",INDEX(Table2[],_xlfn.XMATCH($A635,Table2[Steel Member],0),_xlfn.XMATCH(W$2,Table2[#Headers],0)))</f>
        <v>#N/A</v>
      </c>
      <c r="X635" s="4" t="e">
        <f t="shared" si="150"/>
        <v>#N/A</v>
      </c>
      <c r="Y635" s="4" t="e" cm="1">
        <f t="array" ref="Y635">IF(INDEX(Table2[],_xlfn.XMATCH($A635,Table2[Steel Member],0),_xlfn.XMATCH(Y$2,Table2[#Headers],0))=0,"",INDEX(Table2[],_xlfn.XMATCH($A635,Table2[Steel Member],0),_xlfn.XMATCH(Y$2,Table2[#Headers],0)))</f>
        <v>#N/A</v>
      </c>
      <c r="Z635" s="4" t="e" cm="1">
        <f t="array" ref="Z635">IF(INDEX(Table2[],_xlfn.XMATCH($A635,Table2[Steel Member],0),_xlfn.XMATCH(Z$2,Table2[#Headers],0))=0,"",INDEX(Table2[],_xlfn.XMATCH($A635,Table2[Steel Member],0),_xlfn.XMATCH(Z$2,Table2[#Headers],0)))</f>
        <v>#N/A</v>
      </c>
      <c r="AA635" s="4" t="e" cm="1">
        <f t="array" ref="AA635">IF(INDEX(Table2[],_xlfn.XMATCH($A635,Table2[Steel Member],0),_xlfn.XMATCH(AA$2,Table2[#Headers],0))=0,"",INDEX(Table2[],_xlfn.XMATCH($A635,Table2[Steel Member],0),_xlfn.XMATCH(AA$2,Table2[#Headers],0)))</f>
        <v>#N/A</v>
      </c>
      <c r="AB635" s="4" t="e" cm="1">
        <f t="array" ref="AB635">IF(INDEX(Table2[],_xlfn.XMATCH($A635,Table2[Steel Member],0),_xlfn.XMATCH(AB$2,Table2[#Headers],0))=0,"",INDEX(Table2[],_xlfn.XMATCH($A635,Table2[Steel Member],0),_xlfn.XMATCH(AB$2,Table2[#Headers],0)))</f>
        <v>#N/A</v>
      </c>
      <c r="AC635" s="4" t="str" cm="1">
        <f t="array" ref="AC635">IFERROR(INDEX(Table8[],_xlfn.XMATCH($O635,Table8[Dimension Name Category],0),_xlfn.XMATCH(AC$2&amp;IF($L635," w/ tag"," w/o tag"),Table8[#Headers],0)),"")</f>
        <v/>
      </c>
      <c r="AD635" s="59" t="str">
        <f t="shared" si="153"/>
        <v/>
      </c>
      <c r="AE635" s="4" t="str">
        <f t="shared" si="154"/>
        <v/>
      </c>
      <c r="AF635" s="4" t="str">
        <f t="shared" si="155"/>
        <v/>
      </c>
      <c r="AG635" s="4" t="str" cm="1">
        <f t="array" ref="AG635">IFERROR(INDEX(Table8[],_xlfn.XMATCH($O635,Table8[Dimension Name Category],0),_xlfn.XMATCH(AG$2&amp;IF($L635," w/ tag"," w/o tag"),Table8[#Headers],0)),"")</f>
        <v/>
      </c>
      <c r="AH635" s="59" t="str">
        <f t="shared" si="156"/>
        <v/>
      </c>
      <c r="AI635" s="4"/>
      <c r="AJ635" s="4" t="str">
        <f t="shared" si="157"/>
        <v/>
      </c>
      <c r="AK635" s="4" t="str">
        <f t="shared" si="158"/>
        <v/>
      </c>
      <c r="AL635" s="4" t="e" cm="1">
        <f t="array" ref="AL635">IF(INDEX(Table2[],_xlfn.XMATCH($A635,Table2[Steel Member],0),_xlfn.XMATCH(AL$2,Table2[#Headers],0))=0,"",INDEX(Table2[],_xlfn.XMATCH($A635,Table2[Steel Member],0),_xlfn.XMATCH(AL$2,Table2[#Headers],0)))</f>
        <v>#N/A</v>
      </c>
      <c r="AM635" s="4"/>
      <c r="AN635" s="4" t="str">
        <f t="shared" si="159"/>
        <v/>
      </c>
      <c r="AO635" s="4"/>
      <c r="AP635" s="4" t="e" cm="1">
        <f t="array" ref="AP635">IF(INDEX(Table2[],_xlfn.XMATCH($A635,Table2[Steel Member],0),_xlfn.XMATCH(AP$2,Table2[#Headers],0))=0,"",INDEX(Table2[],_xlfn.XMATCH($A635,Table2[Steel Member],0),_xlfn.XMATCH(AP$2,Table2[#Headers],0)))</f>
        <v>#N/A</v>
      </c>
      <c r="AQ635" s="4"/>
      <c r="AR635" s="4"/>
      <c r="AS635" s="4"/>
      <c r="AT635" s="4"/>
    </row>
    <row r="636" spans="1:46" x14ac:dyDescent="0.25">
      <c r="A636" s="52"/>
      <c r="B636" s="52"/>
      <c r="C636" s="52"/>
      <c r="D636" s="52"/>
      <c r="E636" s="52"/>
      <c r="F636" s="64" cm="1">
        <f t="array" ref="F636">IF(COUNT(FIND(PurlinsxGirthsxBracings,$C636))&gt;0,0,ROUNDUP(IF(D636=0,0,VLOOKUP(D636,'DATA SHEET'!$B:$D,2,FALSE)),2))</f>
        <v>0</v>
      </c>
      <c r="G636" s="64" cm="1">
        <f t="array" ref="G636">IF(COUNT(FIND(PurlinsxGirthsxBracings,$C636))&gt;0,0,ROUNDUP(IF(D636=0,0,VLOOKUP(D636,'DATA SHEET'!$B:$D,3,FALSE)),2))</f>
        <v>0</v>
      </c>
      <c r="H636" s="53"/>
      <c r="I636" s="66" cm="1">
        <f t="array" ref="I636">IF(AND(ISBLANK(B636),ISBLANK(C636),ISBLANK(E636)),0,IF(COUNT(FIND(PurlinsxGirthsxBracings,$C636))&gt;0,IF(B636=0,CONCATENATE(E636," ",C636),CONCATENATE(B636," - ",E636," ",C636)),IF(B636=0,IF(ISBLANK(C636),E636,CONCATENATE(D636,", ",F636,"kg/m, ",G636,"mm surface perimeter")),IF(AND(ISBLANK(C636),ISTEXT(E636)),CONCATENATE(B636," - ",E636),IF(AND(ISBLANK(C636),ISBLANK(E636)),B636,CONCATENATE(B636," - ",D636,", ",F636,"kg/m, ",G636,"mm surface perimeter"))))&amp;IF(ISBLANK(H636),"",H636)))</f>
        <v>0</v>
      </c>
      <c r="J636" s="53"/>
      <c r="L636" s="4" t="str" cm="1">
        <f t="array" ref="L636">IF(COUNT(FIND({0,1,2,3,4,5,6,7,8,9},B636))&gt;0,COUNT(FIND({0,1,2,3,4,5,6,7,8,9},B636))&gt;0,"")</f>
        <v/>
      </c>
      <c r="M636" s="4" t="str" cm="1">
        <f t="array" aca="1" ref="M636" ca="1">IFERROR(_xlfn.IFS(R636="Count",RANDBETWEEN(1,COUNTIF($R$11:$R$653,"Count")),R636="Length",RANDBETWEEN(1,COUNTIF($R$11:$R$653,"Length"))),"")</f>
        <v/>
      </c>
      <c r="N636" s="4" t="str">
        <f ca="1">IFERROR(_xlfn.RANK.EQ(M636,$M$11:$M$653)+COUNTIF($M$11:M636,M636)-1,"")</f>
        <v/>
      </c>
      <c r="O636" s="86" t="str">
        <f>IF(A636='DATA SHEET'!$L$36,C636,IFERROR(IF(AND(ISTEXT(I636),ISBLANK(C636)),"No details",VLOOKUP(C636,DimFolder,2,FALSE)),""))</f>
        <v/>
      </c>
      <c r="P636" s="4" t="str">
        <f t="shared" si="149"/>
        <v/>
      </c>
      <c r="Q636" s="58" t="str">
        <f t="shared" si="160"/>
        <v/>
      </c>
      <c r="R636" s="4" t="e" cm="1">
        <f t="array" ref="R636">IF(INDEX(Table2[],_xlfn.XMATCH($A636,Table2[Steel Member],0),_xlfn.XMATCH(R$2,Table2[#Headers],0))=0,"",INDEX(Table2[],_xlfn.XMATCH($A636,Table2[Steel Member],0),_xlfn.XMATCH(R$2,Table2[#Headers],0)))</f>
        <v>#N/A</v>
      </c>
      <c r="S636" s="4" t="e" cm="1">
        <f t="array" ref="S636">IF(INDEX(Table2[],_xlfn.XMATCH($A636,Table2[Steel Member],0),_xlfn.XMATCH(S$2,Table2[#Headers],0))=0,"",INDEX(Table2[],_xlfn.XMATCH($A636,Table2[Steel Member],0),_xlfn.XMATCH(S$2,Table2[#Headers],0)))</f>
        <v>#N/A</v>
      </c>
      <c r="T636" s="4" t="str">
        <f t="shared" si="151"/>
        <v/>
      </c>
      <c r="U636" s="4" t="e">
        <f ca="1">VLOOKUP(N636,'COLOR CODE'!$B:$D,2,FALSE)</f>
        <v>#N/A</v>
      </c>
      <c r="V636" s="4" t="str">
        <f t="shared" si="152"/>
        <v/>
      </c>
      <c r="W636" s="4" t="e" cm="1">
        <f t="array" ref="W636">IF(INDEX(Table2[],_xlfn.XMATCH($A636,Table2[Steel Member],0),_xlfn.XMATCH(W$2,Table2[#Headers],0))=0,"",INDEX(Table2[],_xlfn.XMATCH($A636,Table2[Steel Member],0),_xlfn.XMATCH(W$2,Table2[#Headers],0)))</f>
        <v>#N/A</v>
      </c>
      <c r="X636" s="4" t="e">
        <f t="shared" si="150"/>
        <v>#N/A</v>
      </c>
      <c r="Y636" s="4" t="e" cm="1">
        <f t="array" ref="Y636">IF(INDEX(Table2[],_xlfn.XMATCH($A636,Table2[Steel Member],0),_xlfn.XMATCH(Y$2,Table2[#Headers],0))=0,"",INDEX(Table2[],_xlfn.XMATCH($A636,Table2[Steel Member],0),_xlfn.XMATCH(Y$2,Table2[#Headers],0)))</f>
        <v>#N/A</v>
      </c>
      <c r="Z636" s="4" t="e" cm="1">
        <f t="array" ref="Z636">IF(INDEX(Table2[],_xlfn.XMATCH($A636,Table2[Steel Member],0),_xlfn.XMATCH(Z$2,Table2[#Headers],0))=0,"",INDEX(Table2[],_xlfn.XMATCH($A636,Table2[Steel Member],0),_xlfn.XMATCH(Z$2,Table2[#Headers],0)))</f>
        <v>#N/A</v>
      </c>
      <c r="AA636" s="4" t="e" cm="1">
        <f t="array" ref="AA636">IF(INDEX(Table2[],_xlfn.XMATCH($A636,Table2[Steel Member],0),_xlfn.XMATCH(AA$2,Table2[#Headers],0))=0,"",INDEX(Table2[],_xlfn.XMATCH($A636,Table2[Steel Member],0),_xlfn.XMATCH(AA$2,Table2[#Headers],0)))</f>
        <v>#N/A</v>
      </c>
      <c r="AB636" s="4" t="e" cm="1">
        <f t="array" ref="AB636">IF(INDEX(Table2[],_xlfn.XMATCH($A636,Table2[Steel Member],0),_xlfn.XMATCH(AB$2,Table2[#Headers],0))=0,"",INDEX(Table2[],_xlfn.XMATCH($A636,Table2[Steel Member],0),_xlfn.XMATCH(AB$2,Table2[#Headers],0)))</f>
        <v>#N/A</v>
      </c>
      <c r="AC636" s="4" t="str" cm="1">
        <f t="array" ref="AC636">IFERROR(INDEX(Table8[],_xlfn.XMATCH($O636,Table8[Dimension Name Category],0),_xlfn.XMATCH(AC$2&amp;IF($L636," w/ tag"," w/o tag"),Table8[#Headers],0)),"")</f>
        <v/>
      </c>
      <c r="AD636" s="59" t="str">
        <f t="shared" si="153"/>
        <v/>
      </c>
      <c r="AE636" s="4" t="str">
        <f t="shared" si="154"/>
        <v/>
      </c>
      <c r="AF636" s="4" t="str">
        <f t="shared" si="155"/>
        <v/>
      </c>
      <c r="AG636" s="4" t="str" cm="1">
        <f t="array" ref="AG636">IFERROR(INDEX(Table8[],_xlfn.XMATCH($O636,Table8[Dimension Name Category],0),_xlfn.XMATCH(AG$2&amp;IF($L636," w/ tag"," w/o tag"),Table8[#Headers],0)),"")</f>
        <v/>
      </c>
      <c r="AH636" s="59" t="str">
        <f t="shared" si="156"/>
        <v/>
      </c>
      <c r="AI636" s="4"/>
      <c r="AJ636" s="4" t="str">
        <f t="shared" si="157"/>
        <v/>
      </c>
      <c r="AK636" s="4" t="str">
        <f t="shared" si="158"/>
        <v/>
      </c>
      <c r="AL636" s="4" t="e" cm="1">
        <f t="array" ref="AL636">IF(INDEX(Table2[],_xlfn.XMATCH($A636,Table2[Steel Member],0),_xlfn.XMATCH(AL$2,Table2[#Headers],0))=0,"",INDEX(Table2[],_xlfn.XMATCH($A636,Table2[Steel Member],0),_xlfn.XMATCH(AL$2,Table2[#Headers],0)))</f>
        <v>#N/A</v>
      </c>
      <c r="AM636" s="4"/>
      <c r="AN636" s="4" t="str">
        <f t="shared" si="159"/>
        <v/>
      </c>
      <c r="AO636" s="4"/>
      <c r="AP636" s="4" t="e" cm="1">
        <f t="array" ref="AP636">IF(INDEX(Table2[],_xlfn.XMATCH($A636,Table2[Steel Member],0),_xlfn.XMATCH(AP$2,Table2[#Headers],0))=0,"",INDEX(Table2[],_xlfn.XMATCH($A636,Table2[Steel Member],0),_xlfn.XMATCH(AP$2,Table2[#Headers],0)))</f>
        <v>#N/A</v>
      </c>
      <c r="AQ636" s="4"/>
      <c r="AR636" s="4"/>
      <c r="AS636" s="4"/>
      <c r="AT636" s="4"/>
    </row>
    <row r="637" spans="1:46" x14ac:dyDescent="0.25">
      <c r="A637" s="52"/>
      <c r="B637" s="52"/>
      <c r="C637" s="52"/>
      <c r="D637" s="52"/>
      <c r="E637" s="52"/>
      <c r="F637" s="64" cm="1">
        <f t="array" ref="F637">IF(COUNT(FIND(PurlinsxGirthsxBracings,$C637))&gt;0,0,ROUNDUP(IF(D637=0,0,VLOOKUP(D637,'DATA SHEET'!$B:$D,2,FALSE)),2))</f>
        <v>0</v>
      </c>
      <c r="G637" s="64" cm="1">
        <f t="array" ref="G637">IF(COUNT(FIND(PurlinsxGirthsxBracings,$C637))&gt;0,0,ROUNDUP(IF(D637=0,0,VLOOKUP(D637,'DATA SHEET'!$B:$D,3,FALSE)),2))</f>
        <v>0</v>
      </c>
      <c r="H637" s="53"/>
      <c r="I637" s="66" cm="1">
        <f t="array" ref="I637">IF(AND(ISBLANK(B637),ISBLANK(C637),ISBLANK(E637)),0,IF(COUNT(FIND(PurlinsxGirthsxBracings,$C637))&gt;0,IF(B637=0,CONCATENATE(E637," ",C637),CONCATENATE(B637," - ",E637," ",C637)),IF(B637=0,IF(ISBLANK(C637),E637,CONCATENATE(D637,", ",F637,"kg/m, ",G637,"mm surface perimeter")),IF(AND(ISBLANK(C637),ISTEXT(E637)),CONCATENATE(B637," - ",E637),IF(AND(ISBLANK(C637),ISBLANK(E637)),B637,CONCATENATE(B637," - ",D637,", ",F637,"kg/m, ",G637,"mm surface perimeter"))))&amp;IF(ISBLANK(H637),"",H637)))</f>
        <v>0</v>
      </c>
      <c r="J637" s="53"/>
      <c r="L637" s="4" t="str" cm="1">
        <f t="array" ref="L637">IF(COUNT(FIND({0,1,2,3,4,5,6,7,8,9},B637))&gt;0,COUNT(FIND({0,1,2,3,4,5,6,7,8,9},B637))&gt;0,"")</f>
        <v/>
      </c>
      <c r="M637" s="4" t="str" cm="1">
        <f t="array" aca="1" ref="M637" ca="1">IFERROR(_xlfn.IFS(R637="Count",RANDBETWEEN(1,COUNTIF($R$11:$R$653,"Count")),R637="Length",RANDBETWEEN(1,COUNTIF($R$11:$R$653,"Length"))),"")</f>
        <v/>
      </c>
      <c r="N637" s="4" t="str">
        <f ca="1">IFERROR(_xlfn.RANK.EQ(M637,$M$11:$M$653)+COUNTIF($M$11:M637,M637)-1,"")</f>
        <v/>
      </c>
      <c r="O637" s="86" t="str">
        <f>IF(A637='DATA SHEET'!$L$36,C637,IFERROR(IF(AND(ISTEXT(I637),ISBLANK(C637)),"No details",VLOOKUP(C637,DimFolder,2,FALSE)),""))</f>
        <v/>
      </c>
      <c r="P637" s="4" t="str">
        <f t="shared" si="149"/>
        <v/>
      </c>
      <c r="Q637" s="58" t="str">
        <f t="shared" si="160"/>
        <v/>
      </c>
      <c r="R637" s="4" t="e" cm="1">
        <f t="array" ref="R637">IF(INDEX(Table2[],_xlfn.XMATCH($A637,Table2[Steel Member],0),_xlfn.XMATCH(R$2,Table2[#Headers],0))=0,"",INDEX(Table2[],_xlfn.XMATCH($A637,Table2[Steel Member],0),_xlfn.XMATCH(R$2,Table2[#Headers],0)))</f>
        <v>#N/A</v>
      </c>
      <c r="S637" s="4" t="e" cm="1">
        <f t="array" ref="S637">IF(INDEX(Table2[],_xlfn.XMATCH($A637,Table2[Steel Member],0),_xlfn.XMATCH(S$2,Table2[#Headers],0))=0,"",INDEX(Table2[],_xlfn.XMATCH($A637,Table2[Steel Member],0),_xlfn.XMATCH(S$2,Table2[#Headers],0)))</f>
        <v>#N/A</v>
      </c>
      <c r="T637" s="4" t="str">
        <f t="shared" si="151"/>
        <v/>
      </c>
      <c r="U637" s="4" t="e">
        <f ca="1">VLOOKUP(N637,'COLOR CODE'!$B:$D,2,FALSE)</f>
        <v>#N/A</v>
      </c>
      <c r="V637" s="4" t="str">
        <f t="shared" si="152"/>
        <v/>
      </c>
      <c r="W637" s="4" t="e" cm="1">
        <f t="array" ref="W637">IF(INDEX(Table2[],_xlfn.XMATCH($A637,Table2[Steel Member],0),_xlfn.XMATCH(W$2,Table2[#Headers],0))=0,"",INDEX(Table2[],_xlfn.XMATCH($A637,Table2[Steel Member],0),_xlfn.XMATCH(W$2,Table2[#Headers],0)))</f>
        <v>#N/A</v>
      </c>
      <c r="X637" s="4" t="e">
        <f t="shared" si="150"/>
        <v>#N/A</v>
      </c>
      <c r="Y637" s="4" t="e" cm="1">
        <f t="array" ref="Y637">IF(INDEX(Table2[],_xlfn.XMATCH($A637,Table2[Steel Member],0),_xlfn.XMATCH(Y$2,Table2[#Headers],0))=0,"",INDEX(Table2[],_xlfn.XMATCH($A637,Table2[Steel Member],0),_xlfn.XMATCH(Y$2,Table2[#Headers],0)))</f>
        <v>#N/A</v>
      </c>
      <c r="Z637" s="4" t="e" cm="1">
        <f t="array" ref="Z637">IF(INDEX(Table2[],_xlfn.XMATCH($A637,Table2[Steel Member],0),_xlfn.XMATCH(Z$2,Table2[#Headers],0))=0,"",INDEX(Table2[],_xlfn.XMATCH($A637,Table2[Steel Member],0),_xlfn.XMATCH(Z$2,Table2[#Headers],0)))</f>
        <v>#N/A</v>
      </c>
      <c r="AA637" s="4" t="e" cm="1">
        <f t="array" ref="AA637">IF(INDEX(Table2[],_xlfn.XMATCH($A637,Table2[Steel Member],0),_xlfn.XMATCH(AA$2,Table2[#Headers],0))=0,"",INDEX(Table2[],_xlfn.XMATCH($A637,Table2[Steel Member],0),_xlfn.XMATCH(AA$2,Table2[#Headers],0)))</f>
        <v>#N/A</v>
      </c>
      <c r="AB637" s="4" t="e" cm="1">
        <f t="array" ref="AB637">IF(INDEX(Table2[],_xlfn.XMATCH($A637,Table2[Steel Member],0),_xlfn.XMATCH(AB$2,Table2[#Headers],0))=0,"",INDEX(Table2[],_xlfn.XMATCH($A637,Table2[Steel Member],0),_xlfn.XMATCH(AB$2,Table2[#Headers],0)))</f>
        <v>#N/A</v>
      </c>
      <c r="AC637" s="4" t="str" cm="1">
        <f t="array" ref="AC637">IFERROR(INDEX(Table8[],_xlfn.XMATCH($O637,Table8[Dimension Name Category],0),_xlfn.XMATCH(AC$2&amp;IF($L637," w/ tag"," w/o tag"),Table8[#Headers],0)),"")</f>
        <v/>
      </c>
      <c r="AD637" s="59" t="str">
        <f t="shared" si="153"/>
        <v/>
      </c>
      <c r="AE637" s="4" t="str">
        <f t="shared" si="154"/>
        <v/>
      </c>
      <c r="AF637" s="4" t="str">
        <f t="shared" si="155"/>
        <v/>
      </c>
      <c r="AG637" s="4" t="str" cm="1">
        <f t="array" ref="AG637">IFERROR(INDEX(Table8[],_xlfn.XMATCH($O637,Table8[Dimension Name Category],0),_xlfn.XMATCH(AG$2&amp;IF($L637," w/ tag"," w/o tag"),Table8[#Headers],0)),"")</f>
        <v/>
      </c>
      <c r="AH637" s="59" t="str">
        <f t="shared" si="156"/>
        <v/>
      </c>
      <c r="AI637" s="4"/>
      <c r="AJ637" s="4" t="str">
        <f t="shared" si="157"/>
        <v/>
      </c>
      <c r="AK637" s="4" t="str">
        <f t="shared" si="158"/>
        <v/>
      </c>
      <c r="AL637" s="4" t="e" cm="1">
        <f t="array" ref="AL637">IF(INDEX(Table2[],_xlfn.XMATCH($A637,Table2[Steel Member],0),_xlfn.XMATCH(AL$2,Table2[#Headers],0))=0,"",INDEX(Table2[],_xlfn.XMATCH($A637,Table2[Steel Member],0),_xlfn.XMATCH(AL$2,Table2[#Headers],0)))</f>
        <v>#N/A</v>
      </c>
      <c r="AM637" s="4"/>
      <c r="AN637" s="4" t="str">
        <f t="shared" si="159"/>
        <v/>
      </c>
      <c r="AO637" s="4"/>
      <c r="AP637" s="4" t="e" cm="1">
        <f t="array" ref="AP637">IF(INDEX(Table2[],_xlfn.XMATCH($A637,Table2[Steel Member],0),_xlfn.XMATCH(AP$2,Table2[#Headers],0))=0,"",INDEX(Table2[],_xlfn.XMATCH($A637,Table2[Steel Member],0),_xlfn.XMATCH(AP$2,Table2[#Headers],0)))</f>
        <v>#N/A</v>
      </c>
      <c r="AQ637" s="4"/>
      <c r="AR637" s="4"/>
      <c r="AS637" s="4"/>
      <c r="AT637" s="4"/>
    </row>
    <row r="638" spans="1:46" x14ac:dyDescent="0.25">
      <c r="A638" s="52"/>
      <c r="B638" s="52"/>
      <c r="C638" s="52"/>
      <c r="D638" s="52"/>
      <c r="E638" s="52"/>
      <c r="F638" s="64" cm="1">
        <f t="array" ref="F638">IF(COUNT(FIND(PurlinsxGirthsxBracings,$C638))&gt;0,0,ROUNDUP(IF(D638=0,0,VLOOKUP(D638,'DATA SHEET'!$B:$D,2,FALSE)),2))</f>
        <v>0</v>
      </c>
      <c r="G638" s="64" cm="1">
        <f t="array" ref="G638">IF(COUNT(FIND(PurlinsxGirthsxBracings,$C638))&gt;0,0,ROUNDUP(IF(D638=0,0,VLOOKUP(D638,'DATA SHEET'!$B:$D,3,FALSE)),2))</f>
        <v>0</v>
      </c>
      <c r="H638" s="53"/>
      <c r="I638" s="66" cm="1">
        <f t="array" ref="I638">IF(AND(ISBLANK(B638),ISBLANK(C638),ISBLANK(E638)),0,IF(COUNT(FIND(PurlinsxGirthsxBracings,$C638))&gt;0,IF(B638=0,CONCATENATE(E638," ",C638),CONCATENATE(B638," - ",E638," ",C638)),IF(B638=0,IF(ISBLANK(C638),E638,CONCATENATE(D638,", ",F638,"kg/m, ",G638,"mm surface perimeter")),IF(AND(ISBLANK(C638),ISTEXT(E638)),CONCATENATE(B638," - ",E638),IF(AND(ISBLANK(C638),ISBLANK(E638)),B638,CONCATENATE(B638," - ",D638,", ",F638,"kg/m, ",G638,"mm surface perimeter"))))&amp;IF(ISBLANK(H638),"",H638)))</f>
        <v>0</v>
      </c>
      <c r="J638" s="53"/>
      <c r="L638" s="4" t="str" cm="1">
        <f t="array" ref="L638">IF(COUNT(FIND({0,1,2,3,4,5,6,7,8,9},B638))&gt;0,COUNT(FIND({0,1,2,3,4,5,6,7,8,9},B638))&gt;0,"")</f>
        <v/>
      </c>
      <c r="M638" s="4" t="str" cm="1">
        <f t="array" aca="1" ref="M638" ca="1">IFERROR(_xlfn.IFS(R638="Count",RANDBETWEEN(1,COUNTIF($R$11:$R$653,"Count")),R638="Length",RANDBETWEEN(1,COUNTIF($R$11:$R$653,"Length"))),"")</f>
        <v/>
      </c>
      <c r="N638" s="4" t="str">
        <f ca="1">IFERROR(_xlfn.RANK.EQ(M638,$M$11:$M$653)+COUNTIF($M$11:M638,M638)-1,"")</f>
        <v/>
      </c>
      <c r="O638" s="86" t="str">
        <f>IF(A638='DATA SHEET'!$L$36,C638,IFERROR(IF(AND(ISTEXT(I638),ISBLANK(C638)),"No details",VLOOKUP(C638,DimFolder,2,FALSE)),""))</f>
        <v/>
      </c>
      <c r="P638" s="4" t="str">
        <f t="shared" si="149"/>
        <v/>
      </c>
      <c r="Q638" s="58" t="str">
        <f t="shared" si="160"/>
        <v/>
      </c>
      <c r="R638" s="4" t="e" cm="1">
        <f t="array" ref="R638">IF(INDEX(Table2[],_xlfn.XMATCH($A638,Table2[Steel Member],0),_xlfn.XMATCH(R$2,Table2[#Headers],0))=0,"",INDEX(Table2[],_xlfn.XMATCH($A638,Table2[Steel Member],0),_xlfn.XMATCH(R$2,Table2[#Headers],0)))</f>
        <v>#N/A</v>
      </c>
      <c r="S638" s="4" t="e" cm="1">
        <f t="array" ref="S638">IF(INDEX(Table2[],_xlfn.XMATCH($A638,Table2[Steel Member],0),_xlfn.XMATCH(S$2,Table2[#Headers],0))=0,"",INDEX(Table2[],_xlfn.XMATCH($A638,Table2[Steel Member],0),_xlfn.XMATCH(S$2,Table2[#Headers],0)))</f>
        <v>#N/A</v>
      </c>
      <c r="T638" s="4" t="str">
        <f t="shared" si="151"/>
        <v/>
      </c>
      <c r="U638" s="4" t="e">
        <f ca="1">VLOOKUP(N638,'COLOR CODE'!$B:$D,2,FALSE)</f>
        <v>#N/A</v>
      </c>
      <c r="V638" s="4" t="str">
        <f t="shared" si="152"/>
        <v/>
      </c>
      <c r="W638" s="4" t="e" cm="1">
        <f t="array" ref="W638">IF(INDEX(Table2[],_xlfn.XMATCH($A638,Table2[Steel Member],0),_xlfn.XMATCH(W$2,Table2[#Headers],0))=0,"",INDEX(Table2[],_xlfn.XMATCH($A638,Table2[Steel Member],0),_xlfn.XMATCH(W$2,Table2[#Headers],0)))</f>
        <v>#N/A</v>
      </c>
      <c r="X638" s="4" t="e">
        <f t="shared" si="150"/>
        <v>#N/A</v>
      </c>
      <c r="Y638" s="4" t="e" cm="1">
        <f t="array" ref="Y638">IF(INDEX(Table2[],_xlfn.XMATCH($A638,Table2[Steel Member],0),_xlfn.XMATCH(Y$2,Table2[#Headers],0))=0,"",INDEX(Table2[],_xlfn.XMATCH($A638,Table2[Steel Member],0),_xlfn.XMATCH(Y$2,Table2[#Headers],0)))</f>
        <v>#N/A</v>
      </c>
      <c r="Z638" s="4" t="e" cm="1">
        <f t="array" ref="Z638">IF(INDEX(Table2[],_xlfn.XMATCH($A638,Table2[Steel Member],0),_xlfn.XMATCH(Z$2,Table2[#Headers],0))=0,"",INDEX(Table2[],_xlfn.XMATCH($A638,Table2[Steel Member],0),_xlfn.XMATCH(Z$2,Table2[#Headers],0)))</f>
        <v>#N/A</v>
      </c>
      <c r="AA638" s="4" t="e" cm="1">
        <f t="array" ref="AA638">IF(INDEX(Table2[],_xlfn.XMATCH($A638,Table2[Steel Member],0),_xlfn.XMATCH(AA$2,Table2[#Headers],0))=0,"",INDEX(Table2[],_xlfn.XMATCH($A638,Table2[Steel Member],0),_xlfn.XMATCH(AA$2,Table2[#Headers],0)))</f>
        <v>#N/A</v>
      </c>
      <c r="AB638" s="4" t="e" cm="1">
        <f t="array" ref="AB638">IF(INDEX(Table2[],_xlfn.XMATCH($A638,Table2[Steel Member],0),_xlfn.XMATCH(AB$2,Table2[#Headers],0))=0,"",INDEX(Table2[],_xlfn.XMATCH($A638,Table2[Steel Member],0),_xlfn.XMATCH(AB$2,Table2[#Headers],0)))</f>
        <v>#N/A</v>
      </c>
      <c r="AC638" s="4" t="str" cm="1">
        <f t="array" ref="AC638">IFERROR(INDEX(Table8[],_xlfn.XMATCH($O638,Table8[Dimension Name Category],0),_xlfn.XMATCH(AC$2&amp;IF($L638," w/ tag"," w/o tag"),Table8[#Headers],0)),"")</f>
        <v/>
      </c>
      <c r="AD638" s="59" t="str">
        <f t="shared" si="153"/>
        <v/>
      </c>
      <c r="AE638" s="4" t="str">
        <f t="shared" si="154"/>
        <v/>
      </c>
      <c r="AF638" s="4" t="str">
        <f t="shared" si="155"/>
        <v/>
      </c>
      <c r="AG638" s="4" t="str" cm="1">
        <f t="array" ref="AG638">IFERROR(INDEX(Table8[],_xlfn.XMATCH($O638,Table8[Dimension Name Category],0),_xlfn.XMATCH(AG$2&amp;IF($L638," w/ tag"," w/o tag"),Table8[#Headers],0)),"")</f>
        <v/>
      </c>
      <c r="AH638" s="59" t="str">
        <f t="shared" si="156"/>
        <v/>
      </c>
      <c r="AI638" s="4"/>
      <c r="AJ638" s="4" t="str">
        <f t="shared" si="157"/>
        <v/>
      </c>
      <c r="AK638" s="4" t="str">
        <f t="shared" si="158"/>
        <v/>
      </c>
      <c r="AL638" s="4" t="e" cm="1">
        <f t="array" ref="AL638">IF(INDEX(Table2[],_xlfn.XMATCH($A638,Table2[Steel Member],0),_xlfn.XMATCH(AL$2,Table2[#Headers],0))=0,"",INDEX(Table2[],_xlfn.XMATCH($A638,Table2[Steel Member],0),_xlfn.XMATCH(AL$2,Table2[#Headers],0)))</f>
        <v>#N/A</v>
      </c>
      <c r="AM638" s="4"/>
      <c r="AN638" s="4" t="str">
        <f t="shared" si="159"/>
        <v/>
      </c>
      <c r="AO638" s="4"/>
      <c r="AP638" s="4" t="e" cm="1">
        <f t="array" ref="AP638">IF(INDEX(Table2[],_xlfn.XMATCH($A638,Table2[Steel Member],0),_xlfn.XMATCH(AP$2,Table2[#Headers],0))=0,"",INDEX(Table2[],_xlfn.XMATCH($A638,Table2[Steel Member],0),_xlfn.XMATCH(AP$2,Table2[#Headers],0)))</f>
        <v>#N/A</v>
      </c>
      <c r="AQ638" s="4"/>
      <c r="AR638" s="4"/>
      <c r="AS638" s="4"/>
      <c r="AT638" s="4"/>
    </row>
    <row r="639" spans="1:46" x14ac:dyDescent="0.25">
      <c r="A639" s="52"/>
      <c r="B639" s="52"/>
      <c r="C639" s="52"/>
      <c r="D639" s="52"/>
      <c r="E639" s="52"/>
      <c r="F639" s="64" cm="1">
        <f t="array" ref="F639">IF(COUNT(FIND(PurlinsxGirthsxBracings,$C639))&gt;0,0,ROUNDUP(IF(D639=0,0,VLOOKUP(D639,'DATA SHEET'!$B:$D,2,FALSE)),2))</f>
        <v>0</v>
      </c>
      <c r="G639" s="64" cm="1">
        <f t="array" ref="G639">IF(COUNT(FIND(PurlinsxGirthsxBracings,$C639))&gt;0,0,ROUNDUP(IF(D639=0,0,VLOOKUP(D639,'DATA SHEET'!$B:$D,3,FALSE)),2))</f>
        <v>0</v>
      </c>
      <c r="H639" s="53"/>
      <c r="I639" s="66" cm="1">
        <f t="array" ref="I639">IF(AND(ISBLANK(B639),ISBLANK(C639),ISBLANK(E639)),0,IF(COUNT(FIND(PurlinsxGirthsxBracings,$C639))&gt;0,IF(B639=0,CONCATENATE(E639," ",C639),CONCATENATE(B639," - ",E639," ",C639)),IF(B639=0,IF(ISBLANK(C639),E639,CONCATENATE(D639,", ",F639,"kg/m, ",G639,"mm surface perimeter")),IF(AND(ISBLANK(C639),ISTEXT(E639)),CONCATENATE(B639," - ",E639),IF(AND(ISBLANK(C639),ISBLANK(E639)),B639,CONCATENATE(B639," - ",D639,", ",F639,"kg/m, ",G639,"mm surface perimeter"))))&amp;IF(ISBLANK(H639),"",H639)))</f>
        <v>0</v>
      </c>
      <c r="J639" s="53"/>
      <c r="L639" s="4" t="str" cm="1">
        <f t="array" ref="L639">IF(COUNT(FIND({0,1,2,3,4,5,6,7,8,9},B639))&gt;0,COUNT(FIND({0,1,2,3,4,5,6,7,8,9},B639))&gt;0,"")</f>
        <v/>
      </c>
      <c r="M639" s="4" t="str" cm="1">
        <f t="array" aca="1" ref="M639" ca="1">IFERROR(_xlfn.IFS(R639="Count",RANDBETWEEN(1,COUNTIF($R$11:$R$653,"Count")),R639="Length",RANDBETWEEN(1,COUNTIF($R$11:$R$653,"Length"))),"")</f>
        <v/>
      </c>
      <c r="N639" s="4" t="str">
        <f ca="1">IFERROR(_xlfn.RANK.EQ(M639,$M$11:$M$653)+COUNTIF($M$11:M639,M639)-1,"")</f>
        <v/>
      </c>
      <c r="O639" s="86" t="str">
        <f>IF(A639='DATA SHEET'!$L$36,C639,IFERROR(IF(AND(ISTEXT(I639),ISBLANK(C639)),"No details",VLOOKUP(C639,DimFolder,2,FALSE)),""))</f>
        <v/>
      </c>
      <c r="P639" s="4" t="str">
        <f t="shared" si="149"/>
        <v/>
      </c>
      <c r="Q639" s="58" t="str">
        <f t="shared" si="160"/>
        <v/>
      </c>
      <c r="R639" s="4" t="e" cm="1">
        <f t="array" ref="R639">IF(INDEX(Table2[],_xlfn.XMATCH($A639,Table2[Steel Member],0),_xlfn.XMATCH(R$2,Table2[#Headers],0))=0,"",INDEX(Table2[],_xlfn.XMATCH($A639,Table2[Steel Member],0),_xlfn.XMATCH(R$2,Table2[#Headers],0)))</f>
        <v>#N/A</v>
      </c>
      <c r="S639" s="4" t="e" cm="1">
        <f t="array" ref="S639">IF(INDEX(Table2[],_xlfn.XMATCH($A639,Table2[Steel Member],0),_xlfn.XMATCH(S$2,Table2[#Headers],0))=0,"",INDEX(Table2[],_xlfn.XMATCH($A639,Table2[Steel Member],0),_xlfn.XMATCH(S$2,Table2[#Headers],0)))</f>
        <v>#N/A</v>
      </c>
      <c r="T639" s="4" t="str">
        <f t="shared" si="151"/>
        <v/>
      </c>
      <c r="U639" s="4" t="e">
        <f ca="1">VLOOKUP(N639,'COLOR CODE'!$B:$D,2,FALSE)</f>
        <v>#N/A</v>
      </c>
      <c r="V639" s="4" t="str">
        <f t="shared" si="152"/>
        <v/>
      </c>
      <c r="W639" s="4" t="e" cm="1">
        <f t="array" ref="W639">IF(INDEX(Table2[],_xlfn.XMATCH($A639,Table2[Steel Member],0),_xlfn.XMATCH(W$2,Table2[#Headers],0))=0,"",INDEX(Table2[],_xlfn.XMATCH($A639,Table2[Steel Member],0),_xlfn.XMATCH(W$2,Table2[#Headers],0)))</f>
        <v>#N/A</v>
      </c>
      <c r="X639" s="4" t="e">
        <f t="shared" si="150"/>
        <v>#N/A</v>
      </c>
      <c r="Y639" s="4" t="e" cm="1">
        <f t="array" ref="Y639">IF(INDEX(Table2[],_xlfn.XMATCH($A639,Table2[Steel Member],0),_xlfn.XMATCH(Y$2,Table2[#Headers],0))=0,"",INDEX(Table2[],_xlfn.XMATCH($A639,Table2[Steel Member],0),_xlfn.XMATCH(Y$2,Table2[#Headers],0)))</f>
        <v>#N/A</v>
      </c>
      <c r="Z639" s="4" t="e" cm="1">
        <f t="array" ref="Z639">IF(INDEX(Table2[],_xlfn.XMATCH($A639,Table2[Steel Member],0),_xlfn.XMATCH(Z$2,Table2[#Headers],0))=0,"",INDEX(Table2[],_xlfn.XMATCH($A639,Table2[Steel Member],0),_xlfn.XMATCH(Z$2,Table2[#Headers],0)))</f>
        <v>#N/A</v>
      </c>
      <c r="AA639" s="4" t="e" cm="1">
        <f t="array" ref="AA639">IF(INDEX(Table2[],_xlfn.XMATCH($A639,Table2[Steel Member],0),_xlfn.XMATCH(AA$2,Table2[#Headers],0))=0,"",INDEX(Table2[],_xlfn.XMATCH($A639,Table2[Steel Member],0),_xlfn.XMATCH(AA$2,Table2[#Headers],0)))</f>
        <v>#N/A</v>
      </c>
      <c r="AB639" s="4" t="e" cm="1">
        <f t="array" ref="AB639">IF(INDEX(Table2[],_xlfn.XMATCH($A639,Table2[Steel Member],0),_xlfn.XMATCH(AB$2,Table2[#Headers],0))=0,"",INDEX(Table2[],_xlfn.XMATCH($A639,Table2[Steel Member],0),_xlfn.XMATCH(AB$2,Table2[#Headers],0)))</f>
        <v>#N/A</v>
      </c>
      <c r="AC639" s="4" t="str" cm="1">
        <f t="array" ref="AC639">IFERROR(INDEX(Table8[],_xlfn.XMATCH($O639,Table8[Dimension Name Category],0),_xlfn.XMATCH(AC$2&amp;IF($L639," w/ tag"," w/o tag"),Table8[#Headers],0)),"")</f>
        <v/>
      </c>
      <c r="AD639" s="59" t="str">
        <f t="shared" si="153"/>
        <v/>
      </c>
      <c r="AE639" s="4" t="str">
        <f t="shared" si="154"/>
        <v/>
      </c>
      <c r="AF639" s="4" t="str">
        <f t="shared" si="155"/>
        <v/>
      </c>
      <c r="AG639" s="4" t="str" cm="1">
        <f t="array" ref="AG639">IFERROR(INDEX(Table8[],_xlfn.XMATCH($O639,Table8[Dimension Name Category],0),_xlfn.XMATCH(AG$2&amp;IF($L639," w/ tag"," w/o tag"),Table8[#Headers],0)),"")</f>
        <v/>
      </c>
      <c r="AH639" s="59" t="str">
        <f t="shared" si="156"/>
        <v/>
      </c>
      <c r="AI639" s="4"/>
      <c r="AJ639" s="4" t="str">
        <f t="shared" si="157"/>
        <v/>
      </c>
      <c r="AK639" s="4" t="str">
        <f t="shared" si="158"/>
        <v/>
      </c>
      <c r="AL639" s="4" t="e" cm="1">
        <f t="array" ref="AL639">IF(INDEX(Table2[],_xlfn.XMATCH($A639,Table2[Steel Member],0),_xlfn.XMATCH(AL$2,Table2[#Headers],0))=0,"",INDEX(Table2[],_xlfn.XMATCH($A639,Table2[Steel Member],0),_xlfn.XMATCH(AL$2,Table2[#Headers],0)))</f>
        <v>#N/A</v>
      </c>
      <c r="AM639" s="4"/>
      <c r="AN639" s="4" t="str">
        <f t="shared" si="159"/>
        <v/>
      </c>
      <c r="AO639" s="4"/>
      <c r="AP639" s="4" t="e" cm="1">
        <f t="array" ref="AP639">IF(INDEX(Table2[],_xlfn.XMATCH($A639,Table2[Steel Member],0),_xlfn.XMATCH(AP$2,Table2[#Headers],0))=0,"",INDEX(Table2[],_xlfn.XMATCH($A639,Table2[Steel Member],0),_xlfn.XMATCH(AP$2,Table2[#Headers],0)))</f>
        <v>#N/A</v>
      </c>
      <c r="AQ639" s="4"/>
      <c r="AR639" s="4"/>
      <c r="AS639" s="4"/>
      <c r="AT639" s="4"/>
    </row>
    <row r="640" spans="1:46" x14ac:dyDescent="0.25">
      <c r="A640" s="52"/>
      <c r="B640" s="52"/>
      <c r="C640" s="52"/>
      <c r="D640" s="52"/>
      <c r="E640" s="52"/>
      <c r="F640" s="64" cm="1">
        <f t="array" ref="F640">IF(COUNT(FIND(PurlinsxGirthsxBracings,$C640))&gt;0,0,ROUNDUP(IF(D640=0,0,VLOOKUP(D640,'DATA SHEET'!$B:$D,2,FALSE)),2))</f>
        <v>0</v>
      </c>
      <c r="G640" s="64" cm="1">
        <f t="array" ref="G640">IF(COUNT(FIND(PurlinsxGirthsxBracings,$C640))&gt;0,0,ROUNDUP(IF(D640=0,0,VLOOKUP(D640,'DATA SHEET'!$B:$D,3,FALSE)),2))</f>
        <v>0</v>
      </c>
      <c r="H640" s="53"/>
      <c r="I640" s="66" cm="1">
        <f t="array" ref="I640">IF(AND(ISBLANK(B640),ISBLANK(C640),ISBLANK(E640)),0,IF(COUNT(FIND(PurlinsxGirthsxBracings,$C640))&gt;0,IF(B640=0,CONCATENATE(E640," ",C640),CONCATENATE(B640," - ",E640," ",C640)),IF(B640=0,IF(ISBLANK(C640),E640,CONCATENATE(D640,", ",F640,"kg/m, ",G640,"mm surface perimeter")),IF(AND(ISBLANK(C640),ISTEXT(E640)),CONCATENATE(B640," - ",E640),IF(AND(ISBLANK(C640),ISBLANK(E640)),B640,CONCATENATE(B640," - ",D640,", ",F640,"kg/m, ",G640,"mm surface perimeter"))))&amp;IF(ISBLANK(H640),"",H640)))</f>
        <v>0</v>
      </c>
      <c r="J640" s="53"/>
      <c r="L640" s="4" t="str" cm="1">
        <f t="array" ref="L640">IF(COUNT(FIND({0,1,2,3,4,5,6,7,8,9},B640))&gt;0,COUNT(FIND({0,1,2,3,4,5,6,7,8,9},B640))&gt;0,"")</f>
        <v/>
      </c>
      <c r="M640" s="4" t="str" cm="1">
        <f t="array" aca="1" ref="M640" ca="1">IFERROR(_xlfn.IFS(R640="Count",RANDBETWEEN(1,COUNTIF($R$11:$R$653,"Count")),R640="Length",RANDBETWEEN(1,COUNTIF($R$11:$R$653,"Length"))),"")</f>
        <v/>
      </c>
      <c r="N640" s="4" t="str">
        <f ca="1">IFERROR(_xlfn.RANK.EQ(M640,$M$11:$M$653)+COUNTIF($M$11:M640,M640)-1,"")</f>
        <v/>
      </c>
      <c r="O640" s="86" t="str">
        <f>IF(A640='DATA SHEET'!$L$36,C640,IFERROR(IF(AND(ISTEXT(I640),ISBLANK(C640)),"No details",VLOOKUP(C640,DimFolder,2,FALSE)),""))</f>
        <v/>
      </c>
      <c r="P640" s="4" t="str">
        <f t="shared" si="149"/>
        <v/>
      </c>
      <c r="Q640" s="58" t="str">
        <f t="shared" si="160"/>
        <v/>
      </c>
      <c r="R640" s="4" t="e" cm="1">
        <f t="array" ref="R640">IF(INDEX(Table2[],_xlfn.XMATCH($A640,Table2[Steel Member],0),_xlfn.XMATCH(R$2,Table2[#Headers],0))=0,"",INDEX(Table2[],_xlfn.XMATCH($A640,Table2[Steel Member],0),_xlfn.XMATCH(R$2,Table2[#Headers],0)))</f>
        <v>#N/A</v>
      </c>
      <c r="S640" s="4" t="e" cm="1">
        <f t="array" ref="S640">IF(INDEX(Table2[],_xlfn.XMATCH($A640,Table2[Steel Member],0),_xlfn.XMATCH(S$2,Table2[#Headers],0))=0,"",INDEX(Table2[],_xlfn.XMATCH($A640,Table2[Steel Member],0),_xlfn.XMATCH(S$2,Table2[#Headers],0)))</f>
        <v>#N/A</v>
      </c>
      <c r="T640" s="4" t="str">
        <f t="shared" si="151"/>
        <v/>
      </c>
      <c r="U640" s="4" t="e">
        <f ca="1">VLOOKUP(N640,'COLOR CODE'!$B:$D,2,FALSE)</f>
        <v>#N/A</v>
      </c>
      <c r="V640" s="4" t="str">
        <f t="shared" si="152"/>
        <v/>
      </c>
      <c r="W640" s="4" t="e" cm="1">
        <f t="array" ref="W640">IF(INDEX(Table2[],_xlfn.XMATCH($A640,Table2[Steel Member],0),_xlfn.XMATCH(W$2,Table2[#Headers],0))=0,"",INDEX(Table2[],_xlfn.XMATCH($A640,Table2[Steel Member],0),_xlfn.XMATCH(W$2,Table2[#Headers],0)))</f>
        <v>#N/A</v>
      </c>
      <c r="X640" s="4" t="e">
        <f t="shared" si="150"/>
        <v>#N/A</v>
      </c>
      <c r="Y640" s="4" t="e" cm="1">
        <f t="array" ref="Y640">IF(INDEX(Table2[],_xlfn.XMATCH($A640,Table2[Steel Member],0),_xlfn.XMATCH(Y$2,Table2[#Headers],0))=0,"",INDEX(Table2[],_xlfn.XMATCH($A640,Table2[Steel Member],0),_xlfn.XMATCH(Y$2,Table2[#Headers],0)))</f>
        <v>#N/A</v>
      </c>
      <c r="Z640" s="4" t="e" cm="1">
        <f t="array" ref="Z640">IF(INDEX(Table2[],_xlfn.XMATCH($A640,Table2[Steel Member],0),_xlfn.XMATCH(Z$2,Table2[#Headers],0))=0,"",INDEX(Table2[],_xlfn.XMATCH($A640,Table2[Steel Member],0),_xlfn.XMATCH(Z$2,Table2[#Headers],0)))</f>
        <v>#N/A</v>
      </c>
      <c r="AA640" s="4" t="e" cm="1">
        <f t="array" ref="AA640">IF(INDEX(Table2[],_xlfn.XMATCH($A640,Table2[Steel Member],0),_xlfn.XMATCH(AA$2,Table2[#Headers],0))=0,"",INDEX(Table2[],_xlfn.XMATCH($A640,Table2[Steel Member],0),_xlfn.XMATCH(AA$2,Table2[#Headers],0)))</f>
        <v>#N/A</v>
      </c>
      <c r="AB640" s="4" t="e" cm="1">
        <f t="array" ref="AB640">IF(INDEX(Table2[],_xlfn.XMATCH($A640,Table2[Steel Member],0),_xlfn.XMATCH(AB$2,Table2[#Headers],0))=0,"",INDEX(Table2[],_xlfn.XMATCH($A640,Table2[Steel Member],0),_xlfn.XMATCH(AB$2,Table2[#Headers],0)))</f>
        <v>#N/A</v>
      </c>
      <c r="AC640" s="4" t="str" cm="1">
        <f t="array" ref="AC640">IFERROR(INDEX(Table8[],_xlfn.XMATCH($O640,Table8[Dimension Name Category],0),_xlfn.XMATCH(AC$2&amp;IF($L640," w/ tag"," w/o tag"),Table8[#Headers],0)),"")</f>
        <v/>
      </c>
      <c r="AD640" s="59" t="str">
        <f t="shared" si="153"/>
        <v/>
      </c>
      <c r="AE640" s="4" t="str">
        <f t="shared" si="154"/>
        <v/>
      </c>
      <c r="AF640" s="4" t="str">
        <f t="shared" si="155"/>
        <v/>
      </c>
      <c r="AG640" s="4" t="str" cm="1">
        <f t="array" ref="AG640">IFERROR(INDEX(Table8[],_xlfn.XMATCH($O640,Table8[Dimension Name Category],0),_xlfn.XMATCH(AG$2&amp;IF($L640," w/ tag"," w/o tag"),Table8[#Headers],0)),"")</f>
        <v/>
      </c>
      <c r="AH640" s="59" t="str">
        <f t="shared" si="156"/>
        <v/>
      </c>
      <c r="AI640" s="4"/>
      <c r="AJ640" s="4" t="str">
        <f t="shared" si="157"/>
        <v/>
      </c>
      <c r="AK640" s="4" t="str">
        <f t="shared" si="158"/>
        <v/>
      </c>
      <c r="AL640" s="4" t="e" cm="1">
        <f t="array" ref="AL640">IF(INDEX(Table2[],_xlfn.XMATCH($A640,Table2[Steel Member],0),_xlfn.XMATCH(AL$2,Table2[#Headers],0))=0,"",INDEX(Table2[],_xlfn.XMATCH($A640,Table2[Steel Member],0),_xlfn.XMATCH(AL$2,Table2[#Headers],0)))</f>
        <v>#N/A</v>
      </c>
      <c r="AM640" s="4"/>
      <c r="AN640" s="4" t="str">
        <f t="shared" si="159"/>
        <v/>
      </c>
      <c r="AO640" s="4"/>
      <c r="AP640" s="4" t="e" cm="1">
        <f t="array" ref="AP640">IF(INDEX(Table2[],_xlfn.XMATCH($A640,Table2[Steel Member],0),_xlfn.XMATCH(AP$2,Table2[#Headers],0))=0,"",INDEX(Table2[],_xlfn.XMATCH($A640,Table2[Steel Member],0),_xlfn.XMATCH(AP$2,Table2[#Headers],0)))</f>
        <v>#N/A</v>
      </c>
      <c r="AQ640" s="4"/>
      <c r="AR640" s="4"/>
      <c r="AS640" s="4"/>
      <c r="AT640" s="4"/>
    </row>
    <row r="641" spans="1:46" x14ac:dyDescent="0.25">
      <c r="A641" s="52"/>
      <c r="B641" s="52"/>
      <c r="C641" s="52"/>
      <c r="D641" s="52"/>
      <c r="E641" s="52"/>
      <c r="F641" s="64" cm="1">
        <f t="array" ref="F641">IF(COUNT(FIND(PurlinsxGirthsxBracings,$C641))&gt;0,0,ROUNDUP(IF(D641=0,0,VLOOKUP(D641,'DATA SHEET'!$B:$D,2,FALSE)),2))</f>
        <v>0</v>
      </c>
      <c r="G641" s="64" cm="1">
        <f t="array" ref="G641">IF(COUNT(FIND(PurlinsxGirthsxBracings,$C641))&gt;0,0,ROUNDUP(IF(D641=0,0,VLOOKUP(D641,'DATA SHEET'!$B:$D,3,FALSE)),2))</f>
        <v>0</v>
      </c>
      <c r="H641" s="53"/>
      <c r="I641" s="66" cm="1">
        <f t="array" ref="I641">IF(AND(ISBLANK(B641),ISBLANK(C641),ISBLANK(E641)),0,IF(COUNT(FIND(PurlinsxGirthsxBracings,$C641))&gt;0,IF(B641=0,CONCATENATE(E641," ",C641),CONCATENATE(B641," - ",E641," ",C641)),IF(B641=0,IF(ISBLANK(C641),E641,CONCATENATE(D641,", ",F641,"kg/m, ",G641,"mm surface perimeter")),IF(AND(ISBLANK(C641),ISTEXT(E641)),CONCATENATE(B641," - ",E641),IF(AND(ISBLANK(C641),ISBLANK(E641)),B641,CONCATENATE(B641," - ",D641,", ",F641,"kg/m, ",G641,"mm surface perimeter"))))&amp;IF(ISBLANK(H641),"",H641)))</f>
        <v>0</v>
      </c>
      <c r="J641" s="53"/>
      <c r="L641" s="4" t="str" cm="1">
        <f t="array" ref="L641">IF(COUNT(FIND({0,1,2,3,4,5,6,7,8,9},B641))&gt;0,COUNT(FIND({0,1,2,3,4,5,6,7,8,9},B641))&gt;0,"")</f>
        <v/>
      </c>
      <c r="M641" s="4" t="str" cm="1">
        <f t="array" aca="1" ref="M641" ca="1">IFERROR(_xlfn.IFS(R641="Count",RANDBETWEEN(1,COUNTIF($R$11:$R$653,"Count")),R641="Length",RANDBETWEEN(1,COUNTIF($R$11:$R$653,"Length"))),"")</f>
        <v/>
      </c>
      <c r="N641" s="4" t="str">
        <f ca="1">IFERROR(_xlfn.RANK.EQ(M641,$M$11:$M$653)+COUNTIF($M$11:M641,M641)-1,"")</f>
        <v/>
      </c>
      <c r="O641" s="86" t="str">
        <f>IF(A641='DATA SHEET'!$L$36,C641,IFERROR(IF(AND(ISTEXT(I641),ISBLANK(C641)),"No details",VLOOKUP(C641,DimFolder,2,FALSE)),""))</f>
        <v/>
      </c>
      <c r="P641" s="4" t="str">
        <f t="shared" si="149"/>
        <v/>
      </c>
      <c r="Q641" s="58" t="str">
        <f t="shared" si="160"/>
        <v/>
      </c>
      <c r="R641" s="4" t="e" cm="1">
        <f t="array" ref="R641">IF(INDEX(Table2[],_xlfn.XMATCH($A641,Table2[Steel Member],0),_xlfn.XMATCH(R$2,Table2[#Headers],0))=0,"",INDEX(Table2[],_xlfn.XMATCH($A641,Table2[Steel Member],0),_xlfn.XMATCH(R$2,Table2[#Headers],0)))</f>
        <v>#N/A</v>
      </c>
      <c r="S641" s="4" t="e" cm="1">
        <f t="array" ref="S641">IF(INDEX(Table2[],_xlfn.XMATCH($A641,Table2[Steel Member],0),_xlfn.XMATCH(S$2,Table2[#Headers],0))=0,"",INDEX(Table2[],_xlfn.XMATCH($A641,Table2[Steel Member],0),_xlfn.XMATCH(S$2,Table2[#Headers],0)))</f>
        <v>#N/A</v>
      </c>
      <c r="T641" s="4" t="str">
        <f t="shared" si="151"/>
        <v/>
      </c>
      <c r="U641" s="4" t="e">
        <f ca="1">VLOOKUP(N641,'COLOR CODE'!$B:$D,2,FALSE)</f>
        <v>#N/A</v>
      </c>
      <c r="V641" s="4" t="str">
        <f t="shared" si="152"/>
        <v/>
      </c>
      <c r="W641" s="4" t="e" cm="1">
        <f t="array" ref="W641">IF(INDEX(Table2[],_xlfn.XMATCH($A641,Table2[Steel Member],0),_xlfn.XMATCH(W$2,Table2[#Headers],0))=0,"",INDEX(Table2[],_xlfn.XMATCH($A641,Table2[Steel Member],0),_xlfn.XMATCH(W$2,Table2[#Headers],0)))</f>
        <v>#N/A</v>
      </c>
      <c r="X641" s="4" t="e">
        <f t="shared" si="150"/>
        <v>#N/A</v>
      </c>
      <c r="Y641" s="4" t="e" cm="1">
        <f t="array" ref="Y641">IF(INDEX(Table2[],_xlfn.XMATCH($A641,Table2[Steel Member],0),_xlfn.XMATCH(Y$2,Table2[#Headers],0))=0,"",INDEX(Table2[],_xlfn.XMATCH($A641,Table2[Steel Member],0),_xlfn.XMATCH(Y$2,Table2[#Headers],0)))</f>
        <v>#N/A</v>
      </c>
      <c r="Z641" s="4" t="e" cm="1">
        <f t="array" ref="Z641">IF(INDEX(Table2[],_xlfn.XMATCH($A641,Table2[Steel Member],0),_xlfn.XMATCH(Z$2,Table2[#Headers],0))=0,"",INDEX(Table2[],_xlfn.XMATCH($A641,Table2[Steel Member],0),_xlfn.XMATCH(Z$2,Table2[#Headers],0)))</f>
        <v>#N/A</v>
      </c>
      <c r="AA641" s="4" t="e" cm="1">
        <f t="array" ref="AA641">IF(INDEX(Table2[],_xlfn.XMATCH($A641,Table2[Steel Member],0),_xlfn.XMATCH(AA$2,Table2[#Headers],0))=0,"",INDEX(Table2[],_xlfn.XMATCH($A641,Table2[Steel Member],0),_xlfn.XMATCH(AA$2,Table2[#Headers],0)))</f>
        <v>#N/A</v>
      </c>
      <c r="AB641" s="4" t="e" cm="1">
        <f t="array" ref="AB641">IF(INDEX(Table2[],_xlfn.XMATCH($A641,Table2[Steel Member],0),_xlfn.XMATCH(AB$2,Table2[#Headers],0))=0,"",INDEX(Table2[],_xlfn.XMATCH($A641,Table2[Steel Member],0),_xlfn.XMATCH(AB$2,Table2[#Headers],0)))</f>
        <v>#N/A</v>
      </c>
      <c r="AC641" s="4" t="str" cm="1">
        <f t="array" ref="AC641">IFERROR(INDEX(Table8[],_xlfn.XMATCH($O641,Table8[Dimension Name Category],0),_xlfn.XMATCH(AC$2&amp;IF($L641," w/ tag"," w/o tag"),Table8[#Headers],0)),"")</f>
        <v/>
      </c>
      <c r="AD641" s="59" t="str">
        <f t="shared" si="153"/>
        <v/>
      </c>
      <c r="AE641" s="4" t="str">
        <f t="shared" si="154"/>
        <v/>
      </c>
      <c r="AF641" s="4" t="str">
        <f t="shared" si="155"/>
        <v/>
      </c>
      <c r="AG641" s="4" t="str" cm="1">
        <f t="array" ref="AG641">IFERROR(INDEX(Table8[],_xlfn.XMATCH($O641,Table8[Dimension Name Category],0),_xlfn.XMATCH(AG$2&amp;IF($L641," w/ tag"," w/o tag"),Table8[#Headers],0)),"")</f>
        <v/>
      </c>
      <c r="AH641" s="59" t="str">
        <f t="shared" si="156"/>
        <v/>
      </c>
      <c r="AI641" s="4"/>
      <c r="AJ641" s="4" t="str">
        <f t="shared" si="157"/>
        <v/>
      </c>
      <c r="AK641" s="4" t="str">
        <f t="shared" si="158"/>
        <v/>
      </c>
      <c r="AL641" s="4" t="e" cm="1">
        <f t="array" ref="AL641">IF(INDEX(Table2[],_xlfn.XMATCH($A641,Table2[Steel Member],0),_xlfn.XMATCH(AL$2,Table2[#Headers],0))=0,"",INDEX(Table2[],_xlfn.XMATCH($A641,Table2[Steel Member],0),_xlfn.XMATCH(AL$2,Table2[#Headers],0)))</f>
        <v>#N/A</v>
      </c>
      <c r="AM641" s="4"/>
      <c r="AN641" s="4" t="str">
        <f t="shared" si="159"/>
        <v/>
      </c>
      <c r="AO641" s="4"/>
      <c r="AP641" s="4" t="e" cm="1">
        <f t="array" ref="AP641">IF(INDEX(Table2[],_xlfn.XMATCH($A641,Table2[Steel Member],0),_xlfn.XMATCH(AP$2,Table2[#Headers],0))=0,"",INDEX(Table2[],_xlfn.XMATCH($A641,Table2[Steel Member],0),_xlfn.XMATCH(AP$2,Table2[#Headers],0)))</f>
        <v>#N/A</v>
      </c>
      <c r="AQ641" s="4"/>
      <c r="AR641" s="4"/>
      <c r="AS641" s="4"/>
      <c r="AT641" s="4"/>
    </row>
    <row r="642" spans="1:46" x14ac:dyDescent="0.25">
      <c r="A642" s="52"/>
      <c r="B642" s="52"/>
      <c r="C642" s="52"/>
      <c r="D642" s="52"/>
      <c r="E642" s="52"/>
      <c r="F642" s="64" cm="1">
        <f t="array" ref="F642">IF(COUNT(FIND(PurlinsxGirthsxBracings,$C642))&gt;0,0,ROUNDUP(IF(D642=0,0,VLOOKUP(D642,'DATA SHEET'!$B:$D,2,FALSE)),2))</f>
        <v>0</v>
      </c>
      <c r="G642" s="64" cm="1">
        <f t="array" ref="G642">IF(COUNT(FIND(PurlinsxGirthsxBracings,$C642))&gt;0,0,ROUNDUP(IF(D642=0,0,VLOOKUP(D642,'DATA SHEET'!$B:$D,3,FALSE)),2))</f>
        <v>0</v>
      </c>
      <c r="H642" s="53"/>
      <c r="I642" s="66" cm="1">
        <f t="array" ref="I642">IF(AND(ISBLANK(B642),ISBLANK(C642),ISBLANK(E642)),0,IF(COUNT(FIND(PurlinsxGirthsxBracings,$C642))&gt;0,IF(B642=0,CONCATENATE(E642," ",C642),CONCATENATE(B642," - ",E642," ",C642)),IF(B642=0,IF(ISBLANK(C642),E642,CONCATENATE(D642,", ",F642,"kg/m, ",G642,"mm surface perimeter")),IF(AND(ISBLANK(C642),ISTEXT(E642)),CONCATENATE(B642," - ",E642),IF(AND(ISBLANK(C642),ISBLANK(E642)),B642,CONCATENATE(B642," - ",D642,", ",F642,"kg/m, ",G642,"mm surface perimeter"))))&amp;IF(ISBLANK(H642),"",H642)))</f>
        <v>0</v>
      </c>
      <c r="J642" s="53"/>
      <c r="L642" s="4" t="str" cm="1">
        <f t="array" ref="L642">IF(COUNT(FIND({0,1,2,3,4,5,6,7,8,9},B642))&gt;0,COUNT(FIND({0,1,2,3,4,5,6,7,8,9},B642))&gt;0,"")</f>
        <v/>
      </c>
      <c r="M642" s="4" t="str" cm="1">
        <f t="array" aca="1" ref="M642" ca="1">IFERROR(_xlfn.IFS(R642="Count",RANDBETWEEN(1,COUNTIF($R$11:$R$653,"Count")),R642="Length",RANDBETWEEN(1,COUNTIF($R$11:$R$653,"Length"))),"")</f>
        <v/>
      </c>
      <c r="N642" s="4" t="str">
        <f ca="1">IFERROR(_xlfn.RANK.EQ(M642,$M$11:$M$653)+COUNTIF($M$11:M642,M642)-1,"")</f>
        <v/>
      </c>
      <c r="O642" s="86" t="str">
        <f>IF(A642='DATA SHEET'!$L$36,C642,IFERROR(IF(AND(ISTEXT(I642),ISBLANK(C642)),"No details",VLOOKUP(C642,DimFolder,2,FALSE)),""))</f>
        <v/>
      </c>
      <c r="P642" s="4" t="str">
        <f t="shared" si="149"/>
        <v/>
      </c>
      <c r="Q642" s="58" t="str">
        <f t="shared" si="160"/>
        <v/>
      </c>
      <c r="R642" s="4" t="e" cm="1">
        <f t="array" ref="R642">IF(INDEX(Table2[],_xlfn.XMATCH($A642,Table2[Steel Member],0),_xlfn.XMATCH(R$2,Table2[#Headers],0))=0,"",INDEX(Table2[],_xlfn.XMATCH($A642,Table2[Steel Member],0),_xlfn.XMATCH(R$2,Table2[#Headers],0)))</f>
        <v>#N/A</v>
      </c>
      <c r="S642" s="4" t="e" cm="1">
        <f t="array" ref="S642">IF(INDEX(Table2[],_xlfn.XMATCH($A642,Table2[Steel Member],0),_xlfn.XMATCH(S$2,Table2[#Headers],0))=0,"",INDEX(Table2[],_xlfn.XMATCH($A642,Table2[Steel Member],0),_xlfn.XMATCH(S$2,Table2[#Headers],0)))</f>
        <v>#N/A</v>
      </c>
      <c r="T642" s="4" t="str">
        <f t="shared" si="151"/>
        <v/>
      </c>
      <c r="U642" s="4" t="e">
        <f ca="1">VLOOKUP(N642,'COLOR CODE'!$B:$D,2,FALSE)</f>
        <v>#N/A</v>
      </c>
      <c r="V642" s="4" t="str">
        <f t="shared" si="152"/>
        <v/>
      </c>
      <c r="W642" s="4" t="e" cm="1">
        <f t="array" ref="W642">IF(INDEX(Table2[],_xlfn.XMATCH($A642,Table2[Steel Member],0),_xlfn.XMATCH(W$2,Table2[#Headers],0))=0,"",INDEX(Table2[],_xlfn.XMATCH($A642,Table2[Steel Member],0),_xlfn.XMATCH(W$2,Table2[#Headers],0)))</f>
        <v>#N/A</v>
      </c>
      <c r="X642" s="4" t="e">
        <f t="shared" si="150"/>
        <v>#N/A</v>
      </c>
      <c r="Y642" s="4" t="e" cm="1">
        <f t="array" ref="Y642">IF(INDEX(Table2[],_xlfn.XMATCH($A642,Table2[Steel Member],0),_xlfn.XMATCH(Y$2,Table2[#Headers],0))=0,"",INDEX(Table2[],_xlfn.XMATCH($A642,Table2[Steel Member],0),_xlfn.XMATCH(Y$2,Table2[#Headers],0)))</f>
        <v>#N/A</v>
      </c>
      <c r="Z642" s="4" t="e" cm="1">
        <f t="array" ref="Z642">IF(INDEX(Table2[],_xlfn.XMATCH($A642,Table2[Steel Member],0),_xlfn.XMATCH(Z$2,Table2[#Headers],0))=0,"",INDEX(Table2[],_xlfn.XMATCH($A642,Table2[Steel Member],0),_xlfn.XMATCH(Z$2,Table2[#Headers],0)))</f>
        <v>#N/A</v>
      </c>
      <c r="AA642" s="4" t="e" cm="1">
        <f t="array" ref="AA642">IF(INDEX(Table2[],_xlfn.XMATCH($A642,Table2[Steel Member],0),_xlfn.XMATCH(AA$2,Table2[#Headers],0))=0,"",INDEX(Table2[],_xlfn.XMATCH($A642,Table2[Steel Member],0),_xlfn.XMATCH(AA$2,Table2[#Headers],0)))</f>
        <v>#N/A</v>
      </c>
      <c r="AB642" s="4" t="e" cm="1">
        <f t="array" ref="AB642">IF(INDEX(Table2[],_xlfn.XMATCH($A642,Table2[Steel Member],0),_xlfn.XMATCH(AB$2,Table2[#Headers],0))=0,"",INDEX(Table2[],_xlfn.XMATCH($A642,Table2[Steel Member],0),_xlfn.XMATCH(AB$2,Table2[#Headers],0)))</f>
        <v>#N/A</v>
      </c>
      <c r="AC642" s="4" t="str" cm="1">
        <f t="array" ref="AC642">IFERROR(INDEX(Table8[],_xlfn.XMATCH($O642,Table8[Dimension Name Category],0),_xlfn.XMATCH(AC$2&amp;IF($L642," w/ tag"," w/o tag"),Table8[#Headers],0)),"")</f>
        <v/>
      </c>
      <c r="AD642" s="59" t="str">
        <f t="shared" si="153"/>
        <v/>
      </c>
      <c r="AE642" s="4" t="str">
        <f t="shared" si="154"/>
        <v/>
      </c>
      <c r="AF642" s="4" t="str">
        <f t="shared" si="155"/>
        <v/>
      </c>
      <c r="AG642" s="4" t="str" cm="1">
        <f t="array" ref="AG642">IFERROR(INDEX(Table8[],_xlfn.XMATCH($O642,Table8[Dimension Name Category],0),_xlfn.XMATCH(AG$2&amp;IF($L642," w/ tag"," w/o tag"),Table8[#Headers],0)),"")</f>
        <v/>
      </c>
      <c r="AH642" s="59" t="str">
        <f t="shared" si="156"/>
        <v/>
      </c>
      <c r="AI642" s="4"/>
      <c r="AJ642" s="4" t="str">
        <f t="shared" si="157"/>
        <v/>
      </c>
      <c r="AK642" s="4" t="str">
        <f t="shared" si="158"/>
        <v/>
      </c>
      <c r="AL642" s="4" t="e" cm="1">
        <f t="array" ref="AL642">IF(INDEX(Table2[],_xlfn.XMATCH($A642,Table2[Steel Member],0),_xlfn.XMATCH(AL$2,Table2[#Headers],0))=0,"",INDEX(Table2[],_xlfn.XMATCH($A642,Table2[Steel Member],0),_xlfn.XMATCH(AL$2,Table2[#Headers],0)))</f>
        <v>#N/A</v>
      </c>
      <c r="AM642" s="4"/>
      <c r="AN642" s="4" t="str">
        <f t="shared" si="159"/>
        <v/>
      </c>
      <c r="AO642" s="4"/>
      <c r="AP642" s="4" t="e" cm="1">
        <f t="array" ref="AP642">IF(INDEX(Table2[],_xlfn.XMATCH($A642,Table2[Steel Member],0),_xlfn.XMATCH(AP$2,Table2[#Headers],0))=0,"",INDEX(Table2[],_xlfn.XMATCH($A642,Table2[Steel Member],0),_xlfn.XMATCH(AP$2,Table2[#Headers],0)))</f>
        <v>#N/A</v>
      </c>
      <c r="AQ642" s="4"/>
      <c r="AR642" s="4"/>
      <c r="AS642" s="4"/>
      <c r="AT642" s="4"/>
    </row>
    <row r="643" spans="1:46" x14ac:dyDescent="0.25">
      <c r="A643" s="52"/>
      <c r="B643" s="52"/>
      <c r="C643" s="52"/>
      <c r="D643" s="52"/>
      <c r="E643" s="52"/>
      <c r="F643" s="64" cm="1">
        <f t="array" ref="F643">IF(COUNT(FIND(PurlinsxGirthsxBracings,$C643))&gt;0,0,ROUNDUP(IF(D643=0,0,VLOOKUP(D643,'DATA SHEET'!$B:$D,2,FALSE)),2))</f>
        <v>0</v>
      </c>
      <c r="G643" s="64" cm="1">
        <f t="array" ref="G643">IF(COUNT(FIND(PurlinsxGirthsxBracings,$C643))&gt;0,0,ROUNDUP(IF(D643=0,0,VLOOKUP(D643,'DATA SHEET'!$B:$D,3,FALSE)),2))</f>
        <v>0</v>
      </c>
      <c r="H643" s="53"/>
      <c r="I643" s="66" cm="1">
        <f t="array" ref="I643">IF(AND(ISBLANK(B643),ISBLANK(C643),ISBLANK(E643)),0,IF(COUNT(FIND(PurlinsxGirthsxBracings,$C643))&gt;0,IF(B643=0,CONCATENATE(E643," ",C643),CONCATENATE(B643," - ",E643," ",C643)),IF(B643=0,IF(ISBLANK(C643),E643,CONCATENATE(D643,", ",F643,"kg/m, ",G643,"mm surface perimeter")),IF(AND(ISBLANK(C643),ISTEXT(E643)),CONCATENATE(B643," - ",E643),IF(AND(ISBLANK(C643),ISBLANK(E643)),B643,CONCATENATE(B643," - ",D643,", ",F643,"kg/m, ",G643,"mm surface perimeter"))))&amp;IF(ISBLANK(H643),"",H643)))</f>
        <v>0</v>
      </c>
      <c r="J643" s="53"/>
      <c r="L643" s="4" t="str" cm="1">
        <f t="array" ref="L643">IF(COUNT(FIND({0,1,2,3,4,5,6,7,8,9},B643))&gt;0,COUNT(FIND({0,1,2,3,4,5,6,7,8,9},B643))&gt;0,"")</f>
        <v/>
      </c>
      <c r="M643" s="4" t="str" cm="1">
        <f t="array" aca="1" ref="M643" ca="1">IFERROR(_xlfn.IFS(R643="Count",RANDBETWEEN(1,COUNTIF($R$11:$R$653,"Count")),R643="Length",RANDBETWEEN(1,COUNTIF($R$11:$R$653,"Length"))),"")</f>
        <v/>
      </c>
      <c r="N643" s="4" t="str">
        <f ca="1">IFERROR(_xlfn.RANK.EQ(M643,$M$11:$M$653)+COUNTIF($M$11:M643,M643)-1,"")</f>
        <v/>
      </c>
      <c r="O643" s="86" t="str">
        <f>IF(A643='DATA SHEET'!$L$36,C643,IFERROR(IF(AND(ISTEXT(I643),ISBLANK(C643)),"No details",VLOOKUP(C643,DimFolder,2,FALSE)),""))</f>
        <v/>
      </c>
      <c r="P643" s="4" t="str">
        <f t="shared" si="149"/>
        <v/>
      </c>
      <c r="Q643" s="58" t="str">
        <f t="shared" si="160"/>
        <v/>
      </c>
      <c r="R643" s="4" t="e" cm="1">
        <f t="array" ref="R643">IF(INDEX(Table2[],_xlfn.XMATCH($A643,Table2[Steel Member],0),_xlfn.XMATCH(R$2,Table2[#Headers],0))=0,"",INDEX(Table2[],_xlfn.XMATCH($A643,Table2[Steel Member],0),_xlfn.XMATCH(R$2,Table2[#Headers],0)))</f>
        <v>#N/A</v>
      </c>
      <c r="S643" s="4" t="e" cm="1">
        <f t="array" ref="S643">IF(INDEX(Table2[],_xlfn.XMATCH($A643,Table2[Steel Member],0),_xlfn.XMATCH(S$2,Table2[#Headers],0))=0,"",INDEX(Table2[],_xlfn.XMATCH($A643,Table2[Steel Member],0),_xlfn.XMATCH(S$2,Table2[#Headers],0)))</f>
        <v>#N/A</v>
      </c>
      <c r="T643" s="4" t="str">
        <f t="shared" si="151"/>
        <v/>
      </c>
      <c r="U643" s="4" t="e">
        <f ca="1">VLOOKUP(N643,'COLOR CODE'!$B:$D,2,FALSE)</f>
        <v>#N/A</v>
      </c>
      <c r="V643" s="4" t="str">
        <f t="shared" si="152"/>
        <v/>
      </c>
      <c r="W643" s="4" t="e" cm="1">
        <f t="array" ref="W643">IF(INDEX(Table2[],_xlfn.XMATCH($A643,Table2[Steel Member],0),_xlfn.XMATCH(W$2,Table2[#Headers],0))=0,"",INDEX(Table2[],_xlfn.XMATCH($A643,Table2[Steel Member],0),_xlfn.XMATCH(W$2,Table2[#Headers],0)))</f>
        <v>#N/A</v>
      </c>
      <c r="X643" s="4" t="e">
        <f t="shared" si="150"/>
        <v>#N/A</v>
      </c>
      <c r="Y643" s="4" t="e" cm="1">
        <f t="array" ref="Y643">IF(INDEX(Table2[],_xlfn.XMATCH($A643,Table2[Steel Member],0),_xlfn.XMATCH(Y$2,Table2[#Headers],0))=0,"",INDEX(Table2[],_xlfn.XMATCH($A643,Table2[Steel Member],0),_xlfn.XMATCH(Y$2,Table2[#Headers],0)))</f>
        <v>#N/A</v>
      </c>
      <c r="Z643" s="4" t="e" cm="1">
        <f t="array" ref="Z643">IF(INDEX(Table2[],_xlfn.XMATCH($A643,Table2[Steel Member],0),_xlfn.XMATCH(Z$2,Table2[#Headers],0))=0,"",INDEX(Table2[],_xlfn.XMATCH($A643,Table2[Steel Member],0),_xlfn.XMATCH(Z$2,Table2[#Headers],0)))</f>
        <v>#N/A</v>
      </c>
      <c r="AA643" s="4" t="e" cm="1">
        <f t="array" ref="AA643">IF(INDEX(Table2[],_xlfn.XMATCH($A643,Table2[Steel Member],0),_xlfn.XMATCH(AA$2,Table2[#Headers],0))=0,"",INDEX(Table2[],_xlfn.XMATCH($A643,Table2[Steel Member],0),_xlfn.XMATCH(AA$2,Table2[#Headers],0)))</f>
        <v>#N/A</v>
      </c>
      <c r="AB643" s="4" t="e" cm="1">
        <f t="array" ref="AB643">IF(INDEX(Table2[],_xlfn.XMATCH($A643,Table2[Steel Member],0),_xlfn.XMATCH(AB$2,Table2[#Headers],0))=0,"",INDEX(Table2[],_xlfn.XMATCH($A643,Table2[Steel Member],0),_xlfn.XMATCH(AB$2,Table2[#Headers],0)))</f>
        <v>#N/A</v>
      </c>
      <c r="AC643" s="4" t="str" cm="1">
        <f t="array" ref="AC643">IFERROR(INDEX(Table8[],_xlfn.XMATCH($O643,Table8[Dimension Name Category],0),_xlfn.XMATCH(AC$2&amp;IF($L643," w/ tag"," w/o tag"),Table8[#Headers],0)),"")</f>
        <v/>
      </c>
      <c r="AD643" s="59" t="str">
        <f t="shared" si="153"/>
        <v/>
      </c>
      <c r="AE643" s="4" t="str">
        <f t="shared" si="154"/>
        <v/>
      </c>
      <c r="AF643" s="4" t="str">
        <f t="shared" si="155"/>
        <v/>
      </c>
      <c r="AG643" s="4" t="str" cm="1">
        <f t="array" ref="AG643">IFERROR(INDEX(Table8[],_xlfn.XMATCH($O643,Table8[Dimension Name Category],0),_xlfn.XMATCH(AG$2&amp;IF($L643," w/ tag"," w/o tag"),Table8[#Headers],0)),"")</f>
        <v/>
      </c>
      <c r="AH643" s="59" t="str">
        <f t="shared" si="156"/>
        <v/>
      </c>
      <c r="AI643" s="4"/>
      <c r="AJ643" s="4" t="str">
        <f t="shared" si="157"/>
        <v/>
      </c>
      <c r="AK643" s="4" t="str">
        <f t="shared" si="158"/>
        <v/>
      </c>
      <c r="AL643" s="4" t="e" cm="1">
        <f t="array" ref="AL643">IF(INDEX(Table2[],_xlfn.XMATCH($A643,Table2[Steel Member],0),_xlfn.XMATCH(AL$2,Table2[#Headers],0))=0,"",INDEX(Table2[],_xlfn.XMATCH($A643,Table2[Steel Member],0),_xlfn.XMATCH(AL$2,Table2[#Headers],0)))</f>
        <v>#N/A</v>
      </c>
      <c r="AM643" s="4"/>
      <c r="AN643" s="4" t="str">
        <f t="shared" si="159"/>
        <v/>
      </c>
      <c r="AO643" s="4"/>
      <c r="AP643" s="4" t="e" cm="1">
        <f t="array" ref="AP643">IF(INDEX(Table2[],_xlfn.XMATCH($A643,Table2[Steel Member],0),_xlfn.XMATCH(AP$2,Table2[#Headers],0))=0,"",INDEX(Table2[],_xlfn.XMATCH($A643,Table2[Steel Member],0),_xlfn.XMATCH(AP$2,Table2[#Headers],0)))</f>
        <v>#N/A</v>
      </c>
      <c r="AQ643" s="4"/>
      <c r="AR643" s="4"/>
      <c r="AS643" s="4"/>
      <c r="AT643" s="4"/>
    </row>
    <row r="644" spans="1:46" x14ac:dyDescent="0.25">
      <c r="A644" s="52"/>
      <c r="B644" s="52"/>
      <c r="C644" s="52"/>
      <c r="D644" s="52"/>
      <c r="E644" s="52"/>
      <c r="F644" s="64" cm="1">
        <f t="array" ref="F644">IF(COUNT(FIND(PurlinsxGirthsxBracings,$C644))&gt;0,0,ROUNDUP(IF(D644=0,0,VLOOKUP(D644,'DATA SHEET'!$B:$D,2,FALSE)),2))</f>
        <v>0</v>
      </c>
      <c r="G644" s="64" cm="1">
        <f t="array" ref="G644">IF(COUNT(FIND(PurlinsxGirthsxBracings,$C644))&gt;0,0,ROUNDUP(IF(D644=0,0,VLOOKUP(D644,'DATA SHEET'!$B:$D,3,FALSE)),2))</f>
        <v>0</v>
      </c>
      <c r="H644" s="53"/>
      <c r="I644" s="66" cm="1">
        <f t="array" ref="I644">IF(AND(ISBLANK(B644),ISBLANK(C644),ISBLANK(E644)),0,IF(COUNT(FIND(PurlinsxGirthsxBracings,$C644))&gt;0,IF(B644=0,CONCATENATE(E644," ",C644),CONCATENATE(B644," - ",E644," ",C644)),IF(B644=0,IF(ISBLANK(C644),E644,CONCATENATE(D644,", ",F644,"kg/m, ",G644,"mm surface perimeter")),IF(AND(ISBLANK(C644),ISTEXT(E644)),CONCATENATE(B644," - ",E644),IF(AND(ISBLANK(C644),ISBLANK(E644)),B644,CONCATENATE(B644," - ",D644,", ",F644,"kg/m, ",G644,"mm surface perimeter"))))&amp;IF(ISBLANK(H644),"",H644)))</f>
        <v>0</v>
      </c>
      <c r="J644" s="53"/>
      <c r="L644" s="4" t="str" cm="1">
        <f t="array" ref="L644">IF(COUNT(FIND({0,1,2,3,4,5,6,7,8,9},B644))&gt;0,COUNT(FIND({0,1,2,3,4,5,6,7,8,9},B644))&gt;0,"")</f>
        <v/>
      </c>
      <c r="M644" s="4" t="str" cm="1">
        <f t="array" aca="1" ref="M644" ca="1">IFERROR(_xlfn.IFS(R644="Count",RANDBETWEEN(1,COUNTIF($R$11:$R$653,"Count")),R644="Length",RANDBETWEEN(1,COUNTIF($R$11:$R$653,"Length"))),"")</f>
        <v/>
      </c>
      <c r="N644" s="4" t="str">
        <f ca="1">IFERROR(_xlfn.RANK.EQ(M644,$M$11:$M$653)+COUNTIF($M$11:M644,M644)-1,"")</f>
        <v/>
      </c>
      <c r="O644" s="86" t="str">
        <f>IF(A644='DATA SHEET'!$L$36,C644,IFERROR(IF(AND(ISTEXT(I644),ISBLANK(C644)),"No details",VLOOKUP(C644,DimFolder,2,FALSE)),""))</f>
        <v/>
      </c>
      <c r="P644" s="4" t="str">
        <f t="shared" si="149"/>
        <v/>
      </c>
      <c r="Q644" s="58" t="str">
        <f t="shared" si="160"/>
        <v/>
      </c>
      <c r="R644" s="4" t="e" cm="1">
        <f t="array" ref="R644">IF(INDEX(Table2[],_xlfn.XMATCH($A644,Table2[Steel Member],0),_xlfn.XMATCH(R$2,Table2[#Headers],0))=0,"",INDEX(Table2[],_xlfn.XMATCH($A644,Table2[Steel Member],0),_xlfn.XMATCH(R$2,Table2[#Headers],0)))</f>
        <v>#N/A</v>
      </c>
      <c r="S644" s="4" t="e" cm="1">
        <f t="array" ref="S644">IF(INDEX(Table2[],_xlfn.XMATCH($A644,Table2[Steel Member],0),_xlfn.XMATCH(S$2,Table2[#Headers],0))=0,"",INDEX(Table2[],_xlfn.XMATCH($A644,Table2[Steel Member],0),_xlfn.XMATCH(S$2,Table2[#Headers],0)))</f>
        <v>#N/A</v>
      </c>
      <c r="T644" s="4" t="str">
        <f t="shared" si="151"/>
        <v/>
      </c>
      <c r="U644" s="4" t="e">
        <f ca="1">VLOOKUP(N644,'COLOR CODE'!$B:$D,2,FALSE)</f>
        <v>#N/A</v>
      </c>
      <c r="V644" s="4" t="str">
        <f t="shared" si="152"/>
        <v/>
      </c>
      <c r="W644" s="4" t="e" cm="1">
        <f t="array" ref="W644">IF(INDEX(Table2[],_xlfn.XMATCH($A644,Table2[Steel Member],0),_xlfn.XMATCH(W$2,Table2[#Headers],0))=0,"",INDEX(Table2[],_xlfn.XMATCH($A644,Table2[Steel Member],0),_xlfn.XMATCH(W$2,Table2[#Headers],0)))</f>
        <v>#N/A</v>
      </c>
      <c r="X644" s="4" t="e">
        <f t="shared" si="150"/>
        <v>#N/A</v>
      </c>
      <c r="Y644" s="4" t="e" cm="1">
        <f t="array" ref="Y644">IF(INDEX(Table2[],_xlfn.XMATCH($A644,Table2[Steel Member],0),_xlfn.XMATCH(Y$2,Table2[#Headers],0))=0,"",INDEX(Table2[],_xlfn.XMATCH($A644,Table2[Steel Member],0),_xlfn.XMATCH(Y$2,Table2[#Headers],0)))</f>
        <v>#N/A</v>
      </c>
      <c r="Z644" s="4" t="e" cm="1">
        <f t="array" ref="Z644">IF(INDEX(Table2[],_xlfn.XMATCH($A644,Table2[Steel Member],0),_xlfn.XMATCH(Z$2,Table2[#Headers],0))=0,"",INDEX(Table2[],_xlfn.XMATCH($A644,Table2[Steel Member],0),_xlfn.XMATCH(Z$2,Table2[#Headers],0)))</f>
        <v>#N/A</v>
      </c>
      <c r="AA644" s="4" t="e" cm="1">
        <f t="array" ref="AA644">IF(INDEX(Table2[],_xlfn.XMATCH($A644,Table2[Steel Member],0),_xlfn.XMATCH(AA$2,Table2[#Headers],0))=0,"",INDEX(Table2[],_xlfn.XMATCH($A644,Table2[Steel Member],0),_xlfn.XMATCH(AA$2,Table2[#Headers],0)))</f>
        <v>#N/A</v>
      </c>
      <c r="AB644" s="4" t="e" cm="1">
        <f t="array" ref="AB644">IF(INDEX(Table2[],_xlfn.XMATCH($A644,Table2[Steel Member],0),_xlfn.XMATCH(AB$2,Table2[#Headers],0))=0,"",INDEX(Table2[],_xlfn.XMATCH($A644,Table2[Steel Member],0),_xlfn.XMATCH(AB$2,Table2[#Headers],0)))</f>
        <v>#N/A</v>
      </c>
      <c r="AC644" s="4" t="str" cm="1">
        <f t="array" ref="AC644">IFERROR(INDEX(Table8[],_xlfn.XMATCH($O644,Table8[Dimension Name Category],0),_xlfn.XMATCH(AC$2&amp;IF($L644," w/ tag"," w/o tag"),Table8[#Headers],0)),"")</f>
        <v/>
      </c>
      <c r="AD644" s="59" t="str">
        <f t="shared" si="153"/>
        <v/>
      </c>
      <c r="AE644" s="4" t="str">
        <f t="shared" si="154"/>
        <v/>
      </c>
      <c r="AF644" s="4" t="str">
        <f t="shared" si="155"/>
        <v/>
      </c>
      <c r="AG644" s="4" t="str" cm="1">
        <f t="array" ref="AG644">IFERROR(INDEX(Table8[],_xlfn.XMATCH($O644,Table8[Dimension Name Category],0),_xlfn.XMATCH(AG$2&amp;IF($L644," w/ tag"," w/o tag"),Table8[#Headers],0)),"")</f>
        <v/>
      </c>
      <c r="AH644" s="59" t="str">
        <f t="shared" si="156"/>
        <v/>
      </c>
      <c r="AI644" s="4"/>
      <c r="AJ644" s="4" t="str">
        <f t="shared" si="157"/>
        <v/>
      </c>
      <c r="AK644" s="4" t="str">
        <f t="shared" si="158"/>
        <v/>
      </c>
      <c r="AL644" s="4" t="e" cm="1">
        <f t="array" ref="AL644">IF(INDEX(Table2[],_xlfn.XMATCH($A644,Table2[Steel Member],0),_xlfn.XMATCH(AL$2,Table2[#Headers],0))=0,"",INDEX(Table2[],_xlfn.XMATCH($A644,Table2[Steel Member],0),_xlfn.XMATCH(AL$2,Table2[#Headers],0)))</f>
        <v>#N/A</v>
      </c>
      <c r="AM644" s="4"/>
      <c r="AN644" s="4" t="str">
        <f t="shared" si="159"/>
        <v/>
      </c>
      <c r="AO644" s="4"/>
      <c r="AP644" s="4" t="e" cm="1">
        <f t="array" ref="AP644">IF(INDEX(Table2[],_xlfn.XMATCH($A644,Table2[Steel Member],0),_xlfn.XMATCH(AP$2,Table2[#Headers],0))=0,"",INDEX(Table2[],_xlfn.XMATCH($A644,Table2[Steel Member],0),_xlfn.XMATCH(AP$2,Table2[#Headers],0)))</f>
        <v>#N/A</v>
      </c>
      <c r="AQ644" s="4"/>
      <c r="AR644" s="4"/>
      <c r="AS644" s="4"/>
      <c r="AT644" s="4"/>
    </row>
    <row r="645" spans="1:46" x14ac:dyDescent="0.25">
      <c r="A645" s="52"/>
      <c r="B645" s="52"/>
      <c r="C645" s="52"/>
      <c r="D645" s="52"/>
      <c r="E645" s="52"/>
      <c r="F645" s="64" cm="1">
        <f t="array" ref="F645">IF(COUNT(FIND(PurlinsxGirthsxBracings,$C645))&gt;0,0,ROUNDUP(IF(D645=0,0,VLOOKUP(D645,'DATA SHEET'!$B:$D,2,FALSE)),2))</f>
        <v>0</v>
      </c>
      <c r="G645" s="64" cm="1">
        <f t="array" ref="G645">IF(COUNT(FIND(PurlinsxGirthsxBracings,$C645))&gt;0,0,ROUNDUP(IF(D645=0,0,VLOOKUP(D645,'DATA SHEET'!$B:$D,3,FALSE)),2))</f>
        <v>0</v>
      </c>
      <c r="H645" s="53"/>
      <c r="I645" s="66" cm="1">
        <f t="array" ref="I645">IF(AND(ISBLANK(B645),ISBLANK(C645),ISBLANK(E645)),0,IF(COUNT(FIND(PurlinsxGirthsxBracings,$C645))&gt;0,IF(B645=0,CONCATENATE(E645," ",C645),CONCATENATE(B645," - ",E645," ",C645)),IF(B645=0,IF(ISBLANK(C645),E645,CONCATENATE(D645,", ",F645,"kg/m, ",G645,"mm surface perimeter")),IF(AND(ISBLANK(C645),ISTEXT(E645)),CONCATENATE(B645," - ",E645),IF(AND(ISBLANK(C645),ISBLANK(E645)),B645,CONCATENATE(B645," - ",D645,", ",F645,"kg/m, ",G645,"mm surface perimeter"))))&amp;IF(ISBLANK(H645),"",H645)))</f>
        <v>0</v>
      </c>
      <c r="J645" s="53"/>
      <c r="L645" s="4" t="str" cm="1">
        <f t="array" ref="L645">IF(COUNT(FIND({0,1,2,3,4,5,6,7,8,9},B645))&gt;0,COUNT(FIND({0,1,2,3,4,5,6,7,8,9},B645))&gt;0,"")</f>
        <v/>
      </c>
      <c r="M645" s="4" t="str" cm="1">
        <f t="array" aca="1" ref="M645" ca="1">IFERROR(_xlfn.IFS(R645="Count",RANDBETWEEN(1,COUNTIF($R$11:$R$653,"Count")),R645="Length",RANDBETWEEN(1,COUNTIF($R$11:$R$653,"Length"))),"")</f>
        <v/>
      </c>
      <c r="N645" s="4" t="str">
        <f ca="1">IFERROR(_xlfn.RANK.EQ(M645,$M$11:$M$653)+COUNTIF($M$11:M645,M645)-1,"")</f>
        <v/>
      </c>
      <c r="O645" s="86" t="str">
        <f>IF(A645='DATA SHEET'!$L$36,C645,IFERROR(IF(AND(ISTEXT(I645),ISBLANK(C645)),"No details",VLOOKUP(C645,DimFolder,2,FALSE)),""))</f>
        <v/>
      </c>
      <c r="P645" s="4" t="str">
        <f t="shared" si="149"/>
        <v/>
      </c>
      <c r="Q645" s="58" t="str">
        <f t="shared" si="160"/>
        <v/>
      </c>
      <c r="R645" s="4" t="e" cm="1">
        <f t="array" ref="R645">IF(INDEX(Table2[],_xlfn.XMATCH($A645,Table2[Steel Member],0),_xlfn.XMATCH(R$2,Table2[#Headers],0))=0,"",INDEX(Table2[],_xlfn.XMATCH($A645,Table2[Steel Member],0),_xlfn.XMATCH(R$2,Table2[#Headers],0)))</f>
        <v>#N/A</v>
      </c>
      <c r="S645" s="4" t="e" cm="1">
        <f t="array" ref="S645">IF(INDEX(Table2[],_xlfn.XMATCH($A645,Table2[Steel Member],0),_xlfn.XMATCH(S$2,Table2[#Headers],0))=0,"",INDEX(Table2[],_xlfn.XMATCH($A645,Table2[Steel Member],0),_xlfn.XMATCH(S$2,Table2[#Headers],0)))</f>
        <v>#N/A</v>
      </c>
      <c r="T645" s="4" t="str">
        <f t="shared" si="151"/>
        <v/>
      </c>
      <c r="U645" s="4" t="e">
        <f ca="1">VLOOKUP(N645,'COLOR CODE'!$B:$D,2,FALSE)</f>
        <v>#N/A</v>
      </c>
      <c r="V645" s="4" t="str">
        <f t="shared" si="152"/>
        <v/>
      </c>
      <c r="W645" s="4" t="e" cm="1">
        <f t="array" ref="W645">IF(INDEX(Table2[],_xlfn.XMATCH($A645,Table2[Steel Member],0),_xlfn.XMATCH(W$2,Table2[#Headers],0))=0,"",INDEX(Table2[],_xlfn.XMATCH($A645,Table2[Steel Member],0),_xlfn.XMATCH(W$2,Table2[#Headers],0)))</f>
        <v>#N/A</v>
      </c>
      <c r="X645" s="4" t="e">
        <f t="shared" si="150"/>
        <v>#N/A</v>
      </c>
      <c r="Y645" s="4" t="e" cm="1">
        <f t="array" ref="Y645">IF(INDEX(Table2[],_xlfn.XMATCH($A645,Table2[Steel Member],0),_xlfn.XMATCH(Y$2,Table2[#Headers],0))=0,"",INDEX(Table2[],_xlfn.XMATCH($A645,Table2[Steel Member],0),_xlfn.XMATCH(Y$2,Table2[#Headers],0)))</f>
        <v>#N/A</v>
      </c>
      <c r="Z645" s="4" t="e" cm="1">
        <f t="array" ref="Z645">IF(INDEX(Table2[],_xlfn.XMATCH($A645,Table2[Steel Member],0),_xlfn.XMATCH(Z$2,Table2[#Headers],0))=0,"",INDEX(Table2[],_xlfn.XMATCH($A645,Table2[Steel Member],0),_xlfn.XMATCH(Z$2,Table2[#Headers],0)))</f>
        <v>#N/A</v>
      </c>
      <c r="AA645" s="4" t="e" cm="1">
        <f t="array" ref="AA645">IF(INDEX(Table2[],_xlfn.XMATCH($A645,Table2[Steel Member],0),_xlfn.XMATCH(AA$2,Table2[#Headers],0))=0,"",INDEX(Table2[],_xlfn.XMATCH($A645,Table2[Steel Member],0),_xlfn.XMATCH(AA$2,Table2[#Headers],0)))</f>
        <v>#N/A</v>
      </c>
      <c r="AB645" s="4" t="e" cm="1">
        <f t="array" ref="AB645">IF(INDEX(Table2[],_xlfn.XMATCH($A645,Table2[Steel Member],0),_xlfn.XMATCH(AB$2,Table2[#Headers],0))=0,"",INDEX(Table2[],_xlfn.XMATCH($A645,Table2[Steel Member],0),_xlfn.XMATCH(AB$2,Table2[#Headers],0)))</f>
        <v>#N/A</v>
      </c>
      <c r="AC645" s="4" t="str" cm="1">
        <f t="array" ref="AC645">IFERROR(INDEX(Table8[],_xlfn.XMATCH($O645,Table8[Dimension Name Category],0),_xlfn.XMATCH(AC$2&amp;IF($L645," w/ tag"," w/o tag"),Table8[#Headers],0)),"")</f>
        <v/>
      </c>
      <c r="AD645" s="59" t="str">
        <f t="shared" si="153"/>
        <v/>
      </c>
      <c r="AE645" s="4" t="str">
        <f t="shared" si="154"/>
        <v/>
      </c>
      <c r="AF645" s="4" t="str">
        <f t="shared" si="155"/>
        <v/>
      </c>
      <c r="AG645" s="4" t="str" cm="1">
        <f t="array" ref="AG645">IFERROR(INDEX(Table8[],_xlfn.XMATCH($O645,Table8[Dimension Name Category],0),_xlfn.XMATCH(AG$2&amp;IF($L645," w/ tag"," w/o tag"),Table8[#Headers],0)),"")</f>
        <v/>
      </c>
      <c r="AH645" s="59" t="str">
        <f t="shared" si="156"/>
        <v/>
      </c>
      <c r="AI645" s="4"/>
      <c r="AJ645" s="4" t="str">
        <f t="shared" si="157"/>
        <v/>
      </c>
      <c r="AK645" s="4" t="str">
        <f t="shared" si="158"/>
        <v/>
      </c>
      <c r="AL645" s="4" t="e" cm="1">
        <f t="array" ref="AL645">IF(INDEX(Table2[],_xlfn.XMATCH($A645,Table2[Steel Member],0),_xlfn.XMATCH(AL$2,Table2[#Headers],0))=0,"",INDEX(Table2[],_xlfn.XMATCH($A645,Table2[Steel Member],0),_xlfn.XMATCH(AL$2,Table2[#Headers],0)))</f>
        <v>#N/A</v>
      </c>
      <c r="AM645" s="4"/>
      <c r="AN645" s="4" t="str">
        <f t="shared" si="159"/>
        <v/>
      </c>
      <c r="AO645" s="4"/>
      <c r="AP645" s="4" t="e" cm="1">
        <f t="array" ref="AP645">IF(INDEX(Table2[],_xlfn.XMATCH($A645,Table2[Steel Member],0),_xlfn.XMATCH(AP$2,Table2[#Headers],0))=0,"",INDEX(Table2[],_xlfn.XMATCH($A645,Table2[Steel Member],0),_xlfn.XMATCH(AP$2,Table2[#Headers],0)))</f>
        <v>#N/A</v>
      </c>
      <c r="AQ645" s="4"/>
      <c r="AR645" s="4"/>
      <c r="AS645" s="4"/>
      <c r="AT645" s="4"/>
    </row>
    <row r="646" spans="1:46" x14ac:dyDescent="0.25">
      <c r="A646" s="52"/>
      <c r="B646" s="52"/>
      <c r="C646" s="52"/>
      <c r="D646" s="52"/>
      <c r="E646" s="52"/>
      <c r="F646" s="64" cm="1">
        <f t="array" ref="F646">IF(COUNT(FIND(PurlinsxGirthsxBracings,$C646))&gt;0,0,ROUNDUP(IF(D646=0,0,VLOOKUP(D646,'DATA SHEET'!$B:$D,2,FALSE)),2))</f>
        <v>0</v>
      </c>
      <c r="G646" s="64" cm="1">
        <f t="array" ref="G646">IF(COUNT(FIND(PurlinsxGirthsxBracings,$C646))&gt;0,0,ROUNDUP(IF(D646=0,0,VLOOKUP(D646,'DATA SHEET'!$B:$D,3,FALSE)),2))</f>
        <v>0</v>
      </c>
      <c r="H646" s="53"/>
      <c r="I646" s="66" cm="1">
        <f t="array" ref="I646">IF(AND(ISBLANK(B646),ISBLANK(C646),ISBLANK(E646)),0,IF(COUNT(FIND(PurlinsxGirthsxBracings,$C646))&gt;0,IF(B646=0,CONCATENATE(E646," ",C646),CONCATENATE(B646," - ",E646," ",C646)),IF(B646=0,IF(ISBLANK(C646),E646,CONCATENATE(D646,", ",F646,"kg/m, ",G646,"mm surface perimeter")),IF(AND(ISBLANK(C646),ISTEXT(E646)),CONCATENATE(B646," - ",E646),IF(AND(ISBLANK(C646),ISBLANK(E646)),B646,CONCATENATE(B646," - ",D646,", ",F646,"kg/m, ",G646,"mm surface perimeter"))))&amp;IF(ISBLANK(H646),"",H646)))</f>
        <v>0</v>
      </c>
      <c r="J646" s="53"/>
      <c r="L646" s="4" t="str" cm="1">
        <f t="array" ref="L646">IF(COUNT(FIND({0,1,2,3,4,5,6,7,8,9},B646))&gt;0,COUNT(FIND({0,1,2,3,4,5,6,7,8,9},B646))&gt;0,"")</f>
        <v/>
      </c>
      <c r="M646" s="4" t="str" cm="1">
        <f t="array" aca="1" ref="M646" ca="1">IFERROR(_xlfn.IFS(R646="Count",RANDBETWEEN(1,COUNTIF($R$11:$R$653,"Count")),R646="Length",RANDBETWEEN(1,COUNTIF($R$11:$R$653,"Length"))),"")</f>
        <v/>
      </c>
      <c r="N646" s="4" t="str">
        <f ca="1">IFERROR(_xlfn.RANK.EQ(M646,$M$11:$M$653)+COUNTIF($M$11:M646,M646)-1,"")</f>
        <v/>
      </c>
      <c r="O646" s="86" t="str">
        <f>IF(A646='DATA SHEET'!$L$36,C646,IFERROR(IF(AND(ISTEXT(I646),ISBLANK(C646)),"No details",VLOOKUP(C646,DimFolder,2,FALSE)),""))</f>
        <v/>
      </c>
      <c r="P646" s="4" t="str">
        <f t="shared" si="149"/>
        <v/>
      </c>
      <c r="Q646" s="58" t="str">
        <f t="shared" si="160"/>
        <v/>
      </c>
      <c r="R646" s="4" t="e" cm="1">
        <f t="array" ref="R646">IF(INDEX(Table2[],_xlfn.XMATCH($A646,Table2[Steel Member],0),_xlfn.XMATCH(R$2,Table2[#Headers],0))=0,"",INDEX(Table2[],_xlfn.XMATCH($A646,Table2[Steel Member],0),_xlfn.XMATCH(R$2,Table2[#Headers],0)))</f>
        <v>#N/A</v>
      </c>
      <c r="S646" s="4" t="e" cm="1">
        <f t="array" ref="S646">IF(INDEX(Table2[],_xlfn.XMATCH($A646,Table2[Steel Member],0),_xlfn.XMATCH(S$2,Table2[#Headers],0))=0,"",INDEX(Table2[],_xlfn.XMATCH($A646,Table2[Steel Member],0),_xlfn.XMATCH(S$2,Table2[#Headers],0)))</f>
        <v>#N/A</v>
      </c>
      <c r="T646" s="4" t="str">
        <f t="shared" si="151"/>
        <v/>
      </c>
      <c r="U646" s="4" t="e">
        <f ca="1">VLOOKUP(N646,'COLOR CODE'!$B:$D,2,FALSE)</f>
        <v>#N/A</v>
      </c>
      <c r="V646" s="4" t="str">
        <f t="shared" si="152"/>
        <v/>
      </c>
      <c r="W646" s="4" t="e" cm="1">
        <f t="array" ref="W646">IF(INDEX(Table2[],_xlfn.XMATCH($A646,Table2[Steel Member],0),_xlfn.XMATCH(W$2,Table2[#Headers],0))=0,"",INDEX(Table2[],_xlfn.XMATCH($A646,Table2[Steel Member],0),_xlfn.XMATCH(W$2,Table2[#Headers],0)))</f>
        <v>#N/A</v>
      </c>
      <c r="X646" s="4" t="e">
        <f t="shared" si="150"/>
        <v>#N/A</v>
      </c>
      <c r="Y646" s="4" t="e" cm="1">
        <f t="array" ref="Y646">IF(INDEX(Table2[],_xlfn.XMATCH($A646,Table2[Steel Member],0),_xlfn.XMATCH(Y$2,Table2[#Headers],0))=0,"",INDEX(Table2[],_xlfn.XMATCH($A646,Table2[Steel Member],0),_xlfn.XMATCH(Y$2,Table2[#Headers],0)))</f>
        <v>#N/A</v>
      </c>
      <c r="Z646" s="4" t="e" cm="1">
        <f t="array" ref="Z646">IF(INDEX(Table2[],_xlfn.XMATCH($A646,Table2[Steel Member],0),_xlfn.XMATCH(Z$2,Table2[#Headers],0))=0,"",INDEX(Table2[],_xlfn.XMATCH($A646,Table2[Steel Member],0),_xlfn.XMATCH(Z$2,Table2[#Headers],0)))</f>
        <v>#N/A</v>
      </c>
      <c r="AA646" s="4" t="e" cm="1">
        <f t="array" ref="AA646">IF(INDEX(Table2[],_xlfn.XMATCH($A646,Table2[Steel Member],0),_xlfn.XMATCH(AA$2,Table2[#Headers],0))=0,"",INDEX(Table2[],_xlfn.XMATCH($A646,Table2[Steel Member],0),_xlfn.XMATCH(AA$2,Table2[#Headers],0)))</f>
        <v>#N/A</v>
      </c>
      <c r="AB646" s="4" t="e" cm="1">
        <f t="array" ref="AB646">IF(INDEX(Table2[],_xlfn.XMATCH($A646,Table2[Steel Member],0),_xlfn.XMATCH(AB$2,Table2[#Headers],0))=0,"",INDEX(Table2[],_xlfn.XMATCH($A646,Table2[Steel Member],0),_xlfn.XMATCH(AB$2,Table2[#Headers],0)))</f>
        <v>#N/A</v>
      </c>
      <c r="AC646" s="4" t="str" cm="1">
        <f t="array" ref="AC646">IFERROR(INDEX(Table8[],_xlfn.XMATCH($O646,Table8[Dimension Name Category],0),_xlfn.XMATCH(AC$2&amp;IF($L646," w/ tag"," w/o tag"),Table8[#Headers],0)),"")</f>
        <v/>
      </c>
      <c r="AD646" s="59" t="str">
        <f t="shared" si="153"/>
        <v/>
      </c>
      <c r="AE646" s="4" t="str">
        <f t="shared" si="154"/>
        <v/>
      </c>
      <c r="AF646" s="4" t="str">
        <f t="shared" si="155"/>
        <v/>
      </c>
      <c r="AG646" s="4" t="str" cm="1">
        <f t="array" ref="AG646">IFERROR(INDEX(Table8[],_xlfn.XMATCH($O646,Table8[Dimension Name Category],0),_xlfn.XMATCH(AG$2&amp;IF($L646," w/ tag"," w/o tag"),Table8[#Headers],0)),"")</f>
        <v/>
      </c>
      <c r="AH646" s="59" t="str">
        <f t="shared" si="156"/>
        <v/>
      </c>
      <c r="AI646" s="4"/>
      <c r="AJ646" s="4" t="str">
        <f t="shared" si="157"/>
        <v/>
      </c>
      <c r="AK646" s="4" t="str">
        <f t="shared" si="158"/>
        <v/>
      </c>
      <c r="AL646" s="4" t="e" cm="1">
        <f t="array" ref="AL646">IF(INDEX(Table2[],_xlfn.XMATCH($A646,Table2[Steel Member],0),_xlfn.XMATCH(AL$2,Table2[#Headers],0))=0,"",INDEX(Table2[],_xlfn.XMATCH($A646,Table2[Steel Member],0),_xlfn.XMATCH(AL$2,Table2[#Headers],0)))</f>
        <v>#N/A</v>
      </c>
      <c r="AM646" s="4"/>
      <c r="AN646" s="4" t="str">
        <f t="shared" si="159"/>
        <v/>
      </c>
      <c r="AO646" s="4"/>
      <c r="AP646" s="4" t="e" cm="1">
        <f t="array" ref="AP646">IF(INDEX(Table2[],_xlfn.XMATCH($A646,Table2[Steel Member],0),_xlfn.XMATCH(AP$2,Table2[#Headers],0))=0,"",INDEX(Table2[],_xlfn.XMATCH($A646,Table2[Steel Member],0),_xlfn.XMATCH(AP$2,Table2[#Headers],0)))</f>
        <v>#N/A</v>
      </c>
      <c r="AQ646" s="4"/>
      <c r="AR646" s="4"/>
      <c r="AS646" s="4"/>
      <c r="AT646" s="4"/>
    </row>
    <row r="647" spans="1:46" x14ac:dyDescent="0.25">
      <c r="A647" s="52"/>
      <c r="B647" s="52"/>
      <c r="C647" s="52"/>
      <c r="D647" s="52"/>
      <c r="E647" s="52"/>
      <c r="F647" s="64" cm="1">
        <f t="array" ref="F647">IF(COUNT(FIND(PurlinsxGirthsxBracings,$C647))&gt;0,0,ROUNDUP(IF(D647=0,0,VLOOKUP(D647,'DATA SHEET'!$B:$D,2,FALSE)),2))</f>
        <v>0</v>
      </c>
      <c r="G647" s="64" cm="1">
        <f t="array" ref="G647">IF(COUNT(FIND(PurlinsxGirthsxBracings,$C647))&gt;0,0,ROUNDUP(IF(D647=0,0,VLOOKUP(D647,'DATA SHEET'!$B:$D,3,FALSE)),2))</f>
        <v>0</v>
      </c>
      <c r="H647" s="53"/>
      <c r="I647" s="66" cm="1">
        <f t="array" ref="I647">IF(AND(ISBLANK(B647),ISBLANK(C647),ISBLANK(E647)),0,IF(COUNT(FIND(PurlinsxGirthsxBracings,$C647))&gt;0,IF(B647=0,CONCATENATE(E647," ",C647),CONCATENATE(B647," - ",E647," ",C647)),IF(B647=0,IF(ISBLANK(C647),E647,CONCATENATE(D647,", ",F647,"kg/m, ",G647,"mm surface perimeter")),IF(AND(ISBLANK(C647),ISTEXT(E647)),CONCATENATE(B647," - ",E647),IF(AND(ISBLANK(C647),ISBLANK(E647)),B647,CONCATENATE(B647," - ",D647,", ",F647,"kg/m, ",G647,"mm surface perimeter"))))&amp;IF(ISBLANK(H647),"",H647)))</f>
        <v>0</v>
      </c>
      <c r="J647" s="53"/>
      <c r="L647" s="4" t="str" cm="1">
        <f t="array" ref="L647">IF(COUNT(FIND({0,1,2,3,4,5,6,7,8,9},B647))&gt;0,COUNT(FIND({0,1,2,3,4,5,6,7,8,9},B647))&gt;0,"")</f>
        <v/>
      </c>
      <c r="M647" s="4" t="str" cm="1">
        <f t="array" aca="1" ref="M647" ca="1">IFERROR(_xlfn.IFS(R647="Count",RANDBETWEEN(1,COUNTIF($R$11:$R$653,"Count")),R647="Length",RANDBETWEEN(1,COUNTIF($R$11:$R$653,"Length"))),"")</f>
        <v/>
      </c>
      <c r="N647" s="4" t="str">
        <f ca="1">IFERROR(_xlfn.RANK.EQ(M647,$M$11:$M$653)+COUNTIF($M$11:M647,M647)-1,"")</f>
        <v/>
      </c>
      <c r="O647" s="86" t="str">
        <f>IF(A647='DATA SHEET'!$L$36,C647,IFERROR(IF(AND(ISTEXT(I647),ISBLANK(C647)),"No details",VLOOKUP(C647,DimFolder,2,FALSE)),""))</f>
        <v/>
      </c>
      <c r="P647" s="4" t="str">
        <f t="shared" si="149"/>
        <v/>
      </c>
      <c r="Q647" s="58" t="str">
        <f t="shared" si="160"/>
        <v/>
      </c>
      <c r="R647" s="4" t="e" cm="1">
        <f t="array" ref="R647">IF(INDEX(Table2[],_xlfn.XMATCH($A647,Table2[Steel Member],0),_xlfn.XMATCH(R$2,Table2[#Headers],0))=0,"",INDEX(Table2[],_xlfn.XMATCH($A647,Table2[Steel Member],0),_xlfn.XMATCH(R$2,Table2[#Headers],0)))</f>
        <v>#N/A</v>
      </c>
      <c r="S647" s="4" t="e" cm="1">
        <f t="array" ref="S647">IF(INDEX(Table2[],_xlfn.XMATCH($A647,Table2[Steel Member],0),_xlfn.XMATCH(S$2,Table2[#Headers],0))=0,"",INDEX(Table2[],_xlfn.XMATCH($A647,Table2[Steel Member],0),_xlfn.XMATCH(S$2,Table2[#Headers],0)))</f>
        <v>#N/A</v>
      </c>
      <c r="T647" s="4" t="str">
        <f t="shared" si="151"/>
        <v/>
      </c>
      <c r="U647" s="4" t="e">
        <f ca="1">VLOOKUP(N647,'COLOR CODE'!$B:$D,2,FALSE)</f>
        <v>#N/A</v>
      </c>
      <c r="V647" s="4" t="str">
        <f t="shared" si="152"/>
        <v/>
      </c>
      <c r="W647" s="4" t="e" cm="1">
        <f t="array" ref="W647">IF(INDEX(Table2[],_xlfn.XMATCH($A647,Table2[Steel Member],0),_xlfn.XMATCH(W$2,Table2[#Headers],0))=0,"",INDEX(Table2[],_xlfn.XMATCH($A647,Table2[Steel Member],0),_xlfn.XMATCH(W$2,Table2[#Headers],0)))</f>
        <v>#N/A</v>
      </c>
      <c r="X647" s="4" t="e">
        <f t="shared" si="150"/>
        <v>#N/A</v>
      </c>
      <c r="Y647" s="4" t="e" cm="1">
        <f t="array" ref="Y647">IF(INDEX(Table2[],_xlfn.XMATCH($A647,Table2[Steel Member],0),_xlfn.XMATCH(Y$2,Table2[#Headers],0))=0,"",INDEX(Table2[],_xlfn.XMATCH($A647,Table2[Steel Member],0),_xlfn.XMATCH(Y$2,Table2[#Headers],0)))</f>
        <v>#N/A</v>
      </c>
      <c r="Z647" s="4" t="e" cm="1">
        <f t="array" ref="Z647">IF(INDEX(Table2[],_xlfn.XMATCH($A647,Table2[Steel Member],0),_xlfn.XMATCH(Z$2,Table2[#Headers],0))=0,"",INDEX(Table2[],_xlfn.XMATCH($A647,Table2[Steel Member],0),_xlfn.XMATCH(Z$2,Table2[#Headers],0)))</f>
        <v>#N/A</v>
      </c>
      <c r="AA647" s="4" t="e" cm="1">
        <f t="array" ref="AA647">IF(INDEX(Table2[],_xlfn.XMATCH($A647,Table2[Steel Member],0),_xlfn.XMATCH(AA$2,Table2[#Headers],0))=0,"",INDEX(Table2[],_xlfn.XMATCH($A647,Table2[Steel Member],0),_xlfn.XMATCH(AA$2,Table2[#Headers],0)))</f>
        <v>#N/A</v>
      </c>
      <c r="AB647" s="4" t="e" cm="1">
        <f t="array" ref="AB647">IF(INDEX(Table2[],_xlfn.XMATCH($A647,Table2[Steel Member],0),_xlfn.XMATCH(AB$2,Table2[#Headers],0))=0,"",INDEX(Table2[],_xlfn.XMATCH($A647,Table2[Steel Member],0),_xlfn.XMATCH(AB$2,Table2[#Headers],0)))</f>
        <v>#N/A</v>
      </c>
      <c r="AC647" s="4" t="str" cm="1">
        <f t="array" ref="AC647">IFERROR(INDEX(Table8[],_xlfn.XMATCH($O647,Table8[Dimension Name Category],0),_xlfn.XMATCH(AC$2&amp;IF($L647," w/ tag"," w/o tag"),Table8[#Headers],0)),"")</f>
        <v/>
      </c>
      <c r="AD647" s="59" t="str">
        <f t="shared" si="153"/>
        <v/>
      </c>
      <c r="AE647" s="4" t="str">
        <f t="shared" si="154"/>
        <v/>
      </c>
      <c r="AF647" s="4" t="str">
        <f t="shared" si="155"/>
        <v/>
      </c>
      <c r="AG647" s="4" t="str" cm="1">
        <f t="array" ref="AG647">IFERROR(INDEX(Table8[],_xlfn.XMATCH($O647,Table8[Dimension Name Category],0),_xlfn.XMATCH(AG$2&amp;IF($L647," w/ tag"," w/o tag"),Table8[#Headers],0)),"")</f>
        <v/>
      </c>
      <c r="AH647" s="59" t="str">
        <f t="shared" si="156"/>
        <v/>
      </c>
      <c r="AI647" s="4"/>
      <c r="AJ647" s="4" t="str">
        <f t="shared" si="157"/>
        <v/>
      </c>
      <c r="AK647" s="4" t="str">
        <f t="shared" si="158"/>
        <v/>
      </c>
      <c r="AL647" s="4" t="e" cm="1">
        <f t="array" ref="AL647">IF(INDEX(Table2[],_xlfn.XMATCH($A647,Table2[Steel Member],0),_xlfn.XMATCH(AL$2,Table2[#Headers],0))=0,"",INDEX(Table2[],_xlfn.XMATCH($A647,Table2[Steel Member],0),_xlfn.XMATCH(AL$2,Table2[#Headers],0)))</f>
        <v>#N/A</v>
      </c>
      <c r="AM647" s="4"/>
      <c r="AN647" s="4" t="str">
        <f t="shared" si="159"/>
        <v/>
      </c>
      <c r="AO647" s="4"/>
      <c r="AP647" s="4" t="e" cm="1">
        <f t="array" ref="AP647">IF(INDEX(Table2[],_xlfn.XMATCH($A647,Table2[Steel Member],0),_xlfn.XMATCH(AP$2,Table2[#Headers],0))=0,"",INDEX(Table2[],_xlfn.XMATCH($A647,Table2[Steel Member],0),_xlfn.XMATCH(AP$2,Table2[#Headers],0)))</f>
        <v>#N/A</v>
      </c>
      <c r="AQ647" s="4"/>
      <c r="AR647" s="4"/>
      <c r="AS647" s="4"/>
      <c r="AT647" s="4"/>
    </row>
    <row r="648" spans="1:46" x14ac:dyDescent="0.25">
      <c r="A648" s="52"/>
      <c r="B648" s="52"/>
      <c r="C648" s="52"/>
      <c r="D648" s="52"/>
      <c r="E648" s="52"/>
      <c r="F648" s="64" cm="1">
        <f t="array" ref="F648">IF(COUNT(FIND(PurlinsxGirthsxBracings,$C648))&gt;0,0,ROUNDUP(IF(D648=0,0,VLOOKUP(D648,'DATA SHEET'!$B:$D,2,FALSE)),2))</f>
        <v>0</v>
      </c>
      <c r="G648" s="64" cm="1">
        <f t="array" ref="G648">IF(COUNT(FIND(PurlinsxGirthsxBracings,$C648))&gt;0,0,ROUNDUP(IF(D648=0,0,VLOOKUP(D648,'DATA SHEET'!$B:$D,3,FALSE)),2))</f>
        <v>0</v>
      </c>
      <c r="H648" s="53"/>
      <c r="I648" s="66" cm="1">
        <f t="array" ref="I648">IF(AND(ISBLANK(B648),ISBLANK(C648),ISBLANK(E648)),0,IF(COUNT(FIND(PurlinsxGirthsxBracings,$C648))&gt;0,IF(B648=0,CONCATENATE(E648," ",C648),CONCATENATE(B648," - ",E648," ",C648)),IF(B648=0,IF(ISBLANK(C648),E648,CONCATENATE(D648,", ",F648,"kg/m, ",G648,"mm surface perimeter")),IF(AND(ISBLANK(C648),ISTEXT(E648)),CONCATENATE(B648," - ",E648),IF(AND(ISBLANK(C648),ISBLANK(E648)),B648,CONCATENATE(B648," - ",D648,", ",F648,"kg/m, ",G648,"mm surface perimeter"))))&amp;IF(ISBLANK(H648),"",H648)))</f>
        <v>0</v>
      </c>
      <c r="J648" s="53"/>
      <c r="L648" s="4" t="str" cm="1">
        <f t="array" ref="L648">IF(COUNT(FIND({0,1,2,3,4,5,6,7,8,9},B648))&gt;0,COUNT(FIND({0,1,2,3,4,5,6,7,8,9},B648))&gt;0,"")</f>
        <v/>
      </c>
      <c r="M648" s="4" t="str" cm="1">
        <f t="array" aca="1" ref="M648" ca="1">IFERROR(_xlfn.IFS(R648="Count",RANDBETWEEN(1,COUNTIF($R$11:$R$653,"Count")),R648="Length",RANDBETWEEN(1,COUNTIF($R$11:$R$653,"Length"))),"")</f>
        <v/>
      </c>
      <c r="N648" s="4" t="str">
        <f ca="1">IFERROR(_xlfn.RANK.EQ(M648,$M$11:$M$653)+COUNTIF($M$11:M648,M648)-1,"")</f>
        <v/>
      </c>
      <c r="O648" s="86" t="str">
        <f>IF(A648='DATA SHEET'!$L$36,C648,IFERROR(IF(AND(ISTEXT(I648),ISBLANK(C648)),"No details",VLOOKUP(C648,DimFolder,2,FALSE)),""))</f>
        <v/>
      </c>
      <c r="P648" s="4" t="str">
        <f t="shared" si="149"/>
        <v/>
      </c>
      <c r="Q648" s="58" t="str">
        <f t="shared" si="160"/>
        <v/>
      </c>
      <c r="R648" s="4" t="e" cm="1">
        <f t="array" ref="R648">IF(INDEX(Table2[],_xlfn.XMATCH($A648,Table2[Steel Member],0),_xlfn.XMATCH(R$2,Table2[#Headers],0))=0,"",INDEX(Table2[],_xlfn.XMATCH($A648,Table2[Steel Member],0),_xlfn.XMATCH(R$2,Table2[#Headers],0)))</f>
        <v>#N/A</v>
      </c>
      <c r="S648" s="4" t="e" cm="1">
        <f t="array" ref="S648">IF(INDEX(Table2[],_xlfn.XMATCH($A648,Table2[Steel Member],0),_xlfn.XMATCH(S$2,Table2[#Headers],0))=0,"",INDEX(Table2[],_xlfn.XMATCH($A648,Table2[Steel Member],0),_xlfn.XMATCH(S$2,Table2[#Headers],0)))</f>
        <v>#N/A</v>
      </c>
      <c r="T648" s="4" t="str">
        <f t="shared" si="151"/>
        <v/>
      </c>
      <c r="U648" s="4" t="e">
        <f ca="1">VLOOKUP(N648,'COLOR CODE'!$B:$D,2,FALSE)</f>
        <v>#N/A</v>
      </c>
      <c r="V648" s="4" t="str">
        <f t="shared" si="152"/>
        <v/>
      </c>
      <c r="W648" s="4" t="e" cm="1">
        <f t="array" ref="W648">IF(INDEX(Table2[],_xlfn.XMATCH($A648,Table2[Steel Member],0),_xlfn.XMATCH(W$2,Table2[#Headers],0))=0,"",INDEX(Table2[],_xlfn.XMATCH($A648,Table2[Steel Member],0),_xlfn.XMATCH(W$2,Table2[#Headers],0)))</f>
        <v>#N/A</v>
      </c>
      <c r="X648" s="4" t="e">
        <f t="shared" si="150"/>
        <v>#N/A</v>
      </c>
      <c r="Y648" s="4" t="e" cm="1">
        <f t="array" ref="Y648">IF(INDEX(Table2[],_xlfn.XMATCH($A648,Table2[Steel Member],0),_xlfn.XMATCH(Y$2,Table2[#Headers],0))=0,"",INDEX(Table2[],_xlfn.XMATCH($A648,Table2[Steel Member],0),_xlfn.XMATCH(Y$2,Table2[#Headers],0)))</f>
        <v>#N/A</v>
      </c>
      <c r="Z648" s="4" t="e" cm="1">
        <f t="array" ref="Z648">IF(INDEX(Table2[],_xlfn.XMATCH($A648,Table2[Steel Member],0),_xlfn.XMATCH(Z$2,Table2[#Headers],0))=0,"",INDEX(Table2[],_xlfn.XMATCH($A648,Table2[Steel Member],0),_xlfn.XMATCH(Z$2,Table2[#Headers],0)))</f>
        <v>#N/A</v>
      </c>
      <c r="AA648" s="4" t="e" cm="1">
        <f t="array" ref="AA648">IF(INDEX(Table2[],_xlfn.XMATCH($A648,Table2[Steel Member],0),_xlfn.XMATCH(AA$2,Table2[#Headers],0))=0,"",INDEX(Table2[],_xlfn.XMATCH($A648,Table2[Steel Member],0),_xlfn.XMATCH(AA$2,Table2[#Headers],0)))</f>
        <v>#N/A</v>
      </c>
      <c r="AB648" s="4" t="e" cm="1">
        <f t="array" ref="AB648">IF(INDEX(Table2[],_xlfn.XMATCH($A648,Table2[Steel Member],0),_xlfn.XMATCH(AB$2,Table2[#Headers],0))=0,"",INDEX(Table2[],_xlfn.XMATCH($A648,Table2[Steel Member],0),_xlfn.XMATCH(AB$2,Table2[#Headers],0)))</f>
        <v>#N/A</v>
      </c>
      <c r="AC648" s="4" t="str" cm="1">
        <f t="array" ref="AC648">IFERROR(INDEX(Table8[],_xlfn.XMATCH($O648,Table8[Dimension Name Category],0),_xlfn.XMATCH(AC$2&amp;IF($L648," w/ tag"," w/o tag"),Table8[#Headers],0)),"")</f>
        <v/>
      </c>
      <c r="AD648" s="59" t="str">
        <f t="shared" si="153"/>
        <v/>
      </c>
      <c r="AE648" s="4" t="str">
        <f t="shared" si="154"/>
        <v/>
      </c>
      <c r="AF648" s="4" t="str">
        <f t="shared" si="155"/>
        <v/>
      </c>
      <c r="AG648" s="4" t="str" cm="1">
        <f t="array" ref="AG648">IFERROR(INDEX(Table8[],_xlfn.XMATCH($O648,Table8[Dimension Name Category],0),_xlfn.XMATCH(AG$2&amp;IF($L648," w/ tag"," w/o tag"),Table8[#Headers],0)),"")</f>
        <v/>
      </c>
      <c r="AH648" s="59" t="str">
        <f t="shared" si="156"/>
        <v/>
      </c>
      <c r="AI648" s="4"/>
      <c r="AJ648" s="4" t="str">
        <f t="shared" si="157"/>
        <v/>
      </c>
      <c r="AK648" s="4" t="str">
        <f t="shared" si="158"/>
        <v/>
      </c>
      <c r="AL648" s="4" t="e" cm="1">
        <f t="array" ref="AL648">IF(INDEX(Table2[],_xlfn.XMATCH($A648,Table2[Steel Member],0),_xlfn.XMATCH(AL$2,Table2[#Headers],0))=0,"",INDEX(Table2[],_xlfn.XMATCH($A648,Table2[Steel Member],0),_xlfn.XMATCH(AL$2,Table2[#Headers],0)))</f>
        <v>#N/A</v>
      </c>
      <c r="AM648" s="4"/>
      <c r="AN648" s="4" t="str">
        <f t="shared" si="159"/>
        <v/>
      </c>
      <c r="AO648" s="4"/>
      <c r="AP648" s="4" t="e" cm="1">
        <f t="array" ref="AP648">IF(INDEX(Table2[],_xlfn.XMATCH($A648,Table2[Steel Member],0),_xlfn.XMATCH(AP$2,Table2[#Headers],0))=0,"",INDEX(Table2[],_xlfn.XMATCH($A648,Table2[Steel Member],0),_xlfn.XMATCH(AP$2,Table2[#Headers],0)))</f>
        <v>#N/A</v>
      </c>
      <c r="AQ648" s="4"/>
      <c r="AR648" s="4"/>
      <c r="AS648" s="4"/>
      <c r="AT648" s="4"/>
    </row>
    <row r="649" spans="1:46" x14ac:dyDescent="0.25">
      <c r="A649" s="52"/>
      <c r="B649" s="52"/>
      <c r="C649" s="52"/>
      <c r="D649" s="52"/>
      <c r="E649" s="52"/>
      <c r="F649" s="64" cm="1">
        <f t="array" ref="F649">IF(COUNT(FIND(PurlinsxGirthsxBracings,$C649))&gt;0,0,ROUNDUP(IF(D649=0,0,VLOOKUP(D649,'DATA SHEET'!$B:$D,2,FALSE)),2))</f>
        <v>0</v>
      </c>
      <c r="G649" s="64" cm="1">
        <f t="array" ref="G649">IF(COUNT(FIND(PurlinsxGirthsxBracings,$C649))&gt;0,0,ROUNDUP(IF(D649=0,0,VLOOKUP(D649,'DATA SHEET'!$B:$D,3,FALSE)),2))</f>
        <v>0</v>
      </c>
      <c r="H649" s="53"/>
      <c r="I649" s="66" cm="1">
        <f t="array" ref="I649">IF(AND(ISBLANK(B649),ISBLANK(C649),ISBLANK(E649)),0,IF(COUNT(FIND(PurlinsxGirthsxBracings,$C649))&gt;0,IF(B649=0,CONCATENATE(E649," ",C649),CONCATENATE(B649," - ",E649," ",C649)),IF(B649=0,IF(ISBLANK(C649),E649,CONCATENATE(D649,", ",F649,"kg/m, ",G649,"mm surface perimeter")),IF(AND(ISBLANK(C649),ISTEXT(E649)),CONCATENATE(B649," - ",E649),IF(AND(ISBLANK(C649),ISBLANK(E649)),B649,CONCATENATE(B649," - ",D649,", ",F649,"kg/m, ",G649,"mm surface perimeter"))))&amp;IF(ISBLANK(H649),"",H649)))</f>
        <v>0</v>
      </c>
      <c r="J649" s="53"/>
      <c r="L649" s="4" t="str" cm="1">
        <f t="array" ref="L649">IF(COUNT(FIND({0,1,2,3,4,5,6,7,8,9},B649))&gt;0,COUNT(FIND({0,1,2,3,4,5,6,7,8,9},B649))&gt;0,"")</f>
        <v/>
      </c>
      <c r="M649" s="4" t="str" cm="1">
        <f t="array" aca="1" ref="M649" ca="1">IFERROR(_xlfn.IFS(R649="Count",RANDBETWEEN(1,COUNTIF($R$11:$R$653,"Count")),R649="Length",RANDBETWEEN(1,COUNTIF($R$11:$R$653,"Length"))),"")</f>
        <v/>
      </c>
      <c r="N649" s="4" t="str">
        <f ca="1">IFERROR(_xlfn.RANK.EQ(M649,$M$11:$M$653)+COUNTIF($M$11:M649,M649)-1,"")</f>
        <v/>
      </c>
      <c r="O649" s="86" t="str">
        <f>IF(A649='DATA SHEET'!$L$36,C649,IFERROR(IF(AND(ISTEXT(I649),ISBLANK(C649)),"No details",VLOOKUP(C649,DimFolder,2,FALSE)),""))</f>
        <v/>
      </c>
      <c r="P649" s="4" t="str">
        <f t="shared" si="149"/>
        <v/>
      </c>
      <c r="Q649" s="58" t="str">
        <f t="shared" si="160"/>
        <v/>
      </c>
      <c r="R649" s="4" t="e" cm="1">
        <f t="array" ref="R649">IF(INDEX(Table2[],_xlfn.XMATCH($A649,Table2[Steel Member],0),_xlfn.XMATCH(R$2,Table2[#Headers],0))=0,"",INDEX(Table2[],_xlfn.XMATCH($A649,Table2[Steel Member],0),_xlfn.XMATCH(R$2,Table2[#Headers],0)))</f>
        <v>#N/A</v>
      </c>
      <c r="S649" s="4" t="e" cm="1">
        <f t="array" ref="S649">IF(INDEX(Table2[],_xlfn.XMATCH($A649,Table2[Steel Member],0),_xlfn.XMATCH(S$2,Table2[#Headers],0))=0,"",INDEX(Table2[],_xlfn.XMATCH($A649,Table2[Steel Member],0),_xlfn.XMATCH(S$2,Table2[#Headers],0)))</f>
        <v>#N/A</v>
      </c>
      <c r="T649" s="4" t="str">
        <f t="shared" si="151"/>
        <v/>
      </c>
      <c r="U649" s="4" t="e">
        <f ca="1">VLOOKUP(N649,'COLOR CODE'!$B:$D,2,FALSE)</f>
        <v>#N/A</v>
      </c>
      <c r="V649" s="4" t="str">
        <f t="shared" si="152"/>
        <v/>
      </c>
      <c r="W649" s="4" t="e" cm="1">
        <f t="array" ref="W649">IF(INDEX(Table2[],_xlfn.XMATCH($A649,Table2[Steel Member],0),_xlfn.XMATCH(W$2,Table2[#Headers],0))=0,"",INDEX(Table2[],_xlfn.XMATCH($A649,Table2[Steel Member],0),_xlfn.XMATCH(W$2,Table2[#Headers],0)))</f>
        <v>#N/A</v>
      </c>
      <c r="X649" s="4" t="e">
        <f t="shared" si="150"/>
        <v>#N/A</v>
      </c>
      <c r="Y649" s="4" t="e" cm="1">
        <f t="array" ref="Y649">IF(INDEX(Table2[],_xlfn.XMATCH($A649,Table2[Steel Member],0),_xlfn.XMATCH(Y$2,Table2[#Headers],0))=0,"",INDEX(Table2[],_xlfn.XMATCH($A649,Table2[Steel Member],0),_xlfn.XMATCH(Y$2,Table2[#Headers],0)))</f>
        <v>#N/A</v>
      </c>
      <c r="Z649" s="4" t="e" cm="1">
        <f t="array" ref="Z649">IF(INDEX(Table2[],_xlfn.XMATCH($A649,Table2[Steel Member],0),_xlfn.XMATCH(Z$2,Table2[#Headers],0))=0,"",INDEX(Table2[],_xlfn.XMATCH($A649,Table2[Steel Member],0),_xlfn.XMATCH(Z$2,Table2[#Headers],0)))</f>
        <v>#N/A</v>
      </c>
      <c r="AA649" s="4" t="e" cm="1">
        <f t="array" ref="AA649">IF(INDEX(Table2[],_xlfn.XMATCH($A649,Table2[Steel Member],0),_xlfn.XMATCH(AA$2,Table2[#Headers],0))=0,"",INDEX(Table2[],_xlfn.XMATCH($A649,Table2[Steel Member],0),_xlfn.XMATCH(AA$2,Table2[#Headers],0)))</f>
        <v>#N/A</v>
      </c>
      <c r="AB649" s="4" t="e" cm="1">
        <f t="array" ref="AB649">IF(INDEX(Table2[],_xlfn.XMATCH($A649,Table2[Steel Member],0),_xlfn.XMATCH(AB$2,Table2[#Headers],0))=0,"",INDEX(Table2[],_xlfn.XMATCH($A649,Table2[Steel Member],0),_xlfn.XMATCH(AB$2,Table2[#Headers],0)))</f>
        <v>#N/A</v>
      </c>
      <c r="AC649" s="4" t="str" cm="1">
        <f t="array" ref="AC649">IFERROR(INDEX(Table8[],_xlfn.XMATCH($O649,Table8[Dimension Name Category],0),_xlfn.XMATCH(AC$2&amp;IF($L649," w/ tag"," w/o tag"),Table8[#Headers],0)),"")</f>
        <v/>
      </c>
      <c r="AD649" s="59" t="str">
        <f t="shared" si="153"/>
        <v/>
      </c>
      <c r="AE649" s="4" t="str">
        <f t="shared" si="154"/>
        <v/>
      </c>
      <c r="AF649" s="4" t="str">
        <f t="shared" si="155"/>
        <v/>
      </c>
      <c r="AG649" s="4" t="str" cm="1">
        <f t="array" ref="AG649">IFERROR(INDEX(Table8[],_xlfn.XMATCH($O649,Table8[Dimension Name Category],0),_xlfn.XMATCH(AG$2&amp;IF($L649," w/ tag"," w/o tag"),Table8[#Headers],0)),"")</f>
        <v/>
      </c>
      <c r="AH649" s="59" t="str">
        <f t="shared" si="156"/>
        <v/>
      </c>
      <c r="AI649" s="4"/>
      <c r="AJ649" s="4" t="str">
        <f t="shared" si="157"/>
        <v/>
      </c>
      <c r="AK649" s="4" t="str">
        <f t="shared" si="158"/>
        <v/>
      </c>
      <c r="AL649" s="4" t="e" cm="1">
        <f t="array" ref="AL649">IF(INDEX(Table2[],_xlfn.XMATCH($A649,Table2[Steel Member],0),_xlfn.XMATCH(AL$2,Table2[#Headers],0))=0,"",INDEX(Table2[],_xlfn.XMATCH($A649,Table2[Steel Member],0),_xlfn.XMATCH(AL$2,Table2[#Headers],0)))</f>
        <v>#N/A</v>
      </c>
      <c r="AM649" s="4"/>
      <c r="AN649" s="4" t="str">
        <f t="shared" si="159"/>
        <v/>
      </c>
      <c r="AO649" s="4"/>
      <c r="AP649" s="4" t="e" cm="1">
        <f t="array" ref="AP649">IF(INDEX(Table2[],_xlfn.XMATCH($A649,Table2[Steel Member],0),_xlfn.XMATCH(AP$2,Table2[#Headers],0))=0,"",INDEX(Table2[],_xlfn.XMATCH($A649,Table2[Steel Member],0),_xlfn.XMATCH(AP$2,Table2[#Headers],0)))</f>
        <v>#N/A</v>
      </c>
      <c r="AQ649" s="4"/>
      <c r="AR649" s="4"/>
      <c r="AS649" s="4"/>
      <c r="AT649" s="4"/>
    </row>
    <row r="650" spans="1:46" x14ac:dyDescent="0.25">
      <c r="A650" s="52"/>
      <c r="B650" s="52"/>
      <c r="C650" s="52"/>
      <c r="D650" s="52"/>
      <c r="E650" s="52"/>
      <c r="F650" s="64" cm="1">
        <f t="array" ref="F650">IF(COUNT(FIND(PurlinsxGirthsxBracings,$C650))&gt;0,0,ROUNDUP(IF(D650=0,0,VLOOKUP(D650,'DATA SHEET'!$B:$D,2,FALSE)),2))</f>
        <v>0</v>
      </c>
      <c r="G650" s="64" cm="1">
        <f t="array" ref="G650">IF(COUNT(FIND(PurlinsxGirthsxBracings,$C650))&gt;0,0,ROUNDUP(IF(D650=0,0,VLOOKUP(D650,'DATA SHEET'!$B:$D,3,FALSE)),2))</f>
        <v>0</v>
      </c>
      <c r="H650" s="53"/>
      <c r="I650" s="66" cm="1">
        <f t="array" ref="I650">IF(AND(ISBLANK(B650),ISBLANK(C650),ISBLANK(E650)),0,IF(COUNT(FIND(PurlinsxGirthsxBracings,$C650))&gt;0,IF(B650=0,CONCATENATE(E650," ",C650),CONCATENATE(B650," - ",E650," ",C650)),IF(B650=0,IF(ISBLANK(C650),E650,CONCATENATE(D650,", ",F650,"kg/m, ",G650,"mm surface perimeter")),IF(AND(ISBLANK(C650),ISTEXT(E650)),CONCATENATE(B650," - ",E650),IF(AND(ISBLANK(C650),ISBLANK(E650)),B650,CONCATENATE(B650," - ",D650,", ",F650,"kg/m, ",G650,"mm surface perimeter"))))&amp;IF(ISBLANK(H650),"",H650)))</f>
        <v>0</v>
      </c>
      <c r="J650" s="53"/>
      <c r="L650" s="4" t="str" cm="1">
        <f t="array" ref="L650">IF(COUNT(FIND({0,1,2,3,4,5,6,7,8,9},B650))&gt;0,COUNT(FIND({0,1,2,3,4,5,6,7,8,9},B650))&gt;0,"")</f>
        <v/>
      </c>
      <c r="M650" s="4" t="str" cm="1">
        <f t="array" aca="1" ref="M650" ca="1">IFERROR(_xlfn.IFS(R650="Count",RANDBETWEEN(1,COUNTIF($R$11:$R$653,"Count")),R650="Length",RANDBETWEEN(1,COUNTIF($R$11:$R$653,"Length"))),"")</f>
        <v/>
      </c>
      <c r="N650" s="4" t="str">
        <f ca="1">IFERROR(_xlfn.RANK.EQ(M650,$M$11:$M$653)+COUNTIF($M$11:M650,M650)-1,"")</f>
        <v/>
      </c>
      <c r="O650" s="86" t="str">
        <f>IF(A650='DATA SHEET'!$L$36,C650,IFERROR(IF(AND(ISTEXT(I650),ISBLANK(C650)),"No details",VLOOKUP(C650,DimFolder,2,FALSE)),""))</f>
        <v/>
      </c>
      <c r="P650" s="4" t="str">
        <f t="shared" si="149"/>
        <v/>
      </c>
      <c r="Q650" s="58" t="str">
        <f t="shared" si="160"/>
        <v/>
      </c>
      <c r="R650" s="4" t="e" cm="1">
        <f t="array" ref="R650">IF(INDEX(Table2[],_xlfn.XMATCH($A650,Table2[Steel Member],0),_xlfn.XMATCH(R$2,Table2[#Headers],0))=0,"",INDEX(Table2[],_xlfn.XMATCH($A650,Table2[Steel Member],0),_xlfn.XMATCH(R$2,Table2[#Headers],0)))</f>
        <v>#N/A</v>
      </c>
      <c r="S650" s="4" t="e" cm="1">
        <f t="array" ref="S650">IF(INDEX(Table2[],_xlfn.XMATCH($A650,Table2[Steel Member],0),_xlfn.XMATCH(S$2,Table2[#Headers],0))=0,"",INDEX(Table2[],_xlfn.XMATCH($A650,Table2[Steel Member],0),_xlfn.XMATCH(S$2,Table2[#Headers],0)))</f>
        <v>#N/A</v>
      </c>
      <c r="T650" s="4" t="str">
        <f t="shared" si="151"/>
        <v/>
      </c>
      <c r="U650" s="4" t="e">
        <f ca="1">VLOOKUP(N650,'COLOR CODE'!$B:$D,2,FALSE)</f>
        <v>#N/A</v>
      </c>
      <c r="V650" s="4" t="str">
        <f t="shared" si="152"/>
        <v/>
      </c>
      <c r="W650" s="4" t="e" cm="1">
        <f t="array" ref="W650">IF(INDEX(Table2[],_xlfn.XMATCH($A650,Table2[Steel Member],0),_xlfn.XMATCH(W$2,Table2[#Headers],0))=0,"",INDEX(Table2[],_xlfn.XMATCH($A650,Table2[Steel Member],0),_xlfn.XMATCH(W$2,Table2[#Headers],0)))</f>
        <v>#N/A</v>
      </c>
      <c r="X650" s="4" t="e">
        <f t="shared" si="150"/>
        <v>#N/A</v>
      </c>
      <c r="Y650" s="4" t="e" cm="1">
        <f t="array" ref="Y650">IF(INDEX(Table2[],_xlfn.XMATCH($A650,Table2[Steel Member],0),_xlfn.XMATCH(Y$2,Table2[#Headers],0))=0,"",INDEX(Table2[],_xlfn.XMATCH($A650,Table2[Steel Member],0),_xlfn.XMATCH(Y$2,Table2[#Headers],0)))</f>
        <v>#N/A</v>
      </c>
      <c r="Z650" s="4" t="e" cm="1">
        <f t="array" ref="Z650">IF(INDEX(Table2[],_xlfn.XMATCH($A650,Table2[Steel Member],0),_xlfn.XMATCH(Z$2,Table2[#Headers],0))=0,"",INDEX(Table2[],_xlfn.XMATCH($A650,Table2[Steel Member],0),_xlfn.XMATCH(Z$2,Table2[#Headers],0)))</f>
        <v>#N/A</v>
      </c>
      <c r="AA650" s="4" t="e" cm="1">
        <f t="array" ref="AA650">IF(INDEX(Table2[],_xlfn.XMATCH($A650,Table2[Steel Member],0),_xlfn.XMATCH(AA$2,Table2[#Headers],0))=0,"",INDEX(Table2[],_xlfn.XMATCH($A650,Table2[Steel Member],0),_xlfn.XMATCH(AA$2,Table2[#Headers],0)))</f>
        <v>#N/A</v>
      </c>
      <c r="AB650" s="4" t="e" cm="1">
        <f t="array" ref="AB650">IF(INDEX(Table2[],_xlfn.XMATCH($A650,Table2[Steel Member],0),_xlfn.XMATCH(AB$2,Table2[#Headers],0))=0,"",INDEX(Table2[],_xlfn.XMATCH($A650,Table2[Steel Member],0),_xlfn.XMATCH(AB$2,Table2[#Headers],0)))</f>
        <v>#N/A</v>
      </c>
      <c r="AC650" s="4" t="str" cm="1">
        <f t="array" ref="AC650">IFERROR(INDEX(Table8[],_xlfn.XMATCH($O650,Table8[Dimension Name Category],0),_xlfn.XMATCH(AC$2&amp;IF($L650," w/ tag"," w/o tag"),Table8[#Headers],0)),"")</f>
        <v/>
      </c>
      <c r="AD650" s="59" t="str">
        <f t="shared" si="153"/>
        <v/>
      </c>
      <c r="AE650" s="4" t="str">
        <f t="shared" si="154"/>
        <v/>
      </c>
      <c r="AF650" s="4" t="str">
        <f t="shared" si="155"/>
        <v/>
      </c>
      <c r="AG650" s="4" t="str" cm="1">
        <f t="array" ref="AG650">IFERROR(INDEX(Table8[],_xlfn.XMATCH($O650,Table8[Dimension Name Category],0),_xlfn.XMATCH(AG$2&amp;IF($L650," w/ tag"," w/o tag"),Table8[#Headers],0)),"")</f>
        <v/>
      </c>
      <c r="AH650" s="59" t="str">
        <f t="shared" si="156"/>
        <v/>
      </c>
      <c r="AI650" s="4"/>
      <c r="AJ650" s="4" t="str">
        <f t="shared" si="157"/>
        <v/>
      </c>
      <c r="AK650" s="4" t="str">
        <f t="shared" si="158"/>
        <v/>
      </c>
      <c r="AL650" s="4" t="e" cm="1">
        <f t="array" ref="AL650">IF(INDEX(Table2[],_xlfn.XMATCH($A650,Table2[Steel Member],0),_xlfn.XMATCH(AL$2,Table2[#Headers],0))=0,"",INDEX(Table2[],_xlfn.XMATCH($A650,Table2[Steel Member],0),_xlfn.XMATCH(AL$2,Table2[#Headers],0)))</f>
        <v>#N/A</v>
      </c>
      <c r="AM650" s="4"/>
      <c r="AN650" s="4" t="str">
        <f t="shared" si="159"/>
        <v/>
      </c>
      <c r="AO650" s="4"/>
      <c r="AP650" s="4" t="e" cm="1">
        <f t="array" ref="AP650">IF(INDEX(Table2[],_xlfn.XMATCH($A650,Table2[Steel Member],0),_xlfn.XMATCH(AP$2,Table2[#Headers],0))=0,"",INDEX(Table2[],_xlfn.XMATCH($A650,Table2[Steel Member],0),_xlfn.XMATCH(AP$2,Table2[#Headers],0)))</f>
        <v>#N/A</v>
      </c>
      <c r="AQ650" s="4"/>
      <c r="AR650" s="4"/>
      <c r="AS650" s="4"/>
      <c r="AT650" s="4"/>
    </row>
    <row r="651" spans="1:46" x14ac:dyDescent="0.25">
      <c r="A651" s="52"/>
      <c r="B651" s="52"/>
      <c r="C651" s="52"/>
      <c r="D651" s="52"/>
      <c r="E651" s="52"/>
      <c r="F651" s="64" cm="1">
        <f t="array" ref="F651">IF(COUNT(FIND(PurlinsxGirthsxBracings,$C651))&gt;0,0,ROUNDUP(IF(D651=0,0,VLOOKUP(D651,'DATA SHEET'!$B:$D,2,FALSE)),2))</f>
        <v>0</v>
      </c>
      <c r="G651" s="64" cm="1">
        <f t="array" ref="G651">IF(COUNT(FIND(PurlinsxGirthsxBracings,$C651))&gt;0,0,ROUNDUP(IF(D651=0,0,VLOOKUP(D651,'DATA SHEET'!$B:$D,3,FALSE)),2))</f>
        <v>0</v>
      </c>
      <c r="H651" s="53"/>
      <c r="I651" s="66" cm="1">
        <f t="array" ref="I651">IF(AND(ISBLANK(B651),ISBLANK(C651),ISBLANK(E651)),0,IF(COUNT(FIND(PurlinsxGirthsxBracings,$C651))&gt;0,IF(B651=0,CONCATENATE(E651," ",C651),CONCATENATE(B651," - ",E651," ",C651)),IF(B651=0,IF(ISBLANK(C651),E651,CONCATENATE(D651,", ",F651,"kg/m, ",G651,"mm surface perimeter")),IF(AND(ISBLANK(C651),ISTEXT(E651)),CONCATENATE(B651," - ",E651),IF(AND(ISBLANK(C651),ISBLANK(E651)),B651,CONCATENATE(B651," - ",D651,", ",F651,"kg/m, ",G651,"mm surface perimeter"))))&amp;IF(ISBLANK(H651),"",H651)))</f>
        <v>0</v>
      </c>
      <c r="J651" s="53"/>
      <c r="L651" s="4" t="str" cm="1">
        <f t="array" ref="L651">IF(COUNT(FIND({0,1,2,3,4,5,6,7,8,9},B651))&gt;0,COUNT(FIND({0,1,2,3,4,5,6,7,8,9},B651))&gt;0,"")</f>
        <v/>
      </c>
      <c r="M651" s="4" t="str" cm="1">
        <f t="array" aca="1" ref="M651" ca="1">IFERROR(_xlfn.IFS(R651="Count",RANDBETWEEN(1,COUNTIF($R$11:$R$653,"Count")),R651="Length",RANDBETWEEN(1,COUNTIF($R$11:$R$653,"Length"))),"")</f>
        <v/>
      </c>
      <c r="N651" s="4" t="str">
        <f ca="1">IFERROR(_xlfn.RANK.EQ(M651,$M$11:$M$653)+COUNTIF($M$11:M651,M651)-1,"")</f>
        <v/>
      </c>
      <c r="O651" s="86" t="str">
        <f>IF(A651='DATA SHEET'!$L$36,C651,IFERROR(IF(AND(ISTEXT(I651),ISBLANK(C651)),"No details",VLOOKUP(C651,DimFolder,2,FALSE)),""))</f>
        <v/>
      </c>
      <c r="P651" s="4" t="str">
        <f t="shared" ref="P651:P653" si="161">IF(AND(ISBLANK(B651),ISBLANK(C651)),"",CONCATENATE("Structural\Structural Steel\",A651,"\",O651))</f>
        <v/>
      </c>
      <c r="Q651" s="58" t="str">
        <f t="shared" si="160"/>
        <v/>
      </c>
      <c r="R651" s="4" t="e" cm="1">
        <f t="array" ref="R651">IF(INDEX(Table2[],_xlfn.XMATCH($A651,Table2[Steel Member],0),_xlfn.XMATCH(R$2,Table2[#Headers],0))=0,"",INDEX(Table2[],_xlfn.XMATCH($A651,Table2[Steel Member],0),_xlfn.XMATCH(R$2,Table2[#Headers],0)))</f>
        <v>#N/A</v>
      </c>
      <c r="S651" s="4" t="e" cm="1">
        <f t="array" ref="S651">IF(INDEX(Table2[],_xlfn.XMATCH($A651,Table2[Steel Member],0),_xlfn.XMATCH(S$2,Table2[#Headers],0))=0,"",INDEX(Table2[],_xlfn.XMATCH($A651,Table2[Steel Member],0),_xlfn.XMATCH(S$2,Table2[#Headers],0)))</f>
        <v>#N/A</v>
      </c>
      <c r="T651" s="4" t="str">
        <f t="shared" si="151"/>
        <v/>
      </c>
      <c r="U651" s="4" t="e">
        <f ca="1">VLOOKUP(N651,'COLOR CODE'!$B:$D,2,FALSE)</f>
        <v>#N/A</v>
      </c>
      <c r="V651" s="4" t="str">
        <f t="shared" si="152"/>
        <v/>
      </c>
      <c r="W651" s="4" t="e" cm="1">
        <f t="array" ref="W651">IF(INDEX(Table2[],_xlfn.XMATCH($A651,Table2[Steel Member],0),_xlfn.XMATCH(W$2,Table2[#Headers],0))=0,"",INDEX(Table2[],_xlfn.XMATCH($A651,Table2[Steel Member],0),_xlfn.XMATCH(W$2,Table2[#Headers],0)))</f>
        <v>#N/A</v>
      </c>
      <c r="X651" s="4" t="e">
        <f t="shared" si="150"/>
        <v>#N/A</v>
      </c>
      <c r="Y651" s="4" t="e" cm="1">
        <f t="array" ref="Y651">IF(INDEX(Table2[],_xlfn.XMATCH($A651,Table2[Steel Member],0),_xlfn.XMATCH(Y$2,Table2[#Headers],0))=0,"",INDEX(Table2[],_xlfn.XMATCH($A651,Table2[Steel Member],0),_xlfn.XMATCH(Y$2,Table2[#Headers],0)))</f>
        <v>#N/A</v>
      </c>
      <c r="Z651" s="4" t="e" cm="1">
        <f t="array" ref="Z651">IF(INDEX(Table2[],_xlfn.XMATCH($A651,Table2[Steel Member],0),_xlfn.XMATCH(Z$2,Table2[#Headers],0))=0,"",INDEX(Table2[],_xlfn.XMATCH($A651,Table2[Steel Member],0),_xlfn.XMATCH(Z$2,Table2[#Headers],0)))</f>
        <v>#N/A</v>
      </c>
      <c r="AA651" s="4" t="e" cm="1">
        <f t="array" ref="AA651">IF(INDEX(Table2[],_xlfn.XMATCH($A651,Table2[Steel Member],0),_xlfn.XMATCH(AA$2,Table2[#Headers],0))=0,"",INDEX(Table2[],_xlfn.XMATCH($A651,Table2[Steel Member],0),_xlfn.XMATCH(AA$2,Table2[#Headers],0)))</f>
        <v>#N/A</v>
      </c>
      <c r="AB651" s="4" t="e" cm="1">
        <f t="array" ref="AB651">IF(INDEX(Table2[],_xlfn.XMATCH($A651,Table2[Steel Member],0),_xlfn.XMATCH(AB$2,Table2[#Headers],0))=0,"",INDEX(Table2[],_xlfn.XMATCH($A651,Table2[Steel Member],0),_xlfn.XMATCH(AB$2,Table2[#Headers],0)))</f>
        <v>#N/A</v>
      </c>
      <c r="AC651" s="4" t="str" cm="1">
        <f t="array" ref="AC651">IFERROR(INDEX(Table8[],_xlfn.XMATCH($O651,Table8[Dimension Name Category],0),_xlfn.XMATCH(AC$2&amp;IF($L651," w/ tag"," w/o tag"),Table8[#Headers],0)),"")</f>
        <v/>
      </c>
      <c r="AD651" s="59" t="str">
        <f t="shared" si="153"/>
        <v/>
      </c>
      <c r="AE651" s="4" t="str">
        <f t="shared" si="154"/>
        <v/>
      </c>
      <c r="AF651" s="4" t="str">
        <f t="shared" si="155"/>
        <v/>
      </c>
      <c r="AG651" s="4" t="str" cm="1">
        <f t="array" ref="AG651">IFERROR(INDEX(Table8[],_xlfn.XMATCH($O651,Table8[Dimension Name Category],0),_xlfn.XMATCH(AG$2&amp;IF($L651," w/ tag"," w/o tag"),Table8[#Headers],0)),"")</f>
        <v/>
      </c>
      <c r="AH651" s="59" t="str">
        <f t="shared" si="156"/>
        <v/>
      </c>
      <c r="AI651" s="4"/>
      <c r="AJ651" s="4" t="str">
        <f t="shared" si="157"/>
        <v/>
      </c>
      <c r="AK651" s="4" t="str">
        <f t="shared" si="158"/>
        <v/>
      </c>
      <c r="AL651" s="4" t="e" cm="1">
        <f t="array" ref="AL651">IF(INDEX(Table2[],_xlfn.XMATCH($A651,Table2[Steel Member],0),_xlfn.XMATCH(AL$2,Table2[#Headers],0))=0,"",INDEX(Table2[],_xlfn.XMATCH($A651,Table2[Steel Member],0),_xlfn.XMATCH(AL$2,Table2[#Headers],0)))</f>
        <v>#N/A</v>
      </c>
      <c r="AM651" s="4"/>
      <c r="AN651" s="4" t="str">
        <f t="shared" si="159"/>
        <v/>
      </c>
      <c r="AO651" s="4"/>
      <c r="AP651" s="4" t="e" cm="1">
        <f t="array" ref="AP651">IF(INDEX(Table2[],_xlfn.XMATCH($A651,Table2[Steel Member],0),_xlfn.XMATCH(AP$2,Table2[#Headers],0))=0,"",INDEX(Table2[],_xlfn.XMATCH($A651,Table2[Steel Member],0),_xlfn.XMATCH(AP$2,Table2[#Headers],0)))</f>
        <v>#N/A</v>
      </c>
      <c r="AQ651" s="4"/>
      <c r="AR651" s="4"/>
      <c r="AS651" s="4"/>
      <c r="AT651" s="4"/>
    </row>
    <row r="652" spans="1:46" x14ac:dyDescent="0.25">
      <c r="A652" s="52"/>
      <c r="B652" s="52"/>
      <c r="C652" s="52"/>
      <c r="D652" s="52"/>
      <c r="E652" s="52"/>
      <c r="F652" s="64" cm="1">
        <f t="array" ref="F652">IF(COUNT(FIND(PurlinsxGirthsxBracings,$C652))&gt;0,0,ROUNDUP(IF(D652=0,0,VLOOKUP(D652,'DATA SHEET'!$B:$D,2,FALSE)),2))</f>
        <v>0</v>
      </c>
      <c r="G652" s="64" cm="1">
        <f t="array" ref="G652">IF(COUNT(FIND(PurlinsxGirthsxBracings,$C652))&gt;0,0,ROUNDUP(IF(D652=0,0,VLOOKUP(D652,'DATA SHEET'!$B:$D,3,FALSE)),2))</f>
        <v>0</v>
      </c>
      <c r="H652" s="53"/>
      <c r="I652" s="66" cm="1">
        <f t="array" ref="I652">IF(AND(ISBLANK(B652),ISBLANK(C652),ISBLANK(E652)),0,IF(COUNT(FIND(PurlinsxGirthsxBracings,$C652))&gt;0,IF(B652=0,CONCATENATE(E652," ",C652),CONCATENATE(B652," - ",E652," ",C652)),IF(B652=0,IF(ISBLANK(C652),E652,CONCATENATE(D652,", ",F652,"kg/m, ",G652,"mm surface perimeter")),IF(AND(ISBLANK(C652),ISTEXT(E652)),CONCATENATE(B652," - ",E652),IF(AND(ISBLANK(C652),ISBLANK(E652)),B652,CONCATENATE(B652," - ",D652,", ",F652,"kg/m, ",G652,"mm surface perimeter"))))&amp;IF(ISBLANK(H652),"",H652)))</f>
        <v>0</v>
      </c>
      <c r="J652" s="53"/>
      <c r="L652" s="4" t="str" cm="1">
        <f t="array" ref="L652">IF(COUNT(FIND({0,1,2,3,4,5,6,7,8,9},B652))&gt;0,COUNT(FIND({0,1,2,3,4,5,6,7,8,9},B652))&gt;0,"")</f>
        <v/>
      </c>
      <c r="M652" s="4" t="str" cm="1">
        <f t="array" aca="1" ref="M652" ca="1">IFERROR(_xlfn.IFS(R652="Count",RANDBETWEEN(1,COUNTIF($R$11:$R$653,"Count")),R652="Length",RANDBETWEEN(1,COUNTIF($R$11:$R$653,"Length"))),"")</f>
        <v/>
      </c>
      <c r="N652" s="4" t="str">
        <f ca="1">IFERROR(_xlfn.RANK.EQ(M652,$M$11:$M$653)+COUNTIF($M$11:M652,M652)-1,"")</f>
        <v/>
      </c>
      <c r="O652" s="86" t="str">
        <f>IF(A652='DATA SHEET'!$L$36,C652,IFERROR(IF(AND(ISTEXT(I652),ISBLANK(C652)),"No details",VLOOKUP(C652,DimFolder,2,FALSE)),""))</f>
        <v/>
      </c>
      <c r="P652" s="4" t="str">
        <f t="shared" si="161"/>
        <v/>
      </c>
      <c r="Q652" s="58" t="str">
        <f t="shared" si="160"/>
        <v/>
      </c>
      <c r="R652" s="4" t="e" cm="1">
        <f t="array" ref="R652">IF(INDEX(Table2[],_xlfn.XMATCH($A652,Table2[Steel Member],0),_xlfn.XMATCH(R$2,Table2[#Headers],0))=0,"",INDEX(Table2[],_xlfn.XMATCH($A652,Table2[Steel Member],0),_xlfn.XMATCH(R$2,Table2[#Headers],0)))</f>
        <v>#N/A</v>
      </c>
      <c r="S652" s="4" t="e" cm="1">
        <f t="array" ref="S652">IF(INDEX(Table2[],_xlfn.XMATCH($A652,Table2[Steel Member],0),_xlfn.XMATCH(S$2,Table2[#Headers],0))=0,"",INDEX(Table2[],_xlfn.XMATCH($A652,Table2[Steel Member],0),_xlfn.XMATCH(S$2,Table2[#Headers],0)))</f>
        <v>#N/A</v>
      </c>
      <c r="T652" s="4" t="str">
        <f t="shared" si="151"/>
        <v/>
      </c>
      <c r="U652" s="4" t="e">
        <f ca="1">VLOOKUP(N652,'COLOR CODE'!$B:$D,2,FALSE)</f>
        <v>#N/A</v>
      </c>
      <c r="V652" s="4" t="str">
        <f t="shared" si="152"/>
        <v/>
      </c>
      <c r="W652" s="4" t="e" cm="1">
        <f t="array" ref="W652">IF(INDEX(Table2[],_xlfn.XMATCH($A652,Table2[Steel Member],0),_xlfn.XMATCH(W$2,Table2[#Headers],0))=0,"",INDEX(Table2[],_xlfn.XMATCH($A652,Table2[Steel Member],0),_xlfn.XMATCH(W$2,Table2[#Headers],0)))</f>
        <v>#N/A</v>
      </c>
      <c r="X652" s="4" t="e">
        <f t="shared" si="150"/>
        <v>#N/A</v>
      </c>
      <c r="Y652" s="4" t="e" cm="1">
        <f t="array" ref="Y652">IF(INDEX(Table2[],_xlfn.XMATCH($A652,Table2[Steel Member],0),_xlfn.XMATCH(Y$2,Table2[#Headers],0))=0,"",INDEX(Table2[],_xlfn.XMATCH($A652,Table2[Steel Member],0),_xlfn.XMATCH(Y$2,Table2[#Headers],0)))</f>
        <v>#N/A</v>
      </c>
      <c r="Z652" s="4" t="e" cm="1">
        <f t="array" ref="Z652">IF(INDEX(Table2[],_xlfn.XMATCH($A652,Table2[Steel Member],0),_xlfn.XMATCH(Z$2,Table2[#Headers],0))=0,"",INDEX(Table2[],_xlfn.XMATCH($A652,Table2[Steel Member],0),_xlfn.XMATCH(Z$2,Table2[#Headers],0)))</f>
        <v>#N/A</v>
      </c>
      <c r="AA652" s="4" t="e" cm="1">
        <f t="array" ref="AA652">IF(INDEX(Table2[],_xlfn.XMATCH($A652,Table2[Steel Member],0),_xlfn.XMATCH(AA$2,Table2[#Headers],0))=0,"",INDEX(Table2[],_xlfn.XMATCH($A652,Table2[Steel Member],0),_xlfn.XMATCH(AA$2,Table2[#Headers],0)))</f>
        <v>#N/A</v>
      </c>
      <c r="AB652" s="4" t="e" cm="1">
        <f t="array" ref="AB652">IF(INDEX(Table2[],_xlfn.XMATCH($A652,Table2[Steel Member],0),_xlfn.XMATCH(AB$2,Table2[#Headers],0))=0,"",INDEX(Table2[],_xlfn.XMATCH($A652,Table2[Steel Member],0),_xlfn.XMATCH(AB$2,Table2[#Headers],0)))</f>
        <v>#N/A</v>
      </c>
      <c r="AC652" s="4" t="str" cm="1">
        <f t="array" ref="AC652">IFERROR(INDEX(Table8[],_xlfn.XMATCH($O652,Table8[Dimension Name Category],0),_xlfn.XMATCH(AC$2&amp;IF($L652," w/ tag"," w/o tag"),Table8[#Headers],0)),"")</f>
        <v/>
      </c>
      <c r="AD652" s="59" t="str">
        <f t="shared" si="153"/>
        <v/>
      </c>
      <c r="AE652" s="4" t="str">
        <f t="shared" si="154"/>
        <v/>
      </c>
      <c r="AF652" s="4" t="str">
        <f t="shared" si="155"/>
        <v/>
      </c>
      <c r="AG652" s="4" t="str" cm="1">
        <f t="array" ref="AG652">IFERROR(INDEX(Table8[],_xlfn.XMATCH($O652,Table8[Dimension Name Category],0),_xlfn.XMATCH(AG$2&amp;IF($L652," w/ tag"," w/o tag"),Table8[#Headers],0)),"")</f>
        <v/>
      </c>
      <c r="AH652" s="59" t="str">
        <f t="shared" si="156"/>
        <v/>
      </c>
      <c r="AI652" s="4"/>
      <c r="AJ652" s="4" t="str">
        <f t="shared" si="157"/>
        <v/>
      </c>
      <c r="AK652" s="4" t="str">
        <f t="shared" si="158"/>
        <v/>
      </c>
      <c r="AL652" s="4" t="e" cm="1">
        <f t="array" ref="AL652">IF(INDEX(Table2[],_xlfn.XMATCH($A652,Table2[Steel Member],0),_xlfn.XMATCH(AL$2,Table2[#Headers],0))=0,"",INDEX(Table2[],_xlfn.XMATCH($A652,Table2[Steel Member],0),_xlfn.XMATCH(AL$2,Table2[#Headers],0)))</f>
        <v>#N/A</v>
      </c>
      <c r="AM652" s="4"/>
      <c r="AN652" s="4" t="str">
        <f t="shared" si="159"/>
        <v/>
      </c>
      <c r="AO652" s="4"/>
      <c r="AP652" s="4" t="e" cm="1">
        <f t="array" ref="AP652">IF(INDEX(Table2[],_xlfn.XMATCH($A652,Table2[Steel Member],0),_xlfn.XMATCH(AP$2,Table2[#Headers],0))=0,"",INDEX(Table2[],_xlfn.XMATCH($A652,Table2[Steel Member],0),_xlfn.XMATCH(AP$2,Table2[#Headers],0)))</f>
        <v>#N/A</v>
      </c>
      <c r="AQ652" s="4"/>
      <c r="AR652" s="4"/>
      <c r="AS652" s="4"/>
      <c r="AT652" s="4"/>
    </row>
    <row r="653" spans="1:46" x14ac:dyDescent="0.25">
      <c r="A653" s="52"/>
      <c r="B653" s="52"/>
      <c r="C653" s="52"/>
      <c r="D653" s="52"/>
      <c r="E653" s="52"/>
      <c r="F653" s="64" cm="1">
        <f t="array" ref="F653">IF(COUNT(FIND(PurlinsxGirthsxBracings,$C653))&gt;0,0,ROUNDUP(IF(D653=0,0,VLOOKUP(D653,'DATA SHEET'!$B:$D,2,FALSE)),2))</f>
        <v>0</v>
      </c>
      <c r="G653" s="64" cm="1">
        <f t="array" ref="G653">IF(COUNT(FIND(PurlinsxGirthsxBracings,$C653))&gt;0,0,ROUNDUP(IF(D653=0,0,VLOOKUP(D653,'DATA SHEET'!$B:$D,3,FALSE)),2))</f>
        <v>0</v>
      </c>
      <c r="H653" s="53"/>
      <c r="I653" s="66" cm="1">
        <f t="array" ref="I653">IF(AND(ISBLANK(B653),ISBLANK(C653),ISBLANK(E653)),0,IF(COUNT(FIND(PurlinsxGirthsxBracings,$C653))&gt;0,IF(B653=0,CONCATENATE(E653," ",C653),CONCATENATE(B653," - ",E653," ",C653)),IF(B653=0,IF(ISBLANK(C653),E653,CONCATENATE(D653,", ",F653,"kg/m, ",G653,"mm surface perimeter")),IF(AND(ISBLANK(C653),ISTEXT(E653)),CONCATENATE(B653," - ",E653),IF(AND(ISBLANK(C653),ISBLANK(E653)),B653,CONCATENATE(B653," - ",D653,", ",F653,"kg/m, ",G653,"mm surface perimeter"))))&amp;IF(ISBLANK(H653),"",H653)))</f>
        <v>0</v>
      </c>
      <c r="J653" s="53"/>
      <c r="L653" s="4" t="str" cm="1">
        <f t="array" ref="L653">IF(COUNT(FIND({0,1,2,3,4,5,6,7,8,9},B653))&gt;0,COUNT(FIND({0,1,2,3,4,5,6,7,8,9},B653))&gt;0,"")</f>
        <v/>
      </c>
      <c r="M653" s="4" t="str" cm="1">
        <f t="array" aca="1" ref="M653" ca="1">IFERROR(_xlfn.IFS(R653="Count",RANDBETWEEN(1,COUNTIF($R$11:$R$653,"Count")),R653="Length",RANDBETWEEN(1,COUNTIF($R$11:$R$653,"Length"))),"")</f>
        <v/>
      </c>
      <c r="N653" s="4" t="str">
        <f ca="1">IFERROR(_xlfn.RANK.EQ(M653,$M$11:$M$653)+COUNTIF($M$11:M653,M653)-1,"")</f>
        <v/>
      </c>
      <c r="O653" s="86" t="str">
        <f>IF(A653='DATA SHEET'!$L$36,C653,IFERROR(IF(AND(ISTEXT(I653),ISBLANK(C653)),"No details",VLOOKUP(C653,DimFolder,2,FALSE)),""))</f>
        <v/>
      </c>
      <c r="P653" s="4" t="str">
        <f t="shared" si="161"/>
        <v/>
      </c>
      <c r="Q653" s="58" t="str">
        <f t="shared" si="160"/>
        <v/>
      </c>
      <c r="R653" s="4" t="e" cm="1">
        <f t="array" ref="R653">IF(INDEX(Table2[],_xlfn.XMATCH($A653,Table2[Steel Member],0),_xlfn.XMATCH(R$2,Table2[#Headers],0))=0,"",INDEX(Table2[],_xlfn.XMATCH($A653,Table2[Steel Member],0),_xlfn.XMATCH(R$2,Table2[#Headers],0)))</f>
        <v>#N/A</v>
      </c>
      <c r="S653" s="4" t="e" cm="1">
        <f t="array" ref="S653">IF(INDEX(Table2[],_xlfn.XMATCH($A653,Table2[Steel Member],0),_xlfn.XMATCH(S$2,Table2[#Headers],0))=0,"",INDEX(Table2[],_xlfn.XMATCH($A653,Table2[Steel Member],0),_xlfn.XMATCH(S$2,Table2[#Headers],0)))</f>
        <v>#N/A</v>
      </c>
      <c r="T653" s="4" t="str">
        <f t="shared" si="151"/>
        <v/>
      </c>
      <c r="U653" s="4" t="e">
        <f ca="1">VLOOKUP(N653,'COLOR CODE'!$B:$D,2,FALSE)</f>
        <v>#N/A</v>
      </c>
      <c r="V653" s="4" t="str">
        <f t="shared" si="152"/>
        <v/>
      </c>
      <c r="W653" s="4" t="e" cm="1">
        <f t="array" ref="W653">IF(INDEX(Table2[],_xlfn.XMATCH($A653,Table2[Steel Member],0),_xlfn.XMATCH(W$2,Table2[#Headers],0))=0,"",INDEX(Table2[],_xlfn.XMATCH($A653,Table2[Steel Member],0),_xlfn.XMATCH(W$2,Table2[#Headers],0)))</f>
        <v>#N/A</v>
      </c>
      <c r="X653" s="4" t="e">
        <f t="shared" si="150"/>
        <v>#N/A</v>
      </c>
      <c r="Y653" s="4" t="e" cm="1">
        <f t="array" ref="Y653">IF(INDEX(Table2[],_xlfn.XMATCH($A653,Table2[Steel Member],0),_xlfn.XMATCH(Y$2,Table2[#Headers],0))=0,"",INDEX(Table2[],_xlfn.XMATCH($A653,Table2[Steel Member],0),_xlfn.XMATCH(Y$2,Table2[#Headers],0)))</f>
        <v>#N/A</v>
      </c>
      <c r="Z653" s="4" t="e" cm="1">
        <f t="array" ref="Z653">IF(INDEX(Table2[],_xlfn.XMATCH($A653,Table2[Steel Member],0),_xlfn.XMATCH(Z$2,Table2[#Headers],0))=0,"",INDEX(Table2[],_xlfn.XMATCH($A653,Table2[Steel Member],0),_xlfn.XMATCH(Z$2,Table2[#Headers],0)))</f>
        <v>#N/A</v>
      </c>
      <c r="AA653" s="4" t="e" cm="1">
        <f t="array" ref="AA653">IF(INDEX(Table2[],_xlfn.XMATCH($A653,Table2[Steel Member],0),_xlfn.XMATCH(AA$2,Table2[#Headers],0))=0,"",INDEX(Table2[],_xlfn.XMATCH($A653,Table2[Steel Member],0),_xlfn.XMATCH(AA$2,Table2[#Headers],0)))</f>
        <v>#N/A</v>
      </c>
      <c r="AB653" s="4" t="e" cm="1">
        <f t="array" ref="AB653">IF(INDEX(Table2[],_xlfn.XMATCH($A653,Table2[Steel Member],0),_xlfn.XMATCH(AB$2,Table2[#Headers],0))=0,"",INDEX(Table2[],_xlfn.XMATCH($A653,Table2[Steel Member],0),_xlfn.XMATCH(AB$2,Table2[#Headers],0)))</f>
        <v>#N/A</v>
      </c>
      <c r="AC653" s="4" t="str" cm="1">
        <f t="array" ref="AC653">IFERROR(INDEX(Table8[],_xlfn.XMATCH($O653,Table8[Dimension Name Category],0),_xlfn.XMATCH(AC$2&amp;IF($L653," w/ tag"," w/o tag"),Table8[#Headers],0)),"")</f>
        <v/>
      </c>
      <c r="AD653" s="59" t="str">
        <f t="shared" si="153"/>
        <v/>
      </c>
      <c r="AE653" s="4" t="str">
        <f t="shared" si="154"/>
        <v/>
      </c>
      <c r="AF653" s="4" t="str">
        <f t="shared" si="155"/>
        <v/>
      </c>
      <c r="AG653" s="4" t="str" cm="1">
        <f t="array" ref="AG653">IFERROR(INDEX(Table8[],_xlfn.XMATCH($O653,Table8[Dimension Name Category],0),_xlfn.XMATCH(AG$2&amp;IF($L653," w/ tag"," w/o tag"),Table8[#Headers],0)),"")</f>
        <v/>
      </c>
      <c r="AH653" s="59" t="str">
        <f t="shared" si="156"/>
        <v/>
      </c>
      <c r="AI653" s="4"/>
      <c r="AJ653" s="4" t="str">
        <f t="shared" si="157"/>
        <v/>
      </c>
      <c r="AK653" s="4" t="str">
        <f t="shared" si="158"/>
        <v/>
      </c>
      <c r="AL653" s="4" t="e" cm="1">
        <f t="array" ref="AL653">IF(INDEX(Table2[],_xlfn.XMATCH($A653,Table2[Steel Member],0),_xlfn.XMATCH(AL$2,Table2[#Headers],0))=0,"",INDEX(Table2[],_xlfn.XMATCH($A653,Table2[Steel Member],0),_xlfn.XMATCH(AL$2,Table2[#Headers],0)))</f>
        <v>#N/A</v>
      </c>
      <c r="AM653" s="4"/>
      <c r="AN653" s="4" t="str">
        <f t="shared" si="159"/>
        <v/>
      </c>
      <c r="AO653" s="4"/>
      <c r="AP653" s="4" t="e" cm="1">
        <f t="array" ref="AP653">IF(INDEX(Table2[],_xlfn.XMATCH($A653,Table2[Steel Member],0),_xlfn.XMATCH(AP$2,Table2[#Headers],0))=0,"",INDEX(Table2[],_xlfn.XMATCH($A653,Table2[Steel Member],0),_xlfn.XMATCH(AP$2,Table2[#Headers],0)))</f>
        <v>#N/A</v>
      </c>
      <c r="AQ653" s="4"/>
      <c r="AR653" s="4"/>
      <c r="AS653" s="4"/>
      <c r="AT653" s="4"/>
    </row>
  </sheetData>
  <sheetProtection sheet="1" objects="1" scenarios="1"/>
  <phoneticPr fontId="3" type="noConversion"/>
  <conditionalFormatting sqref="I1:I1048576">
    <cfRule type="duplicateValues" dxfId="8" priority="1"/>
  </conditionalFormatting>
  <conditionalFormatting sqref="N11:N653">
    <cfRule type="duplicateValues" dxfId="7" priority="50"/>
  </conditionalFormatting>
  <dataValidations count="2">
    <dataValidation type="list" allowBlank="1" showInputMessage="1" showErrorMessage="1" sqref="C4:C9 C11:C653" xr:uid="{3271E40F-DCD8-4716-A3D5-D12297A10BEF}">
      <formula1>SteelType</formula1>
    </dataValidation>
    <dataValidation type="list" allowBlank="1" showInputMessage="1" showErrorMessage="1" sqref="D4:D9 D11:D653" xr:uid="{C9CDA23D-2480-4F38-8C67-0FA3BB06CE9C}">
      <formula1>INDIRECT($C4)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CBAB70-D217-4799-AAED-55DB2476AD14}">
          <x14:formula1>
            <xm:f>'DATA SHEET'!$L$24:$L$28</xm:f>
          </x14:formula1>
          <xm:sqref>A4:A9 A11:A653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33D3-1E06-46EB-864B-80875CE1D6E0}">
  <sheetPr>
    <tabColor theme="6" tint="-0.249977111117893"/>
  </sheetPr>
  <dimension ref="A1:Y617"/>
  <sheetViews>
    <sheetView zoomScaleNormal="100" workbookViewId="0">
      <pane xSplit="1" ySplit="1" topLeftCell="B2" activePane="bottomRight" state="frozen"/>
      <selection activeCell="B10" sqref="A1:XFD1048576"/>
      <selection pane="topRight" activeCell="B10" sqref="A1:XFD1048576"/>
      <selection pane="bottomLeft" activeCell="B10" sqref="A1:XFD1048576"/>
      <selection pane="bottomRight" activeCell="L16" sqref="L16:L18"/>
    </sheetView>
  </sheetViews>
  <sheetFormatPr defaultRowHeight="15" outlineLevelRow="1" x14ac:dyDescent="0.25"/>
  <cols>
    <col min="1" max="1" width="9.140625" style="27"/>
    <col min="2" max="2" width="18.42578125" style="27" customWidth="1"/>
    <col min="3" max="3" width="13.28515625" style="27" bestFit="1" customWidth="1"/>
    <col min="4" max="6" width="19.5703125" style="27" bestFit="1" customWidth="1"/>
    <col min="7" max="11" width="9.140625" style="27"/>
    <col min="12" max="12" width="18" style="28" customWidth="1"/>
    <col min="13" max="13" width="18" style="27" customWidth="1"/>
    <col min="14" max="22" width="15.5703125" style="27" customWidth="1"/>
    <col min="23" max="16384" width="9.140625" style="27"/>
  </cols>
  <sheetData>
    <row r="1" spans="1:13" x14ac:dyDescent="0.25">
      <c r="A1" s="74" t="s">
        <v>494</v>
      </c>
      <c r="B1" s="73" t="s">
        <v>605</v>
      </c>
      <c r="C1" s="73" t="s">
        <v>14</v>
      </c>
      <c r="D1" s="73" t="s">
        <v>15</v>
      </c>
      <c r="E1" s="73" t="s">
        <v>4</v>
      </c>
      <c r="F1" s="73" t="s">
        <v>5</v>
      </c>
    </row>
    <row r="2" spans="1:13" x14ac:dyDescent="0.25">
      <c r="B2" s="29" t="s">
        <v>7</v>
      </c>
      <c r="C2" s="29" t="s">
        <v>14</v>
      </c>
      <c r="D2" s="29" t="s">
        <v>15</v>
      </c>
      <c r="E2" s="29"/>
      <c r="F2" s="29"/>
      <c r="L2" s="30" t="s">
        <v>18</v>
      </c>
      <c r="M2" s="30" t="s">
        <v>511</v>
      </c>
    </row>
    <row r="3" spans="1:13" outlineLevel="1" x14ac:dyDescent="0.25">
      <c r="B3" s="31" t="s">
        <v>19</v>
      </c>
      <c r="C3" s="26">
        <v>14</v>
      </c>
      <c r="D3" s="26">
        <v>590</v>
      </c>
      <c r="E3" s="26"/>
      <c r="F3" s="26"/>
      <c r="L3" s="75" t="s">
        <v>9</v>
      </c>
      <c r="M3" s="32" t="s">
        <v>1144</v>
      </c>
    </row>
    <row r="4" spans="1:13" outlineLevel="1" x14ac:dyDescent="0.25">
      <c r="B4" s="31" t="s">
        <v>20</v>
      </c>
      <c r="C4" s="26">
        <v>18</v>
      </c>
      <c r="D4" s="26">
        <v>598</v>
      </c>
      <c r="E4" s="26"/>
      <c r="F4" s="26"/>
      <c r="L4" s="75" t="s">
        <v>6</v>
      </c>
      <c r="M4" s="32" t="s">
        <v>512</v>
      </c>
    </row>
    <row r="5" spans="1:13" outlineLevel="1" x14ac:dyDescent="0.25">
      <c r="B5" s="31" t="s">
        <v>21</v>
      </c>
      <c r="C5" s="26">
        <v>16.100000000000001</v>
      </c>
      <c r="D5" s="26">
        <v>697</v>
      </c>
      <c r="E5" s="26"/>
      <c r="F5" s="26"/>
      <c r="L5" s="75" t="s">
        <v>13</v>
      </c>
      <c r="M5" s="32" t="s">
        <v>513</v>
      </c>
    </row>
    <row r="6" spans="1:13" outlineLevel="1" x14ac:dyDescent="0.25">
      <c r="B6" s="31" t="s">
        <v>47</v>
      </c>
      <c r="C6" s="26">
        <v>16.100000000000001</v>
      </c>
      <c r="D6" s="26">
        <v>697</v>
      </c>
      <c r="E6" s="26"/>
      <c r="F6" s="26"/>
      <c r="L6" s="75" t="s">
        <v>0</v>
      </c>
      <c r="M6" s="32" t="s">
        <v>0</v>
      </c>
    </row>
    <row r="7" spans="1:13" outlineLevel="1" x14ac:dyDescent="0.25">
      <c r="B7" s="31" t="s">
        <v>22</v>
      </c>
      <c r="C7" s="26">
        <v>18.100000000000001</v>
      </c>
      <c r="D7" s="26">
        <v>700</v>
      </c>
      <c r="E7" s="26"/>
      <c r="F7" s="26"/>
      <c r="L7" s="75" t="s">
        <v>16</v>
      </c>
      <c r="M7" s="32" t="s">
        <v>512</v>
      </c>
    </row>
    <row r="8" spans="1:13" outlineLevel="1" x14ac:dyDescent="0.25">
      <c r="B8" s="31" t="s">
        <v>48</v>
      </c>
      <c r="C8" s="26">
        <v>18.100000000000001</v>
      </c>
      <c r="D8" s="26">
        <v>700</v>
      </c>
      <c r="E8" s="26"/>
      <c r="F8" s="26"/>
      <c r="L8" s="75" t="s">
        <v>11</v>
      </c>
      <c r="M8" s="32" t="s">
        <v>512</v>
      </c>
    </row>
    <row r="9" spans="1:13" outlineLevel="1" x14ac:dyDescent="0.25">
      <c r="B9" s="31" t="s">
        <v>23</v>
      </c>
      <c r="C9" s="26">
        <v>22.2</v>
      </c>
      <c r="D9" s="26">
        <v>706</v>
      </c>
      <c r="E9" s="26"/>
      <c r="F9" s="26"/>
      <c r="L9" s="75" t="s">
        <v>10</v>
      </c>
      <c r="M9" s="32" t="s">
        <v>512</v>
      </c>
    </row>
    <row r="10" spans="1:13" outlineLevel="1" x14ac:dyDescent="0.25">
      <c r="B10" s="31" t="s">
        <v>49</v>
      </c>
      <c r="C10" s="26">
        <v>22.2</v>
      </c>
      <c r="D10" s="26">
        <v>706</v>
      </c>
      <c r="E10" s="26"/>
      <c r="F10" s="26"/>
      <c r="L10" s="75" t="s">
        <v>7</v>
      </c>
      <c r="M10" s="32" t="s">
        <v>1144</v>
      </c>
    </row>
    <row r="11" spans="1:13" outlineLevel="1" x14ac:dyDescent="0.25">
      <c r="B11" s="31" t="s">
        <v>24</v>
      </c>
      <c r="C11" s="26">
        <v>18.2</v>
      </c>
      <c r="D11" s="26">
        <v>783</v>
      </c>
      <c r="E11" s="26"/>
      <c r="F11" s="26"/>
      <c r="L11" s="75" t="s">
        <v>8</v>
      </c>
      <c r="M11" s="32" t="s">
        <v>1144</v>
      </c>
    </row>
    <row r="12" spans="1:13" outlineLevel="1" x14ac:dyDescent="0.25">
      <c r="B12" s="31" t="s">
        <v>50</v>
      </c>
      <c r="C12" s="26">
        <v>18.2</v>
      </c>
      <c r="D12" s="26">
        <v>783</v>
      </c>
      <c r="E12" s="26"/>
      <c r="F12" s="26"/>
      <c r="L12" s="76" t="s">
        <v>12</v>
      </c>
      <c r="M12" s="32" t="s">
        <v>1144</v>
      </c>
    </row>
    <row r="13" spans="1:13" outlineLevel="1" x14ac:dyDescent="0.25">
      <c r="B13" s="31" t="s">
        <v>25</v>
      </c>
      <c r="C13" s="26">
        <v>22.3</v>
      </c>
      <c r="D13" s="26">
        <v>926</v>
      </c>
      <c r="E13" s="26"/>
      <c r="F13" s="26"/>
      <c r="L13" s="76" t="s">
        <v>1143</v>
      </c>
      <c r="M13" s="32" t="s">
        <v>1144</v>
      </c>
    </row>
    <row r="14" spans="1:13" outlineLevel="1" x14ac:dyDescent="0.25">
      <c r="B14" s="31" t="s">
        <v>51</v>
      </c>
      <c r="C14" s="26">
        <v>22.3</v>
      </c>
      <c r="D14" s="26">
        <v>926</v>
      </c>
      <c r="E14" s="26"/>
      <c r="F14" s="26"/>
      <c r="L14" s="76" t="s">
        <v>632</v>
      </c>
      <c r="M14" s="32" t="s">
        <v>1144</v>
      </c>
    </row>
    <row r="15" spans="1:13" outlineLevel="1" x14ac:dyDescent="0.25">
      <c r="B15" s="31" t="s">
        <v>26</v>
      </c>
      <c r="C15" s="26">
        <v>25.4</v>
      </c>
      <c r="D15" s="26">
        <v>926.4</v>
      </c>
      <c r="E15" s="26"/>
      <c r="F15" s="26"/>
      <c r="L15" s="76" t="s">
        <v>656</v>
      </c>
      <c r="M15" s="32" t="s">
        <v>1144</v>
      </c>
    </row>
    <row r="16" spans="1:13" outlineLevel="1" x14ac:dyDescent="0.25">
      <c r="B16" s="31" t="s">
        <v>52</v>
      </c>
      <c r="C16" s="26">
        <v>25.4</v>
      </c>
      <c r="D16" s="26">
        <v>926.4</v>
      </c>
      <c r="E16" s="26"/>
      <c r="F16" s="26"/>
      <c r="L16" s="33" t="s">
        <v>1168</v>
      </c>
      <c r="M16" s="31" t="s">
        <v>1166</v>
      </c>
    </row>
    <row r="17" spans="2:25" outlineLevel="1" x14ac:dyDescent="0.25">
      <c r="B17" s="31" t="s">
        <v>53</v>
      </c>
      <c r="C17" s="26">
        <v>29.8</v>
      </c>
      <c r="D17" s="26">
        <v>937.4</v>
      </c>
      <c r="E17" s="26"/>
      <c r="F17" s="26"/>
      <c r="L17" s="33" t="s">
        <v>1167</v>
      </c>
      <c r="M17" s="31" t="s">
        <v>1166</v>
      </c>
    </row>
    <row r="18" spans="2:25" outlineLevel="1" x14ac:dyDescent="0.25">
      <c r="B18" s="36" t="s">
        <v>27</v>
      </c>
      <c r="C18" s="79">
        <v>29.8</v>
      </c>
      <c r="D18" s="79">
        <v>937.4</v>
      </c>
      <c r="E18" s="37"/>
      <c r="F18" s="37"/>
      <c r="L18" s="80" t="s">
        <v>1169</v>
      </c>
      <c r="M18" s="31" t="s">
        <v>1166</v>
      </c>
    </row>
    <row r="19" spans="2:25" s="38" customFormat="1" outlineLevel="1" x14ac:dyDescent="0.25">
      <c r="B19" s="31" t="s">
        <v>54</v>
      </c>
      <c r="C19" s="26">
        <v>25.7</v>
      </c>
      <c r="D19" s="26">
        <v>982</v>
      </c>
      <c r="E19" s="26"/>
      <c r="F19" s="26"/>
      <c r="L19" s="81" t="s">
        <v>604</v>
      </c>
      <c r="M19" s="72" t="s">
        <v>604</v>
      </c>
    </row>
    <row r="20" spans="2:25" outlineLevel="1" x14ac:dyDescent="0.25">
      <c r="B20" s="31" t="s">
        <v>28</v>
      </c>
      <c r="C20" s="26">
        <v>25.7</v>
      </c>
      <c r="D20" s="26">
        <v>982</v>
      </c>
      <c r="E20" s="26"/>
      <c r="F20" s="26"/>
    </row>
    <row r="21" spans="2:25" outlineLevel="1" x14ac:dyDescent="0.25">
      <c r="B21" s="31" t="s">
        <v>29</v>
      </c>
      <c r="C21" s="26">
        <v>31.4</v>
      </c>
      <c r="D21" s="26">
        <v>1075.8</v>
      </c>
      <c r="E21" s="26"/>
      <c r="F21" s="26"/>
    </row>
    <row r="22" spans="2:25" outlineLevel="1" x14ac:dyDescent="0.25">
      <c r="B22" s="31" t="s">
        <v>55</v>
      </c>
      <c r="C22" s="26">
        <v>31.4</v>
      </c>
      <c r="D22" s="26">
        <v>1075.8</v>
      </c>
      <c r="E22" s="26"/>
      <c r="F22" s="26"/>
      <c r="L22" s="34">
        <v>1</v>
      </c>
      <c r="M22" s="35">
        <v>2</v>
      </c>
      <c r="N22" s="35">
        <v>3</v>
      </c>
      <c r="O22" s="35">
        <v>4</v>
      </c>
      <c r="P22" s="35">
        <v>5</v>
      </c>
      <c r="Q22" s="35">
        <v>6</v>
      </c>
      <c r="R22" s="35">
        <v>7</v>
      </c>
      <c r="S22" s="35">
        <v>8</v>
      </c>
      <c r="T22" s="35">
        <v>9</v>
      </c>
      <c r="U22" s="35">
        <v>10</v>
      </c>
      <c r="V22" s="35">
        <v>11</v>
      </c>
      <c r="W22" s="35">
        <v>12</v>
      </c>
    </row>
    <row r="23" spans="2:25" outlineLevel="1" x14ac:dyDescent="0.25">
      <c r="B23" s="31" t="s">
        <v>30</v>
      </c>
      <c r="C23" s="26">
        <v>37.299999999999997</v>
      </c>
      <c r="D23" s="26">
        <v>1083.2</v>
      </c>
      <c r="E23" s="26"/>
      <c r="F23" s="26"/>
      <c r="L23" s="39" t="s">
        <v>509</v>
      </c>
      <c r="M23" s="39" t="s">
        <v>516</v>
      </c>
      <c r="N23" s="39" t="s">
        <v>517</v>
      </c>
      <c r="O23" s="39" t="s">
        <v>524</v>
      </c>
      <c r="P23" s="39" t="s">
        <v>526</v>
      </c>
      <c r="Q23" s="39" t="s">
        <v>528</v>
      </c>
      <c r="R23" s="39" t="s">
        <v>531</v>
      </c>
      <c r="S23" s="39" t="s">
        <v>533</v>
      </c>
      <c r="T23" s="39" t="s">
        <v>534</v>
      </c>
      <c r="U23" s="39" t="s">
        <v>574</v>
      </c>
      <c r="V23" s="39" t="s">
        <v>557</v>
      </c>
      <c r="W23" s="39" t="s">
        <v>520</v>
      </c>
      <c r="X23" s="38"/>
      <c r="Y23" s="38"/>
    </row>
    <row r="24" spans="2:25" outlineLevel="1" x14ac:dyDescent="0.25">
      <c r="B24" s="31" t="s">
        <v>56</v>
      </c>
      <c r="C24" s="26">
        <v>37.299999999999997</v>
      </c>
      <c r="D24" s="26">
        <v>1083.2</v>
      </c>
      <c r="E24" s="26"/>
      <c r="F24" s="26"/>
      <c r="L24" s="40" t="s">
        <v>505</v>
      </c>
      <c r="M24" s="41" t="s">
        <v>560</v>
      </c>
      <c r="N24" s="41" t="s">
        <v>562</v>
      </c>
      <c r="O24" s="41" t="s">
        <v>569</v>
      </c>
      <c r="P24" s="41" t="s">
        <v>573</v>
      </c>
      <c r="Q24" s="41" t="s">
        <v>576</v>
      </c>
      <c r="R24" s="41" t="s">
        <v>581</v>
      </c>
      <c r="S24" s="41" t="s">
        <v>580</v>
      </c>
      <c r="T24" s="41" t="s">
        <v>579</v>
      </c>
      <c r="U24" s="41"/>
      <c r="V24" s="41"/>
      <c r="W24" s="41" t="s">
        <v>581</v>
      </c>
    </row>
    <row r="25" spans="2:25" outlineLevel="1" x14ac:dyDescent="0.25">
      <c r="B25" s="31" t="s">
        <v>31</v>
      </c>
      <c r="C25" s="26">
        <v>32</v>
      </c>
      <c r="D25" s="26">
        <v>1181</v>
      </c>
      <c r="E25" s="26"/>
      <c r="F25" s="26"/>
      <c r="L25" s="31" t="s">
        <v>506</v>
      </c>
      <c r="M25" s="31" t="s">
        <v>561</v>
      </c>
      <c r="N25" s="31" t="s">
        <v>562</v>
      </c>
      <c r="O25" s="31" t="s">
        <v>570</v>
      </c>
      <c r="P25" s="31"/>
      <c r="Q25" s="31" t="s">
        <v>577</v>
      </c>
      <c r="R25" s="31"/>
      <c r="S25" s="41" t="s">
        <v>580</v>
      </c>
      <c r="T25" s="31" t="s">
        <v>578</v>
      </c>
      <c r="U25" s="31" t="s">
        <v>582</v>
      </c>
      <c r="V25" s="31" t="s">
        <v>583</v>
      </c>
      <c r="W25" s="31"/>
    </row>
    <row r="26" spans="2:25" outlineLevel="1" x14ac:dyDescent="0.25">
      <c r="B26" s="31" t="s">
        <v>32</v>
      </c>
      <c r="C26" s="26">
        <v>40.4</v>
      </c>
      <c r="D26" s="26">
        <v>1251.8</v>
      </c>
      <c r="E26" s="26"/>
      <c r="F26" s="26"/>
      <c r="L26" s="31" t="s">
        <v>507</v>
      </c>
      <c r="M26" s="31" t="s">
        <v>561</v>
      </c>
      <c r="N26" s="31" t="s">
        <v>562</v>
      </c>
      <c r="O26" s="31" t="s">
        <v>571</v>
      </c>
      <c r="P26" s="31"/>
      <c r="Q26" s="31" t="s">
        <v>577</v>
      </c>
      <c r="R26" s="31"/>
      <c r="S26" s="41" t="s">
        <v>580</v>
      </c>
      <c r="T26" s="31" t="s">
        <v>578</v>
      </c>
      <c r="U26" s="31" t="s">
        <v>582</v>
      </c>
      <c r="V26" s="31" t="s">
        <v>583</v>
      </c>
      <c r="W26" s="31"/>
    </row>
    <row r="27" spans="2:25" outlineLevel="1" x14ac:dyDescent="0.25">
      <c r="B27" s="31" t="s">
        <v>57</v>
      </c>
      <c r="C27" s="26">
        <v>40.4</v>
      </c>
      <c r="D27" s="26">
        <v>1251.8</v>
      </c>
      <c r="E27" s="26"/>
      <c r="F27" s="26"/>
      <c r="L27" s="31" t="s">
        <v>1166</v>
      </c>
      <c r="M27" s="42" t="s">
        <v>561</v>
      </c>
      <c r="N27" s="42" t="s">
        <v>563</v>
      </c>
      <c r="O27" s="42" t="s">
        <v>572</v>
      </c>
      <c r="P27" s="42"/>
      <c r="Q27" s="31" t="s">
        <v>577</v>
      </c>
      <c r="R27" s="31"/>
      <c r="S27" s="41" t="s">
        <v>580</v>
      </c>
      <c r="T27" s="31" t="s">
        <v>578</v>
      </c>
      <c r="U27" s="31" t="s">
        <v>582</v>
      </c>
      <c r="V27" s="31" t="s">
        <v>583</v>
      </c>
      <c r="W27" s="31"/>
    </row>
    <row r="28" spans="2:25" outlineLevel="1" x14ac:dyDescent="0.25">
      <c r="B28" s="31" t="s">
        <v>33</v>
      </c>
      <c r="C28" s="26">
        <v>46.2</v>
      </c>
      <c r="D28" s="26">
        <v>1264.5999999999999</v>
      </c>
      <c r="E28" s="26"/>
      <c r="F28" s="26"/>
      <c r="L28" s="72" t="s">
        <v>604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</row>
    <row r="29" spans="2:25" outlineLevel="1" x14ac:dyDescent="0.25">
      <c r="B29" s="31" t="s">
        <v>58</v>
      </c>
      <c r="C29" s="26">
        <v>46.2</v>
      </c>
      <c r="D29" s="26">
        <v>1264.5999999999999</v>
      </c>
      <c r="E29" s="26"/>
      <c r="F29" s="26"/>
    </row>
    <row r="30" spans="2:25" outlineLevel="1" x14ac:dyDescent="0.25">
      <c r="B30" s="31" t="s">
        <v>59</v>
      </c>
      <c r="C30" s="26">
        <v>44.7</v>
      </c>
      <c r="D30" s="26">
        <v>1374.2</v>
      </c>
      <c r="E30" s="26"/>
      <c r="F30" s="26"/>
      <c r="L30" s="34">
        <v>1</v>
      </c>
      <c r="M30" s="35">
        <v>2</v>
      </c>
      <c r="N30" s="35">
        <v>3</v>
      </c>
      <c r="O30" s="35">
        <v>4</v>
      </c>
      <c r="P30" s="35">
        <v>5</v>
      </c>
      <c r="Q30" s="35"/>
    </row>
    <row r="31" spans="2:25" ht="60" outlineLevel="1" x14ac:dyDescent="0.25">
      <c r="B31" s="31" t="s">
        <v>34</v>
      </c>
      <c r="C31" s="26">
        <v>44.7</v>
      </c>
      <c r="D31" s="26">
        <v>1374.2</v>
      </c>
      <c r="E31" s="26"/>
      <c r="F31" s="26"/>
      <c r="L31" s="43" t="s">
        <v>511</v>
      </c>
      <c r="M31" s="43" t="s">
        <v>585</v>
      </c>
      <c r="N31" s="43" t="s">
        <v>586</v>
      </c>
      <c r="O31" s="43" t="s">
        <v>588</v>
      </c>
      <c r="P31" s="43" t="s">
        <v>589</v>
      </c>
      <c r="Q31" s="43" t="s">
        <v>568</v>
      </c>
    </row>
    <row r="32" spans="2:25" outlineLevel="1" x14ac:dyDescent="0.25">
      <c r="B32" s="31" t="s">
        <v>60</v>
      </c>
      <c r="C32" s="26">
        <v>50.7</v>
      </c>
      <c r="D32" s="26">
        <v>1381.4</v>
      </c>
      <c r="E32" s="26"/>
      <c r="F32" s="26"/>
      <c r="L32" s="38" t="s">
        <v>1144</v>
      </c>
      <c r="M32" s="27">
        <v>4</v>
      </c>
      <c r="N32" s="27">
        <f>M32-1</f>
        <v>3</v>
      </c>
      <c r="O32" s="27">
        <f>M32+1</f>
        <v>5</v>
      </c>
      <c r="P32" s="27">
        <f>N32-1</f>
        <v>2</v>
      </c>
    </row>
    <row r="33" spans="2:16" outlineLevel="1" x14ac:dyDescent="0.25">
      <c r="B33" s="31" t="s">
        <v>35</v>
      </c>
      <c r="C33" s="26">
        <v>50.7</v>
      </c>
      <c r="D33" s="26">
        <v>1381.4</v>
      </c>
      <c r="E33" s="26"/>
      <c r="F33" s="26"/>
      <c r="L33" s="38" t="s">
        <v>512</v>
      </c>
      <c r="M33" s="27">
        <v>5</v>
      </c>
      <c r="N33" s="27">
        <f t="shared" ref="N33:N35" si="0">M33-1</f>
        <v>4</v>
      </c>
      <c r="O33" s="27">
        <f t="shared" ref="O33:O35" si="1">M33+1</f>
        <v>6</v>
      </c>
      <c r="P33" s="27">
        <f>N33-1</f>
        <v>3</v>
      </c>
    </row>
    <row r="34" spans="2:16" outlineLevel="1" x14ac:dyDescent="0.25">
      <c r="B34" s="31" t="s">
        <v>61</v>
      </c>
      <c r="C34" s="26">
        <v>56.7</v>
      </c>
      <c r="D34" s="26">
        <v>1390</v>
      </c>
      <c r="E34" s="26"/>
      <c r="F34" s="26"/>
      <c r="L34" s="38" t="s">
        <v>513</v>
      </c>
      <c r="M34" s="27">
        <v>4</v>
      </c>
      <c r="N34" s="27">
        <f t="shared" si="0"/>
        <v>3</v>
      </c>
      <c r="O34" s="27">
        <f t="shared" si="1"/>
        <v>5</v>
      </c>
      <c r="P34" s="27">
        <f>N34-1</f>
        <v>2</v>
      </c>
    </row>
    <row r="35" spans="2:16" outlineLevel="1" x14ac:dyDescent="0.25">
      <c r="B35" s="31" t="s">
        <v>36</v>
      </c>
      <c r="C35" s="26">
        <v>56.7</v>
      </c>
      <c r="D35" s="26">
        <v>1390</v>
      </c>
      <c r="E35" s="26"/>
      <c r="F35" s="26"/>
      <c r="L35" s="38" t="s">
        <v>0</v>
      </c>
      <c r="M35" s="27">
        <v>3</v>
      </c>
      <c r="N35" s="27">
        <f t="shared" si="0"/>
        <v>2</v>
      </c>
      <c r="O35" s="27">
        <f t="shared" si="1"/>
        <v>4</v>
      </c>
      <c r="P35" s="27">
        <f>N35-1</f>
        <v>1</v>
      </c>
    </row>
    <row r="36" spans="2:16" outlineLevel="1" x14ac:dyDescent="0.25">
      <c r="B36" s="31" t="s">
        <v>62</v>
      </c>
      <c r="C36" s="26">
        <v>53.7</v>
      </c>
      <c r="D36" s="26">
        <v>1502.8</v>
      </c>
      <c r="E36" s="26"/>
      <c r="F36" s="26"/>
      <c r="L36" s="38" t="s">
        <v>1166</v>
      </c>
    </row>
    <row r="37" spans="2:16" outlineLevel="1" x14ac:dyDescent="0.25">
      <c r="B37" s="31" t="s">
        <v>37</v>
      </c>
      <c r="C37" s="26">
        <v>53.7</v>
      </c>
      <c r="D37" s="26">
        <v>1502.8</v>
      </c>
      <c r="E37" s="26"/>
      <c r="F37" s="26"/>
    </row>
    <row r="38" spans="2:16" outlineLevel="1" x14ac:dyDescent="0.25">
      <c r="B38" s="31" t="s">
        <v>63</v>
      </c>
      <c r="C38" s="26">
        <v>59.7</v>
      </c>
      <c r="D38" s="26">
        <v>1508.4</v>
      </c>
      <c r="E38" s="26"/>
      <c r="F38" s="26"/>
    </row>
    <row r="39" spans="2:16" outlineLevel="1" x14ac:dyDescent="0.25">
      <c r="B39" s="31" t="s">
        <v>38</v>
      </c>
      <c r="C39" s="26">
        <v>59.7</v>
      </c>
      <c r="D39" s="26">
        <v>1508.4</v>
      </c>
      <c r="E39" s="26"/>
      <c r="F39" s="26"/>
    </row>
    <row r="40" spans="2:16" outlineLevel="1" x14ac:dyDescent="0.25">
      <c r="B40" s="31" t="s">
        <v>39</v>
      </c>
      <c r="C40" s="26">
        <v>67.099999999999994</v>
      </c>
      <c r="D40" s="26">
        <v>1651</v>
      </c>
      <c r="E40" s="26"/>
      <c r="F40" s="26"/>
    </row>
    <row r="41" spans="2:16" outlineLevel="1" x14ac:dyDescent="0.25">
      <c r="B41" s="31" t="s">
        <v>64</v>
      </c>
      <c r="C41" s="26">
        <v>67.099999999999994</v>
      </c>
      <c r="D41" s="26">
        <v>1651</v>
      </c>
      <c r="E41" s="26"/>
      <c r="F41" s="26"/>
    </row>
    <row r="42" spans="2:16" outlineLevel="1" x14ac:dyDescent="0.25">
      <c r="B42" s="31" t="s">
        <v>40</v>
      </c>
      <c r="C42" s="26">
        <v>74.599999999999994</v>
      </c>
      <c r="D42" s="26">
        <v>1655.8</v>
      </c>
      <c r="E42" s="26"/>
      <c r="F42" s="26"/>
    </row>
    <row r="43" spans="2:16" outlineLevel="1" x14ac:dyDescent="0.25">
      <c r="B43" s="31" t="s">
        <v>65</v>
      </c>
      <c r="C43" s="26">
        <v>74.599999999999994</v>
      </c>
      <c r="D43" s="26">
        <v>1655.8</v>
      </c>
      <c r="E43" s="26"/>
      <c r="F43" s="26"/>
    </row>
    <row r="44" spans="2:16" outlineLevel="1" x14ac:dyDescent="0.25">
      <c r="B44" s="31" t="s">
        <v>41</v>
      </c>
      <c r="C44" s="26">
        <v>82.1</v>
      </c>
      <c r="D44" s="26">
        <v>1664.2</v>
      </c>
      <c r="E44" s="26"/>
      <c r="F44" s="26"/>
    </row>
    <row r="45" spans="2:16" outlineLevel="1" x14ac:dyDescent="0.25">
      <c r="B45" s="31" t="s">
        <v>66</v>
      </c>
      <c r="C45" s="26">
        <v>82.1</v>
      </c>
      <c r="D45" s="26">
        <v>1664.2</v>
      </c>
      <c r="E45" s="26"/>
      <c r="F45" s="26"/>
    </row>
    <row r="46" spans="2:16" outlineLevel="1" x14ac:dyDescent="0.25">
      <c r="B46" s="31" t="s">
        <v>42</v>
      </c>
      <c r="C46" s="26">
        <v>82</v>
      </c>
      <c r="D46" s="26">
        <v>1872.8</v>
      </c>
      <c r="E46" s="26"/>
      <c r="F46" s="26"/>
    </row>
    <row r="47" spans="2:16" outlineLevel="1" x14ac:dyDescent="0.25">
      <c r="B47" s="31" t="s">
        <v>43</v>
      </c>
      <c r="C47" s="26">
        <v>92.4</v>
      </c>
      <c r="D47" s="26">
        <v>1881.6</v>
      </c>
      <c r="E47" s="26"/>
      <c r="F47" s="26"/>
    </row>
    <row r="48" spans="2:16" outlineLevel="1" x14ac:dyDescent="0.25">
      <c r="B48" s="31" t="s">
        <v>67</v>
      </c>
      <c r="C48" s="26">
        <v>92.4</v>
      </c>
      <c r="D48" s="26">
        <v>1881.6</v>
      </c>
      <c r="E48" s="26"/>
      <c r="F48" s="26"/>
    </row>
    <row r="49" spans="2:12" outlineLevel="1" x14ac:dyDescent="0.25">
      <c r="B49" s="31" t="s">
        <v>44</v>
      </c>
      <c r="C49" s="26">
        <v>101</v>
      </c>
      <c r="D49" s="26">
        <v>2094.8000000000002</v>
      </c>
      <c r="E49" s="26"/>
      <c r="F49" s="26"/>
    </row>
    <row r="50" spans="2:12" outlineLevel="1" x14ac:dyDescent="0.25">
      <c r="B50" s="31" t="s">
        <v>45</v>
      </c>
      <c r="C50" s="26">
        <v>113</v>
      </c>
      <c r="D50" s="26">
        <v>2103.6</v>
      </c>
      <c r="E50" s="26"/>
      <c r="F50" s="26"/>
    </row>
    <row r="51" spans="2:12" outlineLevel="1" x14ac:dyDescent="0.25">
      <c r="B51" s="31" t="s">
        <v>46</v>
      </c>
      <c r="C51" s="26">
        <v>125</v>
      </c>
      <c r="D51" s="26">
        <v>2116.1999999999998</v>
      </c>
      <c r="E51" s="26"/>
      <c r="F51" s="26"/>
    </row>
    <row r="52" spans="2:12" outlineLevel="1" x14ac:dyDescent="0.25">
      <c r="B52" s="72" t="s">
        <v>604</v>
      </c>
      <c r="C52" s="72" t="s">
        <v>604</v>
      </c>
      <c r="D52" s="72" t="s">
        <v>604</v>
      </c>
      <c r="E52" s="69"/>
      <c r="F52" s="69"/>
      <c r="G52" s="70" t="s">
        <v>603</v>
      </c>
    </row>
    <row r="53" spans="2:12" s="67" customFormat="1" outlineLevel="1" x14ac:dyDescent="0.25">
      <c r="B53" s="68"/>
      <c r="C53" s="69"/>
      <c r="D53" s="69"/>
      <c r="E53" s="69"/>
      <c r="F53" s="69"/>
      <c r="G53" s="70" t="s">
        <v>602</v>
      </c>
      <c r="L53" s="71"/>
    </row>
    <row r="54" spans="2:12" s="67" customFormat="1" outlineLevel="1" x14ac:dyDescent="0.25">
      <c r="B54" s="27"/>
      <c r="C54" s="27"/>
      <c r="D54" s="27"/>
      <c r="E54" s="27"/>
      <c r="F54" s="27"/>
      <c r="G54" s="27"/>
      <c r="L54" s="71"/>
    </row>
    <row r="55" spans="2:12" x14ac:dyDescent="0.25">
      <c r="B55" s="29" t="s">
        <v>8</v>
      </c>
      <c r="C55" s="29" t="s">
        <v>1</v>
      </c>
      <c r="D55" s="29" t="s">
        <v>2</v>
      </c>
      <c r="E55" s="29"/>
      <c r="F55" s="29"/>
    </row>
    <row r="56" spans="2:12" x14ac:dyDescent="0.25">
      <c r="B56" s="31" t="s">
        <v>81</v>
      </c>
      <c r="C56" s="26">
        <v>14.8</v>
      </c>
      <c r="D56" s="26">
        <v>580</v>
      </c>
      <c r="E56" s="26"/>
      <c r="F56" s="26"/>
    </row>
    <row r="57" spans="2:12" outlineLevel="1" x14ac:dyDescent="0.25">
      <c r="B57" s="31" t="s">
        <v>68</v>
      </c>
      <c r="C57" s="26">
        <v>14.8</v>
      </c>
      <c r="D57" s="26">
        <v>580</v>
      </c>
      <c r="E57" s="26"/>
      <c r="F57" s="26"/>
    </row>
    <row r="58" spans="2:12" outlineLevel="1" x14ac:dyDescent="0.25">
      <c r="B58" s="31" t="s">
        <v>69</v>
      </c>
      <c r="C58" s="26">
        <v>23.4</v>
      </c>
      <c r="D58" s="26">
        <v>899.8</v>
      </c>
      <c r="E58" s="26"/>
      <c r="F58" s="26"/>
    </row>
    <row r="59" spans="2:12" outlineLevel="1" x14ac:dyDescent="0.25">
      <c r="B59" s="31" t="s">
        <v>82</v>
      </c>
      <c r="C59" s="26">
        <v>23.4</v>
      </c>
      <c r="D59" s="26">
        <v>899.8</v>
      </c>
      <c r="E59" s="26"/>
      <c r="F59" s="26"/>
    </row>
    <row r="60" spans="2:12" outlineLevel="1" x14ac:dyDescent="0.25">
      <c r="B60" s="31" t="s">
        <v>70</v>
      </c>
      <c r="C60" s="26">
        <v>30</v>
      </c>
      <c r="D60" s="26">
        <v>914.8</v>
      </c>
      <c r="E60" s="26"/>
      <c r="F60" s="26"/>
    </row>
    <row r="61" spans="2:12" outlineLevel="1" x14ac:dyDescent="0.25">
      <c r="B61" s="31" t="s">
        <v>71</v>
      </c>
      <c r="C61" s="26">
        <v>37.200000000000003</v>
      </c>
      <c r="D61" s="26">
        <v>923.8</v>
      </c>
      <c r="E61" s="26"/>
      <c r="F61" s="26"/>
    </row>
    <row r="62" spans="2:12" outlineLevel="1" x14ac:dyDescent="0.25">
      <c r="B62" s="31" t="s">
        <v>83</v>
      </c>
      <c r="C62" s="26">
        <v>37.200000000000003</v>
      </c>
      <c r="D62" s="26">
        <v>923.8</v>
      </c>
      <c r="E62" s="26"/>
      <c r="F62" s="26"/>
    </row>
    <row r="63" spans="2:12" outlineLevel="1" x14ac:dyDescent="0.25">
      <c r="B63" s="31" t="s">
        <v>72</v>
      </c>
      <c r="C63" s="26">
        <v>46.2</v>
      </c>
      <c r="D63" s="26">
        <v>1203.4000000000001</v>
      </c>
      <c r="E63" s="26"/>
      <c r="F63" s="26"/>
    </row>
    <row r="64" spans="2:12" outlineLevel="1" x14ac:dyDescent="0.25">
      <c r="B64" s="31" t="s">
        <v>84</v>
      </c>
      <c r="C64" s="26">
        <v>46.2</v>
      </c>
      <c r="D64" s="26">
        <v>1203.4000000000001</v>
      </c>
      <c r="E64" s="26"/>
      <c r="F64" s="26"/>
    </row>
    <row r="65" spans="2:12" outlineLevel="1" x14ac:dyDescent="0.25">
      <c r="B65" s="31" t="s">
        <v>73</v>
      </c>
      <c r="C65" s="26">
        <v>52.2</v>
      </c>
      <c r="D65" s="26">
        <v>1212</v>
      </c>
      <c r="E65" s="26"/>
      <c r="F65" s="26"/>
    </row>
    <row r="66" spans="2:12" outlineLevel="1" x14ac:dyDescent="0.25">
      <c r="B66" s="31" t="s">
        <v>85</v>
      </c>
      <c r="C66" s="26">
        <v>52.2</v>
      </c>
      <c r="D66" s="26">
        <v>1212</v>
      </c>
      <c r="E66" s="26"/>
      <c r="F66" s="26"/>
    </row>
    <row r="67" spans="2:12" outlineLevel="1" x14ac:dyDescent="0.25">
      <c r="B67" s="31" t="s">
        <v>86</v>
      </c>
      <c r="C67" s="26">
        <v>59.5</v>
      </c>
      <c r="D67" s="26">
        <v>1221.4000000000001</v>
      </c>
      <c r="E67" s="26"/>
      <c r="F67" s="26"/>
    </row>
    <row r="68" spans="2:12" outlineLevel="1" x14ac:dyDescent="0.25">
      <c r="B68" s="31" t="s">
        <v>74</v>
      </c>
      <c r="C68" s="26">
        <v>59.5</v>
      </c>
      <c r="D68" s="26">
        <v>1221.4000000000001</v>
      </c>
      <c r="E68" s="26"/>
      <c r="F68" s="26"/>
    </row>
    <row r="69" spans="2:12" outlineLevel="1" x14ac:dyDescent="0.25">
      <c r="B69" s="31" t="s">
        <v>87</v>
      </c>
      <c r="C69" s="26">
        <v>72.900000000000006</v>
      </c>
      <c r="D69" s="26">
        <v>1506.8</v>
      </c>
      <c r="E69" s="26"/>
      <c r="F69" s="26"/>
    </row>
    <row r="70" spans="2:12" outlineLevel="1" x14ac:dyDescent="0.25">
      <c r="B70" s="31" t="s">
        <v>75</v>
      </c>
      <c r="C70" s="26">
        <v>72.900000000000006</v>
      </c>
      <c r="D70" s="26">
        <v>1506.8</v>
      </c>
      <c r="E70" s="26"/>
      <c r="F70" s="26"/>
    </row>
    <row r="71" spans="2:12" outlineLevel="1" x14ac:dyDescent="0.25">
      <c r="B71" s="31" t="s">
        <v>88</v>
      </c>
      <c r="C71" s="26">
        <v>89.5</v>
      </c>
      <c r="D71" s="26">
        <v>1523</v>
      </c>
      <c r="E71" s="26"/>
      <c r="F71" s="26"/>
    </row>
    <row r="72" spans="2:12" outlineLevel="1" x14ac:dyDescent="0.25">
      <c r="B72" s="31" t="s">
        <v>76</v>
      </c>
      <c r="C72" s="26">
        <v>89.5</v>
      </c>
      <c r="D72" s="26">
        <v>1523</v>
      </c>
      <c r="E72" s="26"/>
      <c r="F72" s="26"/>
    </row>
    <row r="73" spans="2:12" outlineLevel="1" x14ac:dyDescent="0.25">
      <c r="B73" s="31" t="s">
        <v>89</v>
      </c>
      <c r="C73" s="26">
        <v>96.8</v>
      </c>
      <c r="D73" s="26">
        <v>1816.2</v>
      </c>
      <c r="E73" s="26"/>
      <c r="F73" s="26"/>
    </row>
    <row r="74" spans="2:12" outlineLevel="1" x14ac:dyDescent="0.25">
      <c r="B74" s="31" t="s">
        <v>77</v>
      </c>
      <c r="C74" s="26">
        <v>96.8</v>
      </c>
      <c r="D74" s="26">
        <v>1816.2</v>
      </c>
      <c r="E74" s="26"/>
      <c r="F74" s="26"/>
    </row>
    <row r="75" spans="2:12" outlineLevel="1" x14ac:dyDescent="0.25">
      <c r="B75" s="31" t="s">
        <v>78</v>
      </c>
      <c r="C75" s="26">
        <v>118</v>
      </c>
      <c r="D75" s="26">
        <v>1834.2</v>
      </c>
      <c r="E75" s="26"/>
      <c r="F75" s="26"/>
    </row>
    <row r="76" spans="2:12" outlineLevel="1" x14ac:dyDescent="0.25">
      <c r="B76" s="31" t="s">
        <v>79</v>
      </c>
      <c r="C76" s="26">
        <v>137</v>
      </c>
      <c r="D76" s="26">
        <v>1850.4</v>
      </c>
      <c r="E76" s="26"/>
      <c r="F76" s="26"/>
    </row>
    <row r="77" spans="2:12" outlineLevel="1" x14ac:dyDescent="0.25">
      <c r="B77" s="31" t="s">
        <v>80</v>
      </c>
      <c r="C77" s="26">
        <v>158</v>
      </c>
      <c r="D77" s="26">
        <v>1866.6</v>
      </c>
      <c r="E77" s="26"/>
      <c r="F77" s="26"/>
    </row>
    <row r="78" spans="2:12" outlineLevel="1" x14ac:dyDescent="0.25">
      <c r="B78" s="72" t="s">
        <v>604</v>
      </c>
      <c r="C78" s="72" t="s">
        <v>604</v>
      </c>
      <c r="D78" s="72" t="s">
        <v>604</v>
      </c>
      <c r="E78" s="69"/>
      <c r="F78" s="69"/>
      <c r="G78" s="70" t="s">
        <v>603</v>
      </c>
    </row>
    <row r="79" spans="2:12" s="67" customFormat="1" outlineLevel="1" x14ac:dyDescent="0.25">
      <c r="B79" s="68"/>
      <c r="C79" s="69"/>
      <c r="D79" s="69"/>
      <c r="E79" s="69"/>
      <c r="F79" s="69"/>
      <c r="G79" s="70" t="s">
        <v>602</v>
      </c>
      <c r="L79" s="71"/>
    </row>
    <row r="80" spans="2:12" s="67" customFormat="1" outlineLevel="1" x14ac:dyDescent="0.25">
      <c r="B80" s="27"/>
      <c r="C80" s="27"/>
      <c r="D80" s="27"/>
      <c r="E80" s="27"/>
      <c r="F80" s="27"/>
      <c r="G80" s="27"/>
      <c r="L80" s="71"/>
    </row>
    <row r="81" spans="2:6" x14ac:dyDescent="0.25">
      <c r="B81" s="29" t="s">
        <v>9</v>
      </c>
      <c r="C81" s="44" t="s">
        <v>1</v>
      </c>
      <c r="D81" s="44" t="s">
        <v>2</v>
      </c>
      <c r="E81" s="44"/>
      <c r="F81" s="44"/>
    </row>
    <row r="82" spans="2:6" x14ac:dyDescent="0.25">
      <c r="B82" s="31" t="s">
        <v>90</v>
      </c>
      <c r="C82" s="26">
        <v>0.64</v>
      </c>
      <c r="D82" s="26">
        <v>42.411499999999997</v>
      </c>
      <c r="E82" s="26"/>
      <c r="F82" s="26"/>
    </row>
    <row r="83" spans="2:6" outlineLevel="1" x14ac:dyDescent="0.25">
      <c r="B83" s="31" t="s">
        <v>91</v>
      </c>
      <c r="C83" s="26">
        <v>0.76</v>
      </c>
      <c r="D83" s="26">
        <v>42.411499999999997</v>
      </c>
      <c r="E83" s="26"/>
      <c r="F83" s="26"/>
    </row>
    <row r="84" spans="2:6" outlineLevel="1" x14ac:dyDescent="0.25">
      <c r="B84" s="31" t="s">
        <v>92</v>
      </c>
      <c r="C84" s="26">
        <v>0.85</v>
      </c>
      <c r="D84" s="26">
        <v>54.035400000000003</v>
      </c>
      <c r="E84" s="26"/>
      <c r="F84" s="26"/>
    </row>
    <row r="85" spans="2:6" outlineLevel="1" x14ac:dyDescent="0.25">
      <c r="B85" s="31" t="s">
        <v>93</v>
      </c>
      <c r="C85" s="26">
        <v>1.02</v>
      </c>
      <c r="D85" s="26">
        <v>54.035400000000003</v>
      </c>
      <c r="E85" s="26"/>
      <c r="F85" s="26"/>
    </row>
    <row r="86" spans="2:6" outlineLevel="1" x14ac:dyDescent="0.25">
      <c r="B86" s="31" t="s">
        <v>94</v>
      </c>
      <c r="C86" s="26">
        <v>1.2</v>
      </c>
      <c r="D86" s="26">
        <v>66.915899999999993</v>
      </c>
      <c r="E86" s="26"/>
      <c r="F86" s="26"/>
    </row>
    <row r="87" spans="2:6" outlineLevel="1" x14ac:dyDescent="0.25">
      <c r="B87" s="31" t="s">
        <v>95</v>
      </c>
      <c r="C87" s="26">
        <v>1.43</v>
      </c>
      <c r="D87" s="26">
        <v>66.915899999999993</v>
      </c>
      <c r="E87" s="26"/>
      <c r="F87" s="26"/>
    </row>
    <row r="88" spans="2:6" outlineLevel="1" x14ac:dyDescent="0.25">
      <c r="B88" s="31" t="s">
        <v>96</v>
      </c>
      <c r="C88" s="26">
        <v>1.57</v>
      </c>
      <c r="D88" s="26">
        <v>66.915899999999993</v>
      </c>
      <c r="E88" s="26"/>
      <c r="F88" s="26"/>
    </row>
    <row r="89" spans="2:6" outlineLevel="1" x14ac:dyDescent="0.25">
      <c r="B89" s="31" t="s">
        <v>97</v>
      </c>
      <c r="C89" s="26">
        <v>1.56</v>
      </c>
      <c r="D89" s="26">
        <v>84.508799999999994</v>
      </c>
      <c r="E89" s="26"/>
      <c r="F89" s="26"/>
    </row>
    <row r="90" spans="2:6" outlineLevel="1" x14ac:dyDescent="0.25">
      <c r="B90" s="31" t="s">
        <v>98</v>
      </c>
      <c r="C90" s="26">
        <v>1.87</v>
      </c>
      <c r="D90" s="26">
        <v>84.508799999999994</v>
      </c>
      <c r="E90" s="26"/>
      <c r="F90" s="26"/>
    </row>
    <row r="91" spans="2:6" outlineLevel="1" x14ac:dyDescent="0.25">
      <c r="B91" s="31" t="s">
        <v>99</v>
      </c>
      <c r="C91" s="26">
        <v>2.2599999999999998</v>
      </c>
      <c r="D91" s="26">
        <v>84.508799999999994</v>
      </c>
      <c r="E91" s="26"/>
      <c r="F91" s="26"/>
    </row>
    <row r="92" spans="2:6" outlineLevel="1" x14ac:dyDescent="0.25">
      <c r="B92" s="31" t="s">
        <v>204</v>
      </c>
      <c r="C92" s="31">
        <v>1.23</v>
      </c>
      <c r="D92" s="31">
        <v>84.5</v>
      </c>
      <c r="E92" s="26"/>
      <c r="F92" s="26"/>
    </row>
    <row r="93" spans="2:6" outlineLevel="1" x14ac:dyDescent="0.25">
      <c r="B93" s="31" t="s">
        <v>203</v>
      </c>
      <c r="C93" s="31">
        <v>1.4</v>
      </c>
      <c r="D93" s="31">
        <v>84.5</v>
      </c>
      <c r="E93" s="26"/>
      <c r="F93" s="26"/>
    </row>
    <row r="94" spans="2:6" outlineLevel="1" x14ac:dyDescent="0.25">
      <c r="B94" s="31" t="s">
        <v>202</v>
      </c>
      <c r="C94" s="31">
        <v>1.56</v>
      </c>
      <c r="D94" s="31">
        <v>84.5</v>
      </c>
      <c r="E94" s="26"/>
      <c r="F94" s="26"/>
    </row>
    <row r="95" spans="2:6" outlineLevel="1" x14ac:dyDescent="0.25">
      <c r="B95" s="31" t="s">
        <v>201</v>
      </c>
      <c r="C95" s="31">
        <v>1.87</v>
      </c>
      <c r="D95" s="31">
        <v>84.5</v>
      </c>
      <c r="E95" s="26"/>
      <c r="F95" s="26"/>
    </row>
    <row r="96" spans="2:6" outlineLevel="1" x14ac:dyDescent="0.25">
      <c r="B96" s="31" t="s">
        <v>200</v>
      </c>
      <c r="C96" s="31">
        <v>2.2599999999999998</v>
      </c>
      <c r="D96" s="31">
        <v>84.5</v>
      </c>
      <c r="E96" s="26"/>
      <c r="F96" s="26"/>
    </row>
    <row r="97" spans="2:6" outlineLevel="1" x14ac:dyDescent="0.25">
      <c r="B97" s="31" t="s">
        <v>100</v>
      </c>
      <c r="C97" s="26">
        <v>2.41</v>
      </c>
      <c r="D97" s="26">
        <v>105.872</v>
      </c>
      <c r="E97" s="26"/>
      <c r="F97" s="26"/>
    </row>
    <row r="98" spans="2:6" outlineLevel="1" x14ac:dyDescent="0.25">
      <c r="B98" s="31" t="s">
        <v>101</v>
      </c>
      <c r="C98" s="26">
        <v>2.93</v>
      </c>
      <c r="D98" s="26">
        <v>105.872</v>
      </c>
      <c r="E98" s="26"/>
      <c r="F98" s="26"/>
    </row>
    <row r="99" spans="2:6" outlineLevel="1" x14ac:dyDescent="0.25">
      <c r="B99" s="31" t="s">
        <v>102</v>
      </c>
      <c r="C99" s="26">
        <v>3.24</v>
      </c>
      <c r="D99" s="26">
        <v>105.872</v>
      </c>
      <c r="E99" s="26"/>
      <c r="F99" s="26"/>
    </row>
    <row r="100" spans="2:6" outlineLevel="1" x14ac:dyDescent="0.25">
      <c r="B100" s="31" t="s">
        <v>199</v>
      </c>
      <c r="C100" s="31">
        <v>1.56</v>
      </c>
      <c r="D100" s="31">
        <v>106</v>
      </c>
      <c r="E100" s="26"/>
      <c r="F100" s="26"/>
    </row>
    <row r="101" spans="2:6" outlineLevel="1" x14ac:dyDescent="0.25">
      <c r="B101" s="31" t="s">
        <v>198</v>
      </c>
      <c r="C101" s="31">
        <v>1.99</v>
      </c>
      <c r="D101" s="31">
        <v>106</v>
      </c>
      <c r="E101" s="26"/>
      <c r="F101" s="26"/>
    </row>
    <row r="102" spans="2:6" outlineLevel="1" x14ac:dyDescent="0.25">
      <c r="B102" s="31" t="s">
        <v>197</v>
      </c>
      <c r="C102" s="31">
        <v>2.41</v>
      </c>
      <c r="D102" s="31">
        <v>106</v>
      </c>
      <c r="E102" s="26"/>
      <c r="F102" s="26"/>
    </row>
    <row r="103" spans="2:6" outlineLevel="1" x14ac:dyDescent="0.25">
      <c r="B103" s="31" t="s">
        <v>196</v>
      </c>
      <c r="C103" s="31">
        <v>2.93</v>
      </c>
      <c r="D103" s="31">
        <v>106</v>
      </c>
      <c r="E103" s="26"/>
      <c r="F103" s="26"/>
    </row>
    <row r="104" spans="2:6" outlineLevel="1" x14ac:dyDescent="0.25">
      <c r="B104" s="31" t="s">
        <v>103</v>
      </c>
      <c r="C104" s="26">
        <v>3.09</v>
      </c>
      <c r="D104" s="26">
        <v>133.20400000000001</v>
      </c>
      <c r="E104" s="26"/>
      <c r="F104" s="26"/>
    </row>
    <row r="105" spans="2:6" outlineLevel="1" x14ac:dyDescent="0.25">
      <c r="B105" s="31" t="s">
        <v>104</v>
      </c>
      <c r="C105" s="26">
        <v>3.79</v>
      </c>
      <c r="D105" s="26">
        <v>133.20400000000001</v>
      </c>
      <c r="E105" s="26"/>
      <c r="F105" s="26"/>
    </row>
    <row r="106" spans="2:6" outlineLevel="1" x14ac:dyDescent="0.25">
      <c r="B106" s="31" t="s">
        <v>105</v>
      </c>
      <c r="C106" s="26">
        <v>4.53</v>
      </c>
      <c r="D106" s="26">
        <v>133.20400000000001</v>
      </c>
      <c r="E106" s="26"/>
      <c r="F106" s="26"/>
    </row>
    <row r="107" spans="2:6" outlineLevel="1" x14ac:dyDescent="0.25">
      <c r="B107" s="31" t="s">
        <v>195</v>
      </c>
      <c r="C107" s="31">
        <v>1.99</v>
      </c>
      <c r="D107" s="31">
        <v>133</v>
      </c>
      <c r="E107" s="26"/>
      <c r="F107" s="26"/>
    </row>
    <row r="108" spans="2:6" outlineLevel="1" x14ac:dyDescent="0.25">
      <c r="B108" s="31" t="s">
        <v>194</v>
      </c>
      <c r="C108" s="31">
        <v>2.5499999999999998</v>
      </c>
      <c r="D108" s="31">
        <v>133</v>
      </c>
      <c r="E108" s="26"/>
      <c r="F108" s="26"/>
    </row>
    <row r="109" spans="2:6" outlineLevel="1" x14ac:dyDescent="0.25">
      <c r="B109" s="31" t="s">
        <v>193</v>
      </c>
      <c r="C109" s="31">
        <v>3.09</v>
      </c>
      <c r="D109" s="31">
        <v>133</v>
      </c>
      <c r="E109" s="26"/>
      <c r="F109" s="26"/>
    </row>
    <row r="110" spans="2:6" outlineLevel="1" x14ac:dyDescent="0.25">
      <c r="B110" s="31" t="s">
        <v>192</v>
      </c>
      <c r="C110" s="31">
        <v>3.79</v>
      </c>
      <c r="D110" s="31">
        <v>133</v>
      </c>
      <c r="E110" s="26"/>
      <c r="F110" s="26"/>
    </row>
    <row r="111" spans="2:6" outlineLevel="1" x14ac:dyDescent="0.25">
      <c r="B111" s="31" t="s">
        <v>106</v>
      </c>
      <c r="C111" s="26">
        <v>3.56</v>
      </c>
      <c r="D111" s="26">
        <v>151.739</v>
      </c>
      <c r="E111" s="26"/>
      <c r="F111" s="26"/>
    </row>
    <row r="112" spans="2:6" outlineLevel="1" x14ac:dyDescent="0.25">
      <c r="B112" s="31" t="s">
        <v>107</v>
      </c>
      <c r="C112" s="26">
        <v>4.37</v>
      </c>
      <c r="D112" s="26">
        <v>151.739</v>
      </c>
      <c r="E112" s="26"/>
      <c r="F112" s="26"/>
    </row>
    <row r="113" spans="2:6" outlineLevel="1" x14ac:dyDescent="0.25">
      <c r="B113" s="31" t="s">
        <v>108</v>
      </c>
      <c r="C113" s="26">
        <v>5.71</v>
      </c>
      <c r="D113" s="26">
        <v>151.739</v>
      </c>
      <c r="E113" s="26"/>
      <c r="F113" s="26"/>
    </row>
    <row r="114" spans="2:6" outlineLevel="1" x14ac:dyDescent="0.25">
      <c r="B114" s="31" t="s">
        <v>191</v>
      </c>
      <c r="C114" s="31">
        <v>2.61</v>
      </c>
      <c r="D114" s="31">
        <v>152</v>
      </c>
      <c r="E114" s="26"/>
      <c r="F114" s="26"/>
    </row>
    <row r="115" spans="2:6" outlineLevel="1" x14ac:dyDescent="0.25">
      <c r="B115" s="31" t="s">
        <v>190</v>
      </c>
      <c r="C115" s="31">
        <v>3.25</v>
      </c>
      <c r="D115" s="31">
        <v>152</v>
      </c>
      <c r="E115" s="26"/>
      <c r="F115" s="26"/>
    </row>
    <row r="116" spans="2:6" outlineLevel="1" x14ac:dyDescent="0.25">
      <c r="B116" s="31" t="s">
        <v>136</v>
      </c>
      <c r="C116" s="26">
        <v>3.56</v>
      </c>
      <c r="D116" s="26">
        <v>151.739</v>
      </c>
      <c r="E116" s="26"/>
      <c r="F116" s="26"/>
    </row>
    <row r="117" spans="2:6" outlineLevel="1" x14ac:dyDescent="0.25">
      <c r="B117" s="31" t="s">
        <v>189</v>
      </c>
      <c r="C117" s="31">
        <v>4.37</v>
      </c>
      <c r="D117" s="31">
        <v>152</v>
      </c>
      <c r="E117" s="26"/>
      <c r="F117" s="26"/>
    </row>
    <row r="118" spans="2:6" outlineLevel="1" x14ac:dyDescent="0.25">
      <c r="B118" s="31" t="s">
        <v>109</v>
      </c>
      <c r="C118" s="26">
        <v>5.03</v>
      </c>
      <c r="D118" s="26">
        <v>189.43799999999999</v>
      </c>
      <c r="E118" s="26"/>
      <c r="F118" s="26"/>
    </row>
    <row r="119" spans="2:6" outlineLevel="1" x14ac:dyDescent="0.25">
      <c r="B119" s="31" t="s">
        <v>110</v>
      </c>
      <c r="C119" s="26">
        <v>6.19</v>
      </c>
      <c r="D119" s="26">
        <v>189.43799999999999</v>
      </c>
      <c r="E119" s="26"/>
      <c r="F119" s="26"/>
    </row>
    <row r="120" spans="2:6" outlineLevel="1" x14ac:dyDescent="0.25">
      <c r="B120" s="31" t="s">
        <v>111</v>
      </c>
      <c r="C120" s="26">
        <v>7.31</v>
      </c>
      <c r="D120" s="26">
        <v>189.43799999999999</v>
      </c>
      <c r="E120" s="26"/>
      <c r="F120" s="26"/>
    </row>
    <row r="121" spans="2:6" outlineLevel="1" x14ac:dyDescent="0.25">
      <c r="B121" s="31" t="s">
        <v>188</v>
      </c>
      <c r="C121" s="31">
        <v>3.29</v>
      </c>
      <c r="D121" s="31">
        <v>189</v>
      </c>
      <c r="E121" s="26"/>
      <c r="F121" s="26"/>
    </row>
    <row r="122" spans="2:6" outlineLevel="1" x14ac:dyDescent="0.25">
      <c r="B122" s="31" t="s">
        <v>187</v>
      </c>
      <c r="C122" s="31">
        <v>4.1100000000000003</v>
      </c>
      <c r="D122" s="31">
        <v>189</v>
      </c>
      <c r="E122" s="26"/>
      <c r="F122" s="26"/>
    </row>
    <row r="123" spans="2:6" outlineLevel="1" x14ac:dyDescent="0.25">
      <c r="B123" s="31" t="s">
        <v>186</v>
      </c>
      <c r="C123" s="31">
        <v>5.03</v>
      </c>
      <c r="D123" s="31">
        <v>189</v>
      </c>
      <c r="E123" s="26"/>
      <c r="F123" s="26"/>
    </row>
    <row r="124" spans="2:6" outlineLevel="1" x14ac:dyDescent="0.25">
      <c r="B124" s="31" t="s">
        <v>185</v>
      </c>
      <c r="C124" s="31">
        <v>6.19</v>
      </c>
      <c r="D124" s="31">
        <v>189</v>
      </c>
      <c r="E124" s="26"/>
      <c r="F124" s="26"/>
    </row>
    <row r="125" spans="2:6" outlineLevel="1" x14ac:dyDescent="0.25">
      <c r="B125" s="31" t="s">
        <v>184</v>
      </c>
      <c r="C125" s="31">
        <v>7.31</v>
      </c>
      <c r="D125" s="31">
        <v>189</v>
      </c>
      <c r="E125" s="26"/>
      <c r="F125" s="26"/>
    </row>
    <row r="126" spans="2:6" outlineLevel="1" x14ac:dyDescent="0.25">
      <c r="B126" s="31" t="s">
        <v>112</v>
      </c>
      <c r="C126" s="26">
        <v>6.44</v>
      </c>
      <c r="D126" s="26">
        <v>239.07499999999999</v>
      </c>
      <c r="E126" s="26"/>
      <c r="F126" s="26"/>
    </row>
    <row r="127" spans="2:6" outlineLevel="1" x14ac:dyDescent="0.25">
      <c r="B127" s="31" t="s">
        <v>113</v>
      </c>
      <c r="C127" s="26">
        <v>7.95</v>
      </c>
      <c r="D127" s="26">
        <v>239.07499999999999</v>
      </c>
      <c r="E127" s="26"/>
      <c r="F127" s="26"/>
    </row>
    <row r="128" spans="2:6" outlineLevel="1" x14ac:dyDescent="0.25">
      <c r="B128" s="31" t="s">
        <v>114</v>
      </c>
      <c r="C128" s="26">
        <v>10.199999999999999</v>
      </c>
      <c r="D128" s="26">
        <v>239.07499999999999</v>
      </c>
      <c r="E128" s="26"/>
      <c r="F128" s="26"/>
    </row>
    <row r="129" spans="2:6" outlineLevel="1" x14ac:dyDescent="0.25">
      <c r="B129" s="31" t="s">
        <v>183</v>
      </c>
      <c r="C129" s="31">
        <v>4.1900000000000004</v>
      </c>
      <c r="D129" s="31">
        <v>239</v>
      </c>
      <c r="E129" s="31"/>
      <c r="F129" s="31"/>
    </row>
    <row r="130" spans="2:6" outlineLevel="1" x14ac:dyDescent="0.25">
      <c r="B130" s="31" t="s">
        <v>182</v>
      </c>
      <c r="C130" s="31">
        <v>5.75</v>
      </c>
      <c r="D130" s="31">
        <v>239</v>
      </c>
      <c r="E130" s="31"/>
      <c r="F130" s="31"/>
    </row>
    <row r="131" spans="2:6" outlineLevel="1" x14ac:dyDescent="0.25">
      <c r="B131" s="31" t="s">
        <v>181</v>
      </c>
      <c r="C131" s="31">
        <v>6.44</v>
      </c>
      <c r="D131" s="31">
        <v>239</v>
      </c>
      <c r="E131" s="31"/>
      <c r="F131" s="31"/>
    </row>
    <row r="132" spans="2:6" outlineLevel="1" x14ac:dyDescent="0.25">
      <c r="B132" s="31" t="s">
        <v>180</v>
      </c>
      <c r="C132" s="31">
        <v>7.95</v>
      </c>
      <c r="D132" s="31">
        <v>239</v>
      </c>
      <c r="E132" s="31"/>
      <c r="F132" s="31"/>
    </row>
    <row r="133" spans="2:6" outlineLevel="1" x14ac:dyDescent="0.25">
      <c r="B133" s="31" t="s">
        <v>115</v>
      </c>
      <c r="C133" s="26">
        <v>10.199999999999999</v>
      </c>
      <c r="D133" s="26">
        <v>239.07499999999999</v>
      </c>
      <c r="E133" s="31"/>
      <c r="F133" s="31"/>
    </row>
    <row r="134" spans="2:6" outlineLevel="1" x14ac:dyDescent="0.25">
      <c r="B134" s="31" t="s">
        <v>179</v>
      </c>
      <c r="C134" s="31">
        <v>5.53</v>
      </c>
      <c r="D134" s="31">
        <v>279</v>
      </c>
      <c r="E134" s="31"/>
      <c r="F134" s="31"/>
    </row>
    <row r="135" spans="2:6" outlineLevel="1" x14ac:dyDescent="0.25">
      <c r="B135" s="31" t="s">
        <v>178</v>
      </c>
      <c r="C135" s="31">
        <v>6.76</v>
      </c>
      <c r="D135" s="31">
        <v>279</v>
      </c>
      <c r="E135" s="31"/>
      <c r="F135" s="31"/>
    </row>
    <row r="136" spans="2:6" outlineLevel="1" x14ac:dyDescent="0.25">
      <c r="B136" s="31" t="s">
        <v>117</v>
      </c>
      <c r="C136" s="26">
        <v>8.3800000000000008</v>
      </c>
      <c r="D136" s="26">
        <v>279.28800000000001</v>
      </c>
      <c r="E136" s="31"/>
      <c r="F136" s="31"/>
    </row>
    <row r="137" spans="2:6" outlineLevel="1" x14ac:dyDescent="0.25">
      <c r="B137" s="31" t="s">
        <v>177</v>
      </c>
      <c r="C137" s="31">
        <v>10.3</v>
      </c>
      <c r="D137" s="31">
        <v>279</v>
      </c>
      <c r="E137" s="31"/>
      <c r="F137" s="31"/>
    </row>
    <row r="138" spans="2:6" outlineLevel="1" x14ac:dyDescent="0.25">
      <c r="B138" s="31" t="s">
        <v>176</v>
      </c>
      <c r="C138" s="31">
        <v>12.1</v>
      </c>
      <c r="D138" s="31">
        <v>279</v>
      </c>
      <c r="E138" s="31"/>
      <c r="F138" s="31"/>
    </row>
    <row r="139" spans="2:6" outlineLevel="1" x14ac:dyDescent="0.25">
      <c r="B139" s="31" t="s">
        <v>116</v>
      </c>
      <c r="C139" s="26">
        <v>8.3800000000000008</v>
      </c>
      <c r="D139" s="26">
        <v>279.28800000000001</v>
      </c>
      <c r="E139" s="31"/>
      <c r="F139" s="31"/>
    </row>
    <row r="140" spans="2:6" outlineLevel="1" x14ac:dyDescent="0.25">
      <c r="B140" s="31" t="s">
        <v>118</v>
      </c>
      <c r="C140" s="26">
        <v>10.3</v>
      </c>
      <c r="D140" s="26">
        <v>279.28800000000001</v>
      </c>
      <c r="E140" s="31"/>
      <c r="F140" s="31"/>
    </row>
    <row r="141" spans="2:6" outlineLevel="1" x14ac:dyDescent="0.25">
      <c r="B141" s="31" t="s">
        <v>119</v>
      </c>
      <c r="C141" s="26">
        <v>12.1</v>
      </c>
      <c r="D141" s="26">
        <v>279.28800000000001</v>
      </c>
      <c r="E141" s="31"/>
      <c r="F141" s="31"/>
    </row>
    <row r="142" spans="2:6" outlineLevel="1" x14ac:dyDescent="0.25">
      <c r="B142" s="31" t="s">
        <v>120</v>
      </c>
      <c r="C142" s="26">
        <v>9.6300000000000008</v>
      </c>
      <c r="D142" s="26">
        <v>319.18599999999998</v>
      </c>
      <c r="E142" s="31"/>
      <c r="F142" s="31"/>
    </row>
    <row r="143" spans="2:6" outlineLevel="1" x14ac:dyDescent="0.25">
      <c r="B143" s="31" t="s">
        <v>121</v>
      </c>
      <c r="C143" s="26">
        <v>11.9</v>
      </c>
      <c r="D143" s="26">
        <v>319.18599999999998</v>
      </c>
      <c r="E143" s="31"/>
      <c r="F143" s="31"/>
    </row>
    <row r="144" spans="2:6" outlineLevel="1" x14ac:dyDescent="0.25">
      <c r="B144" s="31" t="s">
        <v>175</v>
      </c>
      <c r="C144" s="31">
        <v>6.35</v>
      </c>
      <c r="D144" s="31">
        <v>319</v>
      </c>
      <c r="E144" s="31"/>
      <c r="F144" s="31"/>
    </row>
    <row r="145" spans="2:6" outlineLevel="1" x14ac:dyDescent="0.25">
      <c r="B145" s="31" t="s">
        <v>174</v>
      </c>
      <c r="C145" s="31">
        <v>7.77</v>
      </c>
      <c r="D145" s="31">
        <v>319</v>
      </c>
      <c r="E145" s="31"/>
      <c r="F145" s="31"/>
    </row>
    <row r="146" spans="2:6" outlineLevel="1" x14ac:dyDescent="0.25">
      <c r="B146" s="31" t="s">
        <v>173</v>
      </c>
      <c r="C146" s="31">
        <v>9.6300000000000008</v>
      </c>
      <c r="D146" s="31">
        <v>319</v>
      </c>
      <c r="E146" s="31"/>
      <c r="F146" s="31"/>
    </row>
    <row r="147" spans="2:6" outlineLevel="1" x14ac:dyDescent="0.25">
      <c r="B147" s="31" t="s">
        <v>172</v>
      </c>
      <c r="C147" s="31">
        <v>11.9</v>
      </c>
      <c r="D147" s="31">
        <v>319</v>
      </c>
      <c r="E147" s="31"/>
      <c r="F147" s="31"/>
    </row>
    <row r="148" spans="2:6" outlineLevel="1" x14ac:dyDescent="0.25">
      <c r="B148" s="31" t="s">
        <v>122</v>
      </c>
      <c r="C148" s="26">
        <v>12.2</v>
      </c>
      <c r="D148" s="26">
        <v>359.084</v>
      </c>
      <c r="E148" s="31"/>
      <c r="F148" s="31"/>
    </row>
    <row r="149" spans="2:6" outlineLevel="1" x14ac:dyDescent="0.25">
      <c r="B149" s="31" t="s">
        <v>123</v>
      </c>
      <c r="C149" s="26">
        <v>14.5</v>
      </c>
      <c r="D149" s="26">
        <v>359.084</v>
      </c>
      <c r="E149" s="31"/>
      <c r="F149" s="31"/>
    </row>
    <row r="150" spans="2:6" outlineLevel="1" x14ac:dyDescent="0.25">
      <c r="B150" s="31" t="s">
        <v>171</v>
      </c>
      <c r="C150" s="31">
        <v>8.77</v>
      </c>
      <c r="D150" s="31">
        <v>359</v>
      </c>
      <c r="E150" s="31"/>
      <c r="F150" s="31"/>
    </row>
    <row r="151" spans="2:6" outlineLevel="1" x14ac:dyDescent="0.25">
      <c r="B151" s="31" t="s">
        <v>170</v>
      </c>
      <c r="C151" s="31">
        <v>9.83</v>
      </c>
      <c r="D151" s="31">
        <v>359</v>
      </c>
      <c r="E151" s="31"/>
      <c r="F151" s="31"/>
    </row>
    <row r="152" spans="2:6" outlineLevel="1" x14ac:dyDescent="0.25">
      <c r="B152" s="31" t="s">
        <v>169</v>
      </c>
      <c r="C152" s="31">
        <v>12.2</v>
      </c>
      <c r="D152" s="31">
        <v>359</v>
      </c>
      <c r="E152" s="31"/>
      <c r="F152" s="31"/>
    </row>
    <row r="153" spans="2:6" outlineLevel="1" x14ac:dyDescent="0.25">
      <c r="B153" s="31" t="s">
        <v>168</v>
      </c>
      <c r="C153" s="31">
        <v>14.5</v>
      </c>
      <c r="D153" s="31">
        <v>359</v>
      </c>
      <c r="E153" s="31"/>
      <c r="F153" s="31"/>
    </row>
    <row r="154" spans="2:6" outlineLevel="1" x14ac:dyDescent="0.25">
      <c r="B154" s="31" t="s">
        <v>124</v>
      </c>
      <c r="C154" s="26">
        <v>16.600000000000001</v>
      </c>
      <c r="D154" s="26">
        <v>438.88</v>
      </c>
      <c r="E154" s="31"/>
      <c r="F154" s="31"/>
    </row>
    <row r="155" spans="2:6" outlineLevel="1" x14ac:dyDescent="0.25">
      <c r="B155" s="31" t="s">
        <v>125</v>
      </c>
      <c r="C155" s="26">
        <v>17.899999999999999</v>
      </c>
      <c r="D155" s="26">
        <v>438.88</v>
      </c>
      <c r="E155" s="31"/>
      <c r="F155" s="31"/>
    </row>
    <row r="156" spans="2:6" outlineLevel="1" x14ac:dyDescent="0.25">
      <c r="B156" s="31" t="s">
        <v>167</v>
      </c>
      <c r="C156" s="31">
        <v>10.1</v>
      </c>
      <c r="D156" s="31">
        <v>439</v>
      </c>
      <c r="E156" s="31"/>
      <c r="F156" s="31"/>
    </row>
    <row r="157" spans="2:6" outlineLevel="1" x14ac:dyDescent="0.25">
      <c r="B157" s="31" t="s">
        <v>166</v>
      </c>
      <c r="C157" s="31">
        <v>11.8</v>
      </c>
      <c r="D157" s="31">
        <v>439</v>
      </c>
      <c r="E157" s="31"/>
      <c r="F157" s="31"/>
    </row>
    <row r="158" spans="2:6" outlineLevel="1" x14ac:dyDescent="0.25">
      <c r="B158" s="31" t="s">
        <v>165</v>
      </c>
      <c r="C158" s="31">
        <v>16.600000000000001</v>
      </c>
      <c r="D158" s="31">
        <v>439</v>
      </c>
      <c r="E158" s="31"/>
      <c r="F158" s="31"/>
    </row>
    <row r="159" spans="2:6" outlineLevel="1" x14ac:dyDescent="0.25">
      <c r="B159" s="31" t="s">
        <v>164</v>
      </c>
      <c r="C159" s="31">
        <v>17.899999999999999</v>
      </c>
      <c r="D159" s="31">
        <v>439</v>
      </c>
      <c r="E159" s="31"/>
      <c r="F159" s="31"/>
    </row>
    <row r="160" spans="2:6" outlineLevel="1" x14ac:dyDescent="0.25">
      <c r="B160" s="31" t="s">
        <v>126</v>
      </c>
      <c r="C160" s="26">
        <v>19.7</v>
      </c>
      <c r="D160" s="26">
        <v>518.67700000000002</v>
      </c>
      <c r="E160" s="31"/>
      <c r="F160" s="31"/>
    </row>
    <row r="161" spans="2:6" outlineLevel="1" x14ac:dyDescent="0.25">
      <c r="B161" s="31" t="s">
        <v>127</v>
      </c>
      <c r="C161" s="26">
        <v>21.3</v>
      </c>
      <c r="D161" s="26">
        <v>518.67700000000002</v>
      </c>
      <c r="E161" s="31"/>
      <c r="F161" s="31"/>
    </row>
    <row r="162" spans="2:6" outlineLevel="1" x14ac:dyDescent="0.25">
      <c r="B162" s="31" t="s">
        <v>163</v>
      </c>
      <c r="C162" s="31">
        <v>12</v>
      </c>
      <c r="D162" s="31">
        <v>519</v>
      </c>
      <c r="E162" s="31"/>
      <c r="F162" s="31"/>
    </row>
    <row r="163" spans="2:6" outlineLevel="1" x14ac:dyDescent="0.25">
      <c r="B163" s="31" t="s">
        <v>162</v>
      </c>
      <c r="C163" s="31">
        <v>13.9</v>
      </c>
      <c r="D163" s="31">
        <v>519</v>
      </c>
      <c r="E163" s="31"/>
      <c r="F163" s="31"/>
    </row>
    <row r="164" spans="2:6" outlineLevel="1" x14ac:dyDescent="0.25">
      <c r="B164" s="31" t="s">
        <v>161</v>
      </c>
      <c r="C164" s="31">
        <v>19.7</v>
      </c>
      <c r="D164" s="31">
        <v>519</v>
      </c>
      <c r="E164" s="31"/>
      <c r="F164" s="31"/>
    </row>
    <row r="165" spans="2:6" outlineLevel="1" x14ac:dyDescent="0.25">
      <c r="B165" s="31" t="s">
        <v>160</v>
      </c>
      <c r="C165" s="31">
        <v>21.3</v>
      </c>
      <c r="D165" s="31">
        <v>519</v>
      </c>
      <c r="E165" s="31"/>
      <c r="F165" s="31"/>
    </row>
    <row r="166" spans="2:6" outlineLevel="1" x14ac:dyDescent="0.25">
      <c r="B166" s="31" t="s">
        <v>159</v>
      </c>
      <c r="C166" s="31">
        <v>19.399999999999999</v>
      </c>
      <c r="D166" s="31">
        <v>529</v>
      </c>
      <c r="E166" s="31"/>
      <c r="F166" s="31"/>
    </row>
    <row r="167" spans="2:6" outlineLevel="1" x14ac:dyDescent="0.25">
      <c r="B167" s="31" t="s">
        <v>128</v>
      </c>
      <c r="C167" s="26">
        <v>23.7</v>
      </c>
      <c r="D167" s="26">
        <v>528.73</v>
      </c>
      <c r="E167" s="31"/>
      <c r="F167" s="31"/>
    </row>
    <row r="168" spans="2:6" outlineLevel="1" x14ac:dyDescent="0.25">
      <c r="B168" s="31" t="s">
        <v>129</v>
      </c>
      <c r="C168" s="26">
        <v>26.3</v>
      </c>
      <c r="D168" s="26">
        <v>528.73</v>
      </c>
      <c r="E168" s="31"/>
      <c r="F168" s="31"/>
    </row>
    <row r="169" spans="2:6" outlineLevel="1" x14ac:dyDescent="0.25">
      <c r="B169" s="31" t="s">
        <v>158</v>
      </c>
      <c r="C169" s="31">
        <v>25.4</v>
      </c>
      <c r="D169" s="31">
        <v>688</v>
      </c>
      <c r="E169" s="31"/>
      <c r="F169" s="31"/>
    </row>
    <row r="170" spans="2:6" outlineLevel="1" x14ac:dyDescent="0.25">
      <c r="B170" s="31" t="s">
        <v>157</v>
      </c>
      <c r="C170" s="31">
        <v>33.6</v>
      </c>
      <c r="D170" s="31">
        <v>688</v>
      </c>
      <c r="E170" s="31"/>
      <c r="F170" s="31"/>
    </row>
    <row r="171" spans="2:6" outlineLevel="1" x14ac:dyDescent="0.25">
      <c r="B171" s="31" t="s">
        <v>156</v>
      </c>
      <c r="C171" s="31">
        <v>42.6</v>
      </c>
      <c r="D171" s="31">
        <v>688</v>
      </c>
      <c r="E171" s="31"/>
      <c r="F171" s="31"/>
    </row>
    <row r="172" spans="2:6" outlineLevel="1" x14ac:dyDescent="0.25">
      <c r="B172" s="31" t="s">
        <v>155</v>
      </c>
      <c r="C172" s="31">
        <v>31.8</v>
      </c>
      <c r="D172" s="31">
        <v>858</v>
      </c>
      <c r="E172" s="31"/>
      <c r="F172" s="31"/>
    </row>
    <row r="173" spans="2:6" outlineLevel="1" x14ac:dyDescent="0.25">
      <c r="B173" s="31" t="s">
        <v>154</v>
      </c>
      <c r="C173" s="31">
        <v>42.1</v>
      </c>
      <c r="D173" s="31">
        <v>858</v>
      </c>
      <c r="E173" s="31"/>
      <c r="F173" s="31"/>
    </row>
    <row r="174" spans="2:6" outlineLevel="1" x14ac:dyDescent="0.25">
      <c r="B174" s="31" t="s">
        <v>153</v>
      </c>
      <c r="C174" s="31">
        <v>60.5</v>
      </c>
      <c r="D174" s="31">
        <v>858</v>
      </c>
      <c r="E174" s="31"/>
      <c r="F174" s="31"/>
    </row>
    <row r="175" spans="2:6" outlineLevel="1" x14ac:dyDescent="0.25">
      <c r="B175" s="31" t="s">
        <v>152</v>
      </c>
      <c r="C175" s="31">
        <v>81.599999999999994</v>
      </c>
      <c r="D175" s="31">
        <v>858</v>
      </c>
      <c r="E175" s="31"/>
      <c r="F175" s="31"/>
    </row>
    <row r="176" spans="2:6" outlineLevel="1" x14ac:dyDescent="0.25">
      <c r="B176" s="31" t="s">
        <v>151</v>
      </c>
      <c r="C176" s="31">
        <v>50.1</v>
      </c>
      <c r="D176" s="31">
        <v>1020</v>
      </c>
      <c r="E176" s="31"/>
      <c r="F176" s="31"/>
    </row>
    <row r="177" spans="2:6" outlineLevel="1" x14ac:dyDescent="0.25">
      <c r="B177" s="31" t="s">
        <v>150</v>
      </c>
      <c r="C177" s="31">
        <v>73.7</v>
      </c>
      <c r="D177" s="31">
        <v>1020</v>
      </c>
      <c r="E177" s="31"/>
      <c r="F177" s="31"/>
    </row>
    <row r="178" spans="2:6" outlineLevel="1" x14ac:dyDescent="0.25">
      <c r="B178" s="31" t="s">
        <v>149</v>
      </c>
      <c r="C178" s="31">
        <v>97.5</v>
      </c>
      <c r="D178" s="31">
        <v>1020</v>
      </c>
      <c r="E178" s="31"/>
      <c r="F178" s="31"/>
    </row>
    <row r="179" spans="2:6" outlineLevel="1" x14ac:dyDescent="0.25">
      <c r="B179" s="31" t="s">
        <v>148</v>
      </c>
      <c r="C179" s="31">
        <v>55.1</v>
      </c>
      <c r="D179" s="31">
        <v>1120</v>
      </c>
      <c r="E179" s="31"/>
      <c r="F179" s="31"/>
    </row>
    <row r="180" spans="2:6" outlineLevel="1" x14ac:dyDescent="0.25">
      <c r="B180" s="31" t="s">
        <v>147</v>
      </c>
      <c r="C180" s="31">
        <v>81.099999999999994</v>
      </c>
      <c r="D180" s="31">
        <v>1120</v>
      </c>
      <c r="E180" s="31"/>
      <c r="F180" s="31"/>
    </row>
    <row r="181" spans="2:6" outlineLevel="1" x14ac:dyDescent="0.25">
      <c r="B181" s="31" t="s">
        <v>146</v>
      </c>
      <c r="C181" s="31">
        <v>107</v>
      </c>
      <c r="D181" s="31">
        <v>1120</v>
      </c>
      <c r="E181" s="31"/>
      <c r="F181" s="31"/>
    </row>
    <row r="182" spans="2:6" outlineLevel="1" x14ac:dyDescent="0.25">
      <c r="B182" s="31" t="s">
        <v>145</v>
      </c>
      <c r="C182" s="31">
        <v>63.1</v>
      </c>
      <c r="D182" s="31">
        <v>1280</v>
      </c>
      <c r="E182" s="31"/>
      <c r="F182" s="31"/>
    </row>
    <row r="183" spans="2:6" outlineLevel="1" x14ac:dyDescent="0.25">
      <c r="B183" s="31" t="s">
        <v>144</v>
      </c>
      <c r="C183" s="31">
        <v>93</v>
      </c>
      <c r="D183" s="31">
        <v>1280</v>
      </c>
      <c r="E183" s="31"/>
      <c r="F183" s="31"/>
    </row>
    <row r="184" spans="2:6" outlineLevel="1" x14ac:dyDescent="0.25">
      <c r="B184" s="31" t="s">
        <v>143</v>
      </c>
      <c r="C184" s="31">
        <v>123</v>
      </c>
      <c r="D184" s="31">
        <v>1280</v>
      </c>
      <c r="E184" s="31"/>
      <c r="F184" s="31"/>
    </row>
    <row r="185" spans="2:6" outlineLevel="1" x14ac:dyDescent="0.25">
      <c r="B185" s="31" t="s">
        <v>142</v>
      </c>
      <c r="C185" s="31">
        <v>71.099999999999994</v>
      </c>
      <c r="D185" s="31">
        <v>1440</v>
      </c>
      <c r="E185" s="31"/>
      <c r="F185" s="31"/>
    </row>
    <row r="186" spans="2:6" outlineLevel="1" x14ac:dyDescent="0.25">
      <c r="B186" s="31" t="s">
        <v>141</v>
      </c>
      <c r="C186" s="31">
        <v>105</v>
      </c>
      <c r="D186" s="31">
        <v>1440</v>
      </c>
      <c r="E186" s="31"/>
      <c r="F186" s="31"/>
    </row>
    <row r="187" spans="2:6" outlineLevel="1" x14ac:dyDescent="0.25">
      <c r="B187" s="31" t="s">
        <v>140</v>
      </c>
      <c r="C187" s="31">
        <v>139</v>
      </c>
      <c r="D187" s="31">
        <v>1440</v>
      </c>
      <c r="E187" s="31"/>
      <c r="F187" s="31"/>
    </row>
    <row r="188" spans="2:6" outlineLevel="1" x14ac:dyDescent="0.25">
      <c r="B188" s="31" t="s">
        <v>130</v>
      </c>
      <c r="C188" s="26">
        <v>79.2</v>
      </c>
      <c r="D188" s="26">
        <v>1595.93</v>
      </c>
      <c r="E188" s="31"/>
      <c r="F188" s="31"/>
    </row>
    <row r="189" spans="2:6" outlineLevel="1" x14ac:dyDescent="0.25">
      <c r="B189" s="31" t="s">
        <v>139</v>
      </c>
      <c r="C189" s="31">
        <v>79.2</v>
      </c>
      <c r="D189" s="31">
        <v>1600</v>
      </c>
      <c r="E189" s="31"/>
      <c r="F189" s="31"/>
    </row>
    <row r="190" spans="2:6" outlineLevel="1" x14ac:dyDescent="0.25">
      <c r="B190" s="31" t="s">
        <v>131</v>
      </c>
      <c r="C190" s="26">
        <v>117</v>
      </c>
      <c r="D190" s="26">
        <v>1595.93</v>
      </c>
      <c r="E190" s="31"/>
      <c r="F190" s="31"/>
    </row>
    <row r="191" spans="2:6" outlineLevel="1" x14ac:dyDescent="0.25">
      <c r="B191" s="31" t="s">
        <v>138</v>
      </c>
      <c r="C191" s="31">
        <v>117</v>
      </c>
      <c r="D191" s="31">
        <v>1600</v>
      </c>
      <c r="E191" s="31"/>
      <c r="F191" s="31"/>
    </row>
    <row r="192" spans="2:6" outlineLevel="1" x14ac:dyDescent="0.25">
      <c r="B192" s="31" t="s">
        <v>132</v>
      </c>
      <c r="C192" s="26">
        <v>155</v>
      </c>
      <c r="D192" s="26">
        <v>1595.93</v>
      </c>
      <c r="E192" s="31"/>
      <c r="F192" s="31"/>
    </row>
    <row r="193" spans="2:12" outlineLevel="1" x14ac:dyDescent="0.25">
      <c r="B193" s="31" t="s">
        <v>137</v>
      </c>
      <c r="C193" s="31">
        <v>155</v>
      </c>
      <c r="D193" s="31">
        <v>1600</v>
      </c>
      <c r="E193" s="31"/>
      <c r="F193" s="31"/>
    </row>
    <row r="194" spans="2:12" outlineLevel="1" x14ac:dyDescent="0.25">
      <c r="B194" s="31" t="s">
        <v>133</v>
      </c>
      <c r="C194" s="26">
        <v>95.3</v>
      </c>
      <c r="D194" s="26">
        <v>1916.37</v>
      </c>
      <c r="E194" s="31"/>
      <c r="F194" s="31"/>
    </row>
    <row r="195" spans="2:12" outlineLevel="1" x14ac:dyDescent="0.25">
      <c r="B195" s="31" t="s">
        <v>134</v>
      </c>
      <c r="C195" s="26">
        <v>141</v>
      </c>
      <c r="D195" s="26">
        <v>1916.37</v>
      </c>
      <c r="E195" s="31"/>
      <c r="F195" s="31"/>
    </row>
    <row r="196" spans="2:12" outlineLevel="1" x14ac:dyDescent="0.25">
      <c r="B196" s="31" t="s">
        <v>135</v>
      </c>
      <c r="C196" s="26">
        <v>187</v>
      </c>
      <c r="D196" s="26">
        <v>1916.37</v>
      </c>
      <c r="E196" s="31"/>
      <c r="F196" s="31"/>
    </row>
    <row r="197" spans="2:12" outlineLevel="1" x14ac:dyDescent="0.25">
      <c r="B197" s="72" t="s">
        <v>604</v>
      </c>
      <c r="C197" s="72" t="s">
        <v>604</v>
      </c>
      <c r="D197" s="72" t="s">
        <v>604</v>
      </c>
      <c r="E197" s="69"/>
      <c r="F197" s="69"/>
      <c r="G197" s="70" t="s">
        <v>603</v>
      </c>
    </row>
    <row r="198" spans="2:12" s="67" customFormat="1" outlineLevel="1" x14ac:dyDescent="0.25">
      <c r="B198" s="68"/>
      <c r="C198" s="69"/>
      <c r="D198" s="69"/>
      <c r="E198" s="69"/>
      <c r="F198" s="69"/>
      <c r="G198" s="70" t="s">
        <v>602</v>
      </c>
      <c r="L198" s="71"/>
    </row>
    <row r="199" spans="2:12" s="67" customFormat="1" outlineLevel="1" x14ac:dyDescent="0.25">
      <c r="B199" s="27"/>
      <c r="C199" s="27"/>
      <c r="D199" s="27"/>
      <c r="E199" s="27"/>
      <c r="F199" s="27"/>
      <c r="G199" s="27"/>
      <c r="L199" s="71"/>
    </row>
    <row r="200" spans="2:12" x14ac:dyDescent="0.25">
      <c r="B200" s="29" t="s">
        <v>6</v>
      </c>
      <c r="C200" s="29" t="s">
        <v>1</v>
      </c>
      <c r="D200" s="29" t="s">
        <v>2</v>
      </c>
      <c r="E200" s="29"/>
      <c r="F200" s="29"/>
    </row>
    <row r="201" spans="2:12" x14ac:dyDescent="0.25">
      <c r="B201" s="31" t="s">
        <v>206</v>
      </c>
      <c r="C201" s="26">
        <v>1.1000000000000001</v>
      </c>
      <c r="D201" s="26">
        <v>100</v>
      </c>
      <c r="E201" s="26"/>
      <c r="F201" s="26"/>
    </row>
    <row r="202" spans="2:12" outlineLevel="1" x14ac:dyDescent="0.25">
      <c r="B202" s="31" t="s">
        <v>207</v>
      </c>
      <c r="C202" s="26">
        <v>1.7</v>
      </c>
      <c r="D202" s="26">
        <v>100</v>
      </c>
      <c r="E202" s="26"/>
      <c r="F202" s="26"/>
    </row>
    <row r="203" spans="2:12" outlineLevel="1" x14ac:dyDescent="0.25">
      <c r="B203" s="31" t="s">
        <v>208</v>
      </c>
      <c r="C203" s="26">
        <v>2.1</v>
      </c>
      <c r="D203" s="26">
        <v>100</v>
      </c>
      <c r="E203" s="26"/>
      <c r="F203" s="26"/>
    </row>
    <row r="204" spans="2:12" outlineLevel="1" x14ac:dyDescent="0.25">
      <c r="B204" s="31" t="s">
        <v>209</v>
      </c>
      <c r="C204" s="26">
        <v>1.4</v>
      </c>
      <c r="D204" s="26">
        <v>120</v>
      </c>
      <c r="E204" s="26"/>
      <c r="F204" s="26"/>
    </row>
    <row r="205" spans="2:12" outlineLevel="1" x14ac:dyDescent="0.25">
      <c r="B205" s="31" t="s">
        <v>210</v>
      </c>
      <c r="C205" s="26">
        <v>2</v>
      </c>
      <c r="D205" s="26">
        <v>120</v>
      </c>
      <c r="E205" s="26"/>
      <c r="F205" s="26"/>
    </row>
    <row r="206" spans="2:12" outlineLevel="1" x14ac:dyDescent="0.25">
      <c r="B206" s="31" t="s">
        <v>211</v>
      </c>
      <c r="C206" s="26">
        <v>2.6</v>
      </c>
      <c r="D206" s="26">
        <v>120</v>
      </c>
      <c r="E206" s="26"/>
      <c r="F206" s="26"/>
    </row>
    <row r="207" spans="2:12" outlineLevel="1" x14ac:dyDescent="0.25">
      <c r="B207" s="31" t="s">
        <v>212</v>
      </c>
      <c r="C207" s="26">
        <v>1.8</v>
      </c>
      <c r="D207" s="26">
        <v>160</v>
      </c>
      <c r="E207" s="26"/>
      <c r="F207" s="26"/>
    </row>
    <row r="208" spans="2:12" outlineLevel="1" x14ac:dyDescent="0.25">
      <c r="B208" s="31" t="s">
        <v>213</v>
      </c>
      <c r="C208" s="26">
        <v>2.7</v>
      </c>
      <c r="D208" s="26">
        <v>160</v>
      </c>
      <c r="E208" s="26"/>
      <c r="F208" s="26"/>
    </row>
    <row r="209" spans="2:6" outlineLevel="1" x14ac:dyDescent="0.25">
      <c r="B209" s="31" t="s">
        <v>214</v>
      </c>
      <c r="C209" s="26">
        <v>3.5</v>
      </c>
      <c r="D209" s="26">
        <v>160</v>
      </c>
      <c r="E209" s="26"/>
      <c r="F209" s="26"/>
    </row>
    <row r="210" spans="2:6" outlineLevel="1" x14ac:dyDescent="0.25">
      <c r="B210" s="31" t="s">
        <v>215</v>
      </c>
      <c r="C210" s="26">
        <v>2.1</v>
      </c>
      <c r="D210" s="26">
        <v>180</v>
      </c>
      <c r="E210" s="26"/>
      <c r="F210" s="26"/>
    </row>
    <row r="211" spans="2:6" outlineLevel="1" x14ac:dyDescent="0.25">
      <c r="B211" s="31" t="s">
        <v>216</v>
      </c>
      <c r="C211" s="26">
        <v>3.1</v>
      </c>
      <c r="D211" s="26">
        <v>180</v>
      </c>
      <c r="E211" s="26"/>
      <c r="F211" s="26"/>
    </row>
    <row r="212" spans="2:6" outlineLevel="1" x14ac:dyDescent="0.25">
      <c r="B212" s="31" t="s">
        <v>217</v>
      </c>
      <c r="C212" s="26">
        <v>4</v>
      </c>
      <c r="D212" s="26">
        <v>180</v>
      </c>
      <c r="E212" s="26"/>
      <c r="F212" s="26"/>
    </row>
    <row r="213" spans="2:6" outlineLevel="1" x14ac:dyDescent="0.25">
      <c r="B213" s="31" t="s">
        <v>218</v>
      </c>
      <c r="C213" s="26">
        <v>2.2999999999999998</v>
      </c>
      <c r="D213" s="26">
        <v>200</v>
      </c>
      <c r="E213" s="26"/>
      <c r="F213" s="26"/>
    </row>
    <row r="214" spans="2:6" outlineLevel="1" x14ac:dyDescent="0.25">
      <c r="B214" s="31" t="s">
        <v>219</v>
      </c>
      <c r="C214" s="26">
        <v>3.5</v>
      </c>
      <c r="D214" s="26">
        <v>200</v>
      </c>
      <c r="E214" s="26"/>
      <c r="F214" s="26"/>
    </row>
    <row r="215" spans="2:6" outlineLevel="1" x14ac:dyDescent="0.25">
      <c r="B215" s="31" t="s">
        <v>220</v>
      </c>
      <c r="C215" s="26">
        <v>4.5</v>
      </c>
      <c r="D215" s="26">
        <v>200</v>
      </c>
      <c r="E215" s="26"/>
      <c r="F215" s="26"/>
    </row>
    <row r="216" spans="2:6" outlineLevel="1" x14ac:dyDescent="0.25">
      <c r="B216" s="31" t="s">
        <v>221</v>
      </c>
      <c r="C216" s="26">
        <v>5.7</v>
      </c>
      <c r="D216" s="26">
        <v>200</v>
      </c>
      <c r="E216" s="26"/>
      <c r="F216" s="26"/>
    </row>
    <row r="217" spans="2:6" outlineLevel="1" x14ac:dyDescent="0.25">
      <c r="B217" s="31" t="s">
        <v>222</v>
      </c>
      <c r="C217" s="26">
        <v>3.8</v>
      </c>
      <c r="D217" s="26">
        <v>220</v>
      </c>
      <c r="E217" s="26"/>
      <c r="F217" s="26"/>
    </row>
    <row r="218" spans="2:6" outlineLevel="1" x14ac:dyDescent="0.25">
      <c r="B218" s="31" t="s">
        <v>223</v>
      </c>
      <c r="C218" s="26">
        <v>4.9000000000000004</v>
      </c>
      <c r="D218" s="26">
        <v>220</v>
      </c>
      <c r="E218" s="26"/>
      <c r="F218" s="26"/>
    </row>
    <row r="219" spans="2:6" outlineLevel="1" x14ac:dyDescent="0.25">
      <c r="B219" s="31" t="s">
        <v>224</v>
      </c>
      <c r="C219" s="26">
        <v>4.5999999999999996</v>
      </c>
      <c r="D219" s="26">
        <v>260</v>
      </c>
      <c r="E219" s="26"/>
      <c r="F219" s="26"/>
    </row>
    <row r="220" spans="2:6" outlineLevel="1" x14ac:dyDescent="0.25">
      <c r="B220" s="31" t="s">
        <v>225</v>
      </c>
      <c r="C220" s="26">
        <v>5.9</v>
      </c>
      <c r="D220" s="26">
        <v>260</v>
      </c>
      <c r="E220" s="26"/>
      <c r="F220" s="26"/>
    </row>
    <row r="221" spans="2:6" outlineLevel="1" x14ac:dyDescent="0.25">
      <c r="B221" s="31" t="s">
        <v>226</v>
      </c>
      <c r="C221" s="26">
        <v>7.5</v>
      </c>
      <c r="D221" s="26">
        <v>260</v>
      </c>
      <c r="E221" s="26"/>
      <c r="F221" s="26"/>
    </row>
    <row r="222" spans="2:6" outlineLevel="1" x14ac:dyDescent="0.25">
      <c r="B222" s="31" t="s">
        <v>227</v>
      </c>
      <c r="C222" s="26">
        <v>9</v>
      </c>
      <c r="D222" s="26">
        <v>260</v>
      </c>
      <c r="E222" s="26"/>
      <c r="F222" s="26"/>
    </row>
    <row r="223" spans="2:6" outlineLevel="1" x14ac:dyDescent="0.25">
      <c r="B223" s="31" t="s">
        <v>228</v>
      </c>
      <c r="C223" s="26">
        <v>5.3</v>
      </c>
      <c r="D223" s="26">
        <v>300</v>
      </c>
      <c r="E223" s="26"/>
      <c r="F223" s="26"/>
    </row>
    <row r="224" spans="2:6" outlineLevel="1" x14ac:dyDescent="0.25">
      <c r="B224" s="31" t="s">
        <v>229</v>
      </c>
      <c r="C224" s="26">
        <v>6.8</v>
      </c>
      <c r="D224" s="26">
        <v>300</v>
      </c>
      <c r="E224" s="26"/>
      <c r="F224" s="26"/>
    </row>
    <row r="225" spans="2:6" outlineLevel="1" x14ac:dyDescent="0.25">
      <c r="B225" s="31" t="s">
        <v>230</v>
      </c>
      <c r="C225" s="26">
        <v>8.6999999999999993</v>
      </c>
      <c r="D225" s="26">
        <v>300</v>
      </c>
      <c r="E225" s="26"/>
      <c r="F225" s="26"/>
    </row>
    <row r="226" spans="2:6" outlineLevel="1" x14ac:dyDescent="0.25">
      <c r="B226" s="31" t="s">
        <v>231</v>
      </c>
      <c r="C226" s="26">
        <v>10.5</v>
      </c>
      <c r="D226" s="26">
        <v>300</v>
      </c>
      <c r="E226" s="26"/>
      <c r="F226" s="26"/>
    </row>
    <row r="227" spans="2:6" outlineLevel="1" x14ac:dyDescent="0.25">
      <c r="B227" s="31" t="s">
        <v>232</v>
      </c>
      <c r="C227" s="26">
        <v>8.1999999999999993</v>
      </c>
      <c r="D227" s="26">
        <v>360</v>
      </c>
      <c r="E227" s="26"/>
      <c r="F227" s="26"/>
    </row>
    <row r="228" spans="2:6" outlineLevel="1" x14ac:dyDescent="0.25">
      <c r="B228" s="31" t="s">
        <v>233</v>
      </c>
      <c r="C228" s="26">
        <v>10.6</v>
      </c>
      <c r="D228" s="26">
        <v>360</v>
      </c>
      <c r="E228" s="26"/>
      <c r="F228" s="26"/>
    </row>
    <row r="229" spans="2:6" outlineLevel="1" x14ac:dyDescent="0.25">
      <c r="B229" s="31" t="s">
        <v>234</v>
      </c>
      <c r="C229" s="26">
        <v>12.7</v>
      </c>
      <c r="D229" s="26">
        <v>360</v>
      </c>
      <c r="E229" s="26"/>
      <c r="F229" s="26"/>
    </row>
    <row r="230" spans="2:6" outlineLevel="1" x14ac:dyDescent="0.25">
      <c r="B230" s="31" t="s">
        <v>235</v>
      </c>
      <c r="C230" s="26">
        <v>9.1999999999999993</v>
      </c>
      <c r="D230" s="26">
        <v>400</v>
      </c>
      <c r="E230" s="26"/>
      <c r="F230" s="26"/>
    </row>
    <row r="231" spans="2:6" outlineLevel="1" x14ac:dyDescent="0.25">
      <c r="B231" s="31" t="s">
        <v>236</v>
      </c>
      <c r="C231" s="26">
        <v>11.8</v>
      </c>
      <c r="D231" s="26">
        <v>400</v>
      </c>
      <c r="E231" s="26"/>
      <c r="F231" s="26"/>
    </row>
    <row r="232" spans="2:6" outlineLevel="1" x14ac:dyDescent="0.25">
      <c r="B232" s="31" t="s">
        <v>237</v>
      </c>
      <c r="C232" s="26">
        <v>14.2</v>
      </c>
      <c r="D232" s="26">
        <v>400</v>
      </c>
      <c r="E232" s="26"/>
      <c r="F232" s="26"/>
    </row>
    <row r="233" spans="2:6" outlineLevel="1" x14ac:dyDescent="0.25">
      <c r="B233" s="31" t="s">
        <v>238</v>
      </c>
      <c r="C233" s="26">
        <v>17.7</v>
      </c>
      <c r="D233" s="26">
        <v>400</v>
      </c>
      <c r="E233" s="26"/>
      <c r="F233" s="26"/>
    </row>
    <row r="234" spans="2:6" outlineLevel="1" x14ac:dyDescent="0.25">
      <c r="B234" s="31" t="s">
        <v>239</v>
      </c>
      <c r="C234" s="26">
        <v>14.9</v>
      </c>
      <c r="D234" s="26">
        <v>500</v>
      </c>
      <c r="E234" s="26"/>
      <c r="F234" s="26"/>
    </row>
    <row r="235" spans="2:6" outlineLevel="1" x14ac:dyDescent="0.25">
      <c r="B235" s="31" t="s">
        <v>240</v>
      </c>
      <c r="C235" s="26">
        <v>18</v>
      </c>
      <c r="D235" s="26">
        <v>500</v>
      </c>
      <c r="E235" s="26"/>
      <c r="F235" s="26"/>
    </row>
    <row r="236" spans="2:6" outlineLevel="1" x14ac:dyDescent="0.25">
      <c r="B236" s="31" t="s">
        <v>241</v>
      </c>
      <c r="C236" s="26">
        <v>22.5</v>
      </c>
      <c r="D236" s="26">
        <v>500</v>
      </c>
      <c r="E236" s="26"/>
      <c r="F236" s="26"/>
    </row>
    <row r="237" spans="2:6" outlineLevel="1" x14ac:dyDescent="0.25">
      <c r="B237" s="31" t="s">
        <v>242</v>
      </c>
      <c r="C237" s="26">
        <v>29.1</v>
      </c>
      <c r="D237" s="26">
        <v>500</v>
      </c>
      <c r="E237" s="26"/>
      <c r="F237" s="26"/>
    </row>
    <row r="238" spans="2:6" outlineLevel="1" x14ac:dyDescent="0.25">
      <c r="B238" s="31" t="s">
        <v>243</v>
      </c>
      <c r="C238" s="26">
        <v>21.9</v>
      </c>
      <c r="D238" s="26">
        <v>600</v>
      </c>
      <c r="E238" s="26"/>
      <c r="F238" s="26"/>
    </row>
    <row r="239" spans="2:6" outlineLevel="1" x14ac:dyDescent="0.25">
      <c r="B239" s="31" t="s">
        <v>244</v>
      </c>
      <c r="C239" s="26">
        <v>27.3</v>
      </c>
      <c r="D239" s="26">
        <v>600</v>
      </c>
      <c r="E239" s="26"/>
      <c r="F239" s="26"/>
    </row>
    <row r="240" spans="2:6" outlineLevel="1" x14ac:dyDescent="0.25">
      <c r="B240" s="31" t="s">
        <v>245</v>
      </c>
      <c r="C240" s="26">
        <v>35.4</v>
      </c>
      <c r="D240" s="26">
        <v>600</v>
      </c>
      <c r="E240" s="26"/>
      <c r="F240" s="26"/>
    </row>
    <row r="241" spans="2:12" outlineLevel="1" x14ac:dyDescent="0.25">
      <c r="B241" s="31" t="s">
        <v>246</v>
      </c>
      <c r="C241" s="26">
        <v>42.1</v>
      </c>
      <c r="D241" s="26">
        <v>600</v>
      </c>
      <c r="E241" s="26"/>
      <c r="F241" s="26"/>
    </row>
    <row r="242" spans="2:12" outlineLevel="1" x14ac:dyDescent="0.25">
      <c r="B242" s="31" t="s">
        <v>247</v>
      </c>
      <c r="C242" s="26">
        <v>40</v>
      </c>
      <c r="D242" s="26">
        <v>800</v>
      </c>
      <c r="E242" s="26"/>
      <c r="F242" s="26"/>
    </row>
    <row r="243" spans="2:12" outlineLevel="1" x14ac:dyDescent="0.25">
      <c r="B243" s="31" t="s">
        <v>248</v>
      </c>
      <c r="C243" s="26">
        <v>48.7</v>
      </c>
      <c r="D243" s="26">
        <v>800</v>
      </c>
      <c r="E243" s="26"/>
      <c r="F243" s="26"/>
    </row>
    <row r="244" spans="2:12" outlineLevel="1" x14ac:dyDescent="0.25">
      <c r="B244" s="31" t="s">
        <v>249</v>
      </c>
      <c r="C244" s="26">
        <v>54.4</v>
      </c>
      <c r="D244" s="26">
        <v>800</v>
      </c>
      <c r="E244" s="26"/>
      <c r="F244" s="26"/>
    </row>
    <row r="245" spans="2:12" outlineLevel="1" x14ac:dyDescent="0.25">
      <c r="B245" s="31" t="s">
        <v>250</v>
      </c>
      <c r="C245" s="26">
        <v>60.1</v>
      </c>
      <c r="D245" s="26">
        <v>800</v>
      </c>
      <c r="E245" s="26"/>
      <c r="F245" s="26"/>
    </row>
    <row r="246" spans="2:12" outlineLevel="1" x14ac:dyDescent="0.25">
      <c r="B246" s="31" t="s">
        <v>251</v>
      </c>
      <c r="C246" s="26">
        <v>76.8</v>
      </c>
      <c r="D246" s="26">
        <v>800</v>
      </c>
      <c r="E246" s="26"/>
      <c r="F246" s="26"/>
    </row>
    <row r="247" spans="2:12" outlineLevel="1" x14ac:dyDescent="0.25">
      <c r="B247" s="72" t="s">
        <v>604</v>
      </c>
      <c r="C247" s="72" t="s">
        <v>604</v>
      </c>
      <c r="D247" s="72" t="s">
        <v>604</v>
      </c>
      <c r="E247" s="69"/>
      <c r="F247" s="69"/>
      <c r="G247" s="70" t="s">
        <v>603</v>
      </c>
    </row>
    <row r="248" spans="2:12" s="67" customFormat="1" outlineLevel="1" x14ac:dyDescent="0.25">
      <c r="B248" s="68"/>
      <c r="C248" s="69"/>
      <c r="D248" s="69"/>
      <c r="E248" s="69"/>
      <c r="F248" s="69"/>
      <c r="G248" s="70" t="s">
        <v>602</v>
      </c>
      <c r="L248" s="71"/>
    </row>
    <row r="249" spans="2:12" s="67" customFormat="1" outlineLevel="1" x14ac:dyDescent="0.25">
      <c r="B249" s="27"/>
      <c r="C249" s="27"/>
      <c r="D249" s="27"/>
      <c r="E249" s="27"/>
      <c r="F249" s="27"/>
      <c r="G249" s="27"/>
      <c r="L249" s="71"/>
    </row>
    <row r="250" spans="2:12" x14ac:dyDescent="0.25">
      <c r="B250" s="29" t="s">
        <v>10</v>
      </c>
      <c r="C250" s="29" t="s">
        <v>1</v>
      </c>
      <c r="D250" s="29" t="s">
        <v>2</v>
      </c>
      <c r="E250" s="29"/>
      <c r="F250" s="29"/>
    </row>
    <row r="251" spans="2:12" x14ac:dyDescent="0.25">
      <c r="B251" s="31" t="s">
        <v>252</v>
      </c>
      <c r="C251" s="26">
        <v>4</v>
      </c>
      <c r="D251" s="26">
        <v>220</v>
      </c>
      <c r="E251" s="26"/>
      <c r="F251" s="26"/>
    </row>
    <row r="252" spans="2:12" outlineLevel="1" x14ac:dyDescent="0.25">
      <c r="B252" s="31" t="s">
        <v>253</v>
      </c>
      <c r="C252" s="26">
        <v>5.2</v>
      </c>
      <c r="D252" s="26">
        <v>230</v>
      </c>
      <c r="E252" s="26"/>
      <c r="F252" s="26"/>
    </row>
    <row r="253" spans="2:12" outlineLevel="1" x14ac:dyDescent="0.25">
      <c r="B253" s="31" t="s">
        <v>254</v>
      </c>
      <c r="C253" s="26">
        <v>6.6</v>
      </c>
      <c r="D253" s="26">
        <v>230</v>
      </c>
      <c r="E253" s="26"/>
      <c r="F253" s="26"/>
    </row>
    <row r="254" spans="2:12" outlineLevel="1" x14ac:dyDescent="0.25">
      <c r="B254" s="31" t="s">
        <v>255</v>
      </c>
      <c r="C254" s="26">
        <v>4.4000000000000004</v>
      </c>
      <c r="D254" s="26">
        <v>250</v>
      </c>
      <c r="E254" s="26"/>
      <c r="F254" s="26"/>
    </row>
    <row r="255" spans="2:12" outlineLevel="1" x14ac:dyDescent="0.25">
      <c r="B255" s="31" t="s">
        <v>256</v>
      </c>
      <c r="C255" s="26">
        <v>5.7</v>
      </c>
      <c r="D255" s="26">
        <v>250</v>
      </c>
      <c r="E255" s="26"/>
      <c r="F255" s="26"/>
    </row>
    <row r="256" spans="2:12" outlineLevel="1" x14ac:dyDescent="0.25">
      <c r="B256" s="31" t="s">
        <v>257</v>
      </c>
      <c r="C256" s="26">
        <v>7.2</v>
      </c>
      <c r="D256" s="26">
        <v>250</v>
      </c>
      <c r="E256" s="26"/>
      <c r="F256" s="26"/>
    </row>
    <row r="257" spans="2:12" outlineLevel="1" x14ac:dyDescent="0.25">
      <c r="B257" s="31" t="s">
        <v>258</v>
      </c>
      <c r="C257" s="26">
        <v>8</v>
      </c>
      <c r="D257" s="26">
        <v>350</v>
      </c>
      <c r="E257" s="26"/>
      <c r="F257" s="26"/>
    </row>
    <row r="258" spans="2:12" outlineLevel="1" x14ac:dyDescent="0.25">
      <c r="B258" s="31" t="s">
        <v>259</v>
      </c>
      <c r="C258" s="26">
        <v>10.3</v>
      </c>
      <c r="D258" s="26">
        <v>350</v>
      </c>
      <c r="E258" s="26"/>
      <c r="F258" s="26"/>
    </row>
    <row r="259" spans="2:12" outlineLevel="1" x14ac:dyDescent="0.25">
      <c r="B259" s="31" t="s">
        <v>260</v>
      </c>
      <c r="C259" s="26">
        <v>12.4</v>
      </c>
      <c r="D259" s="26">
        <v>350</v>
      </c>
      <c r="E259" s="26"/>
      <c r="F259" s="26"/>
    </row>
    <row r="260" spans="2:12" outlineLevel="1" x14ac:dyDescent="0.25">
      <c r="B260" s="31" t="s">
        <v>261</v>
      </c>
      <c r="C260" s="26">
        <v>9.1999999999999993</v>
      </c>
      <c r="D260" s="26">
        <v>400</v>
      </c>
      <c r="E260" s="26"/>
      <c r="F260" s="26"/>
    </row>
    <row r="261" spans="2:12" outlineLevel="1" x14ac:dyDescent="0.25">
      <c r="B261" s="31" t="s">
        <v>262</v>
      </c>
      <c r="C261" s="26">
        <v>11.8</v>
      </c>
      <c r="D261" s="26">
        <v>400</v>
      </c>
      <c r="E261" s="26"/>
      <c r="F261" s="26"/>
    </row>
    <row r="262" spans="2:12" outlineLevel="1" x14ac:dyDescent="0.25">
      <c r="B262" s="31" t="s">
        <v>263</v>
      </c>
      <c r="C262" s="26">
        <v>14.2</v>
      </c>
      <c r="D262" s="26">
        <v>400</v>
      </c>
      <c r="E262" s="26"/>
      <c r="F262" s="26"/>
    </row>
    <row r="263" spans="2:12" outlineLevel="1" x14ac:dyDescent="0.25">
      <c r="B263" s="31" t="s">
        <v>264</v>
      </c>
      <c r="C263" s="26">
        <v>17.7</v>
      </c>
      <c r="D263" s="26">
        <v>400</v>
      </c>
      <c r="E263" s="26"/>
      <c r="F263" s="26"/>
    </row>
    <row r="264" spans="2:12" outlineLevel="1" x14ac:dyDescent="0.25">
      <c r="B264" s="31" t="s">
        <v>265</v>
      </c>
      <c r="C264" s="26">
        <v>14.3</v>
      </c>
      <c r="D264" s="26">
        <v>480</v>
      </c>
      <c r="E264" s="26"/>
      <c r="F264" s="26"/>
    </row>
    <row r="265" spans="2:12" outlineLevel="1" x14ac:dyDescent="0.25">
      <c r="B265" s="31" t="s">
        <v>266</v>
      </c>
      <c r="C265" s="26">
        <v>17.3</v>
      </c>
      <c r="D265" s="26">
        <v>480</v>
      </c>
      <c r="E265" s="26"/>
      <c r="F265" s="26"/>
    </row>
    <row r="266" spans="2:12" outlineLevel="1" x14ac:dyDescent="0.25">
      <c r="B266" s="31" t="s">
        <v>267</v>
      </c>
      <c r="C266" s="26">
        <v>21.6</v>
      </c>
      <c r="D266" s="26">
        <v>480</v>
      </c>
      <c r="E266" s="26"/>
      <c r="F266" s="26"/>
    </row>
    <row r="267" spans="2:12" outlineLevel="1" x14ac:dyDescent="0.25">
      <c r="B267" s="31" t="s">
        <v>268</v>
      </c>
      <c r="C267" s="26">
        <v>27.9</v>
      </c>
      <c r="D267" s="26">
        <v>480</v>
      </c>
      <c r="E267" s="26"/>
      <c r="F267" s="26"/>
    </row>
    <row r="268" spans="2:12" outlineLevel="1" x14ac:dyDescent="0.25">
      <c r="B268" s="31" t="s">
        <v>269</v>
      </c>
      <c r="C268" s="26">
        <v>18</v>
      </c>
      <c r="D268" s="26">
        <v>500</v>
      </c>
      <c r="E268" s="26"/>
      <c r="F268" s="26"/>
    </row>
    <row r="269" spans="2:12" outlineLevel="1" x14ac:dyDescent="0.25">
      <c r="B269" s="31" t="s">
        <v>270</v>
      </c>
      <c r="C269" s="26">
        <v>22.5</v>
      </c>
      <c r="D269" s="26">
        <v>500</v>
      </c>
      <c r="E269" s="26"/>
      <c r="F269" s="26"/>
    </row>
    <row r="270" spans="2:12" outlineLevel="1" x14ac:dyDescent="0.25">
      <c r="B270" s="72" t="s">
        <v>604</v>
      </c>
      <c r="C270" s="72" t="s">
        <v>604</v>
      </c>
      <c r="D270" s="72" t="s">
        <v>604</v>
      </c>
      <c r="E270" s="69"/>
      <c r="F270" s="69"/>
      <c r="G270" s="70" t="s">
        <v>603</v>
      </c>
    </row>
    <row r="271" spans="2:12" s="67" customFormat="1" outlineLevel="1" x14ac:dyDescent="0.25">
      <c r="B271" s="68"/>
      <c r="C271" s="69"/>
      <c r="D271" s="69"/>
      <c r="E271" s="69"/>
      <c r="F271" s="69"/>
      <c r="G271" s="70" t="s">
        <v>602</v>
      </c>
      <c r="L271" s="71"/>
    </row>
    <row r="272" spans="2:12" s="67" customFormat="1" outlineLevel="1" x14ac:dyDescent="0.25">
      <c r="B272" s="27"/>
      <c r="C272" s="27"/>
      <c r="D272" s="27"/>
      <c r="E272" s="27"/>
      <c r="F272" s="27"/>
      <c r="G272" s="27"/>
      <c r="L272" s="71"/>
    </row>
    <row r="273" spans="2:6" x14ac:dyDescent="0.25">
      <c r="B273" s="29" t="s">
        <v>16</v>
      </c>
      <c r="C273" s="29" t="s">
        <v>1</v>
      </c>
      <c r="D273" s="29" t="s">
        <v>2</v>
      </c>
      <c r="E273" s="29" t="s">
        <v>4</v>
      </c>
      <c r="F273" s="29" t="s">
        <v>5</v>
      </c>
    </row>
    <row r="274" spans="2:6" x14ac:dyDescent="0.25">
      <c r="B274" s="31" t="s">
        <v>271</v>
      </c>
      <c r="C274" s="26">
        <v>1.6</v>
      </c>
      <c r="D274" s="26">
        <v>140</v>
      </c>
      <c r="E274" s="26">
        <v>127.2</v>
      </c>
      <c r="F274" s="26">
        <f>SUM(D274:E274)</f>
        <v>267.2</v>
      </c>
    </row>
    <row r="275" spans="2:6" outlineLevel="1" x14ac:dyDescent="0.25">
      <c r="B275" s="31" t="s">
        <v>272</v>
      </c>
      <c r="C275" s="26">
        <v>2</v>
      </c>
      <c r="D275" s="26">
        <v>140</v>
      </c>
      <c r="E275" s="26">
        <v>124</v>
      </c>
      <c r="F275" s="26">
        <f t="shared" ref="F275:F339" si="2">SUM(D275:E275)</f>
        <v>264</v>
      </c>
    </row>
    <row r="276" spans="2:6" outlineLevel="1" x14ac:dyDescent="0.25">
      <c r="B276" s="31" t="s">
        <v>273</v>
      </c>
      <c r="C276" s="26">
        <v>2.4</v>
      </c>
      <c r="D276" s="26">
        <v>140</v>
      </c>
      <c r="E276" s="26">
        <v>120</v>
      </c>
      <c r="F276" s="26">
        <f t="shared" si="2"/>
        <v>260</v>
      </c>
    </row>
    <row r="277" spans="2:6" outlineLevel="1" x14ac:dyDescent="0.25">
      <c r="B277" s="31" t="s">
        <v>274</v>
      </c>
      <c r="C277" s="26">
        <v>2.8</v>
      </c>
      <c r="D277" s="26">
        <v>140</v>
      </c>
      <c r="E277" s="26">
        <v>116</v>
      </c>
      <c r="F277" s="26">
        <f t="shared" si="2"/>
        <v>256</v>
      </c>
    </row>
    <row r="278" spans="2:6" outlineLevel="1" x14ac:dyDescent="0.25">
      <c r="B278" s="31" t="s">
        <v>275</v>
      </c>
      <c r="C278" s="26">
        <v>1.8</v>
      </c>
      <c r="D278" s="26">
        <v>150</v>
      </c>
      <c r="E278" s="26">
        <v>137.19999999999999</v>
      </c>
      <c r="F278" s="26">
        <f t="shared" si="2"/>
        <v>287.2</v>
      </c>
    </row>
    <row r="279" spans="2:6" outlineLevel="1" x14ac:dyDescent="0.25">
      <c r="B279" s="31" t="s">
        <v>276</v>
      </c>
      <c r="C279" s="26">
        <v>2.2000000000000002</v>
      </c>
      <c r="D279" s="26">
        <v>150</v>
      </c>
      <c r="E279" s="26">
        <v>134</v>
      </c>
      <c r="F279" s="26">
        <f t="shared" si="2"/>
        <v>284</v>
      </c>
    </row>
    <row r="280" spans="2:6" outlineLevel="1" x14ac:dyDescent="0.25">
      <c r="B280" s="31" t="s">
        <v>277</v>
      </c>
      <c r="C280" s="26">
        <v>2.6</v>
      </c>
      <c r="D280" s="26">
        <v>150</v>
      </c>
      <c r="E280" s="26">
        <v>130</v>
      </c>
      <c r="F280" s="26">
        <f t="shared" si="2"/>
        <v>280</v>
      </c>
    </row>
    <row r="281" spans="2:6" outlineLevel="1" x14ac:dyDescent="0.25">
      <c r="B281" s="31" t="s">
        <v>360</v>
      </c>
      <c r="C281" s="31">
        <v>2.62</v>
      </c>
      <c r="D281" s="31">
        <v>150</v>
      </c>
      <c r="E281" s="26"/>
      <c r="F281" s="26"/>
    </row>
    <row r="282" spans="2:6" outlineLevel="1" x14ac:dyDescent="0.25">
      <c r="B282" s="31" t="s">
        <v>278</v>
      </c>
      <c r="C282" s="26">
        <v>3.1</v>
      </c>
      <c r="D282" s="26">
        <v>150</v>
      </c>
      <c r="E282" s="26">
        <v>126</v>
      </c>
      <c r="F282" s="26">
        <f t="shared" si="2"/>
        <v>276</v>
      </c>
    </row>
    <row r="283" spans="2:6" outlineLevel="1" x14ac:dyDescent="0.25">
      <c r="B283" s="31" t="s">
        <v>279</v>
      </c>
      <c r="C283" s="26">
        <v>2.9</v>
      </c>
      <c r="D283" s="26">
        <v>200</v>
      </c>
      <c r="E283" s="26">
        <v>184</v>
      </c>
      <c r="F283" s="26">
        <f t="shared" si="2"/>
        <v>384</v>
      </c>
    </row>
    <row r="284" spans="2:6" outlineLevel="1" x14ac:dyDescent="0.25">
      <c r="B284" s="31" t="s">
        <v>280</v>
      </c>
      <c r="C284" s="26">
        <v>3.6</v>
      </c>
      <c r="D284" s="26">
        <v>200</v>
      </c>
      <c r="E284" s="26">
        <v>180</v>
      </c>
      <c r="F284" s="26">
        <f t="shared" si="2"/>
        <v>380</v>
      </c>
    </row>
    <row r="285" spans="2:6" outlineLevel="1" x14ac:dyDescent="0.25">
      <c r="B285" s="31" t="s">
        <v>281</v>
      </c>
      <c r="C285" s="26">
        <v>4.3</v>
      </c>
      <c r="D285" s="26">
        <v>200</v>
      </c>
      <c r="E285" s="26">
        <v>176</v>
      </c>
      <c r="F285" s="26">
        <f t="shared" si="2"/>
        <v>376</v>
      </c>
    </row>
    <row r="286" spans="2:6" outlineLevel="1" x14ac:dyDescent="0.25">
      <c r="B286" s="31" t="s">
        <v>359</v>
      </c>
      <c r="C286" s="31">
        <v>5.35</v>
      </c>
      <c r="D286" s="31">
        <v>200</v>
      </c>
      <c r="E286" s="26"/>
      <c r="F286" s="26"/>
    </row>
    <row r="287" spans="2:6" outlineLevel="1" x14ac:dyDescent="0.25">
      <c r="B287" s="31" t="s">
        <v>282</v>
      </c>
      <c r="C287" s="26">
        <v>2.4</v>
      </c>
      <c r="D287" s="26">
        <v>200</v>
      </c>
      <c r="E287" s="26">
        <v>187.2</v>
      </c>
      <c r="F287" s="26">
        <f t="shared" si="2"/>
        <v>387.2</v>
      </c>
    </row>
    <row r="288" spans="2:6" outlineLevel="1" x14ac:dyDescent="0.25">
      <c r="B288" s="31" t="s">
        <v>283</v>
      </c>
      <c r="C288" s="26">
        <v>2.9</v>
      </c>
      <c r="D288" s="26">
        <v>200</v>
      </c>
      <c r="E288" s="26">
        <v>184</v>
      </c>
      <c r="F288" s="26">
        <f t="shared" si="2"/>
        <v>384</v>
      </c>
    </row>
    <row r="289" spans="2:6" outlineLevel="1" x14ac:dyDescent="0.25">
      <c r="B289" s="31" t="s">
        <v>284</v>
      </c>
      <c r="C289" s="26">
        <v>3.6</v>
      </c>
      <c r="D289" s="26">
        <v>200</v>
      </c>
      <c r="E289" s="26">
        <v>180</v>
      </c>
      <c r="F289" s="26">
        <f t="shared" si="2"/>
        <v>380</v>
      </c>
    </row>
    <row r="290" spans="2:6" outlineLevel="1" x14ac:dyDescent="0.25">
      <c r="B290" s="31" t="s">
        <v>358</v>
      </c>
      <c r="C290" s="31">
        <v>3.01</v>
      </c>
      <c r="D290" s="31">
        <v>250</v>
      </c>
      <c r="E290" s="26"/>
      <c r="F290" s="26"/>
    </row>
    <row r="291" spans="2:6" outlineLevel="1" x14ac:dyDescent="0.25">
      <c r="B291" s="31" t="s">
        <v>285</v>
      </c>
      <c r="C291" s="26">
        <v>3.7</v>
      </c>
      <c r="D291" s="26">
        <v>250</v>
      </c>
      <c r="E291" s="26">
        <v>234</v>
      </c>
      <c r="F291" s="26">
        <f t="shared" si="2"/>
        <v>484</v>
      </c>
    </row>
    <row r="292" spans="2:6" outlineLevel="1" x14ac:dyDescent="0.25">
      <c r="B292" s="31" t="s">
        <v>286</v>
      </c>
      <c r="C292" s="26">
        <v>4.5999999999999996</v>
      </c>
      <c r="D292" s="26">
        <v>250</v>
      </c>
      <c r="E292" s="26">
        <v>230</v>
      </c>
      <c r="F292" s="26">
        <f t="shared" si="2"/>
        <v>480</v>
      </c>
    </row>
    <row r="293" spans="2:6" outlineLevel="1" x14ac:dyDescent="0.25">
      <c r="B293" s="31" t="s">
        <v>287</v>
      </c>
      <c r="C293" s="26">
        <v>5.4</v>
      </c>
      <c r="D293" s="26">
        <v>250</v>
      </c>
      <c r="E293" s="26">
        <v>226</v>
      </c>
      <c r="F293" s="26">
        <f t="shared" si="2"/>
        <v>476</v>
      </c>
    </row>
    <row r="294" spans="2:6" outlineLevel="1" x14ac:dyDescent="0.25">
      <c r="B294" s="31" t="s">
        <v>288</v>
      </c>
      <c r="C294" s="26">
        <v>6.9</v>
      </c>
      <c r="D294" s="26">
        <v>250</v>
      </c>
      <c r="E294" s="26">
        <v>218</v>
      </c>
      <c r="F294" s="26">
        <f t="shared" si="2"/>
        <v>468</v>
      </c>
    </row>
    <row r="295" spans="2:6" outlineLevel="1" x14ac:dyDescent="0.25">
      <c r="B295" s="31" t="s">
        <v>289</v>
      </c>
      <c r="C295" s="26">
        <v>8.4</v>
      </c>
      <c r="D295" s="26">
        <v>250</v>
      </c>
      <c r="E295" s="26">
        <v>210</v>
      </c>
      <c r="F295" s="26">
        <f t="shared" si="2"/>
        <v>460</v>
      </c>
    </row>
    <row r="296" spans="2:6" outlineLevel="1" x14ac:dyDescent="0.25">
      <c r="B296" s="31" t="s">
        <v>290</v>
      </c>
      <c r="C296" s="26">
        <v>9.6999999999999993</v>
      </c>
      <c r="D296" s="26">
        <v>250</v>
      </c>
      <c r="E296" s="26">
        <v>202</v>
      </c>
      <c r="F296" s="26">
        <f t="shared" si="2"/>
        <v>452</v>
      </c>
    </row>
    <row r="297" spans="2:6" outlineLevel="1" x14ac:dyDescent="0.25">
      <c r="B297" s="31" t="s">
        <v>357</v>
      </c>
      <c r="C297" s="31">
        <v>4.1500000000000004</v>
      </c>
      <c r="D297" s="31">
        <v>228</v>
      </c>
      <c r="E297" s="26"/>
      <c r="F297" s="26"/>
    </row>
    <row r="298" spans="2:6" outlineLevel="1" x14ac:dyDescent="0.25">
      <c r="B298" s="31" t="s">
        <v>356</v>
      </c>
      <c r="C298" s="31">
        <v>4.9000000000000004</v>
      </c>
      <c r="D298" s="31">
        <v>228</v>
      </c>
      <c r="E298" s="26"/>
      <c r="F298" s="26"/>
    </row>
    <row r="299" spans="2:6" outlineLevel="1" x14ac:dyDescent="0.25">
      <c r="B299" s="31" t="s">
        <v>355</v>
      </c>
      <c r="C299" s="31">
        <v>6.23</v>
      </c>
      <c r="D299" s="31">
        <v>228</v>
      </c>
      <c r="E299" s="26"/>
      <c r="F299" s="26"/>
    </row>
    <row r="300" spans="2:6" outlineLevel="1" x14ac:dyDescent="0.25">
      <c r="B300" s="31" t="s">
        <v>354</v>
      </c>
      <c r="C300" s="31">
        <v>3.64</v>
      </c>
      <c r="D300" s="31">
        <v>300</v>
      </c>
      <c r="E300" s="26"/>
      <c r="F300" s="26"/>
    </row>
    <row r="301" spans="2:6" outlineLevel="1" x14ac:dyDescent="0.25">
      <c r="B301" s="31" t="s">
        <v>291</v>
      </c>
      <c r="C301" s="26">
        <v>4.5</v>
      </c>
      <c r="D301" s="26">
        <v>300</v>
      </c>
      <c r="E301" s="26">
        <v>284</v>
      </c>
      <c r="F301" s="26">
        <f t="shared" si="2"/>
        <v>584</v>
      </c>
    </row>
    <row r="302" spans="2:6" outlineLevel="1" x14ac:dyDescent="0.25">
      <c r="B302" s="31" t="s">
        <v>292</v>
      </c>
      <c r="C302" s="26">
        <v>5.6</v>
      </c>
      <c r="D302" s="26">
        <v>300</v>
      </c>
      <c r="E302" s="26">
        <v>280</v>
      </c>
      <c r="F302" s="26">
        <f t="shared" si="2"/>
        <v>580</v>
      </c>
    </row>
    <row r="303" spans="2:6" outlineLevel="1" x14ac:dyDescent="0.25">
      <c r="B303" s="31" t="s">
        <v>293</v>
      </c>
      <c r="C303" s="26">
        <v>6.6</v>
      </c>
      <c r="D303" s="26">
        <v>300</v>
      </c>
      <c r="E303" s="26">
        <v>276</v>
      </c>
      <c r="F303" s="26">
        <f t="shared" si="2"/>
        <v>576</v>
      </c>
    </row>
    <row r="304" spans="2:6" outlineLevel="1" x14ac:dyDescent="0.25">
      <c r="B304" s="31" t="s">
        <v>294</v>
      </c>
      <c r="C304" s="26">
        <v>7.5</v>
      </c>
      <c r="D304" s="26">
        <v>300</v>
      </c>
      <c r="E304" s="26">
        <v>272</v>
      </c>
      <c r="F304" s="26">
        <f t="shared" si="2"/>
        <v>572</v>
      </c>
    </row>
    <row r="305" spans="2:6" outlineLevel="1" x14ac:dyDescent="0.25">
      <c r="B305" s="31" t="s">
        <v>295</v>
      </c>
      <c r="C305" s="26">
        <v>8.5</v>
      </c>
      <c r="D305" s="26">
        <v>300</v>
      </c>
      <c r="E305" s="26">
        <v>268</v>
      </c>
      <c r="F305" s="26">
        <f t="shared" si="2"/>
        <v>568</v>
      </c>
    </row>
    <row r="306" spans="2:6" outlineLevel="1" x14ac:dyDescent="0.25">
      <c r="B306" s="31" t="s">
        <v>296</v>
      </c>
      <c r="C306" s="26">
        <v>10.3</v>
      </c>
      <c r="D306" s="26">
        <v>300</v>
      </c>
      <c r="E306" s="26">
        <v>260</v>
      </c>
      <c r="F306" s="26">
        <f t="shared" si="2"/>
        <v>560</v>
      </c>
    </row>
    <row r="307" spans="2:6" outlineLevel="1" x14ac:dyDescent="0.25">
      <c r="B307" s="31" t="s">
        <v>297</v>
      </c>
      <c r="C307" s="26">
        <v>12</v>
      </c>
      <c r="D307" s="26">
        <v>300</v>
      </c>
      <c r="E307" s="26">
        <v>252</v>
      </c>
      <c r="F307" s="26">
        <f t="shared" si="2"/>
        <v>552</v>
      </c>
    </row>
    <row r="308" spans="2:6" outlineLevel="1" x14ac:dyDescent="0.25">
      <c r="B308" s="31" t="s">
        <v>606</v>
      </c>
      <c r="C308" s="31">
        <v>23.2</v>
      </c>
      <c r="D308" s="31">
        <v>300</v>
      </c>
      <c r="E308" s="31"/>
      <c r="F308" s="31"/>
    </row>
    <row r="309" spans="2:6" outlineLevel="1" x14ac:dyDescent="0.25">
      <c r="B309" s="31" t="s">
        <v>353</v>
      </c>
      <c r="C309" s="31">
        <v>9.07</v>
      </c>
      <c r="D309" s="31">
        <v>356</v>
      </c>
      <c r="E309" s="26"/>
      <c r="F309" s="26"/>
    </row>
    <row r="310" spans="2:6" outlineLevel="1" x14ac:dyDescent="0.25">
      <c r="B310" s="31" t="s">
        <v>352</v>
      </c>
      <c r="C310" s="31">
        <v>12.5</v>
      </c>
      <c r="D310" s="31">
        <v>356</v>
      </c>
      <c r="E310" s="26"/>
      <c r="F310" s="26"/>
    </row>
    <row r="311" spans="2:6" outlineLevel="1" x14ac:dyDescent="0.25">
      <c r="B311" s="31" t="s">
        <v>351</v>
      </c>
      <c r="C311" s="31">
        <v>14.7</v>
      </c>
      <c r="D311" s="31">
        <v>356</v>
      </c>
      <c r="E311" s="26"/>
      <c r="F311" s="26"/>
    </row>
    <row r="312" spans="2:6" outlineLevel="1" x14ac:dyDescent="0.25">
      <c r="B312" s="31" t="s">
        <v>350</v>
      </c>
      <c r="C312" s="31">
        <v>6.07</v>
      </c>
      <c r="D312" s="31">
        <v>400</v>
      </c>
      <c r="E312" s="26"/>
      <c r="F312" s="26"/>
    </row>
    <row r="313" spans="2:6" outlineLevel="1" x14ac:dyDescent="0.25">
      <c r="B313" s="31" t="s">
        <v>349</v>
      </c>
      <c r="C313" s="31">
        <v>7.53</v>
      </c>
      <c r="D313" s="31">
        <v>400</v>
      </c>
      <c r="E313" s="26"/>
      <c r="F313" s="26"/>
    </row>
    <row r="314" spans="2:6" outlineLevel="1" x14ac:dyDescent="0.25">
      <c r="B314" s="31" t="s">
        <v>298</v>
      </c>
      <c r="C314" s="26">
        <v>9</v>
      </c>
      <c r="D314" s="26">
        <v>400</v>
      </c>
      <c r="E314" s="26">
        <v>376</v>
      </c>
      <c r="F314" s="26">
        <f t="shared" si="2"/>
        <v>776</v>
      </c>
    </row>
    <row r="315" spans="2:6" outlineLevel="1" x14ac:dyDescent="0.25">
      <c r="B315" s="31" t="s">
        <v>299</v>
      </c>
      <c r="C315" s="26">
        <v>11.6</v>
      </c>
      <c r="D315" s="26">
        <v>400</v>
      </c>
      <c r="E315" s="26">
        <v>368</v>
      </c>
      <c r="F315" s="26">
        <f t="shared" si="2"/>
        <v>768</v>
      </c>
    </row>
    <row r="316" spans="2:6" outlineLevel="1" x14ac:dyDescent="0.25">
      <c r="B316" s="31" t="s">
        <v>300</v>
      </c>
      <c r="C316" s="26">
        <v>14.2</v>
      </c>
      <c r="D316" s="26">
        <v>400</v>
      </c>
      <c r="E316" s="26">
        <v>360</v>
      </c>
      <c r="F316" s="26">
        <f t="shared" si="2"/>
        <v>760</v>
      </c>
    </row>
    <row r="317" spans="2:6" outlineLevel="1" x14ac:dyDescent="0.25">
      <c r="B317" s="31" t="s">
        <v>301</v>
      </c>
      <c r="C317" s="26">
        <v>16.7</v>
      </c>
      <c r="D317" s="26">
        <v>400</v>
      </c>
      <c r="E317" s="26">
        <v>352</v>
      </c>
      <c r="F317" s="26">
        <f t="shared" si="2"/>
        <v>752</v>
      </c>
    </row>
    <row r="318" spans="2:6" outlineLevel="1" x14ac:dyDescent="0.25">
      <c r="B318" s="31" t="s">
        <v>348</v>
      </c>
      <c r="C318" s="31">
        <v>9.07</v>
      </c>
      <c r="D318" s="31">
        <v>356</v>
      </c>
      <c r="E318" s="26"/>
      <c r="F318" s="26"/>
    </row>
    <row r="319" spans="2:6" outlineLevel="1" x14ac:dyDescent="0.25">
      <c r="B319" s="31" t="s">
        <v>347</v>
      </c>
      <c r="C319" s="31">
        <v>12.5</v>
      </c>
      <c r="D319" s="31">
        <v>356</v>
      </c>
      <c r="E319" s="26"/>
      <c r="F319" s="26"/>
    </row>
    <row r="320" spans="2:6" outlineLevel="1" x14ac:dyDescent="0.25">
      <c r="B320" s="31" t="s">
        <v>346</v>
      </c>
      <c r="C320" s="31">
        <v>14.7</v>
      </c>
      <c r="D320" s="31">
        <v>356</v>
      </c>
      <c r="E320" s="26"/>
      <c r="F320" s="26"/>
    </row>
    <row r="321" spans="2:6" outlineLevel="1" x14ac:dyDescent="0.25">
      <c r="B321" s="31" t="s">
        <v>345</v>
      </c>
      <c r="C321" s="31">
        <v>6.07</v>
      </c>
      <c r="D321" s="31">
        <v>400</v>
      </c>
      <c r="E321" s="26"/>
      <c r="F321" s="26"/>
    </row>
    <row r="322" spans="2:6" outlineLevel="1" x14ac:dyDescent="0.25">
      <c r="B322" s="31" t="s">
        <v>344</v>
      </c>
      <c r="C322" s="31">
        <v>7.53</v>
      </c>
      <c r="D322" s="31">
        <v>400</v>
      </c>
      <c r="E322" s="26"/>
      <c r="F322" s="26"/>
    </row>
    <row r="323" spans="2:6" outlineLevel="1" x14ac:dyDescent="0.25">
      <c r="B323" s="31" t="s">
        <v>302</v>
      </c>
      <c r="C323" s="26">
        <v>9</v>
      </c>
      <c r="D323" s="26">
        <v>400</v>
      </c>
      <c r="E323" s="26">
        <v>376</v>
      </c>
      <c r="F323" s="26">
        <f t="shared" si="2"/>
        <v>776</v>
      </c>
    </row>
    <row r="324" spans="2:6" outlineLevel="1" x14ac:dyDescent="0.25">
      <c r="B324" s="31" t="s">
        <v>303</v>
      </c>
      <c r="C324" s="26">
        <v>11.6</v>
      </c>
      <c r="D324" s="26">
        <v>400</v>
      </c>
      <c r="E324" s="26">
        <v>368</v>
      </c>
      <c r="F324" s="26">
        <f t="shared" si="2"/>
        <v>768</v>
      </c>
    </row>
    <row r="325" spans="2:6" outlineLevel="1" x14ac:dyDescent="0.25">
      <c r="B325" s="31" t="s">
        <v>304</v>
      </c>
      <c r="C325" s="26">
        <v>14.2</v>
      </c>
      <c r="D325" s="26">
        <v>400</v>
      </c>
      <c r="E325" s="26">
        <v>360</v>
      </c>
      <c r="F325" s="26">
        <f t="shared" si="2"/>
        <v>760</v>
      </c>
    </row>
    <row r="326" spans="2:6" outlineLevel="1" x14ac:dyDescent="0.25">
      <c r="B326" s="31" t="s">
        <v>343</v>
      </c>
      <c r="C326" s="31">
        <v>16.7</v>
      </c>
      <c r="D326" s="31">
        <v>400</v>
      </c>
      <c r="E326" s="26"/>
      <c r="F326" s="26"/>
    </row>
    <row r="327" spans="2:6" outlineLevel="1" x14ac:dyDescent="0.25">
      <c r="B327" s="31" t="s">
        <v>305</v>
      </c>
      <c r="C327" s="26">
        <v>14.8</v>
      </c>
      <c r="D327" s="26">
        <v>500</v>
      </c>
      <c r="E327" s="26">
        <v>468</v>
      </c>
      <c r="F327" s="26">
        <f t="shared" si="2"/>
        <v>968</v>
      </c>
    </row>
    <row r="328" spans="2:6" outlineLevel="1" x14ac:dyDescent="0.25">
      <c r="B328" s="31" t="s">
        <v>306</v>
      </c>
      <c r="C328" s="26">
        <v>18.2</v>
      </c>
      <c r="D328" s="26">
        <v>500</v>
      </c>
      <c r="E328" s="26">
        <v>460</v>
      </c>
      <c r="F328" s="26">
        <f t="shared" si="2"/>
        <v>960</v>
      </c>
    </row>
    <row r="329" spans="2:6" outlineLevel="1" x14ac:dyDescent="0.25">
      <c r="B329" s="31" t="s">
        <v>307</v>
      </c>
      <c r="C329" s="26">
        <v>21.4</v>
      </c>
      <c r="D329" s="26">
        <v>500</v>
      </c>
      <c r="E329" s="26">
        <v>452</v>
      </c>
      <c r="F329" s="26">
        <f t="shared" si="2"/>
        <v>952</v>
      </c>
    </row>
    <row r="330" spans="2:6" outlineLevel="1" x14ac:dyDescent="0.25">
      <c r="B330" s="31" t="s">
        <v>342</v>
      </c>
      <c r="C330" s="31">
        <v>27.7</v>
      </c>
      <c r="D330" s="31">
        <v>500</v>
      </c>
      <c r="E330" s="26"/>
      <c r="F330" s="26"/>
    </row>
    <row r="331" spans="2:6" outlineLevel="1" x14ac:dyDescent="0.25">
      <c r="B331" s="31" t="s">
        <v>308</v>
      </c>
      <c r="C331" s="26">
        <v>31.7</v>
      </c>
      <c r="D331" s="26">
        <v>500</v>
      </c>
      <c r="E331" s="26">
        <v>428</v>
      </c>
      <c r="F331" s="26">
        <f t="shared" si="2"/>
        <v>928</v>
      </c>
    </row>
    <row r="332" spans="2:6" outlineLevel="1" x14ac:dyDescent="0.25">
      <c r="B332" s="31" t="s">
        <v>341</v>
      </c>
      <c r="C332" s="31">
        <v>33.4</v>
      </c>
      <c r="D332" s="31">
        <v>500</v>
      </c>
      <c r="E332" s="26"/>
      <c r="F332" s="26"/>
    </row>
    <row r="333" spans="2:6" outlineLevel="1" x14ac:dyDescent="0.25">
      <c r="B333" s="31" t="s">
        <v>340</v>
      </c>
      <c r="C333" s="31">
        <v>16.399999999999999</v>
      </c>
      <c r="D333" s="31">
        <v>456</v>
      </c>
      <c r="E333" s="26"/>
      <c r="F333" s="26"/>
    </row>
    <row r="334" spans="2:6" outlineLevel="1" x14ac:dyDescent="0.25">
      <c r="B334" s="31" t="s">
        <v>339</v>
      </c>
      <c r="C334" s="31">
        <v>19.399999999999999</v>
      </c>
      <c r="D334" s="31">
        <v>456</v>
      </c>
      <c r="E334" s="26"/>
      <c r="F334" s="26"/>
    </row>
    <row r="335" spans="2:6" outlineLevel="1" x14ac:dyDescent="0.25">
      <c r="B335" s="31" t="s">
        <v>309</v>
      </c>
      <c r="C335" s="26">
        <v>17.899999999999999</v>
      </c>
      <c r="D335" s="26">
        <v>600</v>
      </c>
      <c r="E335" s="26">
        <v>568</v>
      </c>
      <c r="F335" s="26">
        <f t="shared" si="2"/>
        <v>1168</v>
      </c>
    </row>
    <row r="336" spans="2:6" outlineLevel="1" x14ac:dyDescent="0.25">
      <c r="B336" s="31" t="s">
        <v>310</v>
      </c>
      <c r="C336" s="26">
        <v>22.1</v>
      </c>
      <c r="D336" s="26">
        <v>600</v>
      </c>
      <c r="E336" s="26">
        <v>560</v>
      </c>
      <c r="F336" s="26">
        <f t="shared" si="2"/>
        <v>1160</v>
      </c>
    </row>
    <row r="337" spans="2:6" outlineLevel="1" x14ac:dyDescent="0.25">
      <c r="B337" s="31" t="s">
        <v>311</v>
      </c>
      <c r="C337" s="26">
        <v>26.2</v>
      </c>
      <c r="D337" s="26">
        <v>600</v>
      </c>
      <c r="E337" s="26">
        <v>552</v>
      </c>
      <c r="F337" s="26">
        <f t="shared" si="2"/>
        <v>1152</v>
      </c>
    </row>
    <row r="338" spans="2:6" outlineLevel="1" x14ac:dyDescent="0.25">
      <c r="B338" s="31" t="s">
        <v>338</v>
      </c>
      <c r="C338" s="31">
        <v>33.9</v>
      </c>
      <c r="D338" s="31">
        <v>600</v>
      </c>
      <c r="E338" s="26"/>
      <c r="F338" s="26"/>
    </row>
    <row r="339" spans="2:6" outlineLevel="1" x14ac:dyDescent="0.25">
      <c r="B339" s="31" t="s">
        <v>312</v>
      </c>
      <c r="C339" s="26">
        <v>37.700000000000003</v>
      </c>
      <c r="D339" s="26">
        <v>600</v>
      </c>
      <c r="E339" s="26">
        <v>528</v>
      </c>
      <c r="F339" s="26">
        <f t="shared" si="2"/>
        <v>1128</v>
      </c>
    </row>
    <row r="340" spans="2:6" outlineLevel="1" x14ac:dyDescent="0.25">
      <c r="B340" s="31" t="s">
        <v>337</v>
      </c>
      <c r="C340" s="31">
        <v>41.3</v>
      </c>
      <c r="D340" s="31">
        <v>600</v>
      </c>
      <c r="E340" s="26"/>
      <c r="F340" s="26"/>
    </row>
    <row r="341" spans="2:6" outlineLevel="1" x14ac:dyDescent="0.25">
      <c r="B341" s="31" t="s">
        <v>607</v>
      </c>
      <c r="C341" s="31">
        <v>65.2</v>
      </c>
      <c r="D341" s="31">
        <v>600</v>
      </c>
      <c r="E341" s="31"/>
      <c r="F341" s="31"/>
    </row>
    <row r="342" spans="2:6" outlineLevel="1" x14ac:dyDescent="0.25">
      <c r="B342" s="31" t="s">
        <v>313</v>
      </c>
      <c r="C342" s="26">
        <v>29.9</v>
      </c>
      <c r="D342" s="26">
        <v>800</v>
      </c>
      <c r="E342" s="26">
        <v>760</v>
      </c>
      <c r="F342" s="26">
        <f t="shared" ref="F342:F347" si="3">SUM(D342:E342)</f>
        <v>1560</v>
      </c>
    </row>
    <row r="343" spans="2:6" outlineLevel="1" x14ac:dyDescent="0.25">
      <c r="B343" s="31" t="s">
        <v>314</v>
      </c>
      <c r="C343" s="26">
        <v>35.6</v>
      </c>
      <c r="D343" s="26">
        <v>800</v>
      </c>
      <c r="E343" s="26">
        <v>752</v>
      </c>
      <c r="F343" s="26">
        <f t="shared" si="3"/>
        <v>1552</v>
      </c>
    </row>
    <row r="344" spans="2:6" outlineLevel="1" x14ac:dyDescent="0.25">
      <c r="B344" s="31" t="s">
        <v>336</v>
      </c>
      <c r="C344" s="31">
        <v>46.5</v>
      </c>
      <c r="D344" s="31">
        <v>800</v>
      </c>
      <c r="E344" s="26"/>
      <c r="F344" s="26"/>
    </row>
    <row r="345" spans="2:6" outlineLevel="1" x14ac:dyDescent="0.25">
      <c r="B345" s="31" t="s">
        <v>315</v>
      </c>
      <c r="C345" s="26">
        <v>51.8</v>
      </c>
      <c r="D345" s="26">
        <v>800</v>
      </c>
      <c r="E345" s="26">
        <v>728</v>
      </c>
      <c r="F345" s="26">
        <f t="shared" si="3"/>
        <v>1528</v>
      </c>
    </row>
    <row r="346" spans="2:6" outlineLevel="1" x14ac:dyDescent="0.25">
      <c r="B346" s="31" t="s">
        <v>335</v>
      </c>
      <c r="C346" s="31">
        <v>57</v>
      </c>
      <c r="D346" s="31">
        <v>800</v>
      </c>
      <c r="E346" s="26"/>
      <c r="F346" s="26"/>
    </row>
    <row r="347" spans="2:6" outlineLevel="1" x14ac:dyDescent="0.25">
      <c r="B347" s="31" t="s">
        <v>316</v>
      </c>
      <c r="C347" s="26">
        <v>68.3</v>
      </c>
      <c r="D347" s="26">
        <v>800</v>
      </c>
      <c r="E347" s="26">
        <v>700</v>
      </c>
      <c r="F347" s="26">
        <f t="shared" si="3"/>
        <v>1500</v>
      </c>
    </row>
    <row r="348" spans="2:6" outlineLevel="1" x14ac:dyDescent="0.25">
      <c r="B348" s="31" t="s">
        <v>334</v>
      </c>
      <c r="C348" s="31">
        <v>85.5</v>
      </c>
      <c r="D348" s="31">
        <v>800</v>
      </c>
      <c r="E348" s="26"/>
      <c r="F348" s="26"/>
    </row>
    <row r="349" spans="2:6" outlineLevel="1" x14ac:dyDescent="0.25">
      <c r="B349" s="31" t="s">
        <v>608</v>
      </c>
      <c r="C349" s="31">
        <v>109.9</v>
      </c>
      <c r="D349" s="31">
        <v>800</v>
      </c>
      <c r="E349" s="31"/>
      <c r="F349" s="31"/>
    </row>
    <row r="350" spans="2:6" outlineLevel="1" x14ac:dyDescent="0.25">
      <c r="B350" s="31" t="s">
        <v>333</v>
      </c>
      <c r="C350" s="31">
        <v>45</v>
      </c>
      <c r="D350" s="31">
        <v>1000</v>
      </c>
      <c r="E350" s="26"/>
      <c r="F350" s="26"/>
    </row>
    <row r="351" spans="2:6" outlineLevel="1" x14ac:dyDescent="0.25">
      <c r="B351" s="31" t="s">
        <v>332</v>
      </c>
      <c r="C351" s="31">
        <v>59.1</v>
      </c>
      <c r="D351" s="31">
        <v>1000</v>
      </c>
      <c r="E351" s="26"/>
      <c r="F351" s="26"/>
    </row>
    <row r="352" spans="2:6" outlineLevel="1" x14ac:dyDescent="0.25">
      <c r="B352" s="31" t="s">
        <v>331</v>
      </c>
      <c r="C352" s="31">
        <v>72.7</v>
      </c>
      <c r="D352" s="31">
        <v>1000</v>
      </c>
      <c r="E352" s="26"/>
      <c r="F352" s="26"/>
    </row>
    <row r="353" spans="2:12" outlineLevel="1" x14ac:dyDescent="0.25">
      <c r="B353" s="31" t="s">
        <v>330</v>
      </c>
      <c r="C353" s="31">
        <v>89</v>
      </c>
      <c r="D353" s="31">
        <v>1000</v>
      </c>
      <c r="E353" s="26"/>
      <c r="F353" s="26"/>
    </row>
    <row r="354" spans="2:12" outlineLevel="1" x14ac:dyDescent="0.25">
      <c r="B354" s="31" t="s">
        <v>329</v>
      </c>
      <c r="C354" s="31">
        <v>111</v>
      </c>
      <c r="D354" s="31">
        <v>1000</v>
      </c>
      <c r="E354" s="26"/>
      <c r="F354" s="26"/>
    </row>
    <row r="355" spans="2:12" outlineLevel="1" x14ac:dyDescent="0.25">
      <c r="B355" s="31" t="s">
        <v>328</v>
      </c>
      <c r="C355" s="31">
        <v>71.599999999999994</v>
      </c>
      <c r="D355" s="31">
        <v>1200</v>
      </c>
      <c r="E355" s="26"/>
      <c r="F355" s="26"/>
    </row>
    <row r="356" spans="2:12" outlineLevel="1" x14ac:dyDescent="0.25">
      <c r="B356" s="31" t="s">
        <v>327</v>
      </c>
      <c r="C356" s="31">
        <v>88.4</v>
      </c>
      <c r="D356" s="31">
        <v>1200</v>
      </c>
      <c r="E356" s="26"/>
      <c r="F356" s="26"/>
    </row>
    <row r="357" spans="2:12" outlineLevel="1" x14ac:dyDescent="0.25">
      <c r="B357" s="31" t="s">
        <v>326</v>
      </c>
      <c r="C357" s="31">
        <v>109</v>
      </c>
      <c r="D357" s="31">
        <v>1200</v>
      </c>
      <c r="E357" s="26"/>
      <c r="F357" s="26"/>
    </row>
    <row r="358" spans="2:12" outlineLevel="1" x14ac:dyDescent="0.25">
      <c r="B358" s="31" t="s">
        <v>325</v>
      </c>
      <c r="C358" s="31">
        <v>136</v>
      </c>
      <c r="D358" s="31">
        <v>1200</v>
      </c>
      <c r="E358" s="26"/>
      <c r="F358" s="26"/>
    </row>
    <row r="359" spans="2:12" outlineLevel="1" x14ac:dyDescent="0.25">
      <c r="B359" s="31" t="s">
        <v>324</v>
      </c>
      <c r="C359" s="31">
        <v>71.599999999999994</v>
      </c>
      <c r="D359" s="31">
        <v>1200</v>
      </c>
      <c r="E359" s="26"/>
      <c r="F359" s="26"/>
    </row>
    <row r="360" spans="2:12" outlineLevel="1" x14ac:dyDescent="0.25">
      <c r="B360" s="31" t="s">
        <v>323</v>
      </c>
      <c r="C360" s="31">
        <v>88.4</v>
      </c>
      <c r="D360" s="31">
        <v>1200</v>
      </c>
      <c r="E360" s="26"/>
      <c r="F360" s="26"/>
    </row>
    <row r="361" spans="2:12" outlineLevel="1" x14ac:dyDescent="0.25">
      <c r="B361" s="31" t="s">
        <v>322</v>
      </c>
      <c r="C361" s="31">
        <v>109</v>
      </c>
      <c r="D361" s="31">
        <v>1200</v>
      </c>
      <c r="E361" s="26"/>
      <c r="F361" s="26"/>
    </row>
    <row r="362" spans="2:12" outlineLevel="1" x14ac:dyDescent="0.25">
      <c r="B362" s="31" t="s">
        <v>321</v>
      </c>
      <c r="C362" s="31">
        <v>136</v>
      </c>
      <c r="D362" s="31">
        <v>1200</v>
      </c>
      <c r="E362" s="26"/>
      <c r="F362" s="26"/>
    </row>
    <row r="363" spans="2:12" outlineLevel="1" x14ac:dyDescent="0.25">
      <c r="B363" s="31" t="s">
        <v>320</v>
      </c>
      <c r="C363" s="31">
        <v>84.2</v>
      </c>
      <c r="D363" s="31">
        <v>1400</v>
      </c>
      <c r="E363" s="26"/>
      <c r="F363" s="26"/>
    </row>
    <row r="364" spans="2:12" outlineLevel="1" x14ac:dyDescent="0.25">
      <c r="B364" s="31" t="s">
        <v>319</v>
      </c>
      <c r="C364" s="31">
        <v>104</v>
      </c>
      <c r="D364" s="31">
        <v>1400</v>
      </c>
      <c r="E364" s="26"/>
      <c r="F364" s="26"/>
    </row>
    <row r="365" spans="2:12" outlineLevel="1" x14ac:dyDescent="0.25">
      <c r="B365" s="31" t="s">
        <v>318</v>
      </c>
      <c r="C365" s="31">
        <v>128</v>
      </c>
      <c r="D365" s="31">
        <v>1400</v>
      </c>
      <c r="E365" s="26"/>
      <c r="F365" s="26"/>
    </row>
    <row r="366" spans="2:12" outlineLevel="1" x14ac:dyDescent="0.25">
      <c r="B366" s="31" t="s">
        <v>317</v>
      </c>
      <c r="C366" s="31">
        <v>161</v>
      </c>
      <c r="D366" s="31">
        <v>1400</v>
      </c>
      <c r="E366" s="26"/>
      <c r="F366" s="26"/>
    </row>
    <row r="367" spans="2:12" outlineLevel="1" x14ac:dyDescent="0.25">
      <c r="B367" s="72" t="s">
        <v>604</v>
      </c>
      <c r="C367" s="72" t="s">
        <v>604</v>
      </c>
      <c r="D367" s="72" t="s">
        <v>604</v>
      </c>
      <c r="E367" s="69"/>
      <c r="F367" s="69"/>
      <c r="G367" s="70" t="s">
        <v>603</v>
      </c>
    </row>
    <row r="368" spans="2:12" s="67" customFormat="1" outlineLevel="1" x14ac:dyDescent="0.25">
      <c r="B368" s="68"/>
      <c r="C368" s="69"/>
      <c r="D368" s="69"/>
      <c r="E368" s="69"/>
      <c r="F368" s="69"/>
      <c r="G368" s="70" t="s">
        <v>602</v>
      </c>
      <c r="L368" s="71"/>
    </row>
    <row r="369" spans="2:12" s="67" customFormat="1" outlineLevel="1" x14ac:dyDescent="0.25">
      <c r="B369" s="27"/>
      <c r="C369" s="27"/>
      <c r="D369" s="27"/>
      <c r="E369" s="27"/>
      <c r="F369" s="27"/>
      <c r="G369" s="27"/>
      <c r="L369" s="71"/>
    </row>
    <row r="370" spans="2:12" x14ac:dyDescent="0.25">
      <c r="B370" s="29" t="s">
        <v>11</v>
      </c>
      <c r="C370" s="29" t="s">
        <v>1</v>
      </c>
      <c r="D370" s="29" t="s">
        <v>2</v>
      </c>
      <c r="E370" s="29" t="s">
        <v>4</v>
      </c>
      <c r="F370" s="29" t="s">
        <v>5</v>
      </c>
    </row>
    <row r="371" spans="2:12" x14ac:dyDescent="0.25">
      <c r="B371" s="31" t="s">
        <v>361</v>
      </c>
      <c r="C371" s="26">
        <v>0.9</v>
      </c>
      <c r="D371" s="26">
        <v>80</v>
      </c>
      <c r="E371" s="26">
        <v>67.2</v>
      </c>
      <c r="F371" s="26">
        <f>SUM(D371:E371)</f>
        <v>147.19999999999999</v>
      </c>
    </row>
    <row r="372" spans="2:12" outlineLevel="1" x14ac:dyDescent="0.25">
      <c r="B372" s="31" t="s">
        <v>423</v>
      </c>
      <c r="C372" s="31">
        <v>1.05</v>
      </c>
      <c r="D372" s="31">
        <v>80</v>
      </c>
      <c r="E372" s="26"/>
      <c r="F372" s="26"/>
    </row>
    <row r="373" spans="2:12" outlineLevel="1" x14ac:dyDescent="0.25">
      <c r="B373" s="31" t="s">
        <v>362</v>
      </c>
      <c r="C373" s="26">
        <v>1.1000000000000001</v>
      </c>
      <c r="D373" s="26">
        <v>100</v>
      </c>
      <c r="E373" s="26">
        <v>87.2</v>
      </c>
      <c r="F373" s="26">
        <f t="shared" ref="F373:F380" si="4">SUM(D373:E373)</f>
        <v>187.2</v>
      </c>
    </row>
    <row r="374" spans="2:12" outlineLevel="1" x14ac:dyDescent="0.25">
      <c r="B374" s="31" t="s">
        <v>364</v>
      </c>
      <c r="C374" s="26">
        <v>1.6</v>
      </c>
      <c r="D374" s="26">
        <v>100</v>
      </c>
      <c r="E374" s="26">
        <v>80</v>
      </c>
      <c r="F374" s="26">
        <f t="shared" si="4"/>
        <v>180</v>
      </c>
    </row>
    <row r="375" spans="2:12" outlineLevel="1" x14ac:dyDescent="0.25">
      <c r="B375" s="31" t="s">
        <v>363</v>
      </c>
      <c r="C375" s="26">
        <v>1.4</v>
      </c>
      <c r="D375" s="26">
        <v>100</v>
      </c>
      <c r="E375" s="26">
        <v>84</v>
      </c>
      <c r="F375" s="26">
        <f t="shared" si="4"/>
        <v>184</v>
      </c>
    </row>
    <row r="376" spans="2:12" outlineLevel="1" x14ac:dyDescent="0.25">
      <c r="B376" s="31" t="s">
        <v>365</v>
      </c>
      <c r="C376" s="26">
        <v>1.9</v>
      </c>
      <c r="D376" s="26">
        <v>100</v>
      </c>
      <c r="E376" s="26">
        <v>76</v>
      </c>
      <c r="F376" s="26">
        <f t="shared" si="4"/>
        <v>176</v>
      </c>
    </row>
    <row r="377" spans="2:12" outlineLevel="1" x14ac:dyDescent="0.25">
      <c r="B377" s="31" t="s">
        <v>366</v>
      </c>
      <c r="C377" s="26">
        <v>1.4</v>
      </c>
      <c r="D377" s="26">
        <v>120</v>
      </c>
      <c r="E377" s="26">
        <v>107.2</v>
      </c>
      <c r="F377" s="26">
        <f t="shared" si="4"/>
        <v>227.2</v>
      </c>
    </row>
    <row r="378" spans="2:12" outlineLevel="1" x14ac:dyDescent="0.25">
      <c r="B378" s="31" t="s">
        <v>368</v>
      </c>
      <c r="C378" s="26">
        <v>2</v>
      </c>
      <c r="D378" s="26">
        <v>120</v>
      </c>
      <c r="E378" s="26">
        <v>100</v>
      </c>
      <c r="F378" s="26">
        <f t="shared" si="4"/>
        <v>220</v>
      </c>
    </row>
    <row r="379" spans="2:12" outlineLevel="1" x14ac:dyDescent="0.25">
      <c r="B379" s="31" t="s">
        <v>367</v>
      </c>
      <c r="C379" s="26">
        <v>1.7</v>
      </c>
      <c r="D379" s="26">
        <v>120</v>
      </c>
      <c r="E379" s="26">
        <v>104</v>
      </c>
      <c r="F379" s="26">
        <f t="shared" si="4"/>
        <v>224</v>
      </c>
    </row>
    <row r="380" spans="2:12" outlineLevel="1" x14ac:dyDescent="0.25">
      <c r="B380" s="31" t="s">
        <v>369</v>
      </c>
      <c r="C380" s="26">
        <v>2.4</v>
      </c>
      <c r="D380" s="26">
        <v>120</v>
      </c>
      <c r="E380" s="26">
        <v>96</v>
      </c>
      <c r="F380" s="26">
        <f t="shared" si="4"/>
        <v>216</v>
      </c>
    </row>
    <row r="381" spans="2:12" outlineLevel="1" x14ac:dyDescent="0.25">
      <c r="B381" s="31" t="s">
        <v>422</v>
      </c>
      <c r="C381" s="31">
        <v>1.63</v>
      </c>
      <c r="D381" s="31">
        <v>140</v>
      </c>
      <c r="E381" s="26"/>
      <c r="F381" s="26"/>
    </row>
    <row r="382" spans="2:12" outlineLevel="1" x14ac:dyDescent="0.25">
      <c r="B382" s="31" t="s">
        <v>370</v>
      </c>
      <c r="C382" s="26">
        <v>1.6</v>
      </c>
      <c r="D382" s="26">
        <v>140</v>
      </c>
      <c r="E382" s="26">
        <v>127.2</v>
      </c>
      <c r="F382" s="26">
        <f>SUM(D382:E382)</f>
        <v>267.2</v>
      </c>
    </row>
    <row r="383" spans="2:12" outlineLevel="1" x14ac:dyDescent="0.25">
      <c r="B383" s="31" t="s">
        <v>372</v>
      </c>
      <c r="C383" s="26">
        <v>2.4</v>
      </c>
      <c r="D383" s="26">
        <v>140</v>
      </c>
      <c r="E383" s="26">
        <v>120</v>
      </c>
      <c r="F383" s="26">
        <f>SUM(D383:E383)</f>
        <v>260</v>
      </c>
    </row>
    <row r="384" spans="2:12" outlineLevel="1" x14ac:dyDescent="0.25">
      <c r="B384" s="31" t="s">
        <v>371</v>
      </c>
      <c r="C384" s="26">
        <v>2</v>
      </c>
      <c r="D384" s="26">
        <v>140</v>
      </c>
      <c r="E384" s="26">
        <v>124</v>
      </c>
      <c r="F384" s="26">
        <f>SUM(D384:E384)</f>
        <v>264</v>
      </c>
    </row>
    <row r="385" spans="2:6" outlineLevel="1" x14ac:dyDescent="0.25">
      <c r="B385" s="31" t="s">
        <v>373</v>
      </c>
      <c r="C385" s="26">
        <v>2.8</v>
      </c>
      <c r="D385" s="26">
        <v>140</v>
      </c>
      <c r="E385" s="26">
        <v>116</v>
      </c>
      <c r="F385" s="26">
        <f>SUM(D385:E385)</f>
        <v>256</v>
      </c>
    </row>
    <row r="386" spans="2:6" outlineLevel="1" x14ac:dyDescent="0.25">
      <c r="B386" s="31" t="s">
        <v>374</v>
      </c>
      <c r="C386" s="26">
        <v>1.9</v>
      </c>
      <c r="D386" s="26">
        <v>160</v>
      </c>
      <c r="E386" s="26">
        <v>147.19999999999999</v>
      </c>
      <c r="F386" s="26">
        <f t="shared" ref="F386:F396" si="5">SUM(D386:E386)</f>
        <v>307.2</v>
      </c>
    </row>
    <row r="387" spans="2:6" outlineLevel="1" x14ac:dyDescent="0.25">
      <c r="B387" s="31" t="s">
        <v>376</v>
      </c>
      <c r="C387" s="26">
        <v>2.8</v>
      </c>
      <c r="D387" s="26">
        <v>160</v>
      </c>
      <c r="E387" s="26">
        <v>140</v>
      </c>
      <c r="F387" s="26">
        <f t="shared" si="5"/>
        <v>300</v>
      </c>
    </row>
    <row r="388" spans="2:6" outlineLevel="1" x14ac:dyDescent="0.25">
      <c r="B388" s="31" t="s">
        <v>375</v>
      </c>
      <c r="C388" s="26">
        <v>2.2999999999999998</v>
      </c>
      <c r="D388" s="26">
        <v>160</v>
      </c>
      <c r="E388" s="26">
        <v>144</v>
      </c>
      <c r="F388" s="26">
        <f t="shared" si="5"/>
        <v>304</v>
      </c>
    </row>
    <row r="389" spans="2:6" outlineLevel="1" x14ac:dyDescent="0.25">
      <c r="B389" s="31" t="s">
        <v>377</v>
      </c>
      <c r="C389" s="26">
        <v>3.3</v>
      </c>
      <c r="D389" s="26">
        <v>160</v>
      </c>
      <c r="E389" s="26">
        <v>136</v>
      </c>
      <c r="F389" s="26">
        <f t="shared" si="5"/>
        <v>296</v>
      </c>
    </row>
    <row r="390" spans="2:6" outlineLevel="1" x14ac:dyDescent="0.25">
      <c r="B390" s="31" t="s">
        <v>378</v>
      </c>
      <c r="C390" s="26">
        <v>4.0999999999999996</v>
      </c>
      <c r="D390" s="26">
        <v>160</v>
      </c>
      <c r="E390" s="26">
        <v>128</v>
      </c>
      <c r="F390" s="26">
        <f t="shared" si="5"/>
        <v>288</v>
      </c>
    </row>
    <row r="391" spans="2:6" outlineLevel="1" x14ac:dyDescent="0.25">
      <c r="B391" s="31" t="s">
        <v>379</v>
      </c>
      <c r="C391" s="26">
        <v>2.4</v>
      </c>
      <c r="D391" s="26">
        <v>200</v>
      </c>
      <c r="E391" s="26">
        <v>187.2</v>
      </c>
      <c r="F391" s="26">
        <f t="shared" si="5"/>
        <v>387.2</v>
      </c>
    </row>
    <row r="392" spans="2:6" outlineLevel="1" x14ac:dyDescent="0.25">
      <c r="B392" s="31" t="s">
        <v>381</v>
      </c>
      <c r="C392" s="26">
        <v>3.6</v>
      </c>
      <c r="D392" s="26">
        <v>200</v>
      </c>
      <c r="E392" s="26">
        <v>180</v>
      </c>
      <c r="F392" s="26">
        <f t="shared" si="5"/>
        <v>380</v>
      </c>
    </row>
    <row r="393" spans="2:6" outlineLevel="1" x14ac:dyDescent="0.25">
      <c r="B393" s="31" t="s">
        <v>380</v>
      </c>
      <c r="C393" s="26">
        <v>2.9</v>
      </c>
      <c r="D393" s="26">
        <v>200</v>
      </c>
      <c r="E393" s="26">
        <v>184</v>
      </c>
      <c r="F393" s="26">
        <f t="shared" si="5"/>
        <v>384</v>
      </c>
    </row>
    <row r="394" spans="2:6" outlineLevel="1" x14ac:dyDescent="0.25">
      <c r="B394" s="31" t="s">
        <v>382</v>
      </c>
      <c r="C394" s="26">
        <v>4.3</v>
      </c>
      <c r="D394" s="26">
        <v>200</v>
      </c>
      <c r="E394" s="26">
        <v>176</v>
      </c>
      <c r="F394" s="26">
        <f t="shared" si="5"/>
        <v>376</v>
      </c>
    </row>
    <row r="395" spans="2:6" outlineLevel="1" x14ac:dyDescent="0.25">
      <c r="B395" s="31" t="s">
        <v>383</v>
      </c>
      <c r="C395" s="26">
        <v>5.4</v>
      </c>
      <c r="D395" s="26">
        <v>200</v>
      </c>
      <c r="E395" s="26">
        <v>168</v>
      </c>
      <c r="F395" s="26">
        <f t="shared" si="5"/>
        <v>368</v>
      </c>
    </row>
    <row r="396" spans="2:6" outlineLevel="1" x14ac:dyDescent="0.25">
      <c r="B396" s="31" t="s">
        <v>384</v>
      </c>
      <c r="C396" s="26">
        <v>6.4</v>
      </c>
      <c r="D396" s="26">
        <v>200</v>
      </c>
      <c r="E396" s="26">
        <v>160</v>
      </c>
      <c r="F396" s="26">
        <f t="shared" si="5"/>
        <v>360</v>
      </c>
    </row>
    <row r="397" spans="2:6" outlineLevel="1" x14ac:dyDescent="0.25">
      <c r="B397" s="31" t="s">
        <v>421</v>
      </c>
      <c r="C397" s="31">
        <v>7.32</v>
      </c>
      <c r="D397" s="31">
        <v>200</v>
      </c>
      <c r="E397" s="26"/>
      <c r="F397" s="26"/>
    </row>
    <row r="398" spans="2:6" outlineLevel="1" x14ac:dyDescent="0.25">
      <c r="B398" s="31" t="s">
        <v>454</v>
      </c>
      <c r="C398" s="31">
        <v>3.13</v>
      </c>
      <c r="D398" s="31">
        <v>260</v>
      </c>
      <c r="E398" s="26"/>
      <c r="F398" s="26"/>
    </row>
    <row r="399" spans="2:6" outlineLevel="1" x14ac:dyDescent="0.25">
      <c r="B399" s="31" t="s">
        <v>386</v>
      </c>
      <c r="C399" s="26">
        <v>4.8</v>
      </c>
      <c r="D399" s="26">
        <v>260</v>
      </c>
      <c r="E399" s="26">
        <v>240</v>
      </c>
      <c r="F399" s="26">
        <f t="shared" ref="F399:F408" si="6">SUM(D399:E399)</f>
        <v>500</v>
      </c>
    </row>
    <row r="400" spans="2:6" outlineLevel="1" x14ac:dyDescent="0.25">
      <c r="B400" s="31" t="s">
        <v>385</v>
      </c>
      <c r="C400" s="26">
        <v>3.9</v>
      </c>
      <c r="D400" s="26">
        <v>260</v>
      </c>
      <c r="E400" s="26">
        <v>244</v>
      </c>
      <c r="F400" s="26">
        <f t="shared" si="6"/>
        <v>504</v>
      </c>
    </row>
    <row r="401" spans="2:6" outlineLevel="1" x14ac:dyDescent="0.25">
      <c r="B401" s="31" t="s">
        <v>387</v>
      </c>
      <c r="C401" s="26">
        <v>5.7</v>
      </c>
      <c r="D401" s="26">
        <v>260</v>
      </c>
      <c r="E401" s="26">
        <v>236</v>
      </c>
      <c r="F401" s="26">
        <f t="shared" si="6"/>
        <v>496</v>
      </c>
    </row>
    <row r="402" spans="2:6" outlineLevel="1" x14ac:dyDescent="0.25">
      <c r="B402" s="31" t="s">
        <v>388</v>
      </c>
      <c r="C402" s="26">
        <v>7.2</v>
      </c>
      <c r="D402" s="26">
        <v>260</v>
      </c>
      <c r="E402" s="26">
        <v>228</v>
      </c>
      <c r="F402" s="26">
        <f t="shared" si="6"/>
        <v>488</v>
      </c>
    </row>
    <row r="403" spans="2:6" outlineLevel="1" x14ac:dyDescent="0.25">
      <c r="B403" s="31" t="s">
        <v>389</v>
      </c>
      <c r="C403" s="26">
        <v>8.8000000000000007</v>
      </c>
      <c r="D403" s="26">
        <v>260</v>
      </c>
      <c r="E403" s="26">
        <v>220</v>
      </c>
      <c r="F403" s="26">
        <f t="shared" si="6"/>
        <v>480</v>
      </c>
    </row>
    <row r="404" spans="2:6" outlineLevel="1" x14ac:dyDescent="0.25">
      <c r="B404" s="31" t="s">
        <v>390</v>
      </c>
      <c r="C404" s="26">
        <v>10.1</v>
      </c>
      <c r="D404" s="26">
        <v>260</v>
      </c>
      <c r="E404" s="26">
        <v>212</v>
      </c>
      <c r="F404" s="26">
        <f t="shared" si="6"/>
        <v>472</v>
      </c>
    </row>
    <row r="405" spans="2:6" outlineLevel="1" x14ac:dyDescent="0.25">
      <c r="B405" s="31" t="s">
        <v>619</v>
      </c>
      <c r="C405" s="26">
        <v>7.5</v>
      </c>
      <c r="D405" s="26">
        <v>300</v>
      </c>
      <c r="E405" s="26">
        <v>280</v>
      </c>
      <c r="F405" s="26">
        <f t="shared" ref="F405" si="7">SUM(D405:E405)</f>
        <v>580</v>
      </c>
    </row>
    <row r="406" spans="2:6" outlineLevel="1" x14ac:dyDescent="0.25">
      <c r="B406" s="31" t="s">
        <v>620</v>
      </c>
      <c r="C406" s="26">
        <v>10.1</v>
      </c>
      <c r="D406" s="26">
        <v>300</v>
      </c>
      <c r="E406" s="26">
        <v>280</v>
      </c>
      <c r="F406" s="26">
        <f t="shared" si="6"/>
        <v>580</v>
      </c>
    </row>
    <row r="407" spans="2:6" outlineLevel="1" x14ac:dyDescent="0.25">
      <c r="B407" s="31" t="s">
        <v>621</v>
      </c>
      <c r="C407" s="26">
        <v>12.5</v>
      </c>
      <c r="D407" s="26">
        <v>300</v>
      </c>
      <c r="E407" s="26">
        <v>280</v>
      </c>
      <c r="F407" s="26">
        <f t="shared" ref="F407" si="8">SUM(D407:E407)</f>
        <v>580</v>
      </c>
    </row>
    <row r="408" spans="2:6" outlineLevel="1" x14ac:dyDescent="0.25">
      <c r="B408" s="31" t="s">
        <v>391</v>
      </c>
      <c r="C408" s="26">
        <v>5.6</v>
      </c>
      <c r="D408" s="26">
        <v>300</v>
      </c>
      <c r="E408" s="26">
        <v>280</v>
      </c>
      <c r="F408" s="26">
        <f t="shared" si="6"/>
        <v>580</v>
      </c>
    </row>
    <row r="409" spans="2:6" outlineLevel="1" x14ac:dyDescent="0.25">
      <c r="B409" s="31" t="s">
        <v>453</v>
      </c>
      <c r="C409" s="31">
        <v>4.5</v>
      </c>
      <c r="D409" s="31">
        <v>300</v>
      </c>
      <c r="E409" s="26"/>
      <c r="F409" s="26"/>
    </row>
    <row r="410" spans="2:6" outlineLevel="1" x14ac:dyDescent="0.25">
      <c r="B410" s="31" t="s">
        <v>393</v>
      </c>
      <c r="C410" s="26">
        <v>7.5</v>
      </c>
      <c r="D410" s="26">
        <v>300</v>
      </c>
      <c r="E410" s="26">
        <v>272</v>
      </c>
      <c r="F410" s="26">
        <f>SUM(D410:E410)</f>
        <v>572</v>
      </c>
    </row>
    <row r="411" spans="2:6" outlineLevel="1" x14ac:dyDescent="0.25">
      <c r="B411" s="31" t="s">
        <v>392</v>
      </c>
      <c r="C411" s="26">
        <v>6.6</v>
      </c>
      <c r="D411" s="26">
        <v>300</v>
      </c>
      <c r="E411" s="26">
        <v>276</v>
      </c>
      <c r="F411" s="26">
        <f>SUM(D411:E411)</f>
        <v>576</v>
      </c>
    </row>
    <row r="412" spans="2:6" outlineLevel="1" x14ac:dyDescent="0.25">
      <c r="B412" s="31" t="s">
        <v>394</v>
      </c>
      <c r="C412" s="26">
        <v>8.5</v>
      </c>
      <c r="D412" s="26">
        <v>300</v>
      </c>
      <c r="E412" s="26">
        <v>268</v>
      </c>
      <c r="F412" s="26">
        <f>SUM(D412:E412)</f>
        <v>568</v>
      </c>
    </row>
    <row r="413" spans="2:6" outlineLevel="1" x14ac:dyDescent="0.25">
      <c r="B413" s="31" t="s">
        <v>395</v>
      </c>
      <c r="C413" s="26">
        <v>10.3</v>
      </c>
      <c r="D413" s="26">
        <v>300</v>
      </c>
      <c r="E413" s="26">
        <v>260</v>
      </c>
      <c r="F413" s="26">
        <f>SUM(D413:E413)</f>
        <v>560</v>
      </c>
    </row>
    <row r="414" spans="2:6" outlineLevel="1" x14ac:dyDescent="0.25">
      <c r="B414" s="31" t="s">
        <v>396</v>
      </c>
      <c r="C414" s="26">
        <v>12</v>
      </c>
      <c r="D414" s="26">
        <v>300</v>
      </c>
      <c r="E414" s="26">
        <v>252</v>
      </c>
      <c r="F414" s="26">
        <f>SUM(D414:E414)</f>
        <v>552</v>
      </c>
    </row>
    <row r="415" spans="2:6" outlineLevel="1" x14ac:dyDescent="0.25">
      <c r="B415" s="31" t="s">
        <v>616</v>
      </c>
      <c r="C415" s="31">
        <v>8.6</v>
      </c>
      <c r="D415" s="31">
        <v>320</v>
      </c>
      <c r="E415" s="26"/>
      <c r="F415" s="26"/>
    </row>
    <row r="416" spans="2:6" outlineLevel="1" x14ac:dyDescent="0.25">
      <c r="B416" s="31" t="s">
        <v>629</v>
      </c>
      <c r="C416" s="31">
        <v>8.59</v>
      </c>
      <c r="D416" s="31">
        <v>320</v>
      </c>
      <c r="E416" s="26"/>
      <c r="F416" s="26"/>
    </row>
    <row r="417" spans="2:12" outlineLevel="1" x14ac:dyDescent="0.25">
      <c r="B417" s="31" t="s">
        <v>617</v>
      </c>
      <c r="C417" s="31">
        <v>11.7</v>
      </c>
      <c r="D417" s="31">
        <v>320</v>
      </c>
      <c r="E417" s="26"/>
      <c r="F417" s="26"/>
    </row>
    <row r="418" spans="2:12" outlineLevel="1" x14ac:dyDescent="0.25">
      <c r="B418" s="31" t="s">
        <v>618</v>
      </c>
      <c r="C418" s="31">
        <v>14.4</v>
      </c>
      <c r="D418" s="31">
        <v>320</v>
      </c>
      <c r="E418" s="26"/>
      <c r="F418" s="26"/>
    </row>
    <row r="419" spans="2:12" outlineLevel="1" x14ac:dyDescent="0.25">
      <c r="B419" s="31" t="s">
        <v>452</v>
      </c>
      <c r="C419" s="31">
        <v>5.38</v>
      </c>
      <c r="D419" s="31">
        <v>356</v>
      </c>
      <c r="E419" s="26"/>
      <c r="F419" s="26"/>
    </row>
    <row r="420" spans="2:12" outlineLevel="1" x14ac:dyDescent="0.25">
      <c r="B420" s="31" t="s">
        <v>397</v>
      </c>
      <c r="C420" s="26">
        <v>9.1</v>
      </c>
      <c r="D420" s="26">
        <v>356</v>
      </c>
      <c r="E420" s="26">
        <v>328</v>
      </c>
      <c r="F420" s="26">
        <f>SUM(D420:E420)</f>
        <v>684</v>
      </c>
    </row>
    <row r="421" spans="2:12" outlineLevel="1" x14ac:dyDescent="0.25">
      <c r="B421" s="31" t="s">
        <v>398</v>
      </c>
      <c r="C421" s="26">
        <v>12.5</v>
      </c>
      <c r="D421" s="26">
        <v>356</v>
      </c>
      <c r="E421" s="26">
        <v>316</v>
      </c>
      <c r="F421" s="26">
        <f>SUM(D421:E421)</f>
        <v>672</v>
      </c>
    </row>
    <row r="422" spans="2:12" outlineLevel="1" x14ac:dyDescent="0.25">
      <c r="B422" s="31" t="s">
        <v>399</v>
      </c>
      <c r="C422" s="26">
        <v>14.6</v>
      </c>
      <c r="D422" s="26">
        <v>356</v>
      </c>
      <c r="E422" s="26">
        <v>308</v>
      </c>
      <c r="F422" s="26">
        <f>SUM(D422:E422)</f>
        <v>664</v>
      </c>
    </row>
    <row r="423" spans="2:12" outlineLevel="1" x14ac:dyDescent="0.25">
      <c r="B423" s="31" t="s">
        <v>450</v>
      </c>
      <c r="C423" s="31">
        <v>6.74</v>
      </c>
      <c r="D423" s="31">
        <v>360</v>
      </c>
      <c r="E423" s="26"/>
      <c r="F423" s="26"/>
    </row>
    <row r="424" spans="2:12" outlineLevel="1" x14ac:dyDescent="0.25">
      <c r="B424" s="31" t="s">
        <v>451</v>
      </c>
      <c r="C424" s="31">
        <v>5.45</v>
      </c>
      <c r="D424" s="31">
        <v>360</v>
      </c>
      <c r="E424" s="26"/>
      <c r="F424" s="26"/>
    </row>
    <row r="425" spans="2:12" s="67" customFormat="1" outlineLevel="1" x14ac:dyDescent="0.25">
      <c r="B425" s="31" t="s">
        <v>613</v>
      </c>
      <c r="C425" s="31">
        <v>9.6999999999999993</v>
      </c>
      <c r="D425" s="31">
        <v>360</v>
      </c>
      <c r="E425" s="26"/>
      <c r="F425" s="26"/>
      <c r="G425" s="27"/>
      <c r="H425" s="27"/>
      <c r="I425" s="27"/>
      <c r="J425" s="27"/>
      <c r="L425" s="71"/>
    </row>
    <row r="426" spans="2:12" s="67" customFormat="1" outlineLevel="1" x14ac:dyDescent="0.25">
      <c r="B426" s="31" t="s">
        <v>614</v>
      </c>
      <c r="C426" s="31">
        <v>13.3</v>
      </c>
      <c r="D426" s="31">
        <v>360</v>
      </c>
      <c r="E426" s="26"/>
      <c r="F426" s="26"/>
      <c r="G426" s="27"/>
      <c r="H426" s="27"/>
      <c r="I426" s="27"/>
      <c r="J426" s="27"/>
      <c r="L426" s="71"/>
    </row>
    <row r="427" spans="2:12" s="67" customFormat="1" outlineLevel="1" x14ac:dyDescent="0.25">
      <c r="B427" s="31" t="s">
        <v>612</v>
      </c>
      <c r="C427" s="26">
        <v>15.1</v>
      </c>
      <c r="D427" s="26">
        <v>360</v>
      </c>
      <c r="E427" s="26"/>
      <c r="F427" s="26"/>
      <c r="G427" s="27"/>
      <c r="H427" s="27"/>
      <c r="I427" s="27"/>
      <c r="J427" s="27"/>
      <c r="L427" s="71"/>
    </row>
    <row r="428" spans="2:12" outlineLevel="1" x14ac:dyDescent="0.25">
      <c r="B428" s="31" t="s">
        <v>615</v>
      </c>
      <c r="C428" s="26">
        <v>16.399999999999999</v>
      </c>
      <c r="D428" s="26">
        <v>360</v>
      </c>
      <c r="E428" s="26"/>
      <c r="F428" s="26"/>
    </row>
    <row r="429" spans="2:12" outlineLevel="1" x14ac:dyDescent="0.25">
      <c r="B429" s="31" t="s">
        <v>446</v>
      </c>
      <c r="C429" s="31">
        <v>25.6</v>
      </c>
      <c r="D429" s="31">
        <v>400</v>
      </c>
      <c r="E429" s="26"/>
      <c r="F429" s="26"/>
    </row>
    <row r="430" spans="2:12" outlineLevel="1" x14ac:dyDescent="0.25">
      <c r="B430" s="31" t="s">
        <v>448</v>
      </c>
      <c r="C430" s="31">
        <v>7.53</v>
      </c>
      <c r="D430" s="31">
        <v>400</v>
      </c>
      <c r="E430" s="26"/>
      <c r="F430" s="26"/>
    </row>
    <row r="431" spans="2:12" outlineLevel="1" x14ac:dyDescent="0.25">
      <c r="B431" s="31" t="s">
        <v>449</v>
      </c>
      <c r="C431" s="31">
        <v>6.07</v>
      </c>
      <c r="D431" s="31">
        <v>400</v>
      </c>
      <c r="E431" s="26"/>
      <c r="F431" s="26"/>
    </row>
    <row r="432" spans="2:12" outlineLevel="1" x14ac:dyDescent="0.25">
      <c r="B432" s="31" t="s">
        <v>400</v>
      </c>
      <c r="C432" s="26">
        <v>9</v>
      </c>
      <c r="D432" s="26">
        <v>400</v>
      </c>
      <c r="E432" s="26">
        <v>376</v>
      </c>
      <c r="F432" s="26">
        <f>SUM(D432:E432)</f>
        <v>776</v>
      </c>
    </row>
    <row r="433" spans="2:6" outlineLevel="1" x14ac:dyDescent="0.25">
      <c r="B433" s="31" t="s">
        <v>401</v>
      </c>
      <c r="C433" s="26">
        <v>11.6</v>
      </c>
      <c r="D433" s="26">
        <v>400</v>
      </c>
      <c r="E433" s="26">
        <v>368</v>
      </c>
      <c r="F433" s="26">
        <f>SUM(D433:E433)</f>
        <v>768</v>
      </c>
    </row>
    <row r="434" spans="2:6" outlineLevel="1" x14ac:dyDescent="0.25">
      <c r="B434" s="31" t="s">
        <v>402</v>
      </c>
      <c r="C434" s="26">
        <v>14.2</v>
      </c>
      <c r="D434" s="26">
        <v>400</v>
      </c>
      <c r="E434" s="26">
        <v>360</v>
      </c>
      <c r="F434" s="26">
        <f>SUM(D434:E434)</f>
        <v>760</v>
      </c>
    </row>
    <row r="435" spans="2:6" outlineLevel="1" x14ac:dyDescent="0.25">
      <c r="B435" s="31" t="s">
        <v>403</v>
      </c>
      <c r="C435" s="26">
        <v>16.7</v>
      </c>
      <c r="D435" s="26">
        <v>400</v>
      </c>
      <c r="E435" s="26">
        <v>352</v>
      </c>
      <c r="F435" s="26">
        <f>SUM(D435:E435)</f>
        <v>752</v>
      </c>
    </row>
    <row r="436" spans="2:6" outlineLevel="1" x14ac:dyDescent="0.25">
      <c r="B436" s="31" t="s">
        <v>447</v>
      </c>
      <c r="C436" s="31">
        <v>21.4</v>
      </c>
      <c r="D436" s="31">
        <v>400</v>
      </c>
      <c r="E436" s="26"/>
      <c r="F436" s="26"/>
    </row>
    <row r="437" spans="2:6" outlineLevel="1" x14ac:dyDescent="0.25">
      <c r="B437" s="31" t="s">
        <v>404</v>
      </c>
      <c r="C437" s="26">
        <v>23.5</v>
      </c>
      <c r="D437" s="26">
        <v>400</v>
      </c>
      <c r="E437" s="26">
        <v>328</v>
      </c>
      <c r="F437" s="26">
        <f>SUM(D437:E437)</f>
        <v>728</v>
      </c>
    </row>
    <row r="438" spans="2:6" outlineLevel="1" x14ac:dyDescent="0.25">
      <c r="B438" s="31" t="s">
        <v>444</v>
      </c>
      <c r="C438" s="31">
        <v>33.4</v>
      </c>
      <c r="D438" s="31">
        <v>500</v>
      </c>
      <c r="E438" s="26"/>
      <c r="F438" s="26"/>
    </row>
    <row r="439" spans="2:6" outlineLevel="1" x14ac:dyDescent="0.25">
      <c r="B439" s="31" t="s">
        <v>405</v>
      </c>
      <c r="C439" s="26">
        <v>14.8</v>
      </c>
      <c r="D439" s="26">
        <v>500</v>
      </c>
      <c r="E439" s="26">
        <v>468</v>
      </c>
      <c r="F439" s="26">
        <f>SUM(D439:E439)</f>
        <v>968</v>
      </c>
    </row>
    <row r="440" spans="2:6" outlineLevel="1" x14ac:dyDescent="0.25">
      <c r="B440" s="31" t="s">
        <v>406</v>
      </c>
      <c r="C440" s="26">
        <v>18.2</v>
      </c>
      <c r="D440" s="26">
        <v>500</v>
      </c>
      <c r="E440" s="26">
        <v>460</v>
      </c>
      <c r="F440" s="26">
        <f>SUM(D440:E440)</f>
        <v>960</v>
      </c>
    </row>
    <row r="441" spans="2:6" outlineLevel="1" x14ac:dyDescent="0.25">
      <c r="B441" s="31" t="s">
        <v>407</v>
      </c>
      <c r="C441" s="26">
        <v>21.4</v>
      </c>
      <c r="D441" s="26">
        <v>500</v>
      </c>
      <c r="E441" s="26">
        <v>452</v>
      </c>
      <c r="F441" s="26">
        <f>SUM(D441:E441)</f>
        <v>952</v>
      </c>
    </row>
    <row r="442" spans="2:6" outlineLevel="1" x14ac:dyDescent="0.25">
      <c r="B442" s="31" t="s">
        <v>445</v>
      </c>
      <c r="C442" s="31">
        <v>27.7</v>
      </c>
      <c r="D442" s="31">
        <v>500</v>
      </c>
      <c r="E442" s="26"/>
      <c r="F442" s="26"/>
    </row>
    <row r="443" spans="2:6" outlineLevel="1" x14ac:dyDescent="0.25">
      <c r="B443" s="31" t="s">
        <v>408</v>
      </c>
      <c r="C443" s="26">
        <v>30.6</v>
      </c>
      <c r="D443" s="26">
        <v>500</v>
      </c>
      <c r="E443" s="26">
        <v>428</v>
      </c>
      <c r="F443" s="26">
        <f>SUM(D443:E443)</f>
        <v>928</v>
      </c>
    </row>
    <row r="444" spans="2:6" outlineLevel="1" x14ac:dyDescent="0.25">
      <c r="B444" s="31" t="s">
        <v>442</v>
      </c>
      <c r="C444" s="31">
        <v>41.3</v>
      </c>
      <c r="D444" s="31">
        <v>600</v>
      </c>
      <c r="E444" s="26"/>
      <c r="F444" s="26"/>
    </row>
    <row r="445" spans="2:6" outlineLevel="1" x14ac:dyDescent="0.25">
      <c r="B445" s="31" t="s">
        <v>409</v>
      </c>
      <c r="C445" s="26">
        <v>22.1</v>
      </c>
      <c r="D445" s="26">
        <v>600</v>
      </c>
      <c r="E445" s="26">
        <v>560</v>
      </c>
      <c r="F445" s="26">
        <f>SUM(D445:E445)</f>
        <v>1160</v>
      </c>
    </row>
    <row r="446" spans="2:6" outlineLevel="1" x14ac:dyDescent="0.25">
      <c r="B446" s="31" t="s">
        <v>410</v>
      </c>
      <c r="C446" s="26">
        <v>26.2</v>
      </c>
      <c r="D446" s="26">
        <v>600</v>
      </c>
      <c r="E446" s="26">
        <v>552</v>
      </c>
      <c r="F446" s="26">
        <f>SUM(D446:E446)</f>
        <v>1152</v>
      </c>
    </row>
    <row r="447" spans="2:6" outlineLevel="1" x14ac:dyDescent="0.25">
      <c r="B447" s="31" t="s">
        <v>443</v>
      </c>
      <c r="C447" s="31">
        <v>33.9</v>
      </c>
      <c r="D447" s="31">
        <v>600</v>
      </c>
      <c r="E447" s="26"/>
      <c r="F447" s="26"/>
    </row>
    <row r="448" spans="2:6" outlineLevel="1" x14ac:dyDescent="0.25">
      <c r="B448" s="31" t="s">
        <v>411</v>
      </c>
      <c r="C448" s="26">
        <v>37.700000000000003</v>
      </c>
      <c r="D448" s="26">
        <v>600</v>
      </c>
      <c r="E448" s="26">
        <v>528</v>
      </c>
      <c r="F448" s="26">
        <f>SUM(D448:E448)</f>
        <v>1128</v>
      </c>
    </row>
    <row r="449" spans="2:6" outlineLevel="1" x14ac:dyDescent="0.25">
      <c r="B449" s="31" t="s">
        <v>622</v>
      </c>
      <c r="C449" s="26">
        <v>27.4</v>
      </c>
      <c r="D449" s="26">
        <v>720</v>
      </c>
      <c r="E449" s="26"/>
      <c r="F449" s="26"/>
    </row>
    <row r="450" spans="2:6" outlineLevel="1" x14ac:dyDescent="0.25">
      <c r="B450" s="31" t="s">
        <v>623</v>
      </c>
      <c r="C450" s="26">
        <v>34.200000000000003</v>
      </c>
      <c r="D450" s="26">
        <v>720</v>
      </c>
      <c r="E450" s="26"/>
      <c r="F450" s="26"/>
    </row>
    <row r="451" spans="2:6" outlineLevel="1" x14ac:dyDescent="0.25">
      <c r="B451" s="31" t="s">
        <v>624</v>
      </c>
      <c r="C451" s="26">
        <v>43</v>
      </c>
      <c r="D451" s="26">
        <v>720</v>
      </c>
      <c r="E451" s="26"/>
      <c r="F451" s="26"/>
    </row>
    <row r="452" spans="2:6" outlineLevel="1" x14ac:dyDescent="0.25">
      <c r="B452" s="31" t="s">
        <v>625</v>
      </c>
      <c r="C452" s="26">
        <v>53</v>
      </c>
      <c r="D452" s="26">
        <v>720</v>
      </c>
      <c r="E452" s="26"/>
      <c r="F452" s="26"/>
    </row>
    <row r="453" spans="2:6" outlineLevel="1" x14ac:dyDescent="0.25">
      <c r="B453" s="31" t="s">
        <v>626</v>
      </c>
      <c r="C453" s="26">
        <v>13</v>
      </c>
      <c r="D453" s="26">
        <v>720</v>
      </c>
      <c r="E453" s="26"/>
      <c r="F453" s="26"/>
    </row>
    <row r="454" spans="2:6" outlineLevel="1" x14ac:dyDescent="0.25">
      <c r="B454" s="31" t="s">
        <v>627</v>
      </c>
      <c r="C454" s="26">
        <v>16</v>
      </c>
      <c r="D454" s="26">
        <v>720</v>
      </c>
      <c r="E454" s="26"/>
      <c r="F454" s="26"/>
    </row>
    <row r="455" spans="2:6" outlineLevel="1" x14ac:dyDescent="0.25">
      <c r="B455" s="31" t="s">
        <v>412</v>
      </c>
      <c r="C455" s="26">
        <v>29.9</v>
      </c>
      <c r="D455" s="26">
        <v>800</v>
      </c>
      <c r="E455" s="26">
        <v>760</v>
      </c>
      <c r="F455" s="26">
        <f>SUM(D455:E455)</f>
        <v>1560</v>
      </c>
    </row>
    <row r="456" spans="2:6" outlineLevel="1" x14ac:dyDescent="0.25">
      <c r="B456" s="31" t="s">
        <v>413</v>
      </c>
      <c r="C456" s="26">
        <v>35.6</v>
      </c>
      <c r="D456" s="26">
        <v>800</v>
      </c>
      <c r="E456" s="26">
        <v>752</v>
      </c>
      <c r="F456" s="26">
        <f>SUM(D456:E456)</f>
        <v>1552</v>
      </c>
    </row>
    <row r="457" spans="2:6" outlineLevel="1" x14ac:dyDescent="0.25">
      <c r="B457" s="31" t="s">
        <v>628</v>
      </c>
      <c r="C457" s="31">
        <v>38.200000000000003</v>
      </c>
      <c r="D457" s="31">
        <v>800</v>
      </c>
      <c r="E457" s="26"/>
      <c r="F457" s="26"/>
    </row>
    <row r="458" spans="2:6" outlineLevel="1" x14ac:dyDescent="0.25">
      <c r="B458" s="31" t="s">
        <v>441</v>
      </c>
      <c r="C458" s="31">
        <v>46.5</v>
      </c>
      <c r="D458" s="31">
        <v>800</v>
      </c>
      <c r="E458" s="26"/>
      <c r="F458" s="26"/>
    </row>
    <row r="459" spans="2:6" outlineLevel="1" x14ac:dyDescent="0.25">
      <c r="B459" s="31" t="s">
        <v>414</v>
      </c>
      <c r="C459" s="26">
        <v>51.8</v>
      </c>
      <c r="D459" s="26">
        <v>800</v>
      </c>
      <c r="E459" s="26">
        <v>728</v>
      </c>
      <c r="F459" s="26">
        <f>SUM(D459:E459)</f>
        <v>1528</v>
      </c>
    </row>
    <row r="460" spans="2:6" outlineLevel="1" x14ac:dyDescent="0.25">
      <c r="B460" s="31" t="s">
        <v>440</v>
      </c>
      <c r="C460" s="31">
        <v>57</v>
      </c>
      <c r="D460" s="31">
        <v>800</v>
      </c>
      <c r="E460" s="26"/>
      <c r="F460" s="26"/>
    </row>
    <row r="461" spans="2:6" outlineLevel="1" x14ac:dyDescent="0.25">
      <c r="B461" s="31" t="s">
        <v>439</v>
      </c>
      <c r="C461" s="31">
        <v>69.400000000000006</v>
      </c>
      <c r="D461" s="31">
        <v>800</v>
      </c>
      <c r="E461" s="26"/>
      <c r="F461" s="26"/>
    </row>
    <row r="462" spans="2:6" outlineLevel="1" x14ac:dyDescent="0.25">
      <c r="B462" s="31" t="s">
        <v>438</v>
      </c>
      <c r="C462" s="31">
        <v>85.5</v>
      </c>
      <c r="D462" s="31">
        <v>800</v>
      </c>
      <c r="E462" s="26"/>
      <c r="F462" s="26"/>
    </row>
    <row r="463" spans="2:6" outlineLevel="1" x14ac:dyDescent="0.25">
      <c r="B463" s="31" t="s">
        <v>415</v>
      </c>
      <c r="C463" s="26">
        <v>45</v>
      </c>
      <c r="D463" s="26">
        <v>1000</v>
      </c>
      <c r="E463" s="26">
        <v>952</v>
      </c>
      <c r="F463" s="26">
        <f>SUM(D463:E463)</f>
        <v>1952</v>
      </c>
    </row>
    <row r="464" spans="2:6" outlineLevel="1" x14ac:dyDescent="0.25">
      <c r="B464" s="31" t="s">
        <v>437</v>
      </c>
      <c r="C464" s="31">
        <v>59.1</v>
      </c>
      <c r="D464" s="31">
        <v>1000</v>
      </c>
      <c r="E464" s="26"/>
      <c r="F464" s="26"/>
    </row>
    <row r="465" spans="2:6" outlineLevel="1" x14ac:dyDescent="0.25">
      <c r="B465" s="31" t="s">
        <v>416</v>
      </c>
      <c r="C465" s="26">
        <v>65.900000000000006</v>
      </c>
      <c r="D465" s="26">
        <v>1000</v>
      </c>
      <c r="E465" s="26">
        <v>928</v>
      </c>
      <c r="F465" s="26">
        <f>SUM(D465:E465)</f>
        <v>1928</v>
      </c>
    </row>
    <row r="466" spans="2:6" outlineLevel="1" x14ac:dyDescent="0.25">
      <c r="B466" s="31" t="s">
        <v>436</v>
      </c>
      <c r="C466" s="31">
        <v>72.7</v>
      </c>
      <c r="D466" s="31">
        <v>1000</v>
      </c>
      <c r="E466" s="26"/>
      <c r="F466" s="26"/>
    </row>
    <row r="467" spans="2:6" outlineLevel="1" x14ac:dyDescent="0.25">
      <c r="B467" s="31" t="s">
        <v>435</v>
      </c>
      <c r="C467" s="31">
        <v>89</v>
      </c>
      <c r="D467" s="31">
        <v>1000</v>
      </c>
      <c r="E467" s="26"/>
      <c r="F467" s="26"/>
    </row>
    <row r="468" spans="2:6" outlineLevel="1" x14ac:dyDescent="0.25">
      <c r="B468" s="31" t="s">
        <v>434</v>
      </c>
      <c r="C468" s="31">
        <v>111</v>
      </c>
      <c r="D468" s="31">
        <v>1000</v>
      </c>
      <c r="E468" s="26"/>
      <c r="F468" s="26"/>
    </row>
    <row r="469" spans="2:6" outlineLevel="1" x14ac:dyDescent="0.25">
      <c r="B469" s="31" t="s">
        <v>609</v>
      </c>
      <c r="C469" s="31">
        <v>144.44</v>
      </c>
      <c r="D469" s="31">
        <v>1000</v>
      </c>
      <c r="E469" s="26"/>
      <c r="F469" s="26"/>
    </row>
    <row r="470" spans="2:6" outlineLevel="1" x14ac:dyDescent="0.25">
      <c r="B470" s="31" t="s">
        <v>433</v>
      </c>
      <c r="C470" s="31">
        <v>71.599999999999994</v>
      </c>
      <c r="D470" s="31">
        <v>1200</v>
      </c>
      <c r="E470" s="26"/>
      <c r="F470" s="26"/>
    </row>
    <row r="471" spans="2:6" outlineLevel="1" x14ac:dyDescent="0.25">
      <c r="B471" s="31" t="s">
        <v>432</v>
      </c>
      <c r="C471" s="31">
        <v>88.4</v>
      </c>
      <c r="D471" s="31">
        <v>1200</v>
      </c>
      <c r="E471" s="26"/>
      <c r="F471" s="26"/>
    </row>
    <row r="472" spans="2:6" outlineLevel="1" x14ac:dyDescent="0.25">
      <c r="B472" s="31" t="s">
        <v>431</v>
      </c>
      <c r="C472" s="31">
        <v>109</v>
      </c>
      <c r="D472" s="31">
        <v>1200</v>
      </c>
      <c r="E472" s="26"/>
      <c r="F472" s="26"/>
    </row>
    <row r="473" spans="2:6" outlineLevel="1" x14ac:dyDescent="0.25">
      <c r="B473" s="31" t="s">
        <v>420</v>
      </c>
      <c r="C473" s="26">
        <v>136</v>
      </c>
      <c r="D473" s="26">
        <v>1200</v>
      </c>
      <c r="E473" s="26">
        <v>1072</v>
      </c>
      <c r="F473" s="26">
        <f>SUM(D473:E473)</f>
        <v>2272</v>
      </c>
    </row>
    <row r="474" spans="2:6" outlineLevel="1" x14ac:dyDescent="0.25">
      <c r="B474" s="31" t="s">
        <v>430</v>
      </c>
      <c r="C474" s="31">
        <v>84.2</v>
      </c>
      <c r="D474" s="31">
        <v>1400</v>
      </c>
      <c r="E474" s="26"/>
      <c r="F474" s="26"/>
    </row>
    <row r="475" spans="2:6" outlineLevel="1" x14ac:dyDescent="0.25">
      <c r="B475" s="31" t="s">
        <v>429</v>
      </c>
      <c r="C475" s="31">
        <v>104</v>
      </c>
      <c r="D475" s="31">
        <v>1400</v>
      </c>
      <c r="E475" s="26"/>
      <c r="F475" s="26"/>
    </row>
    <row r="476" spans="2:6" outlineLevel="1" x14ac:dyDescent="0.25">
      <c r="B476" s="31" t="s">
        <v>428</v>
      </c>
      <c r="C476" s="31">
        <v>128</v>
      </c>
      <c r="D476" s="31">
        <v>1400</v>
      </c>
      <c r="E476" s="26"/>
      <c r="F476" s="26"/>
    </row>
    <row r="477" spans="2:6" outlineLevel="1" x14ac:dyDescent="0.25">
      <c r="B477" s="31" t="s">
        <v>427</v>
      </c>
      <c r="C477" s="31">
        <v>161</v>
      </c>
      <c r="D477" s="31">
        <v>1400</v>
      </c>
      <c r="E477" s="26"/>
      <c r="F477" s="26"/>
    </row>
    <row r="478" spans="2:6" outlineLevel="1" x14ac:dyDescent="0.25">
      <c r="B478" s="31" t="s">
        <v>426</v>
      </c>
      <c r="C478" s="31">
        <v>120</v>
      </c>
      <c r="D478" s="31">
        <v>1600</v>
      </c>
      <c r="E478" s="26"/>
      <c r="F478" s="26"/>
    </row>
    <row r="479" spans="2:6" outlineLevel="1" x14ac:dyDescent="0.25">
      <c r="B479" s="31" t="s">
        <v>425</v>
      </c>
      <c r="C479" s="31">
        <v>148</v>
      </c>
      <c r="D479" s="31">
        <v>1600</v>
      </c>
      <c r="E479" s="26"/>
      <c r="F479" s="26"/>
    </row>
    <row r="480" spans="2:6" outlineLevel="1" x14ac:dyDescent="0.25">
      <c r="B480" s="31" t="s">
        <v>424</v>
      </c>
      <c r="C480" s="31">
        <v>186</v>
      </c>
      <c r="D480" s="31">
        <v>1600</v>
      </c>
      <c r="E480" s="26"/>
      <c r="F480" s="26"/>
    </row>
    <row r="481" spans="2:12" outlineLevel="1" x14ac:dyDescent="0.25">
      <c r="B481" s="31" t="s">
        <v>419</v>
      </c>
      <c r="C481" s="26">
        <v>556.92999999999995</v>
      </c>
      <c r="D481" s="26">
        <v>2400</v>
      </c>
      <c r="E481" s="26">
        <v>2144</v>
      </c>
      <c r="F481" s="26">
        <f>SUM(D481:E481)</f>
        <v>4544</v>
      </c>
    </row>
    <row r="482" spans="2:12" outlineLevel="1" x14ac:dyDescent="0.25">
      <c r="B482" s="31" t="s">
        <v>418</v>
      </c>
      <c r="C482" s="26">
        <v>678.45</v>
      </c>
      <c r="D482" s="26">
        <v>3600</v>
      </c>
      <c r="E482" s="26">
        <v>3400</v>
      </c>
      <c r="F482" s="26">
        <f>SUM(D482:E482)</f>
        <v>7000</v>
      </c>
    </row>
    <row r="483" spans="2:12" outlineLevel="1" x14ac:dyDescent="0.25">
      <c r="B483" s="31" t="s">
        <v>417</v>
      </c>
      <c r="C483" s="26">
        <v>1435.4</v>
      </c>
      <c r="D483" s="26">
        <v>4800</v>
      </c>
      <c r="E483" s="26">
        <v>4480</v>
      </c>
      <c r="F483" s="26">
        <f>SUM(D483:E483)</f>
        <v>9280</v>
      </c>
    </row>
    <row r="484" spans="2:12" outlineLevel="1" x14ac:dyDescent="0.25">
      <c r="B484" s="68" t="s">
        <v>630</v>
      </c>
      <c r="C484" s="69">
        <v>11.48</v>
      </c>
      <c r="D484" s="26">
        <v>400</v>
      </c>
      <c r="E484" s="69"/>
      <c r="F484" s="69"/>
      <c r="G484" s="70"/>
    </row>
    <row r="485" spans="2:12" s="67" customFormat="1" outlineLevel="1" x14ac:dyDescent="0.25">
      <c r="B485" s="31" t="s">
        <v>631</v>
      </c>
      <c r="C485" s="26">
        <v>18.34</v>
      </c>
      <c r="D485" s="26">
        <v>600</v>
      </c>
      <c r="E485" s="26"/>
      <c r="F485" s="26"/>
      <c r="G485" s="70"/>
      <c r="L485" s="71"/>
    </row>
    <row r="486" spans="2:12" s="67" customFormat="1" outlineLevel="1" x14ac:dyDescent="0.25">
      <c r="B486" s="72" t="s">
        <v>604</v>
      </c>
      <c r="C486" s="72" t="s">
        <v>604</v>
      </c>
      <c r="D486" s="72" t="s">
        <v>604</v>
      </c>
      <c r="E486" s="69"/>
      <c r="F486" s="69"/>
      <c r="G486" s="70" t="s">
        <v>603</v>
      </c>
      <c r="L486" s="71"/>
    </row>
    <row r="487" spans="2:12" s="67" customFormat="1" outlineLevel="1" x14ac:dyDescent="0.25">
      <c r="B487" s="68"/>
      <c r="C487" s="69"/>
      <c r="D487" s="69"/>
      <c r="E487" s="69"/>
      <c r="F487" s="69"/>
      <c r="G487" s="70" t="s">
        <v>602</v>
      </c>
      <c r="L487" s="71"/>
    </row>
    <row r="488" spans="2:12" s="67" customFormat="1" outlineLevel="1" x14ac:dyDescent="0.25">
      <c r="B488" s="27"/>
      <c r="C488" s="27"/>
      <c r="D488" s="27"/>
      <c r="E488" s="27"/>
      <c r="F488" s="27"/>
      <c r="G488" s="27"/>
      <c r="L488" s="71"/>
    </row>
    <row r="489" spans="2:12" x14ac:dyDescent="0.25">
      <c r="B489" s="29" t="s">
        <v>0</v>
      </c>
      <c r="C489" s="29" t="s">
        <v>1</v>
      </c>
      <c r="D489" s="29" t="s">
        <v>2</v>
      </c>
      <c r="E489" s="29"/>
      <c r="F489" s="29"/>
    </row>
    <row r="490" spans="2:12" x14ac:dyDescent="0.25">
      <c r="B490" s="31" t="s">
        <v>455</v>
      </c>
      <c r="C490" s="26">
        <v>5.9</v>
      </c>
      <c r="D490" s="26">
        <v>302.39999999999998</v>
      </c>
      <c r="E490" s="26"/>
      <c r="F490" s="26"/>
    </row>
    <row r="491" spans="2:12" outlineLevel="1" x14ac:dyDescent="0.25">
      <c r="B491" s="31" t="s">
        <v>456</v>
      </c>
      <c r="C491" s="26">
        <v>8.3000000000000007</v>
      </c>
      <c r="D491" s="26">
        <v>391.8</v>
      </c>
      <c r="E491" s="26"/>
      <c r="F491" s="26"/>
    </row>
    <row r="492" spans="2:12" outlineLevel="1" x14ac:dyDescent="0.25">
      <c r="B492" s="31" t="s">
        <v>457</v>
      </c>
      <c r="C492" s="26">
        <v>11.9</v>
      </c>
      <c r="D492" s="26">
        <v>500.6</v>
      </c>
      <c r="E492" s="26"/>
      <c r="F492" s="26"/>
    </row>
    <row r="493" spans="2:12" outlineLevel="1" x14ac:dyDescent="0.25">
      <c r="B493" s="31" t="s">
        <v>458</v>
      </c>
      <c r="C493" s="26">
        <v>17.7</v>
      </c>
      <c r="D493" s="26">
        <v>588</v>
      </c>
      <c r="E493" s="26"/>
      <c r="F493" s="26"/>
    </row>
    <row r="494" spans="2:12" outlineLevel="1" x14ac:dyDescent="0.25">
      <c r="B494" s="31" t="s">
        <v>459</v>
      </c>
      <c r="C494" s="26">
        <v>20.9</v>
      </c>
      <c r="D494" s="26">
        <v>648</v>
      </c>
      <c r="E494" s="26"/>
      <c r="F494" s="26"/>
    </row>
    <row r="495" spans="2:12" outlineLevel="1" x14ac:dyDescent="0.25">
      <c r="B495" s="31" t="s">
        <v>460</v>
      </c>
      <c r="C495" s="26">
        <v>22.9</v>
      </c>
      <c r="D495" s="26">
        <v>688</v>
      </c>
      <c r="E495" s="26"/>
      <c r="F495" s="26"/>
    </row>
    <row r="496" spans="2:12" outlineLevel="1" x14ac:dyDescent="0.25">
      <c r="B496" s="31" t="s">
        <v>461</v>
      </c>
      <c r="C496" s="26">
        <v>25.1</v>
      </c>
      <c r="D496" s="26">
        <v>747</v>
      </c>
      <c r="E496" s="26"/>
      <c r="F496" s="26"/>
    </row>
    <row r="497" spans="2:12" outlineLevel="1" x14ac:dyDescent="0.25">
      <c r="B497" s="31" t="s">
        <v>462</v>
      </c>
      <c r="C497" s="26">
        <v>35.5</v>
      </c>
      <c r="D497" s="26">
        <v>844</v>
      </c>
      <c r="E497" s="26"/>
      <c r="F497" s="26"/>
    </row>
    <row r="498" spans="2:12" outlineLevel="1" x14ac:dyDescent="0.25">
      <c r="B498" s="31" t="s">
        <v>463</v>
      </c>
      <c r="C498" s="26">
        <v>40.1</v>
      </c>
      <c r="D498" s="26">
        <v>944</v>
      </c>
      <c r="E498" s="26"/>
      <c r="F498" s="26"/>
    </row>
    <row r="499" spans="2:12" outlineLevel="1" x14ac:dyDescent="0.25">
      <c r="B499" s="31" t="s">
        <v>464</v>
      </c>
      <c r="C499" s="26">
        <v>55.2</v>
      </c>
      <c r="D499" s="26">
        <v>1140</v>
      </c>
      <c r="E499" s="26"/>
      <c r="F499" s="26"/>
    </row>
    <row r="500" spans="2:12" outlineLevel="1" x14ac:dyDescent="0.25">
      <c r="B500" s="72" t="s">
        <v>604</v>
      </c>
      <c r="C500" s="72" t="s">
        <v>604</v>
      </c>
      <c r="D500" s="72" t="s">
        <v>604</v>
      </c>
      <c r="E500" s="69"/>
      <c r="F500" s="69"/>
      <c r="G500" s="70" t="s">
        <v>603</v>
      </c>
    </row>
    <row r="501" spans="2:12" s="67" customFormat="1" outlineLevel="1" x14ac:dyDescent="0.25">
      <c r="B501" s="68"/>
      <c r="C501" s="69"/>
      <c r="D501" s="69"/>
      <c r="E501" s="69"/>
      <c r="F501" s="69"/>
      <c r="G501" s="70" t="s">
        <v>602</v>
      </c>
      <c r="L501" s="71"/>
    </row>
    <row r="502" spans="2:12" s="67" customFormat="1" outlineLevel="1" x14ac:dyDescent="0.25">
      <c r="B502" s="27"/>
      <c r="C502" s="27"/>
      <c r="D502" s="27"/>
      <c r="E502" s="27"/>
      <c r="F502" s="27"/>
      <c r="G502" s="27"/>
      <c r="L502" s="71"/>
    </row>
    <row r="503" spans="2:12" x14ac:dyDescent="0.25">
      <c r="B503" s="29" t="s">
        <v>12</v>
      </c>
      <c r="C503" s="29" t="s">
        <v>14</v>
      </c>
      <c r="D503" s="29" t="s">
        <v>15</v>
      </c>
      <c r="E503" s="29"/>
      <c r="F503" s="29"/>
    </row>
    <row r="504" spans="2:12" x14ac:dyDescent="0.25">
      <c r="B504" s="31" t="s">
        <v>465</v>
      </c>
      <c r="C504" s="26">
        <v>115</v>
      </c>
      <c r="D504" s="26">
        <v>2384</v>
      </c>
      <c r="E504" s="26"/>
      <c r="F504" s="26"/>
    </row>
    <row r="505" spans="2:12" outlineLevel="1" x14ac:dyDescent="0.25">
      <c r="B505" s="31" t="s">
        <v>466</v>
      </c>
      <c r="C505" s="26">
        <v>130</v>
      </c>
      <c r="D505" s="26">
        <v>2380</v>
      </c>
      <c r="E505" s="26"/>
      <c r="F505" s="26"/>
    </row>
    <row r="506" spans="2:12" outlineLevel="1" x14ac:dyDescent="0.25">
      <c r="B506" s="31" t="s">
        <v>467</v>
      </c>
      <c r="C506" s="26">
        <v>150</v>
      </c>
      <c r="D506" s="26">
        <v>2400</v>
      </c>
      <c r="E506" s="26"/>
      <c r="F506" s="26"/>
    </row>
    <row r="507" spans="2:12" outlineLevel="1" x14ac:dyDescent="0.25">
      <c r="B507" s="31" t="s">
        <v>468</v>
      </c>
      <c r="C507" s="26">
        <v>173</v>
      </c>
      <c r="D507" s="26">
        <v>2512</v>
      </c>
      <c r="E507" s="26"/>
      <c r="F507" s="26"/>
    </row>
    <row r="508" spans="2:12" outlineLevel="1" x14ac:dyDescent="0.25">
      <c r="B508" s="31" t="s">
        <v>469</v>
      </c>
      <c r="C508" s="26">
        <v>122</v>
      </c>
      <c r="D508" s="26">
        <v>2564</v>
      </c>
      <c r="E508" s="26"/>
      <c r="F508" s="26"/>
    </row>
    <row r="509" spans="2:12" outlineLevel="1" x14ac:dyDescent="0.25">
      <c r="B509" s="31" t="s">
        <v>470</v>
      </c>
      <c r="C509" s="26">
        <v>146</v>
      </c>
      <c r="D509" s="26">
        <v>2680</v>
      </c>
      <c r="E509" s="26"/>
      <c r="F509" s="26"/>
    </row>
    <row r="510" spans="2:12" outlineLevel="1" x14ac:dyDescent="0.25">
      <c r="B510" s="31" t="s">
        <v>471</v>
      </c>
      <c r="C510" s="26">
        <v>168</v>
      </c>
      <c r="D510" s="26">
        <v>2700</v>
      </c>
      <c r="E510" s="26"/>
      <c r="F510" s="26"/>
    </row>
    <row r="511" spans="2:12" outlineLevel="1" x14ac:dyDescent="0.25">
      <c r="B511" s="31" t="s">
        <v>472</v>
      </c>
      <c r="C511" s="26">
        <v>192</v>
      </c>
      <c r="D511" s="26">
        <v>2812</v>
      </c>
      <c r="E511" s="26"/>
      <c r="F511" s="26"/>
    </row>
    <row r="512" spans="2:12" outlineLevel="1" x14ac:dyDescent="0.25">
      <c r="B512" s="31" t="s">
        <v>473</v>
      </c>
      <c r="C512" s="26">
        <v>175</v>
      </c>
      <c r="D512" s="26">
        <v>2976</v>
      </c>
      <c r="E512" s="26"/>
      <c r="F512" s="26"/>
    </row>
    <row r="513" spans="2:6" outlineLevel="1" x14ac:dyDescent="0.25">
      <c r="B513" s="31" t="s">
        <v>474</v>
      </c>
      <c r="C513" s="26">
        <v>218</v>
      </c>
      <c r="D513" s="26">
        <v>3196</v>
      </c>
      <c r="E513" s="26"/>
      <c r="F513" s="26"/>
    </row>
    <row r="514" spans="2:6" outlineLevel="1" x14ac:dyDescent="0.25">
      <c r="B514" s="31" t="s">
        <v>475</v>
      </c>
      <c r="C514" s="26">
        <v>257</v>
      </c>
      <c r="D514" s="26">
        <v>3408</v>
      </c>
      <c r="E514" s="26"/>
      <c r="F514" s="26"/>
    </row>
    <row r="515" spans="2:6" outlineLevel="1" x14ac:dyDescent="0.25">
      <c r="B515" s="31" t="s">
        <v>476</v>
      </c>
      <c r="C515" s="26">
        <v>282</v>
      </c>
      <c r="D515" s="26">
        <v>3424</v>
      </c>
      <c r="E515" s="26"/>
      <c r="F515" s="26"/>
    </row>
    <row r="516" spans="2:6" outlineLevel="1" x14ac:dyDescent="0.25">
      <c r="B516" s="31" t="s">
        <v>477</v>
      </c>
      <c r="C516" s="26">
        <v>215</v>
      </c>
      <c r="D516" s="26">
        <v>3168</v>
      </c>
      <c r="E516" s="26"/>
      <c r="F516" s="26"/>
    </row>
    <row r="517" spans="2:6" outlineLevel="1" x14ac:dyDescent="0.25">
      <c r="B517" s="31" t="s">
        <v>478</v>
      </c>
      <c r="C517" s="26">
        <v>258</v>
      </c>
      <c r="D517" s="26">
        <v>3388</v>
      </c>
      <c r="E517" s="26"/>
      <c r="F517" s="26"/>
    </row>
    <row r="518" spans="2:6" outlineLevel="1" x14ac:dyDescent="0.25">
      <c r="B518" s="31" t="s">
        <v>479</v>
      </c>
      <c r="C518" s="26">
        <v>296</v>
      </c>
      <c r="D518" s="26">
        <v>3600</v>
      </c>
      <c r="E518" s="26"/>
      <c r="F518" s="26"/>
    </row>
    <row r="519" spans="2:6" outlineLevel="1" x14ac:dyDescent="0.25">
      <c r="B519" s="31" t="s">
        <v>480</v>
      </c>
      <c r="C519" s="26">
        <v>322</v>
      </c>
      <c r="D519" s="26">
        <v>3616</v>
      </c>
      <c r="E519" s="26"/>
      <c r="F519" s="26"/>
    </row>
    <row r="520" spans="2:6" outlineLevel="1" x14ac:dyDescent="0.25">
      <c r="B520" s="31" t="s">
        <v>481</v>
      </c>
      <c r="C520" s="26">
        <v>249</v>
      </c>
      <c r="D520" s="26">
        <v>3408</v>
      </c>
      <c r="E520" s="26"/>
      <c r="F520" s="26"/>
    </row>
    <row r="521" spans="2:6" outlineLevel="1" x14ac:dyDescent="0.25">
      <c r="B521" s="31" t="s">
        <v>482</v>
      </c>
      <c r="C521" s="26">
        <v>278</v>
      </c>
      <c r="D521" s="26">
        <v>3708</v>
      </c>
      <c r="E521" s="26"/>
      <c r="F521" s="26"/>
    </row>
    <row r="522" spans="2:6" outlineLevel="1" x14ac:dyDescent="0.25">
      <c r="B522" s="31" t="s">
        <v>483</v>
      </c>
      <c r="C522" s="26">
        <v>317</v>
      </c>
      <c r="D522" s="26">
        <v>3920</v>
      </c>
      <c r="E522" s="26"/>
      <c r="F522" s="26"/>
    </row>
    <row r="523" spans="2:6" outlineLevel="1" x14ac:dyDescent="0.25">
      <c r="B523" s="31" t="s">
        <v>484</v>
      </c>
      <c r="C523" s="26">
        <v>342</v>
      </c>
      <c r="D523" s="26">
        <v>3936</v>
      </c>
      <c r="E523" s="26"/>
      <c r="F523" s="26"/>
    </row>
    <row r="524" spans="2:6" outlineLevel="1" x14ac:dyDescent="0.25">
      <c r="B524" s="31" t="s">
        <v>485</v>
      </c>
      <c r="C524" s="26">
        <v>392</v>
      </c>
      <c r="D524" s="26">
        <v>4336</v>
      </c>
      <c r="E524" s="26"/>
      <c r="F524" s="26"/>
    </row>
    <row r="525" spans="2:6" outlineLevel="1" x14ac:dyDescent="0.25">
      <c r="B525" s="31" t="s">
        <v>486</v>
      </c>
      <c r="C525" s="26">
        <v>423</v>
      </c>
      <c r="D525" s="26">
        <v>4352</v>
      </c>
      <c r="E525" s="26"/>
      <c r="F525" s="26"/>
    </row>
    <row r="526" spans="2:6" outlineLevel="1" x14ac:dyDescent="0.25">
      <c r="B526" s="31" t="s">
        <v>487</v>
      </c>
      <c r="C526" s="26">
        <v>455</v>
      </c>
      <c r="D526" s="26">
        <v>4368</v>
      </c>
      <c r="E526" s="26"/>
      <c r="F526" s="26"/>
    </row>
    <row r="527" spans="2:6" outlineLevel="1" x14ac:dyDescent="0.25">
      <c r="B527" s="31" t="s">
        <v>491</v>
      </c>
      <c r="C527" s="26">
        <v>613</v>
      </c>
      <c r="D527" s="26">
        <v>5520</v>
      </c>
      <c r="E527" s="26"/>
      <c r="F527" s="26"/>
    </row>
    <row r="528" spans="2:6" outlineLevel="1" x14ac:dyDescent="0.25">
      <c r="B528" s="31" t="s">
        <v>489</v>
      </c>
      <c r="C528" s="26">
        <v>1711</v>
      </c>
      <c r="D528" s="26">
        <v>8500</v>
      </c>
      <c r="E528" s="26"/>
      <c r="F528" s="26"/>
    </row>
    <row r="529" spans="2:12" outlineLevel="1" x14ac:dyDescent="0.25">
      <c r="B529" s="31" t="s">
        <v>490</v>
      </c>
      <c r="C529" s="26">
        <v>3258</v>
      </c>
      <c r="D529" s="26">
        <v>8300</v>
      </c>
      <c r="E529" s="26"/>
      <c r="F529" s="26"/>
    </row>
    <row r="530" spans="2:12" outlineLevel="1" x14ac:dyDescent="0.25">
      <c r="B530" s="31" t="s">
        <v>488</v>
      </c>
      <c r="C530" s="26">
        <v>3964</v>
      </c>
      <c r="D530" s="26">
        <v>11100</v>
      </c>
      <c r="E530" s="26"/>
      <c r="F530" s="26"/>
    </row>
    <row r="531" spans="2:12" outlineLevel="1" x14ac:dyDescent="0.25">
      <c r="B531" s="72" t="s">
        <v>604</v>
      </c>
      <c r="C531" s="72" t="s">
        <v>604</v>
      </c>
      <c r="D531" s="72" t="s">
        <v>604</v>
      </c>
      <c r="E531" s="69"/>
      <c r="F531" s="69"/>
      <c r="G531" s="70" t="s">
        <v>603</v>
      </c>
    </row>
    <row r="532" spans="2:12" s="67" customFormat="1" outlineLevel="1" x14ac:dyDescent="0.25">
      <c r="B532" s="68"/>
      <c r="C532" s="69"/>
      <c r="D532" s="69"/>
      <c r="E532" s="69"/>
      <c r="F532" s="69"/>
      <c r="G532" s="70" t="s">
        <v>602</v>
      </c>
      <c r="L532" s="71"/>
    </row>
    <row r="533" spans="2:12" s="67" customFormat="1" outlineLevel="1" x14ac:dyDescent="0.25">
      <c r="B533" s="27"/>
      <c r="C533" s="27"/>
      <c r="D533" s="27"/>
      <c r="E533" s="27"/>
      <c r="F533" s="27"/>
      <c r="G533" s="27"/>
      <c r="L533" s="71"/>
    </row>
    <row r="534" spans="2:12" x14ac:dyDescent="0.25">
      <c r="B534" s="29" t="s">
        <v>13</v>
      </c>
      <c r="C534" s="29" t="s">
        <v>14</v>
      </c>
      <c r="D534" s="29" t="s">
        <v>15</v>
      </c>
      <c r="E534" s="29"/>
      <c r="F534" s="29"/>
    </row>
    <row r="535" spans="2:12" x14ac:dyDescent="0.25">
      <c r="B535" s="31" t="s">
        <v>205</v>
      </c>
      <c r="C535" s="26">
        <v>2.9437500000000001</v>
      </c>
      <c r="D535" s="26">
        <v>160</v>
      </c>
      <c r="E535" s="26"/>
      <c r="F535" s="26"/>
    </row>
    <row r="536" spans="2:12" outlineLevel="1" x14ac:dyDescent="0.25">
      <c r="B536" s="72" t="s">
        <v>604</v>
      </c>
      <c r="C536" s="72" t="s">
        <v>604</v>
      </c>
      <c r="D536" s="72" t="s">
        <v>604</v>
      </c>
      <c r="E536" s="69"/>
      <c r="F536" s="69"/>
      <c r="G536" s="70" t="s">
        <v>603</v>
      </c>
    </row>
    <row r="537" spans="2:12" s="67" customFormat="1" outlineLevel="1" x14ac:dyDescent="0.25">
      <c r="B537" s="68"/>
      <c r="C537" s="69"/>
      <c r="D537" s="69"/>
      <c r="E537" s="69"/>
      <c r="F537" s="69"/>
      <c r="G537" s="70" t="s">
        <v>602</v>
      </c>
      <c r="L537" s="71"/>
    </row>
    <row r="538" spans="2:12" s="67" customFormat="1" outlineLevel="1" x14ac:dyDescent="0.25">
      <c r="B538" s="27"/>
      <c r="C538" s="27"/>
      <c r="D538" s="27"/>
      <c r="E538" s="27"/>
      <c r="F538" s="27"/>
      <c r="G538" s="27"/>
      <c r="L538" s="71"/>
    </row>
    <row r="539" spans="2:12" x14ac:dyDescent="0.25">
      <c r="B539" s="29" t="s">
        <v>632</v>
      </c>
      <c r="C539" s="29" t="s">
        <v>14</v>
      </c>
      <c r="D539" s="29" t="s">
        <v>15</v>
      </c>
      <c r="E539" s="29"/>
      <c r="F539" s="29"/>
    </row>
    <row r="540" spans="2:12" x14ac:dyDescent="0.25">
      <c r="B540" s="31" t="s">
        <v>633</v>
      </c>
      <c r="C540" s="26">
        <v>62.4</v>
      </c>
      <c r="D540" s="26">
        <v>1068</v>
      </c>
      <c r="E540" s="26"/>
      <c r="F540" s="26"/>
    </row>
    <row r="541" spans="2:12" x14ac:dyDescent="0.25">
      <c r="B541" s="31" t="s">
        <v>634</v>
      </c>
      <c r="C541" s="26">
        <v>56.6</v>
      </c>
      <c r="D541" s="26">
        <v>1062</v>
      </c>
      <c r="E541" s="26"/>
      <c r="F541" s="26"/>
    </row>
    <row r="542" spans="2:12" x14ac:dyDescent="0.25">
      <c r="B542" s="31" t="s">
        <v>635</v>
      </c>
      <c r="C542" s="26">
        <v>50.7</v>
      </c>
      <c r="D542" s="26">
        <v>1056</v>
      </c>
      <c r="E542" s="26"/>
      <c r="F542" s="26"/>
    </row>
    <row r="543" spans="2:12" x14ac:dyDescent="0.25">
      <c r="B543" s="31" t="s">
        <v>636</v>
      </c>
      <c r="C543" s="26">
        <v>46.2</v>
      </c>
      <c r="D543" s="26">
        <v>950</v>
      </c>
      <c r="E543" s="26"/>
      <c r="F543" s="26"/>
    </row>
    <row r="544" spans="2:12" x14ac:dyDescent="0.25">
      <c r="B544" s="31" t="s">
        <v>637</v>
      </c>
      <c r="C544" s="26">
        <v>40.9</v>
      </c>
      <c r="D544" s="26">
        <v>944</v>
      </c>
      <c r="E544" s="26"/>
      <c r="F544" s="26"/>
    </row>
    <row r="545" spans="2:6" x14ac:dyDescent="0.25">
      <c r="B545" s="31" t="s">
        <v>638</v>
      </c>
      <c r="C545" s="26">
        <v>41</v>
      </c>
      <c r="D545" s="26">
        <v>840</v>
      </c>
      <c r="E545" s="26"/>
      <c r="F545" s="26"/>
    </row>
    <row r="546" spans="2:6" x14ac:dyDescent="0.25">
      <c r="B546" s="31" t="s">
        <v>639</v>
      </c>
      <c r="C546" s="26">
        <v>37.200000000000003</v>
      </c>
      <c r="D546" s="26">
        <v>836</v>
      </c>
      <c r="E546" s="26"/>
      <c r="F546" s="26"/>
    </row>
    <row r="547" spans="2:6" x14ac:dyDescent="0.25">
      <c r="B547" s="31" t="s">
        <v>640</v>
      </c>
      <c r="C547" s="26">
        <v>33.5</v>
      </c>
      <c r="D547" s="26">
        <v>832</v>
      </c>
      <c r="E547" s="26"/>
      <c r="F547" s="26"/>
    </row>
    <row r="548" spans="2:6" x14ac:dyDescent="0.25">
      <c r="B548" s="31" t="s">
        <v>641</v>
      </c>
      <c r="C548" s="26">
        <v>29.8</v>
      </c>
      <c r="D548" s="26">
        <v>760</v>
      </c>
      <c r="E548" s="26"/>
      <c r="F548" s="26"/>
    </row>
    <row r="549" spans="2:6" x14ac:dyDescent="0.25">
      <c r="B549" s="31" t="s">
        <v>642</v>
      </c>
      <c r="C549" s="26">
        <v>26.8</v>
      </c>
      <c r="D549" s="26">
        <v>756</v>
      </c>
      <c r="E549" s="26"/>
      <c r="F549" s="26"/>
    </row>
    <row r="550" spans="2:6" x14ac:dyDescent="0.25">
      <c r="B550" s="31" t="s">
        <v>643</v>
      </c>
      <c r="C550" s="26">
        <v>28.2</v>
      </c>
      <c r="D550" s="26">
        <v>700</v>
      </c>
      <c r="E550" s="26"/>
      <c r="F550" s="26"/>
    </row>
    <row r="551" spans="2:6" x14ac:dyDescent="0.25">
      <c r="B551" s="31" t="s">
        <v>644</v>
      </c>
      <c r="C551" s="26">
        <v>25.3</v>
      </c>
      <c r="D551" s="26">
        <v>698</v>
      </c>
      <c r="E551" s="26"/>
      <c r="F551" s="26"/>
    </row>
    <row r="552" spans="2:6" x14ac:dyDescent="0.25">
      <c r="B552" s="31" t="s">
        <v>645</v>
      </c>
      <c r="C552" s="26">
        <v>22.3</v>
      </c>
      <c r="D552" s="26">
        <v>692</v>
      </c>
      <c r="E552" s="26"/>
      <c r="F552" s="26"/>
    </row>
    <row r="553" spans="2:6" x14ac:dyDescent="0.25">
      <c r="B553" s="31" t="s">
        <v>646</v>
      </c>
      <c r="C553" s="26">
        <v>23.1</v>
      </c>
      <c r="D553" s="26">
        <v>638</v>
      </c>
      <c r="E553" s="26"/>
      <c r="F553" s="26"/>
    </row>
    <row r="554" spans="2:6" x14ac:dyDescent="0.25">
      <c r="B554" s="31" t="s">
        <v>647</v>
      </c>
      <c r="C554" s="26">
        <v>20.2</v>
      </c>
      <c r="D554" s="26">
        <v>632</v>
      </c>
      <c r="E554" s="26"/>
      <c r="F554" s="26"/>
    </row>
    <row r="555" spans="2:6" x14ac:dyDescent="0.25">
      <c r="B555" s="31" t="s">
        <v>648</v>
      </c>
      <c r="C555" s="26">
        <v>18.600000000000001</v>
      </c>
      <c r="D555" s="26">
        <v>546</v>
      </c>
      <c r="E555" s="26"/>
      <c r="F555" s="26"/>
    </row>
    <row r="556" spans="2:6" x14ac:dyDescent="0.25">
      <c r="B556" s="31" t="s">
        <v>649</v>
      </c>
      <c r="C556" s="26">
        <v>15.7</v>
      </c>
      <c r="D556" s="26">
        <v>542</v>
      </c>
      <c r="E556" s="26"/>
      <c r="F556" s="26"/>
    </row>
    <row r="557" spans="2:6" x14ac:dyDescent="0.25">
      <c r="B557" s="31" t="s">
        <v>650</v>
      </c>
      <c r="C557" s="26">
        <v>14.9</v>
      </c>
      <c r="D557" s="26">
        <v>472</v>
      </c>
      <c r="E557" s="26"/>
      <c r="F557" s="26"/>
    </row>
    <row r="558" spans="2:6" x14ac:dyDescent="0.25">
      <c r="B558" s="31" t="s">
        <v>651</v>
      </c>
      <c r="C558" s="26">
        <v>12.6</v>
      </c>
      <c r="D558" s="26">
        <v>468</v>
      </c>
      <c r="E558" s="26"/>
      <c r="F558" s="26"/>
    </row>
    <row r="559" spans="2:6" x14ac:dyDescent="0.25">
      <c r="B559" s="31" t="s">
        <v>652</v>
      </c>
      <c r="C559" s="26">
        <v>11</v>
      </c>
      <c r="D559" s="26">
        <v>357</v>
      </c>
      <c r="E559" s="26"/>
      <c r="F559" s="26"/>
    </row>
    <row r="560" spans="2:6" x14ac:dyDescent="0.25">
      <c r="B560" s="31" t="s">
        <v>653</v>
      </c>
      <c r="C560" s="26">
        <v>9</v>
      </c>
      <c r="D560" s="26">
        <v>353</v>
      </c>
      <c r="E560" s="26"/>
      <c r="F560" s="26"/>
    </row>
    <row r="561" spans="2:7" x14ac:dyDescent="0.25">
      <c r="B561" s="31" t="s">
        <v>654</v>
      </c>
      <c r="C561" s="26">
        <v>9</v>
      </c>
      <c r="D561" s="26">
        <v>303</v>
      </c>
      <c r="E561" s="26"/>
      <c r="F561" s="26"/>
    </row>
    <row r="562" spans="2:7" x14ac:dyDescent="0.25">
      <c r="B562" s="31" t="s">
        <v>655</v>
      </c>
      <c r="C562" s="26">
        <v>7</v>
      </c>
      <c r="D562" s="26">
        <v>298</v>
      </c>
      <c r="E562" s="26"/>
      <c r="F562" s="26"/>
    </row>
    <row r="563" spans="2:7" x14ac:dyDescent="0.25">
      <c r="B563" s="31" t="s">
        <v>672</v>
      </c>
      <c r="C563" s="26">
        <v>12.799999999999999</v>
      </c>
      <c r="D563" s="26">
        <v>494</v>
      </c>
      <c r="E563" s="69"/>
      <c r="F563" s="69"/>
    </row>
    <row r="564" spans="2:7" x14ac:dyDescent="0.25">
      <c r="B564" s="31" t="s">
        <v>673</v>
      </c>
      <c r="C564" s="26">
        <v>8.01</v>
      </c>
      <c r="D564" s="26">
        <v>352</v>
      </c>
      <c r="E564" s="26"/>
      <c r="F564" s="26"/>
    </row>
    <row r="565" spans="2:7" x14ac:dyDescent="0.25">
      <c r="B565" s="31" t="s">
        <v>674</v>
      </c>
      <c r="C565" s="26">
        <v>9.0299999999999994</v>
      </c>
      <c r="D565" s="26">
        <v>394</v>
      </c>
      <c r="E565" s="26"/>
      <c r="F565" s="26"/>
    </row>
    <row r="566" spans="2:7" x14ac:dyDescent="0.25">
      <c r="B566" s="31" t="s">
        <v>683</v>
      </c>
      <c r="C566" s="26">
        <v>11.23</v>
      </c>
      <c r="D566" s="26">
        <v>466</v>
      </c>
      <c r="E566" s="26"/>
      <c r="F566" s="26"/>
    </row>
    <row r="567" spans="2:7" x14ac:dyDescent="0.25">
      <c r="B567" s="31" t="s">
        <v>675</v>
      </c>
      <c r="C567" s="26">
        <v>15.94</v>
      </c>
      <c r="D567" s="26">
        <v>594</v>
      </c>
      <c r="E567" s="26"/>
      <c r="F567" s="26"/>
    </row>
    <row r="568" spans="2:7" x14ac:dyDescent="0.25">
      <c r="B568" s="31" t="s">
        <v>676</v>
      </c>
      <c r="C568" s="26">
        <v>62.489999999999995</v>
      </c>
      <c r="D568" s="26">
        <v>1182</v>
      </c>
      <c r="E568" s="26"/>
      <c r="F568" s="26"/>
    </row>
    <row r="569" spans="2:7" x14ac:dyDescent="0.25">
      <c r="B569" s="31" t="s">
        <v>677</v>
      </c>
      <c r="C569" s="26">
        <v>69.95</v>
      </c>
      <c r="D569" s="26">
        <v>1189.4000000000001</v>
      </c>
      <c r="E569" s="26"/>
      <c r="F569" s="26"/>
    </row>
    <row r="570" spans="2:7" x14ac:dyDescent="0.25">
      <c r="B570" s="31" t="s">
        <v>678</v>
      </c>
      <c r="C570" s="26">
        <v>73.64</v>
      </c>
      <c r="D570" s="26">
        <v>1282.5999999999999</v>
      </c>
      <c r="E570" s="26"/>
      <c r="F570" s="26"/>
    </row>
    <row r="571" spans="2:7" x14ac:dyDescent="0.25">
      <c r="B571" s="31" t="s">
        <v>679</v>
      </c>
      <c r="C571" s="26">
        <v>86.35</v>
      </c>
      <c r="D571" s="26">
        <v>1293.4000000000001</v>
      </c>
      <c r="E571" s="26"/>
      <c r="F571" s="26"/>
    </row>
    <row r="572" spans="2:7" x14ac:dyDescent="0.25">
      <c r="B572" s="31" t="s">
        <v>680</v>
      </c>
      <c r="C572" s="26">
        <v>98.13000000000001</v>
      </c>
      <c r="D572" s="26">
        <v>1304</v>
      </c>
      <c r="E572" s="26"/>
      <c r="F572" s="26"/>
    </row>
    <row r="573" spans="2:7" x14ac:dyDescent="0.25">
      <c r="B573" s="31" t="s">
        <v>681</v>
      </c>
      <c r="C573" s="26">
        <v>109.9</v>
      </c>
      <c r="D573" s="26">
        <v>1313.6</v>
      </c>
      <c r="E573" s="26"/>
      <c r="F573" s="26"/>
    </row>
    <row r="574" spans="2:7" x14ac:dyDescent="0.25">
      <c r="B574" s="31" t="s">
        <v>682</v>
      </c>
      <c r="C574" s="26">
        <v>121.68</v>
      </c>
      <c r="D574" s="26">
        <v>1323.2</v>
      </c>
      <c r="E574" s="26"/>
      <c r="F574" s="26"/>
    </row>
    <row r="575" spans="2:7" x14ac:dyDescent="0.25">
      <c r="B575" s="72" t="s">
        <v>604</v>
      </c>
      <c r="C575" s="72" t="s">
        <v>604</v>
      </c>
      <c r="D575" s="72" t="s">
        <v>604</v>
      </c>
      <c r="E575" s="69"/>
      <c r="F575" s="69"/>
      <c r="G575" s="70" t="s">
        <v>603</v>
      </c>
    </row>
    <row r="576" spans="2:7" x14ac:dyDescent="0.25">
      <c r="B576" s="68"/>
      <c r="C576" s="69"/>
      <c r="D576" s="69"/>
      <c r="E576" s="69"/>
      <c r="F576" s="69"/>
      <c r="G576" s="70" t="s">
        <v>602</v>
      </c>
    </row>
    <row r="578" spans="2:6" x14ac:dyDescent="0.25">
      <c r="B578" s="29" t="s">
        <v>656</v>
      </c>
      <c r="C578" s="29" t="s">
        <v>14</v>
      </c>
      <c r="D578" s="29" t="s">
        <v>15</v>
      </c>
      <c r="E578" s="29"/>
      <c r="F578" s="29"/>
    </row>
    <row r="579" spans="2:6" x14ac:dyDescent="0.25">
      <c r="B579" s="31" t="s">
        <v>657</v>
      </c>
      <c r="C579" s="26">
        <v>141</v>
      </c>
      <c r="D579" s="26">
        <v>1008</v>
      </c>
      <c r="E579" s="26"/>
      <c r="F579" s="26"/>
    </row>
    <row r="580" spans="2:6" x14ac:dyDescent="0.25">
      <c r="B580" s="31" t="s">
        <v>658</v>
      </c>
      <c r="C580" s="26">
        <v>120</v>
      </c>
      <c r="D580" s="26">
        <v>986</v>
      </c>
      <c r="E580" s="26"/>
      <c r="F580" s="26"/>
    </row>
    <row r="581" spans="2:6" x14ac:dyDescent="0.25">
      <c r="B581" s="31" t="s">
        <v>659</v>
      </c>
      <c r="C581" s="26">
        <v>98.9</v>
      </c>
      <c r="D581" s="26">
        <v>966</v>
      </c>
      <c r="E581" s="26"/>
      <c r="F581" s="26"/>
    </row>
    <row r="582" spans="2:6" x14ac:dyDescent="0.25">
      <c r="B582" s="31" t="s">
        <v>660</v>
      </c>
      <c r="C582" s="26">
        <v>78.7</v>
      </c>
      <c r="D582" s="26">
        <v>948</v>
      </c>
      <c r="E582" s="26"/>
      <c r="F582" s="26"/>
    </row>
    <row r="583" spans="2:6" x14ac:dyDescent="0.25">
      <c r="B583" s="31" t="s">
        <v>661</v>
      </c>
      <c r="C583" s="26">
        <v>68.3</v>
      </c>
      <c r="D583" s="26">
        <v>936</v>
      </c>
      <c r="E583" s="26"/>
      <c r="F583" s="26"/>
    </row>
    <row r="584" spans="2:6" x14ac:dyDescent="0.25">
      <c r="B584" s="31" t="s">
        <v>662</v>
      </c>
      <c r="C584" s="26">
        <v>58.7</v>
      </c>
      <c r="D584" s="26">
        <v>926</v>
      </c>
      <c r="E584" s="26"/>
      <c r="F584" s="26"/>
    </row>
    <row r="585" spans="2:6" x14ac:dyDescent="0.25">
      <c r="B585" s="31" t="s">
        <v>663</v>
      </c>
      <c r="C585" s="26">
        <v>48.3</v>
      </c>
      <c r="D585" s="26">
        <v>916</v>
      </c>
      <c r="E585" s="26"/>
      <c r="F585" s="26"/>
    </row>
    <row r="586" spans="2:6" x14ac:dyDescent="0.25">
      <c r="B586" s="31" t="s">
        <v>664</v>
      </c>
      <c r="C586" s="26">
        <v>44.5</v>
      </c>
      <c r="D586" s="26">
        <v>770</v>
      </c>
      <c r="E586" s="26"/>
      <c r="F586" s="26"/>
    </row>
    <row r="587" spans="2:6" x14ac:dyDescent="0.25">
      <c r="B587" s="31" t="s">
        <v>665</v>
      </c>
      <c r="C587" s="26">
        <v>36.4</v>
      </c>
      <c r="D587" s="26">
        <v>760</v>
      </c>
      <c r="E587" s="26"/>
      <c r="F587" s="26"/>
    </row>
    <row r="588" spans="2:6" x14ac:dyDescent="0.25">
      <c r="B588" s="31" t="s">
        <v>666</v>
      </c>
      <c r="C588" s="26">
        <v>29.7</v>
      </c>
      <c r="D588" s="26">
        <v>618</v>
      </c>
      <c r="E588" s="26"/>
      <c r="F588" s="26"/>
    </row>
    <row r="589" spans="2:6" x14ac:dyDescent="0.25">
      <c r="B589" s="31" t="s">
        <v>667</v>
      </c>
      <c r="C589" s="26">
        <v>26</v>
      </c>
      <c r="D589" s="26">
        <v>612</v>
      </c>
      <c r="E589" s="26"/>
      <c r="F589" s="26"/>
    </row>
    <row r="590" spans="2:6" x14ac:dyDescent="0.25">
      <c r="B590" s="31" t="s">
        <v>668</v>
      </c>
      <c r="C590" s="26">
        <v>23</v>
      </c>
      <c r="D590" s="26">
        <v>608</v>
      </c>
      <c r="E590" s="26"/>
      <c r="F590" s="26"/>
    </row>
    <row r="591" spans="2:6" x14ac:dyDescent="0.25">
      <c r="B591" s="31" t="s">
        <v>669</v>
      </c>
      <c r="C591" s="26">
        <v>18.5</v>
      </c>
      <c r="D591" s="26">
        <v>468</v>
      </c>
      <c r="E591" s="26"/>
      <c r="F591" s="26"/>
    </row>
    <row r="592" spans="2:6" x14ac:dyDescent="0.25">
      <c r="B592" s="31" t="s">
        <v>670</v>
      </c>
      <c r="C592" s="26">
        <v>15</v>
      </c>
      <c r="D592" s="26">
        <v>462</v>
      </c>
      <c r="E592" s="26"/>
      <c r="F592" s="26"/>
    </row>
    <row r="593" spans="2:7" x14ac:dyDescent="0.25">
      <c r="B593" s="31" t="s">
        <v>671</v>
      </c>
      <c r="C593" s="26">
        <v>11.6</v>
      </c>
      <c r="D593" s="26">
        <v>454</v>
      </c>
      <c r="E593" s="26"/>
      <c r="F593" s="26"/>
    </row>
    <row r="594" spans="2:7" x14ac:dyDescent="0.25">
      <c r="B594" s="72" t="s">
        <v>604</v>
      </c>
      <c r="C594" s="72" t="s">
        <v>604</v>
      </c>
      <c r="D594" s="72" t="s">
        <v>604</v>
      </c>
      <c r="E594" s="69"/>
      <c r="F594" s="69"/>
      <c r="G594" s="70" t="s">
        <v>603</v>
      </c>
    </row>
    <row r="595" spans="2:7" x14ac:dyDescent="0.25">
      <c r="B595" s="68"/>
      <c r="C595" s="69"/>
      <c r="D595" s="69"/>
      <c r="E595" s="69"/>
      <c r="F595" s="69"/>
      <c r="G595" s="70" t="s">
        <v>602</v>
      </c>
    </row>
    <row r="596" spans="2:7" x14ac:dyDescent="0.25">
      <c r="B596" s="29" t="s">
        <v>1143</v>
      </c>
      <c r="C596" s="29" t="s">
        <v>14</v>
      </c>
      <c r="D596" s="29" t="s">
        <v>15</v>
      </c>
      <c r="E596" s="29"/>
      <c r="F596" s="29"/>
    </row>
    <row r="597" spans="2:7" x14ac:dyDescent="0.25">
      <c r="B597" s="31" t="s">
        <v>1145</v>
      </c>
      <c r="C597" s="26">
        <v>440</v>
      </c>
      <c r="D597" s="26">
        <v>1960</v>
      </c>
      <c r="E597" s="26"/>
      <c r="F597" s="26"/>
    </row>
    <row r="598" spans="2:7" outlineLevel="1" x14ac:dyDescent="0.25">
      <c r="B598" s="31" t="s">
        <v>1146</v>
      </c>
      <c r="C598" s="26">
        <v>414</v>
      </c>
      <c r="D598" s="26">
        <v>1960</v>
      </c>
      <c r="E598" s="26"/>
      <c r="F598" s="26"/>
    </row>
    <row r="599" spans="2:7" outlineLevel="1" x14ac:dyDescent="0.25">
      <c r="B599" s="31" t="s">
        <v>1147</v>
      </c>
      <c r="C599" s="26">
        <v>383</v>
      </c>
      <c r="D599" s="26">
        <v>1944</v>
      </c>
      <c r="E599" s="26"/>
      <c r="F599" s="26"/>
    </row>
    <row r="600" spans="2:7" outlineLevel="1" x14ac:dyDescent="0.25">
      <c r="B600" s="31" t="s">
        <v>1148</v>
      </c>
      <c r="C600" s="26">
        <v>340</v>
      </c>
      <c r="D600" s="26">
        <v>2028</v>
      </c>
      <c r="E600" s="26"/>
      <c r="F600" s="26"/>
    </row>
    <row r="601" spans="2:7" outlineLevel="1" x14ac:dyDescent="0.25">
      <c r="B601" s="31" t="s">
        <v>1149</v>
      </c>
      <c r="C601" s="26">
        <v>290</v>
      </c>
      <c r="D601" s="26">
        <v>2012</v>
      </c>
      <c r="E601" s="26"/>
      <c r="F601" s="26"/>
    </row>
    <row r="602" spans="2:7" outlineLevel="1" x14ac:dyDescent="0.25">
      <c r="B602" s="31" t="s">
        <v>1150</v>
      </c>
      <c r="C602" s="26">
        <v>267</v>
      </c>
      <c r="D602" s="26">
        <v>2000</v>
      </c>
      <c r="E602" s="26"/>
      <c r="F602" s="26"/>
    </row>
    <row r="603" spans="2:7" outlineLevel="1" x14ac:dyDescent="0.25">
      <c r="B603" s="31" t="s">
        <v>1151</v>
      </c>
      <c r="C603" s="26">
        <v>228</v>
      </c>
      <c r="D603" s="26">
        <v>1980</v>
      </c>
      <c r="E603" s="26"/>
      <c r="F603" s="26"/>
    </row>
    <row r="604" spans="2:7" outlineLevel="1" x14ac:dyDescent="0.25">
      <c r="B604" s="31" t="s">
        <v>1152</v>
      </c>
      <c r="C604" s="26">
        <v>361</v>
      </c>
      <c r="D604" s="26">
        <v>1660</v>
      </c>
      <c r="E604" s="26"/>
      <c r="F604" s="26"/>
    </row>
    <row r="605" spans="2:7" outlineLevel="1" x14ac:dyDescent="0.25">
      <c r="B605" s="31" t="s">
        <v>1153</v>
      </c>
      <c r="C605" s="26">
        <v>328</v>
      </c>
      <c r="D605" s="26">
        <v>1660</v>
      </c>
      <c r="E605" s="26"/>
      <c r="F605" s="26"/>
    </row>
    <row r="606" spans="2:7" outlineLevel="1" x14ac:dyDescent="0.25">
      <c r="B606" s="31" t="s">
        <v>1154</v>
      </c>
      <c r="C606" s="26">
        <v>303</v>
      </c>
      <c r="D606" s="26">
        <v>1644</v>
      </c>
      <c r="E606" s="26"/>
      <c r="F606" s="26"/>
    </row>
    <row r="607" spans="2:7" outlineLevel="1" x14ac:dyDescent="0.25">
      <c r="B607" s="31" t="s">
        <v>1155</v>
      </c>
      <c r="C607" s="26">
        <v>270</v>
      </c>
      <c r="D607" s="26">
        <v>1628</v>
      </c>
      <c r="E607" s="26"/>
      <c r="F607" s="26"/>
    </row>
    <row r="608" spans="2:7" outlineLevel="1" x14ac:dyDescent="0.25">
      <c r="B608" s="31" t="s">
        <v>1156</v>
      </c>
      <c r="C608" s="26">
        <v>212</v>
      </c>
      <c r="D608" s="26">
        <v>1600</v>
      </c>
      <c r="E608" s="26"/>
      <c r="F608" s="26"/>
    </row>
    <row r="609" spans="2:12" outlineLevel="1" x14ac:dyDescent="0.25">
      <c r="B609" s="31" t="s">
        <v>1157</v>
      </c>
      <c r="C609" s="26">
        <v>181</v>
      </c>
      <c r="D609" s="26">
        <v>1580</v>
      </c>
      <c r="E609" s="26"/>
      <c r="F609" s="26"/>
    </row>
    <row r="610" spans="2:12" outlineLevel="1" x14ac:dyDescent="0.25">
      <c r="B610" s="31" t="s">
        <v>1158</v>
      </c>
      <c r="C610" s="26">
        <v>144</v>
      </c>
      <c r="D610" s="26">
        <v>1564</v>
      </c>
      <c r="E610" s="26"/>
      <c r="F610" s="26"/>
    </row>
    <row r="611" spans="2:12" outlineLevel="1" x14ac:dyDescent="0.25">
      <c r="B611" s="31" t="s">
        <v>1159</v>
      </c>
      <c r="C611" s="26">
        <v>280</v>
      </c>
      <c r="D611" s="26">
        <v>1410</v>
      </c>
      <c r="E611" s="26"/>
      <c r="F611" s="26"/>
    </row>
    <row r="612" spans="2:12" outlineLevel="1" x14ac:dyDescent="0.25">
      <c r="B612" s="31" t="s">
        <v>1160</v>
      </c>
      <c r="C612" s="26">
        <v>258</v>
      </c>
      <c r="D612" s="26">
        <v>1394</v>
      </c>
      <c r="E612" s="26"/>
      <c r="F612" s="26"/>
    </row>
    <row r="613" spans="2:12" outlineLevel="1" x14ac:dyDescent="0.25">
      <c r="B613" s="31" t="s">
        <v>1161</v>
      </c>
      <c r="C613" s="26">
        <v>230</v>
      </c>
      <c r="D613" s="26">
        <v>1378</v>
      </c>
      <c r="E613" s="26"/>
      <c r="F613" s="26"/>
    </row>
    <row r="614" spans="2:12" outlineLevel="1" x14ac:dyDescent="0.25">
      <c r="B614" s="31" t="s">
        <v>1162</v>
      </c>
      <c r="C614" s="26">
        <v>197</v>
      </c>
      <c r="D614" s="26">
        <v>1362</v>
      </c>
      <c r="E614" s="26"/>
      <c r="F614" s="26"/>
    </row>
    <row r="615" spans="2:12" outlineLevel="1" x14ac:dyDescent="0.25">
      <c r="B615" s="72" t="s">
        <v>604</v>
      </c>
      <c r="C615" s="72" t="s">
        <v>604</v>
      </c>
      <c r="D615" s="72" t="s">
        <v>604</v>
      </c>
      <c r="E615" s="69"/>
      <c r="F615" s="69"/>
      <c r="G615" s="70" t="s">
        <v>603</v>
      </c>
    </row>
    <row r="616" spans="2:12" s="67" customFormat="1" outlineLevel="1" x14ac:dyDescent="0.25">
      <c r="B616" s="68"/>
      <c r="C616" s="69"/>
      <c r="D616" s="69"/>
      <c r="E616" s="69"/>
      <c r="F616" s="69"/>
      <c r="G616" s="70" t="s">
        <v>602</v>
      </c>
      <c r="L616" s="71"/>
    </row>
    <row r="617" spans="2:12" s="67" customFormat="1" outlineLevel="1" x14ac:dyDescent="0.25">
      <c r="B617" s="27"/>
      <c r="C617" s="27"/>
      <c r="D617" s="27"/>
      <c r="E617" s="27"/>
      <c r="F617" s="27"/>
      <c r="G617" s="27"/>
      <c r="L617" s="71"/>
    </row>
  </sheetData>
  <sheetProtection sheet="1" objects="1" scenarios="1"/>
  <sortState xmlns:xlrd2="http://schemas.microsoft.com/office/spreadsheetml/2017/richdata2" ref="B387:G488">
    <sortCondition ref="B430:B488"/>
  </sortState>
  <conditionalFormatting sqref="B82:B196">
    <cfRule type="duplicateValues" dxfId="6" priority="6"/>
  </conditionalFormatting>
  <conditionalFormatting sqref="B274:B307 B309:B340 B342:B348 B350:B366">
    <cfRule type="duplicateValues" dxfId="5" priority="5"/>
  </conditionalFormatting>
  <conditionalFormatting sqref="B427:B483 B371:B422">
    <cfRule type="duplicateValues" dxfId="4" priority="11"/>
  </conditionalFormatting>
  <conditionalFormatting sqref="B485">
    <cfRule type="duplicateValues" dxfId="3" priority="3"/>
  </conditionalFormatting>
  <conditionalFormatting sqref="B486">
    <cfRule type="duplicateValues" dxfId="2" priority="4"/>
  </conditionalFormatting>
  <conditionalFormatting sqref="B540:B574">
    <cfRule type="duplicateValues" dxfId="1" priority="12"/>
  </conditionalFormatting>
  <conditionalFormatting sqref="B579:B593">
    <cfRule type="duplicateValues" dxfId="0" priority="13"/>
  </conditionalFormatting>
  <hyperlinks>
    <hyperlink ref="A1" location="'DATA SHEET'!B2" display="TOP" xr:uid="{A4682C6B-9B3F-4B07-8384-60727B8C7FEE}"/>
    <hyperlink ref="L10" location="UB" display="UB" xr:uid="{5870009F-A0E1-4109-8EFD-E1688F7FF6A1}"/>
    <hyperlink ref="L3" location="CHS" display="CHS" xr:uid="{20CBE0A9-79EE-422F-98AB-70F2C05DBD81}"/>
    <hyperlink ref="L4" location="EA" display="EA" xr:uid="{B99428B7-FA62-4EE0-B6D3-1F475512D33C}"/>
    <hyperlink ref="L5" location="FB" display="FB" xr:uid="{9DDCF41A-F8EF-488A-9ED3-366F64EC67BA}"/>
    <hyperlink ref="L6" location="PFC" display="PFC" xr:uid="{DB859A49-D3AE-4982-9F7B-2C57D4CF50AD}"/>
    <hyperlink ref="L7" location="RHS" display="RHS" xr:uid="{4EC55F26-45EF-44BA-8687-DB3029A4EECF}"/>
    <hyperlink ref="L8" location="SHS" display="SHS" xr:uid="{5AD790A0-8950-4F53-8A77-46FC6F65E406}"/>
    <hyperlink ref="L11" location="UC" display="UC" xr:uid="{586CE6BB-43C8-4C07-95AA-80EC347B0729}"/>
    <hyperlink ref="L12" location="WB" display="WB" xr:uid="{500AE7BC-5AD4-43FE-82A2-0DCD60FDEA5F}"/>
    <hyperlink ref="L9" location="UA" display="UA" xr:uid="{03A325DE-55D2-478A-B78E-FA997CB99860}"/>
    <hyperlink ref="L13" location="WC" display="WC" xr:uid="{BDD38462-8FAD-4AB8-A4F9-1610CEDB5DCA}"/>
    <hyperlink ref="L14" location="BT" display="BT" xr:uid="{B69EAD4A-0766-47F2-B181-C6223EED20E4}"/>
  </hyperlink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6FA5-2BD5-49E5-8CFE-2941AB2A727A}">
  <dimension ref="A1:AX652"/>
  <sheetViews>
    <sheetView topLeftCell="AG1" zoomScale="85" zoomScaleNormal="85" workbookViewId="0">
      <pane ySplit="1" topLeftCell="A47" activePane="bottomLeft" state="frozen"/>
      <selection pane="bottomLeft" activeCell="A2" sqref="A2:XFD2"/>
    </sheetView>
  </sheetViews>
  <sheetFormatPr defaultColWidth="22.140625" defaultRowHeight="15" x14ac:dyDescent="0.25"/>
  <cols>
    <col min="1" max="1" width="32.42578125" customWidth="1"/>
  </cols>
  <sheetData>
    <row r="1" spans="1:50" s="24" customFormat="1" ht="39" thickBot="1" x14ac:dyDescent="0.3">
      <c r="A1" s="14" t="str">
        <f>'&lt;PROJECT&gt;'!P2</f>
        <v>Folder*</v>
      </c>
      <c r="B1" s="6" t="str">
        <f>'&lt;PROJECT&gt;'!Q2</f>
        <v>Name*</v>
      </c>
      <c r="C1" s="7" t="str">
        <f>'&lt;PROJECT&gt;'!R2</f>
        <v>Measurement Type*</v>
      </c>
      <c r="D1" s="9" t="str">
        <f>'&lt;PROJECT&gt;'!S2</f>
        <v>Default Display</v>
      </c>
      <c r="E1" s="6" t="s">
        <v>518</v>
      </c>
      <c r="F1" s="6" t="s">
        <v>519</v>
      </c>
      <c r="G1" s="6" t="s">
        <v>520</v>
      </c>
      <c r="H1" s="6" t="s">
        <v>521</v>
      </c>
      <c r="I1" s="10" t="s">
        <v>522</v>
      </c>
      <c r="J1" s="8" t="str">
        <f>'&lt;PROJECT&gt;'!T2</f>
        <v>Weight Unit</v>
      </c>
      <c r="K1" s="11" t="str">
        <f>'&lt;PROJECT&gt;'!U2</f>
        <v>Positive Colour Name</v>
      </c>
      <c r="L1" s="12" t="str">
        <f>'&lt;PROJECT&gt;'!V2</f>
        <v>Negative Colour Name</v>
      </c>
      <c r="M1" s="13" t="str">
        <f>'&lt;PROJECT&gt;'!W2</f>
        <v>Positive Hatch/Symbol</v>
      </c>
      <c r="N1" s="13" t="str">
        <f>'&lt;PROJECT&gt;'!X2</f>
        <v>Negative Hatch/Symbol</v>
      </c>
      <c r="O1" s="16" t="str">
        <f>'&lt;PROJECT&gt;'!Y2</f>
        <v>Name Formula Expression (Measured Dimensions)</v>
      </c>
      <c r="P1" s="16" t="s">
        <v>529</v>
      </c>
      <c r="Q1" s="16" t="s">
        <v>530</v>
      </c>
      <c r="R1" s="16" t="str">
        <f>'&lt;PROJECT&gt;'!Z2</f>
        <v>Height Formula Expression (Measured Dimensions)</v>
      </c>
      <c r="S1" s="16" t="s">
        <v>532</v>
      </c>
      <c r="T1" s="16" t="str">
        <f>'&lt;PROJECT&gt;'!AA2</f>
        <v>Count Formula Expression (Measured Dimensions)</v>
      </c>
      <c r="U1" s="16" t="str">
        <f>'&lt;PROJECT&gt;'!AB2</f>
        <v>Length Formula Expression (Measured Dimensions)</v>
      </c>
      <c r="V1" s="16" t="s">
        <v>535</v>
      </c>
      <c r="W1" s="16" t="s">
        <v>536</v>
      </c>
      <c r="X1" s="15" t="s">
        <v>537</v>
      </c>
      <c r="Y1" s="16" t="str">
        <f>'&lt;PROJECT&gt;'!AD2</f>
        <v>Weight Formula Expression (Measured Dimensions)</v>
      </c>
      <c r="Z1" s="18" t="s">
        <v>539</v>
      </c>
      <c r="AA1" s="20" t="s">
        <v>540</v>
      </c>
      <c r="AB1" s="20" t="s">
        <v>541</v>
      </c>
      <c r="AC1" s="20" t="s">
        <v>542</v>
      </c>
      <c r="AD1" s="20" t="s">
        <v>543</v>
      </c>
      <c r="AE1" s="20" t="s">
        <v>544</v>
      </c>
      <c r="AF1" s="21" t="s">
        <v>545</v>
      </c>
      <c r="AG1" s="20" t="s">
        <v>546</v>
      </c>
      <c r="AH1" s="20" t="s">
        <v>547</v>
      </c>
      <c r="AI1" s="20" t="s">
        <v>548</v>
      </c>
      <c r="AJ1" s="19" t="s">
        <v>549</v>
      </c>
      <c r="AK1" s="8" t="s">
        <v>550</v>
      </c>
      <c r="AL1" s="8" t="s">
        <v>550</v>
      </c>
      <c r="AM1" s="17" t="str">
        <f>'&lt;PROJECT&gt;'!AE2</f>
        <v>Custom 1 Name</v>
      </c>
      <c r="AN1" s="22" t="str">
        <f>'&lt;PROJECT&gt;'!AF2</f>
        <v>Custom 1 Unit</v>
      </c>
      <c r="AO1" s="22" t="str">
        <f>'&lt;PROJECT&gt;'!AH2</f>
        <v>Custom 1 Formula Expression (Measured Dimensions)</v>
      </c>
      <c r="AP1" s="23" t="str">
        <f>'&lt;PROJECT&gt;'!AI2</f>
        <v>Custom 1 Formula Expression (BIM Dimensions)</v>
      </c>
      <c r="AQ1" s="17" t="str">
        <f>'&lt;PROJECT&gt;'!AJ2</f>
        <v>Custom 2 Name</v>
      </c>
      <c r="AR1" s="22" t="str">
        <f>'&lt;PROJECT&gt;'!AK2</f>
        <v>Custom 2 Unit</v>
      </c>
      <c r="AS1" s="22" t="str">
        <f>'&lt;PROJECT&gt;'!AL2</f>
        <v>Custom 2 Formula Expression (Measured Dimensions)</v>
      </c>
      <c r="AT1" s="23" t="str">
        <f>'&lt;PROJECT&gt;'!AM2</f>
        <v>Custom 2 Formula Expression (BIM Dimensions)</v>
      </c>
      <c r="AU1" s="17" t="str">
        <f>'&lt;PROJECT&gt;'!AN2</f>
        <v>Custom 3 Name</v>
      </c>
      <c r="AV1" s="22" t="str">
        <f>'&lt;PROJECT&gt;'!AO2</f>
        <v>Custom 3 Unit</v>
      </c>
      <c r="AW1" s="22" t="str">
        <f>'&lt;PROJECT&gt;'!AP2</f>
        <v>Custom 3 Formula Expression (Measured Dimensions)</v>
      </c>
      <c r="AX1" s="23" t="str">
        <f>'&lt;PROJECT&gt;'!AQ2</f>
        <v>Custom 3 Formula Expression (BIM Dimensions)</v>
      </c>
    </row>
    <row r="2" spans="1:50" x14ac:dyDescent="0.25">
      <c r="A2" t="str" cm="1">
        <f t="array" ref="A2:A652">INDEX('&lt;PROJECT&gt;'!$A$3:$AT$653,,MATCH('FOR IMPORT TO COSTX'!A$1,'&lt;PROJECT&gt;'!$A$2:$AT$2,0))</f>
        <v>TO DELETE IN COSTX\Do not delete in CSV File</v>
      </c>
      <c r="B2" t="str" cm="1">
        <f t="array" ref="B2:B652">INDEX('&lt;PROJECT&gt;'!$A$3:$AT$653,,MATCH('FOR IMPORT TO COSTX'!B$1,'&lt;PROJECT&gt;'!$A$2:$AT$2,0))</f>
        <v>Do not delete in CSV file, delete when done importing in costX</v>
      </c>
      <c r="C2" t="str" cm="1">
        <f t="array" ref="C2:C652">INDEX('&lt;PROJECT&gt;'!$A$3:$AT$653,,MATCH('FOR IMPORT TO COSTX'!C$1,'&lt;PROJECT&gt;'!$A$2:$AT$2,0))</f>
        <v>Count</v>
      </c>
      <c r="D2" t="str" cm="1">
        <f t="array" ref="D2:D652">INDEX('&lt;PROJECT&gt;'!$A$3:$AT$653,,MATCH('FOR IMPORT TO COSTX'!D$1,'&lt;PROJECT&gt;'!$A$2:$AT$2,0))</f>
        <v>Weight</v>
      </c>
      <c r="J2" t="str" cm="1">
        <f t="array" ref="J2:J652">INDEX('&lt;PROJECT&gt;'!$A$3:$AT$653,,MATCH('FOR IMPORT TO COSTX'!J$1,'&lt;PROJECT&gt;'!$A$2:$AT$2,0))</f>
        <v>t</v>
      </c>
      <c r="K2" t="str" cm="1">
        <f t="array" aca="1" ref="K2:K652" ca="1">INDEX('&lt;PROJECT&gt;'!$A$3:$AT$653,,MATCH('FOR IMPORT TO COSTX'!K$1,'&lt;PROJECT&gt;'!$A$2:$AT$2,0))</f>
        <v>Orange</v>
      </c>
      <c r="L2" t="str" cm="1">
        <f t="array" ref="L2:L652">INDEX('&lt;PROJECT&gt;'!$A$3:$AT$653,,MATCH('FOR IMPORT TO COSTX'!L$1,'&lt;PROJECT&gt;'!$A$2:$AT$2,0))</f>
        <v>Red</v>
      </c>
      <c r="M2" t="str" cm="1">
        <f t="array" ref="M2:M652">INDEX('&lt;PROJECT&gt;'!$A$3:$AT$653,,MATCH('FOR IMPORT TO COSTX'!M$1,'&lt;PROJECT&gt;'!$A$2:$AT$2,0))</f>
        <v>Crosshairs</v>
      </c>
      <c r="N2" t="str" cm="1">
        <f t="array" ref="N2:N652">INDEX('&lt;PROJECT&gt;'!$A$3:$AT$653,,MATCH('FOR IMPORT TO COSTX'!N$1,'&lt;PROJECT&gt;'!$A$2:$AT$2,0))</f>
        <v>Crosshairs</v>
      </c>
      <c r="O2" t="str" cm="1">
        <f t="array" ref="O2:O652">INDEX('&lt;PROJECT&gt;'!$A$3:$AT$653,,MATCH('FOR IMPORT TO COSTX'!O$1,'&lt;PROJECT&gt;'!$A$2:$AT$2,0))</f>
        <v>"mm high"</v>
      </c>
      <c r="R2" t="str" cm="1">
        <f t="array" ref="R2:R652">INDEX('&lt;PROJECT&gt;'!$A$3:$AT$653,,MATCH('FOR IMPORT TO COSTX'!R$1,'&lt;PROJECT&gt;'!$A$2:$AT$2,0))</f>
        <v>XNUMBER({Dimension Name},1)/1000</v>
      </c>
      <c r="T2" t="str" cm="1">
        <f t="array" ref="T2:T652">INDEX('&lt;PROJECT&gt;'!$A$3:$AT$653,,MATCH('FOR IMPORT TO COSTX'!T$1,'&lt;PROJECT&gt;'!$A$2:$AT$2,0))</f>
        <v>[Count]</v>
      </c>
      <c r="U2" t="str" cm="1">
        <f t="array" ref="U2:U652">INDEX('&lt;PROJECT&gt;'!$A$3:$AT$653,,MATCH('FOR IMPORT TO COSTX'!U$1,'&lt;PROJECT&gt;'!$A$2:$AT$2,0))</f>
        <v>{Count}*{Height}</v>
      </c>
      <c r="Y2" t="str" cm="1">
        <f t="array" ref="Y2:Y652">INDEX('&lt;PROJECT&gt;'!$A$3:$AT$653,,MATCH('FOR IMPORT TO COSTX'!Y$1,'&lt;PROJECT&gt;'!$A$2:$AT$2,0))</f>
        <v>{Length}*XNUMBER({Dimension Group Name},4)/1000</v>
      </c>
      <c r="AM2" t="str" cm="1">
        <f t="array" ref="AM2:AM652">INDEX('&lt;PROJECT&gt;'!$A$3:$AT$653,,MATCH('FOR IMPORT TO COSTX'!AM$1,'&lt;PROJECT&gt;'!$A$2:$AT$2,0))</f>
        <v>Steel Surface Area</v>
      </c>
      <c r="AN2" t="str" cm="1">
        <f t="array" ref="AN2:AN652">INDEX('&lt;PROJECT&gt;'!$A$3:$AT$653,,MATCH('FOR IMPORT TO COSTX'!AN$1,'&lt;PROJECT&gt;'!$A$2:$AT$2,0))</f>
        <v>m2</v>
      </c>
      <c r="AO2" t="str" cm="1">
        <f t="array" ref="AO2:AO652">INDEX('&lt;PROJECT&gt;'!$A$3:$AT$653,,MATCH('FOR IMPORT TO COSTX'!AO$1,'&lt;PROJECT&gt;'!$A$2:$AT$2,0))</f>
        <v>{Length}*XNUMBER({Dimension Group Name},5)/1000</v>
      </c>
      <c r="AQ2" t="str" cm="1">
        <f t="array" ref="AQ2:AQ652">INDEX('&lt;PROJECT&gt;'!$A$3:$AT$653,,MATCH('FOR IMPORT TO COSTX'!AQ$1,'&lt;PROJECT&gt;'!$A$2:$AT$2,0))</f>
        <v/>
      </c>
      <c r="AR2" t="str" cm="1">
        <f t="array" ref="AR2:AR652">INDEX('&lt;PROJECT&gt;'!$A$3:$AT$653,,MATCH('FOR IMPORT TO COSTX'!AR$1,'&lt;PROJECT&gt;'!$A$2:$AT$2,0))</f>
        <v/>
      </c>
      <c r="AS2" t="str" cm="1">
        <f t="array" ref="AS2:AS652">INDEX('&lt;PROJECT&gt;'!$A$3:$AT$653,,MATCH('FOR IMPORT TO COSTX'!AS$1,'&lt;PROJECT&gt;'!$A$2:$AT$2,0))</f>
        <v/>
      </c>
      <c r="AU2" t="str" cm="1">
        <f t="array" ref="AU2:AU652">INDEX('&lt;PROJECT&gt;'!$A$3:$AT$653,,MATCH('FOR IMPORT TO COSTX'!AU$1,'&lt;PROJECT&gt;'!$A$2:$AT$2,0))</f>
        <v/>
      </c>
      <c r="AW2" t="str" cm="1">
        <f t="array" ref="AW2:AW652">INDEX('&lt;PROJECT&gt;'!$A$3:$AT$653,,MATCH('FOR IMPORT TO COSTX'!AW$1,'&lt;PROJECT&gt;'!$A$2:$AT$2,0))</f>
        <v/>
      </c>
    </row>
    <row r="3" spans="1:50" x14ac:dyDescent="0.25">
      <c r="A3" t="str">
        <v>Structural\Structural Steel\Column\CHS, UB, UC, WB, WC, BT, CT</v>
      </c>
      <c r="B3" t="str">
        <v>PSC1 - 75x5 Flat Bar, 2.95kg/m, 160mm surface perimeter</v>
      </c>
      <c r="C3" t="str">
        <v>Count</v>
      </c>
      <c r="D3" t="str">
        <v>Weight</v>
      </c>
      <c r="J3" t="str">
        <v>t</v>
      </c>
      <c r="K3" t="str">
        <f ca="1"/>
        <v>Orange</v>
      </c>
      <c r="L3" t="str">
        <v>Red</v>
      </c>
      <c r="M3" t="str">
        <v>Crosshairs</v>
      </c>
      <c r="N3" t="str">
        <v>Crosshairs</v>
      </c>
      <c r="O3" t="str">
        <v>"mm high"</v>
      </c>
      <c r="R3" t="str">
        <v>XNUMBER({Dimension Name},1)/1000</v>
      </c>
      <c r="T3" t="str">
        <v>[Count]</v>
      </c>
      <c r="U3" t="str">
        <v>{Count}*{Height}</v>
      </c>
      <c r="Y3" t="str">
        <v>{Length}*XNUMBER({Dimension Group Name},4)/1000</v>
      </c>
      <c r="AM3" t="str">
        <v>Steel Surface Area</v>
      </c>
      <c r="AN3" t="str">
        <v>m2</v>
      </c>
      <c r="AO3" t="str">
        <v>{Length}*XNUMBER({Dimension Group Name},5)/1000</v>
      </c>
      <c r="AQ3" t="str">
        <v/>
      </c>
      <c r="AR3" t="str">
        <v/>
      </c>
      <c r="AS3" t="str">
        <v/>
      </c>
      <c r="AU3" t="str">
        <v/>
      </c>
      <c r="AW3" t="str">
        <v/>
      </c>
    </row>
    <row r="4" spans="1:50" x14ac:dyDescent="0.25">
      <c r="A4" t="str">
        <v>Structural\Structural Steel\Framing\CHS, UB, UC, WB, WC, BT, CT</v>
      </c>
      <c r="B4" t="str">
        <v>102x76x5RHS, 12.5kg/m, 356mm surface perimeter</v>
      </c>
      <c r="C4" t="str">
        <v>Length</v>
      </c>
      <c r="D4" t="str">
        <v>Weight</v>
      </c>
      <c r="J4" t="str">
        <v>t</v>
      </c>
      <c r="K4" t="str">
        <f ca="1"/>
        <v>Blue</v>
      </c>
      <c r="L4" t="str">
        <v>Red</v>
      </c>
      <c r="M4" t="str">
        <v/>
      </c>
      <c r="N4" t="str">
        <v/>
      </c>
      <c r="O4" t="str">
        <v>"0 degrees"</v>
      </c>
      <c r="R4" t="str">
        <v/>
      </c>
      <c r="T4" t="str">
        <v>[Count]</v>
      </c>
      <c r="U4" t="str">
        <v>[Length]</v>
      </c>
      <c r="Y4" t="str">
        <v/>
      </c>
      <c r="AM4" t="str">
        <v>Steel Surface Area</v>
      </c>
      <c r="AN4" t="str">
        <v>m2</v>
      </c>
      <c r="AO4" t="str">
        <v/>
      </c>
      <c r="AQ4" t="str">
        <v>Slope Length</v>
      </c>
      <c r="AR4" t="str">
        <v>m</v>
      </c>
      <c r="AS4" t="str">
        <v>[Length]*{Slope Factor}</v>
      </c>
      <c r="AU4" t="str">
        <v>Slope Factor</v>
      </c>
      <c r="AW4" t="str">
        <v>1/COS(RADIANS(XNUMBER({Dimension Name},1)))</v>
      </c>
    </row>
    <row r="5" spans="1:50" x14ac:dyDescent="0.25">
      <c r="A5" t="str">
        <v>Structural\Structural Steel\Purlins, Girts and Bracings\Bracings</v>
      </c>
      <c r="B5" t="str">
        <v>20mm dia. Rod Bracings</v>
      </c>
      <c r="C5" t="str">
        <v>Length</v>
      </c>
      <c r="D5" t="str">
        <v>Slope Length</v>
      </c>
      <c r="J5" t="str">
        <v>t</v>
      </c>
      <c r="K5" t="str">
        <f ca="1"/>
        <v>Aqua</v>
      </c>
      <c r="L5" t="str">
        <v>Red</v>
      </c>
      <c r="M5" t="str">
        <v/>
      </c>
      <c r="N5" t="str">
        <v/>
      </c>
      <c r="O5" t="str">
        <v>"0 degrees"</v>
      </c>
      <c r="R5" t="str">
        <v/>
      </c>
      <c r="T5" t="str">
        <v>[Count]</v>
      </c>
      <c r="U5" t="str">
        <v>[Length]</v>
      </c>
      <c r="Y5" t="str">
        <v/>
      </c>
      <c r="AM5" t="str">
        <v/>
      </c>
      <c r="AN5" t="str">
        <v/>
      </c>
      <c r="AO5" t="str">
        <v/>
      </c>
      <c r="AQ5" t="str">
        <v>Slope Length</v>
      </c>
      <c r="AR5" t="str">
        <v>m</v>
      </c>
      <c r="AS5" t="str">
        <v>[Length]*{Slope Factor}</v>
      </c>
      <c r="AU5" t="str">
        <v>Slope Factor</v>
      </c>
      <c r="AW5" t="str">
        <v>1/COS(RADIANS(XNUMBER({Dimension Name},1)))</v>
      </c>
    </row>
    <row r="6" spans="1:50" x14ac:dyDescent="0.25">
      <c r="A6" t="str">
        <v/>
      </c>
      <c r="B6" t="str">
        <v/>
      </c>
      <c r="C6" t="e">
        <v>#N/A</v>
      </c>
      <c r="D6" t="e">
        <v>#N/A</v>
      </c>
      <c r="J6" t="str">
        <v/>
      </c>
      <c r="K6" t="e">
        <f ca="1"/>
        <v>#N/A</v>
      </c>
      <c r="L6" t="str">
        <v/>
      </c>
      <c r="M6" t="e">
        <v>#N/A</v>
      </c>
      <c r="N6" t="e">
        <v>#N/A</v>
      </c>
      <c r="O6" t="e">
        <v>#N/A</v>
      </c>
      <c r="R6" t="e">
        <v>#N/A</v>
      </c>
      <c r="T6" t="e">
        <v>#N/A</v>
      </c>
      <c r="U6" t="e">
        <v>#N/A</v>
      </c>
      <c r="Y6" t="str">
        <v/>
      </c>
      <c r="AM6" t="str">
        <v/>
      </c>
      <c r="AN6" t="str">
        <v/>
      </c>
      <c r="AO6" t="str">
        <v/>
      </c>
      <c r="AQ6" t="str">
        <v/>
      </c>
      <c r="AR6" t="str">
        <v/>
      </c>
      <c r="AS6" t="e">
        <v>#N/A</v>
      </c>
      <c r="AU6" t="str">
        <v/>
      </c>
      <c r="AW6" t="e">
        <v>#N/A</v>
      </c>
    </row>
    <row r="7" spans="1:50" x14ac:dyDescent="0.25">
      <c r="A7" t="str">
        <v/>
      </c>
      <c r="B7" t="str">
        <v/>
      </c>
      <c r="C7" t="e">
        <v>#N/A</v>
      </c>
      <c r="D7" t="e">
        <v>#N/A</v>
      </c>
      <c r="J7" t="str">
        <v/>
      </c>
      <c r="K7" t="e">
        <f ca="1"/>
        <v>#N/A</v>
      </c>
      <c r="L7" t="str">
        <v/>
      </c>
      <c r="M7" t="e">
        <v>#N/A</v>
      </c>
      <c r="N7" t="e">
        <v>#N/A</v>
      </c>
      <c r="O7" t="e">
        <v>#N/A</v>
      </c>
      <c r="R7" t="e">
        <v>#N/A</v>
      </c>
      <c r="T7" t="e">
        <v>#N/A</v>
      </c>
      <c r="U7" t="e">
        <v>#N/A</v>
      </c>
      <c r="Y7" t="str">
        <v/>
      </c>
      <c r="AM7" t="str">
        <v/>
      </c>
      <c r="AN7" t="str">
        <v/>
      </c>
      <c r="AO7" t="str">
        <v/>
      </c>
      <c r="AQ7" t="str">
        <v/>
      </c>
      <c r="AR7" t="str">
        <v/>
      </c>
      <c r="AS7" t="e">
        <v>#N/A</v>
      </c>
      <c r="AU7" t="str">
        <v/>
      </c>
      <c r="AW7" t="e">
        <v>#N/A</v>
      </c>
    </row>
    <row r="8" spans="1:50" x14ac:dyDescent="0.25">
      <c r="A8" t="str">
        <v/>
      </c>
      <c r="B8" t="str">
        <v/>
      </c>
      <c r="C8" t="e">
        <v>#N/A</v>
      </c>
      <c r="D8" t="e">
        <v>#N/A</v>
      </c>
      <c r="J8" t="str">
        <v/>
      </c>
      <c r="K8" t="e">
        <f ca="1"/>
        <v>#N/A</v>
      </c>
      <c r="L8" t="str">
        <v/>
      </c>
      <c r="M8" t="e">
        <v>#N/A</v>
      </c>
      <c r="N8" t="e">
        <v>#N/A</v>
      </c>
      <c r="O8" t="e">
        <v>#N/A</v>
      </c>
      <c r="R8" t="e">
        <v>#N/A</v>
      </c>
      <c r="T8" t="e">
        <v>#N/A</v>
      </c>
      <c r="U8" t="e">
        <v>#N/A</v>
      </c>
      <c r="Y8" t="str">
        <v/>
      </c>
      <c r="AM8" t="str">
        <v/>
      </c>
      <c r="AN8" t="str">
        <v/>
      </c>
      <c r="AO8" t="str">
        <v/>
      </c>
      <c r="AQ8" t="str">
        <v/>
      </c>
      <c r="AR8" t="str">
        <v/>
      </c>
      <c r="AS8" t="e">
        <v>#N/A</v>
      </c>
      <c r="AU8" t="str">
        <v/>
      </c>
      <c r="AW8" t="e">
        <v>#N/A</v>
      </c>
    </row>
    <row r="9" spans="1:50" x14ac:dyDescent="0.25">
      <c r="A9" t="str">
        <v>DELETE THIS ROW</v>
      </c>
      <c r="B9" t="str">
        <v>DELETE THIS ROW</v>
      </c>
      <c r="C9" t="str">
        <v>DELETE THIS ROW</v>
      </c>
      <c r="D9" t="str">
        <v>DELETE THIS ROW</v>
      </c>
      <c r="J9" t="str">
        <v>DELETE THIS ROW</v>
      </c>
      <c r="K9" t="str">
        <f ca="1"/>
        <v>DELETE THIS ROW</v>
      </c>
      <c r="L9" t="str">
        <v>DELETE THIS ROW</v>
      </c>
      <c r="M9" t="str">
        <v>DELETE THIS ROW</v>
      </c>
      <c r="N9" t="str">
        <v>DELETE THIS ROW</v>
      </c>
      <c r="O9" t="str">
        <v>DELETE THIS ROW</v>
      </c>
      <c r="R9" t="str">
        <v>DELETE THIS ROW</v>
      </c>
      <c r="T9" t="str">
        <v>DELETE THIS ROW</v>
      </c>
      <c r="U9" t="str">
        <v>DELETE THIS ROW</v>
      </c>
      <c r="Y9" t="str">
        <v>DELETE THIS ROW</v>
      </c>
      <c r="AM9" t="str">
        <v>DELETE THIS ROW</v>
      </c>
      <c r="AN9" t="str">
        <v>DELETE THIS ROW</v>
      </c>
      <c r="AO9" t="str">
        <v>DELETE THIS ROW</v>
      </c>
      <c r="AQ9" t="str">
        <v>DELETE THIS ROW</v>
      </c>
      <c r="AR9" t="str">
        <v>DELETE THIS ROW</v>
      </c>
      <c r="AS9" t="str">
        <v>DELETE THIS ROW</v>
      </c>
      <c r="AU9" t="str">
        <v>DELETE THIS ROW</v>
      </c>
      <c r="AW9" t="str">
        <v>DELETE THIS ROW</v>
      </c>
    </row>
    <row r="10" spans="1:50" x14ac:dyDescent="0.25">
      <c r="A10" t="str">
        <v>Structural\Structural Steel\Purlins, Girts and Bracings\Purlins</v>
      </c>
      <c r="B10" t="str">
        <v>C15019 Purlins</v>
      </c>
      <c r="C10" t="str">
        <v>Length</v>
      </c>
      <c r="D10" t="str">
        <v>Slope Length</v>
      </c>
      <c r="J10" t="str">
        <v>t</v>
      </c>
      <c r="K10" t="str">
        <f ca="1"/>
        <v>0,250,154</v>
      </c>
      <c r="L10" t="str">
        <v>Red</v>
      </c>
      <c r="M10" t="str">
        <v/>
      </c>
      <c r="N10" t="str">
        <v/>
      </c>
      <c r="O10" t="str">
        <v>"0 degrees"</v>
      </c>
      <c r="R10" t="str">
        <v/>
      </c>
      <c r="T10" t="str">
        <v>[Count]</v>
      </c>
      <c r="U10" t="str">
        <v>[Length]</v>
      </c>
      <c r="Y10" t="str">
        <v/>
      </c>
      <c r="AM10" t="str">
        <v/>
      </c>
      <c r="AN10" t="str">
        <v/>
      </c>
      <c r="AO10" t="str">
        <v/>
      </c>
      <c r="AQ10" t="str">
        <v>Slope Length</v>
      </c>
      <c r="AR10" t="str">
        <v>m</v>
      </c>
      <c r="AS10" t="str">
        <v>[Length]*{Slope Factor}</v>
      </c>
      <c r="AU10" t="str">
        <v>Slope Factor</v>
      </c>
      <c r="AW10" t="str">
        <v>1/COS(RADIANS(XNUMBER({Dimension Name},1)))</v>
      </c>
    </row>
    <row r="11" spans="1:50" x14ac:dyDescent="0.25">
      <c r="A11" t="str">
        <v>Structural\Structural Steel\Framing\CHS, UB, UC, WB, WC, BT, CT</v>
      </c>
      <c r="B11" t="str">
        <v>B20a - 200UB18.2, 18.2kg/m, 783mm surface perimeter</v>
      </c>
      <c r="C11" t="str">
        <v>Length</v>
      </c>
      <c r="D11" t="str">
        <v>Weight</v>
      </c>
      <c r="J11" t="str">
        <v>t</v>
      </c>
      <c r="K11" t="str">
        <f ca="1"/>
        <v>0,128,128</v>
      </c>
      <c r="L11" t="str">
        <v>Red</v>
      </c>
      <c r="M11" t="str">
        <v/>
      </c>
      <c r="N11" t="str">
        <v/>
      </c>
      <c r="O11" t="str">
        <v>"0 degrees"</v>
      </c>
      <c r="R11" t="str">
        <v/>
      </c>
      <c r="T11" t="str">
        <v>[Count]</v>
      </c>
      <c r="U11" t="str">
        <v>[Length]</v>
      </c>
      <c r="Y11" t="str">
        <v>{Length}*XNUMBER({Dimension Group Name},4)/1000*{Slope Factor}</v>
      </c>
      <c r="AM11" t="str">
        <v>Steel Surface Area</v>
      </c>
      <c r="AN11" t="str">
        <v>m2</v>
      </c>
      <c r="AO11" t="str">
        <v>{Length}*XNUMBER({Dimension Group Name},5)/1000*{Slope Factor}</v>
      </c>
      <c r="AQ11" t="str">
        <v>Slope Length</v>
      </c>
      <c r="AR11" t="str">
        <v>m</v>
      </c>
      <c r="AS11" t="str">
        <v>[Length]*{Slope Factor}</v>
      </c>
      <c r="AU11" t="str">
        <v>Slope Factor</v>
      </c>
      <c r="AW11" t="str">
        <v>1/COS(RADIANS(XNUMBER({Dimension Name},1)))</v>
      </c>
    </row>
    <row r="12" spans="1:50" x14ac:dyDescent="0.25">
      <c r="A12" t="str">
        <v>Structural\Structural Steel\Framing\CHS, UB, UC, WB, WC, BT, CT</v>
      </c>
      <c r="B12" t="str">
        <v>B20c - 200UB25.4, 25.4kg/m, 926.4mm surface perimeter</v>
      </c>
      <c r="C12" t="str">
        <v>Length</v>
      </c>
      <c r="D12" t="str">
        <v>Weight</v>
      </c>
      <c r="J12" t="str">
        <v>t</v>
      </c>
      <c r="K12" t="str">
        <f ca="1"/>
        <v>0,0,128</v>
      </c>
      <c r="L12" t="str">
        <v>Red</v>
      </c>
      <c r="M12" t="str">
        <v/>
      </c>
      <c r="N12" t="str">
        <v/>
      </c>
      <c r="O12" t="str">
        <v>"0 degrees"</v>
      </c>
      <c r="R12" t="str">
        <v/>
      </c>
      <c r="T12" t="str">
        <v>[Count]</v>
      </c>
      <c r="U12" t="str">
        <v>[Length]</v>
      </c>
      <c r="Y12" t="str">
        <v>{Length}*XNUMBER({Dimension Group Name},4)/1000*{Slope Factor}</v>
      </c>
      <c r="AM12" t="str">
        <v>Steel Surface Area</v>
      </c>
      <c r="AN12" t="str">
        <v>m2</v>
      </c>
      <c r="AO12" t="str">
        <v>{Length}*XNUMBER({Dimension Group Name},5)/1000*{Slope Factor}</v>
      </c>
      <c r="AQ12" t="str">
        <v>Slope Length</v>
      </c>
      <c r="AR12" t="str">
        <v>m</v>
      </c>
      <c r="AS12" t="str">
        <v>[Length]*{Slope Factor}</v>
      </c>
      <c r="AU12" t="str">
        <v>Slope Factor</v>
      </c>
      <c r="AW12" t="str">
        <v>1/COS(RADIANS(XNUMBER({Dimension Name},1)))</v>
      </c>
    </row>
    <row r="13" spans="1:50" x14ac:dyDescent="0.25">
      <c r="A13" t="str">
        <v>Structural\Structural Steel\Framing\CHS, UB, UC, WB, WC, BT, CT</v>
      </c>
      <c r="B13" t="str">
        <v>B25a - 250UB25.7, 25.7kg/m, 982mm surface perimeter</v>
      </c>
      <c r="C13" t="str">
        <v>Length</v>
      </c>
      <c r="D13" t="str">
        <v>Weight</v>
      </c>
      <c r="J13" t="str">
        <v>t</v>
      </c>
      <c r="K13" t="str">
        <f ca="1"/>
        <v>0,128,0</v>
      </c>
      <c r="L13" t="str">
        <v>Red</v>
      </c>
      <c r="M13" t="str">
        <v/>
      </c>
      <c r="N13" t="str">
        <v/>
      </c>
      <c r="O13" t="str">
        <v>"0 degrees"</v>
      </c>
      <c r="R13" t="str">
        <v/>
      </c>
      <c r="T13" t="str">
        <v>[Count]</v>
      </c>
      <c r="U13" t="str">
        <v>[Length]</v>
      </c>
      <c r="Y13" t="str">
        <v>{Length}*XNUMBER({Dimension Group Name},4)/1000*{Slope Factor}</v>
      </c>
      <c r="AM13" t="str">
        <v>Steel Surface Area</v>
      </c>
      <c r="AN13" t="str">
        <v>m2</v>
      </c>
      <c r="AO13" t="str">
        <v>{Length}*XNUMBER({Dimension Group Name},5)/1000*{Slope Factor}</v>
      </c>
      <c r="AQ13" t="str">
        <v>Slope Length</v>
      </c>
      <c r="AR13" t="str">
        <v>m</v>
      </c>
      <c r="AS13" t="str">
        <v>[Length]*{Slope Factor}</v>
      </c>
      <c r="AU13" t="str">
        <v>Slope Factor</v>
      </c>
      <c r="AW13" t="str">
        <v>1/COS(RADIANS(XNUMBER({Dimension Name},1)))</v>
      </c>
    </row>
    <row r="14" spans="1:50" x14ac:dyDescent="0.25">
      <c r="A14" t="str">
        <v>Structural\Structural Steel\Framing\CHS, UB, UC, WB, WC, BT, CT</v>
      </c>
      <c r="B14" t="str">
        <v>B25b - 250UB31.4, 31.4kg/m, 1075.8mm surface perimeter</v>
      </c>
      <c r="C14" t="str">
        <v>Length</v>
      </c>
      <c r="D14" t="str">
        <v>Weight</v>
      </c>
      <c r="J14" t="str">
        <v>t</v>
      </c>
      <c r="K14" t="str">
        <f ca="1"/>
        <v>0,0,255</v>
      </c>
      <c r="L14" t="str">
        <v>Red</v>
      </c>
      <c r="M14" t="str">
        <v/>
      </c>
      <c r="N14" t="str">
        <v/>
      </c>
      <c r="O14" t="str">
        <v>"0 degrees"</v>
      </c>
      <c r="R14" t="str">
        <v/>
      </c>
      <c r="T14" t="str">
        <v>[Count]</v>
      </c>
      <c r="U14" t="str">
        <v>[Length]</v>
      </c>
      <c r="Y14" t="str">
        <v>{Length}*XNUMBER({Dimension Group Name},4)/1000*{Slope Factor}</v>
      </c>
      <c r="AM14" t="str">
        <v>Steel Surface Area</v>
      </c>
      <c r="AN14" t="str">
        <v>m2</v>
      </c>
      <c r="AO14" t="str">
        <v>{Length}*XNUMBER({Dimension Group Name},5)/1000*{Slope Factor}</v>
      </c>
      <c r="AQ14" t="str">
        <v>Slope Length</v>
      </c>
      <c r="AR14" t="str">
        <v>m</v>
      </c>
      <c r="AS14" t="str">
        <v>[Length]*{Slope Factor}</v>
      </c>
      <c r="AU14" t="str">
        <v>Slope Factor</v>
      </c>
      <c r="AW14" t="str">
        <v>1/COS(RADIANS(XNUMBER({Dimension Name},1)))</v>
      </c>
    </row>
    <row r="15" spans="1:50" x14ac:dyDescent="0.25">
      <c r="A15" t="str">
        <v>Structural\Structural Steel\Framing\CHS, UB, UC, WB, WC, BT, CT</v>
      </c>
      <c r="B15" t="str">
        <v>B31b - 310UB40.4, 40.4kg/m, 1251.8mm surface perimeter</v>
      </c>
      <c r="C15" t="str">
        <v>Length</v>
      </c>
      <c r="D15" t="str">
        <v>Weight</v>
      </c>
      <c r="J15" t="str">
        <v>t</v>
      </c>
      <c r="K15" t="str">
        <f ca="1"/>
        <v>255,255,0</v>
      </c>
      <c r="L15" t="str">
        <v>Red</v>
      </c>
      <c r="M15" t="str">
        <v/>
      </c>
      <c r="N15" t="str">
        <v/>
      </c>
      <c r="O15" t="str">
        <v>"0 degrees"</v>
      </c>
      <c r="R15" t="str">
        <v/>
      </c>
      <c r="T15" t="str">
        <v>[Count]</v>
      </c>
      <c r="U15" t="str">
        <v>[Length]</v>
      </c>
      <c r="Y15" t="str">
        <v>{Length}*XNUMBER({Dimension Group Name},4)/1000*{Slope Factor}</v>
      </c>
      <c r="AM15" t="str">
        <v>Steel Surface Area</v>
      </c>
      <c r="AN15" t="str">
        <v>m2</v>
      </c>
      <c r="AO15" t="str">
        <v>{Length}*XNUMBER({Dimension Group Name},5)/1000*{Slope Factor}</v>
      </c>
      <c r="AQ15" t="str">
        <v>Slope Length</v>
      </c>
      <c r="AR15" t="str">
        <v>m</v>
      </c>
      <c r="AS15" t="str">
        <v>[Length]*{Slope Factor}</v>
      </c>
      <c r="AU15" t="str">
        <v>Slope Factor</v>
      </c>
      <c r="AW15" t="str">
        <v>1/COS(RADIANS(XNUMBER({Dimension Name},1)))</v>
      </c>
    </row>
    <row r="16" spans="1:50" x14ac:dyDescent="0.25">
      <c r="A16" t="str">
        <v>Structural\Structural Steel\Framing\CHS, UB, UC, WB, WC, BT, CT</v>
      </c>
      <c r="B16" t="str">
        <v>B41b - 410UB59.7, 59.7kg/m, 1508.4mm surface perimeter</v>
      </c>
      <c r="C16" t="str">
        <v>Length</v>
      </c>
      <c r="D16" t="str">
        <v>Weight</v>
      </c>
      <c r="J16" t="str">
        <v>t</v>
      </c>
      <c r="K16" t="str">
        <f ca="1"/>
        <v>0,255,0</v>
      </c>
      <c r="L16" t="str">
        <v>Red</v>
      </c>
      <c r="M16" t="str">
        <v/>
      </c>
      <c r="N16" t="str">
        <v/>
      </c>
      <c r="O16" t="str">
        <v>"0 degrees"</v>
      </c>
      <c r="R16" t="str">
        <v/>
      </c>
      <c r="T16" t="str">
        <v>[Count]</v>
      </c>
      <c r="U16" t="str">
        <v>[Length]</v>
      </c>
      <c r="Y16" t="str">
        <v>{Length}*XNUMBER({Dimension Group Name},4)/1000*{Slope Factor}</v>
      </c>
      <c r="AM16" t="str">
        <v>Steel Surface Area</v>
      </c>
      <c r="AN16" t="str">
        <v>m2</v>
      </c>
      <c r="AO16" t="str">
        <v>{Length}*XNUMBER({Dimension Group Name},5)/1000*{Slope Factor}</v>
      </c>
      <c r="AQ16" t="str">
        <v>Slope Length</v>
      </c>
      <c r="AR16" t="str">
        <v>m</v>
      </c>
      <c r="AS16" t="str">
        <v>[Length]*{Slope Factor}</v>
      </c>
      <c r="AU16" t="str">
        <v>Slope Factor</v>
      </c>
      <c r="AW16" t="str">
        <v>1/COS(RADIANS(XNUMBER({Dimension Name},1)))</v>
      </c>
    </row>
    <row r="17" spans="1:49" x14ac:dyDescent="0.25">
      <c r="A17" t="str">
        <v>Structural\Structural Steel\Framing\CHS, UB, UC, WB, WC, BT, CT</v>
      </c>
      <c r="B17" t="str">
        <v>B61a - 610UB101, 101kg/m, 2094.8mm surface perimeter</v>
      </c>
      <c r="C17" t="str">
        <v>Length</v>
      </c>
      <c r="D17" t="str">
        <v>Weight</v>
      </c>
      <c r="J17" t="str">
        <v>t</v>
      </c>
      <c r="K17" t="str">
        <f ca="1"/>
        <v>0,255,255</v>
      </c>
      <c r="L17" t="str">
        <v>Red</v>
      </c>
      <c r="M17" t="str">
        <v/>
      </c>
      <c r="N17" t="str">
        <v/>
      </c>
      <c r="O17" t="str">
        <v>"0 degrees"</v>
      </c>
      <c r="R17" t="str">
        <v/>
      </c>
      <c r="T17" t="str">
        <v>[Count]</v>
      </c>
      <c r="U17" t="str">
        <v>[Length]</v>
      </c>
      <c r="Y17" t="str">
        <v>{Length}*XNUMBER({Dimension Group Name},4)/1000*{Slope Factor}</v>
      </c>
      <c r="AM17" t="str">
        <v>Steel Surface Area</v>
      </c>
      <c r="AN17" t="str">
        <v>m2</v>
      </c>
      <c r="AO17" t="str">
        <v>{Length}*XNUMBER({Dimension Group Name},5)/1000*{Slope Factor}</v>
      </c>
      <c r="AQ17" t="str">
        <v>Slope Length</v>
      </c>
      <c r="AR17" t="str">
        <v>m</v>
      </c>
      <c r="AS17" t="str">
        <v>[Length]*{Slope Factor}</v>
      </c>
      <c r="AU17" t="str">
        <v>Slope Factor</v>
      </c>
      <c r="AW17" t="str">
        <v>1/COS(RADIANS(XNUMBER({Dimension Name},1)))</v>
      </c>
    </row>
    <row r="18" spans="1:49" x14ac:dyDescent="0.25">
      <c r="A18" t="str">
        <v>Structural\Structural Steel\Framing\CHS, UB, UC, WB, WC, BT, CT</v>
      </c>
      <c r="B18" t="str">
        <v>B61c - 610UB125, 125kg/m, 2116.2mm surface perimeter</v>
      </c>
      <c r="C18" t="str">
        <v>Length</v>
      </c>
      <c r="D18" t="str">
        <v>Weight</v>
      </c>
      <c r="J18" t="str">
        <v>t</v>
      </c>
      <c r="K18" t="str">
        <f ca="1"/>
        <v>210,105,30</v>
      </c>
      <c r="L18" t="str">
        <v>Red</v>
      </c>
      <c r="M18" t="str">
        <v/>
      </c>
      <c r="N18" t="str">
        <v/>
      </c>
      <c r="O18" t="str">
        <v>"0 degrees"</v>
      </c>
      <c r="R18" t="str">
        <v/>
      </c>
      <c r="T18" t="str">
        <v>[Count]</v>
      </c>
      <c r="U18" t="str">
        <v>[Length]</v>
      </c>
      <c r="Y18" t="str">
        <v>{Length}*XNUMBER({Dimension Group Name},4)/1000*{Slope Factor}</v>
      </c>
      <c r="AM18" t="str">
        <v>Steel Surface Area</v>
      </c>
      <c r="AN18" t="str">
        <v>m2</v>
      </c>
      <c r="AO18" t="str">
        <v>{Length}*XNUMBER({Dimension Group Name},5)/1000*{Slope Factor}</v>
      </c>
      <c r="AQ18" t="str">
        <v>Slope Length</v>
      </c>
      <c r="AR18" t="str">
        <v>m</v>
      </c>
      <c r="AS18" t="str">
        <v>[Length]*{Slope Factor}</v>
      </c>
      <c r="AU18" t="str">
        <v>Slope Factor</v>
      </c>
      <c r="AW18" t="str">
        <v>1/COS(RADIANS(XNUMBER({Dimension Name},1)))</v>
      </c>
    </row>
    <row r="19" spans="1:49" x14ac:dyDescent="0.25">
      <c r="A19" t="str">
        <v>Structural\Structural Steel\Framing\CHS, UB, UC, WB, WC, BT, CT</v>
      </c>
      <c r="B19" t="str">
        <v>B70a - 700WB115, 115kg/m, 2384mm surface perimeter</v>
      </c>
      <c r="C19" t="str">
        <v>Length</v>
      </c>
      <c r="D19" t="str">
        <v>Weight</v>
      </c>
      <c r="J19" t="str">
        <v>t</v>
      </c>
      <c r="K19" t="str">
        <f ca="1"/>
        <v>0,255,255</v>
      </c>
      <c r="L19" t="str">
        <v>Red</v>
      </c>
      <c r="M19" t="str">
        <v/>
      </c>
      <c r="N19" t="str">
        <v/>
      </c>
      <c r="O19" t="str">
        <v>"0 degrees"</v>
      </c>
      <c r="R19" t="str">
        <v/>
      </c>
      <c r="T19" t="str">
        <v>[Count]</v>
      </c>
      <c r="U19" t="str">
        <v>[Length]</v>
      </c>
      <c r="Y19" t="str">
        <v>{Length}*XNUMBER({Dimension Group Name},4)/1000*{Slope Factor}</v>
      </c>
      <c r="AM19" t="str">
        <v>Steel Surface Area</v>
      </c>
      <c r="AN19" t="str">
        <v>m2</v>
      </c>
      <c r="AO19" t="str">
        <v>{Length}*XNUMBER({Dimension Group Name},5)/1000*{Slope Factor}</v>
      </c>
      <c r="AQ19" t="str">
        <v>Slope Length</v>
      </c>
      <c r="AR19" t="str">
        <v>m</v>
      </c>
      <c r="AS19" t="str">
        <v>[Length]*{Slope Factor}</v>
      </c>
      <c r="AU19" t="str">
        <v>Slope Factor</v>
      </c>
      <c r="AW19" t="str">
        <v>1/COS(RADIANS(XNUMBER({Dimension Name},1)))</v>
      </c>
    </row>
    <row r="20" spans="1:49" x14ac:dyDescent="0.25">
      <c r="A20" t="str">
        <v>Structural\Structural Steel\Framing\CHS, UB, UC, WB, WC, BT, CT</v>
      </c>
      <c r="B20" t="str">
        <v>B70b - 700WB130, 130kg/m, 2380mm surface perimeter</v>
      </c>
      <c r="C20" t="str">
        <v>Length</v>
      </c>
      <c r="D20" t="str">
        <v>Weight</v>
      </c>
      <c r="J20" t="str">
        <v>t</v>
      </c>
      <c r="K20" t="str">
        <f ca="1"/>
        <v>218,112,214</v>
      </c>
      <c r="L20" t="str">
        <v>Red</v>
      </c>
      <c r="M20" t="str">
        <v/>
      </c>
      <c r="N20" t="str">
        <v/>
      </c>
      <c r="O20" t="str">
        <v>"0 degrees"</v>
      </c>
      <c r="R20" t="str">
        <v/>
      </c>
      <c r="T20" t="str">
        <v>[Count]</v>
      </c>
      <c r="U20" t="str">
        <v>[Length]</v>
      </c>
      <c r="Y20" t="str">
        <v>{Length}*XNUMBER({Dimension Group Name},4)/1000*{Slope Factor}</v>
      </c>
      <c r="AM20" t="str">
        <v>Steel Surface Area</v>
      </c>
      <c r="AN20" t="str">
        <v>m2</v>
      </c>
      <c r="AO20" t="str">
        <v>{Length}*XNUMBER({Dimension Group Name},5)/1000*{Slope Factor}</v>
      </c>
      <c r="AQ20" t="str">
        <v>Slope Length</v>
      </c>
      <c r="AR20" t="str">
        <v>m</v>
      </c>
      <c r="AS20" t="str">
        <v>[Length]*{Slope Factor}</v>
      </c>
      <c r="AU20" t="str">
        <v>Slope Factor</v>
      </c>
      <c r="AW20" t="str">
        <v>1/COS(RADIANS(XNUMBER({Dimension Name},1)))</v>
      </c>
    </row>
    <row r="21" spans="1:49" x14ac:dyDescent="0.25">
      <c r="A21" t="str">
        <v>Structural\Structural Steel\Framing\CHS, UB, UC, WB, WC, BT, CT</v>
      </c>
      <c r="B21" t="str">
        <v>B70c - 700WB150, 150kg/m, 2400mm surface perimeter</v>
      </c>
      <c r="C21" t="str">
        <v>Length</v>
      </c>
      <c r="D21" t="str">
        <v>Weight</v>
      </c>
      <c r="J21" t="str">
        <v>t</v>
      </c>
      <c r="K21" t="str">
        <f ca="1"/>
        <v>34,139,34</v>
      </c>
      <c r="L21" t="str">
        <v>Red</v>
      </c>
      <c r="M21" t="str">
        <v/>
      </c>
      <c r="N21" t="str">
        <v/>
      </c>
      <c r="O21" t="str">
        <v>"0 degrees"</v>
      </c>
      <c r="R21" t="str">
        <v/>
      </c>
      <c r="T21" t="str">
        <v>[Count]</v>
      </c>
      <c r="U21" t="str">
        <v>[Length]</v>
      </c>
      <c r="Y21" t="str">
        <v>{Length}*XNUMBER({Dimension Group Name},4)/1000*{Slope Factor}</v>
      </c>
      <c r="AM21" t="str">
        <v>Steel Surface Area</v>
      </c>
      <c r="AN21" t="str">
        <v>m2</v>
      </c>
      <c r="AO21" t="str">
        <v>{Length}*XNUMBER({Dimension Group Name},5)/1000*{Slope Factor}</v>
      </c>
      <c r="AQ21" t="str">
        <v>Slope Length</v>
      </c>
      <c r="AR21" t="str">
        <v>m</v>
      </c>
      <c r="AS21" t="str">
        <v>[Length]*{Slope Factor}</v>
      </c>
      <c r="AU21" t="str">
        <v>Slope Factor</v>
      </c>
      <c r="AW21" t="str">
        <v>1/COS(RADIANS(XNUMBER({Dimension Name},1)))</v>
      </c>
    </row>
    <row r="22" spans="1:49" x14ac:dyDescent="0.25">
      <c r="A22" t="str">
        <v>Structural\Structural Steel\Framing\CHS, UB, UC, WB, WC, BT, CT</v>
      </c>
      <c r="B22" t="str">
        <v>B70d - 700WB173, 173kg/m, 2512mm surface perimeter</v>
      </c>
      <c r="C22" t="str">
        <v>Length</v>
      </c>
      <c r="D22" t="str">
        <v>Weight</v>
      </c>
      <c r="J22" t="str">
        <v>t</v>
      </c>
      <c r="K22" t="str">
        <f ca="1"/>
        <v>0,191,255</v>
      </c>
      <c r="L22" t="str">
        <v>Red</v>
      </c>
      <c r="M22" t="str">
        <v/>
      </c>
      <c r="N22" t="str">
        <v/>
      </c>
      <c r="O22" t="str">
        <v>"0 degrees"</v>
      </c>
      <c r="R22" t="str">
        <v/>
      </c>
      <c r="T22" t="str">
        <v>[Count]</v>
      </c>
      <c r="U22" t="str">
        <v>[Length]</v>
      </c>
      <c r="Y22" t="str">
        <v>{Length}*XNUMBER({Dimension Group Name},4)/1000*{Slope Factor}</v>
      </c>
      <c r="AM22" t="str">
        <v>Steel Surface Area</v>
      </c>
      <c r="AN22" t="str">
        <v>m2</v>
      </c>
      <c r="AO22" t="str">
        <v>{Length}*XNUMBER({Dimension Group Name},5)/1000*{Slope Factor}</v>
      </c>
      <c r="AQ22" t="str">
        <v>Slope Length</v>
      </c>
      <c r="AR22" t="str">
        <v>m</v>
      </c>
      <c r="AS22" t="str">
        <v>[Length]*{Slope Factor}</v>
      </c>
      <c r="AU22" t="str">
        <v>Slope Factor</v>
      </c>
      <c r="AW22" t="str">
        <v>1/COS(RADIANS(XNUMBER({Dimension Name},1)))</v>
      </c>
    </row>
    <row r="23" spans="1:49" x14ac:dyDescent="0.25">
      <c r="A23" t="str">
        <v>Structural\Structural Steel\Framing\CHS, UB, UC, WB, WC, BT, CT</v>
      </c>
      <c r="B23" t="str">
        <v>B90c - 900WB257, 257kg/m, 3408mm surface perimeter</v>
      </c>
      <c r="C23" t="str">
        <v>Length</v>
      </c>
      <c r="D23" t="str">
        <v>Weight</v>
      </c>
      <c r="J23" t="str">
        <v>t</v>
      </c>
      <c r="K23" t="str">
        <f ca="1"/>
        <v>60,179,113</v>
      </c>
      <c r="L23" t="str">
        <v>Red</v>
      </c>
      <c r="M23" t="str">
        <v/>
      </c>
      <c r="N23" t="str">
        <v/>
      </c>
      <c r="O23" t="str">
        <v>"0 degrees"</v>
      </c>
      <c r="R23" t="str">
        <v/>
      </c>
      <c r="T23" t="str">
        <v>[Count]</v>
      </c>
      <c r="U23" t="str">
        <v>[Length]</v>
      </c>
      <c r="Y23" t="str">
        <v>{Length}*XNUMBER({Dimension Group Name},4)/1000*{Slope Factor}</v>
      </c>
      <c r="AM23" t="str">
        <v>Steel Surface Area</v>
      </c>
      <c r="AN23" t="str">
        <v>m2</v>
      </c>
      <c r="AO23" t="str">
        <v>{Length}*XNUMBER({Dimension Group Name},5)/1000*{Slope Factor}</v>
      </c>
      <c r="AQ23" t="str">
        <v>Slope Length</v>
      </c>
      <c r="AR23" t="str">
        <v>m</v>
      </c>
      <c r="AS23" t="str">
        <v>[Length]*{Slope Factor}</v>
      </c>
      <c r="AU23" t="str">
        <v>Slope Factor</v>
      </c>
      <c r="AW23" t="str">
        <v>1/COS(RADIANS(XNUMBER({Dimension Name},1)))</v>
      </c>
    </row>
    <row r="24" spans="1:49" x14ac:dyDescent="0.25">
      <c r="A24" t="str">
        <v>Structural\Structural Steel\Framing\CHS, UB, UC, WB, WC, BT, CT</v>
      </c>
      <c r="B24" t="str">
        <v>B90d - 900WB282, 282kg/m, 3424mm surface perimeter</v>
      </c>
      <c r="C24" t="str">
        <v>Length</v>
      </c>
      <c r="D24" t="str">
        <v>Weight</v>
      </c>
      <c r="J24" t="str">
        <v>t</v>
      </c>
      <c r="K24" t="str">
        <f ca="1"/>
        <v>210,180,140</v>
      </c>
      <c r="L24" t="str">
        <v>Red</v>
      </c>
      <c r="M24" t="str">
        <v/>
      </c>
      <c r="N24" t="str">
        <v/>
      </c>
      <c r="O24" t="str">
        <v>"0 degrees"</v>
      </c>
      <c r="R24" t="str">
        <v/>
      </c>
      <c r="T24" t="str">
        <v>[Count]</v>
      </c>
      <c r="U24" t="str">
        <v>[Length]</v>
      </c>
      <c r="Y24" t="str">
        <v>{Length}*XNUMBER({Dimension Group Name},4)/1000*{Slope Factor}</v>
      </c>
      <c r="AM24" t="str">
        <v>Steel Surface Area</v>
      </c>
      <c r="AN24" t="str">
        <v>m2</v>
      </c>
      <c r="AO24" t="str">
        <v>{Length}*XNUMBER({Dimension Group Name},5)/1000*{Slope Factor}</v>
      </c>
      <c r="AQ24" t="str">
        <v>Slope Length</v>
      </c>
      <c r="AR24" t="str">
        <v>m</v>
      </c>
      <c r="AS24" t="str">
        <v>[Length]*{Slope Factor}</v>
      </c>
      <c r="AU24" t="str">
        <v>Slope Factor</v>
      </c>
      <c r="AW24" t="str">
        <v>1/COS(RADIANS(XNUMBER({Dimension Name},1)))</v>
      </c>
    </row>
    <row r="25" spans="1:49" x14ac:dyDescent="0.25">
      <c r="A25" t="str">
        <v>Structural\Structural Steel\Purlins, Girths and Bracings\No details</v>
      </c>
      <c r="B25" t="str">
        <v>CWB65b - CUSTOM_650_F50_W50; Steel Grade: 400PLUS</v>
      </c>
      <c r="C25" t="e">
        <v>#N/A</v>
      </c>
      <c r="D25" t="e">
        <v>#N/A</v>
      </c>
      <c r="J25" t="str">
        <v>t</v>
      </c>
      <c r="K25" t="e">
        <f ca="1"/>
        <v>#N/A</v>
      </c>
      <c r="L25" t="str">
        <v>Red</v>
      </c>
      <c r="M25" t="e">
        <v>#N/A</v>
      </c>
      <c r="N25" t="e">
        <v>#N/A</v>
      </c>
      <c r="O25" t="e">
        <v>#N/A</v>
      </c>
      <c r="R25" t="e">
        <v>#N/A</v>
      </c>
      <c r="T25" t="e">
        <v>#N/A</v>
      </c>
      <c r="U25" t="e">
        <v>#N/A</v>
      </c>
      <c r="Y25" t="str">
        <v/>
      </c>
      <c r="AM25" t="str">
        <v>Steel Surface Area</v>
      </c>
      <c r="AN25" t="str">
        <v>m2</v>
      </c>
      <c r="AO25" t="str">
        <v/>
      </c>
      <c r="AQ25" t="str">
        <v>Slope Length</v>
      </c>
      <c r="AR25" t="str">
        <v>m</v>
      </c>
      <c r="AS25" t="e">
        <v>#N/A</v>
      </c>
      <c r="AU25" t="str">
        <v>Slope Factor</v>
      </c>
      <c r="AW25" t="e">
        <v>#N/A</v>
      </c>
    </row>
    <row r="26" spans="1:49" x14ac:dyDescent="0.25">
      <c r="A26" t="str">
        <v>Structural\Structural Steel\Purlins, Girths and Bracings\No details</v>
      </c>
      <c r="B26" t="str">
        <v>CWB70c - CUSTOM_700_F28_W10; Steel Grade: 400PLUS</v>
      </c>
      <c r="C26" t="e">
        <v>#N/A</v>
      </c>
      <c r="D26" t="e">
        <v>#N/A</v>
      </c>
      <c r="J26" t="str">
        <v>t</v>
      </c>
      <c r="K26" t="e">
        <f ca="1"/>
        <v>#N/A</v>
      </c>
      <c r="L26" t="str">
        <v>Red</v>
      </c>
      <c r="M26" t="e">
        <v>#N/A</v>
      </c>
      <c r="N26" t="e">
        <v>#N/A</v>
      </c>
      <c r="O26" t="e">
        <v>#N/A</v>
      </c>
      <c r="R26" t="e">
        <v>#N/A</v>
      </c>
      <c r="T26" t="e">
        <v>#N/A</v>
      </c>
      <c r="U26" t="e">
        <v>#N/A</v>
      </c>
      <c r="Y26" t="str">
        <v/>
      </c>
      <c r="AM26" t="str">
        <v>Steel Surface Area</v>
      </c>
      <c r="AN26" t="str">
        <v>m2</v>
      </c>
      <c r="AO26" t="str">
        <v/>
      </c>
      <c r="AQ26" t="str">
        <v>Slope Length</v>
      </c>
      <c r="AR26" t="str">
        <v>m</v>
      </c>
      <c r="AS26" t="e">
        <v>#N/A</v>
      </c>
      <c r="AU26" t="str">
        <v>Slope Factor</v>
      </c>
      <c r="AW26" t="e">
        <v>#N/A</v>
      </c>
    </row>
    <row r="27" spans="1:49" x14ac:dyDescent="0.25">
      <c r="A27" t="str">
        <v>Structural\Structural Steel\Purlins, Girths and Bracings\No details</v>
      </c>
      <c r="B27" t="str">
        <v>CWB70j - CUSTOM_700_F50_W20; Steel Grade: 400PLUS</v>
      </c>
      <c r="C27" t="e">
        <v>#N/A</v>
      </c>
      <c r="D27" t="e">
        <v>#N/A</v>
      </c>
      <c r="J27" t="str">
        <v>t</v>
      </c>
      <c r="K27" t="e">
        <f ca="1"/>
        <v>#N/A</v>
      </c>
      <c r="L27" t="str">
        <v>Red</v>
      </c>
      <c r="M27" t="e">
        <v>#N/A</v>
      </c>
      <c r="N27" t="e">
        <v>#N/A</v>
      </c>
      <c r="O27" t="e">
        <v>#N/A</v>
      </c>
      <c r="R27" t="e">
        <v>#N/A</v>
      </c>
      <c r="T27" t="e">
        <v>#N/A</v>
      </c>
      <c r="U27" t="e">
        <v>#N/A</v>
      </c>
      <c r="Y27" t="str">
        <v/>
      </c>
      <c r="AM27" t="str">
        <v>Steel Surface Area</v>
      </c>
      <c r="AN27" t="str">
        <v>m2</v>
      </c>
      <c r="AO27" t="str">
        <v/>
      </c>
      <c r="AQ27" t="str">
        <v>Slope Length</v>
      </c>
      <c r="AR27" t="str">
        <v>m</v>
      </c>
      <c r="AS27" t="e">
        <v>#N/A</v>
      </c>
      <c r="AU27" t="str">
        <v>Slope Factor</v>
      </c>
      <c r="AW27" t="e">
        <v>#N/A</v>
      </c>
    </row>
    <row r="28" spans="1:49" x14ac:dyDescent="0.25">
      <c r="A28" t="str">
        <v>Structural\Structural Steel\Purlins, Girths and Bracings\No details</v>
      </c>
      <c r="B28" t="str">
        <v>CWB70k - CUSTOM_700_F50_W30; Steel Grade: 400PLUS</v>
      </c>
      <c r="C28" t="e">
        <v>#N/A</v>
      </c>
      <c r="D28" t="e">
        <v>#N/A</v>
      </c>
      <c r="J28" t="str">
        <v>t</v>
      </c>
      <c r="K28" t="e">
        <f ca="1"/>
        <v>#N/A</v>
      </c>
      <c r="L28" t="str">
        <v>Red</v>
      </c>
      <c r="M28" t="e">
        <v>#N/A</v>
      </c>
      <c r="N28" t="e">
        <v>#N/A</v>
      </c>
      <c r="O28" t="e">
        <v>#N/A</v>
      </c>
      <c r="R28" t="e">
        <v>#N/A</v>
      </c>
      <c r="T28" t="e">
        <v>#N/A</v>
      </c>
      <c r="U28" t="e">
        <v>#N/A</v>
      </c>
      <c r="Y28" t="str">
        <v/>
      </c>
      <c r="AM28" t="str">
        <v>Steel Surface Area</v>
      </c>
      <c r="AN28" t="str">
        <v>m2</v>
      </c>
      <c r="AO28" t="str">
        <v/>
      </c>
      <c r="AQ28" t="str">
        <v>Slope Length</v>
      </c>
      <c r="AR28" t="str">
        <v>m</v>
      </c>
      <c r="AS28" t="e">
        <v>#N/A</v>
      </c>
      <c r="AU28" t="str">
        <v>Slope Factor</v>
      </c>
      <c r="AW28" t="e">
        <v>#N/A</v>
      </c>
    </row>
    <row r="29" spans="1:49" x14ac:dyDescent="0.25">
      <c r="A29" t="str">
        <v>Structural\Structural Steel\Purlins, Girths and Bracings\No details</v>
      </c>
      <c r="B29" t="str">
        <v>CWB73a - CUSTOM_730_F30_W10; Steel Grade: 400PLUS</v>
      </c>
      <c r="C29" t="e">
        <v>#N/A</v>
      </c>
      <c r="D29" t="e">
        <v>#N/A</v>
      </c>
      <c r="J29" t="str">
        <v>t</v>
      </c>
      <c r="K29" t="e">
        <f ca="1"/>
        <v>#N/A</v>
      </c>
      <c r="L29" t="str">
        <v>Red</v>
      </c>
      <c r="M29" t="e">
        <v>#N/A</v>
      </c>
      <c r="N29" t="e">
        <v>#N/A</v>
      </c>
      <c r="O29" t="e">
        <v>#N/A</v>
      </c>
      <c r="R29" t="e">
        <v>#N/A</v>
      </c>
      <c r="T29" t="e">
        <v>#N/A</v>
      </c>
      <c r="U29" t="e">
        <v>#N/A</v>
      </c>
      <c r="Y29" t="str">
        <v/>
      </c>
      <c r="AM29" t="str">
        <v>Steel Surface Area</v>
      </c>
      <c r="AN29" t="str">
        <v>m2</v>
      </c>
      <c r="AO29" t="str">
        <v/>
      </c>
      <c r="AQ29" t="str">
        <v>Slope Length</v>
      </c>
      <c r="AR29" t="str">
        <v>m</v>
      </c>
      <c r="AS29" t="e">
        <v>#N/A</v>
      </c>
      <c r="AU29" t="str">
        <v>Slope Factor</v>
      </c>
      <c r="AW29" t="e">
        <v>#N/A</v>
      </c>
    </row>
    <row r="30" spans="1:49" x14ac:dyDescent="0.25">
      <c r="A30" t="str">
        <v>Structural\Structural Steel\Purlins, Girths and Bracings\No details</v>
      </c>
      <c r="B30" t="str">
        <v>CWB73a - CUSTOM_730_F30_W15; Steel Grade: 400PLUS</v>
      </c>
      <c r="C30" t="e">
        <v>#N/A</v>
      </c>
      <c r="D30" t="e">
        <v>#N/A</v>
      </c>
      <c r="J30" t="str">
        <v>t</v>
      </c>
      <c r="K30" t="e">
        <f ca="1"/>
        <v>#N/A</v>
      </c>
      <c r="L30" t="str">
        <v>Red</v>
      </c>
      <c r="M30" t="e">
        <v>#N/A</v>
      </c>
      <c r="N30" t="e">
        <v>#N/A</v>
      </c>
      <c r="O30" t="e">
        <v>#N/A</v>
      </c>
      <c r="R30" t="e">
        <v>#N/A</v>
      </c>
      <c r="T30" t="e">
        <v>#N/A</v>
      </c>
      <c r="U30" t="e">
        <v>#N/A</v>
      </c>
      <c r="Y30" t="str">
        <v/>
      </c>
      <c r="AM30" t="str">
        <v>Steel Surface Area</v>
      </c>
      <c r="AN30" t="str">
        <v>m2</v>
      </c>
      <c r="AO30" t="str">
        <v/>
      </c>
      <c r="AQ30" t="str">
        <v>Slope Length</v>
      </c>
      <c r="AR30" t="str">
        <v>m</v>
      </c>
      <c r="AS30" t="e">
        <v>#N/A</v>
      </c>
      <c r="AU30" t="str">
        <v>Slope Factor</v>
      </c>
      <c r="AW30" t="e">
        <v>#N/A</v>
      </c>
    </row>
    <row r="31" spans="1:49" x14ac:dyDescent="0.25">
      <c r="A31" t="str">
        <v>Structural\Structural Steel\Purlins, Girths and Bracings\No details</v>
      </c>
      <c r="B31" t="str">
        <v>CWB73b - CUSTOM_730_F50_W30; Steel Grade: 400PLUS</v>
      </c>
      <c r="C31" t="e">
        <v>#N/A</v>
      </c>
      <c r="D31" t="e">
        <v>#N/A</v>
      </c>
      <c r="J31" t="str">
        <v>t</v>
      </c>
      <c r="K31" t="e">
        <f ca="1"/>
        <v>#N/A</v>
      </c>
      <c r="L31" t="str">
        <v>Red</v>
      </c>
      <c r="M31" t="e">
        <v>#N/A</v>
      </c>
      <c r="N31" t="e">
        <v>#N/A</v>
      </c>
      <c r="O31" t="e">
        <v>#N/A</v>
      </c>
      <c r="R31" t="e">
        <v>#N/A</v>
      </c>
      <c r="T31" t="e">
        <v>#N/A</v>
      </c>
      <c r="U31" t="e">
        <v>#N/A</v>
      </c>
      <c r="Y31" t="str">
        <v/>
      </c>
      <c r="AM31" t="str">
        <v>Steel Surface Area</v>
      </c>
      <c r="AN31" t="str">
        <v>m2</v>
      </c>
      <c r="AO31" t="str">
        <v/>
      </c>
      <c r="AQ31" t="str">
        <v>Slope Length</v>
      </c>
      <c r="AR31" t="str">
        <v>m</v>
      </c>
      <c r="AS31" t="e">
        <v>#N/A</v>
      </c>
      <c r="AU31" t="str">
        <v>Slope Factor</v>
      </c>
      <c r="AW31" t="e">
        <v>#N/A</v>
      </c>
    </row>
    <row r="32" spans="1:49" x14ac:dyDescent="0.25">
      <c r="A32" t="str">
        <v>Structural\Structural Steel\Purlins, Girths and Bracings\No details</v>
      </c>
      <c r="B32" t="str">
        <v>CWB73c - CUSTOM_730_F50_W40; Steel Grade: 400PLUS</v>
      </c>
      <c r="C32" t="e">
        <v>#N/A</v>
      </c>
      <c r="D32" t="e">
        <v>#N/A</v>
      </c>
      <c r="J32" t="str">
        <v>t</v>
      </c>
      <c r="K32" t="e">
        <f ca="1"/>
        <v>#N/A</v>
      </c>
      <c r="L32" t="str">
        <v>Red</v>
      </c>
      <c r="M32" t="e">
        <v>#N/A</v>
      </c>
      <c r="N32" t="e">
        <v>#N/A</v>
      </c>
      <c r="O32" t="e">
        <v>#N/A</v>
      </c>
      <c r="R32" t="e">
        <v>#N/A</v>
      </c>
      <c r="T32" t="e">
        <v>#N/A</v>
      </c>
      <c r="U32" t="e">
        <v>#N/A</v>
      </c>
      <c r="Y32" t="str">
        <v/>
      </c>
      <c r="AM32" t="str">
        <v>Steel Surface Area</v>
      </c>
      <c r="AN32" t="str">
        <v>m2</v>
      </c>
      <c r="AO32" t="str">
        <v/>
      </c>
      <c r="AQ32" t="str">
        <v>Slope Length</v>
      </c>
      <c r="AR32" t="str">
        <v>m</v>
      </c>
      <c r="AS32" t="e">
        <v>#N/A</v>
      </c>
      <c r="AU32" t="str">
        <v>Slope Factor</v>
      </c>
      <c r="AW32" t="e">
        <v>#N/A</v>
      </c>
    </row>
    <row r="33" spans="1:49" x14ac:dyDescent="0.25">
      <c r="A33" t="str">
        <v>Structural\Structural Steel\Purlins, Girths and Bracings\No details</v>
      </c>
      <c r="B33" t="str">
        <v>CWB73d - CUSTOM_730_F15_W30; Steel Grade: 400PLUS</v>
      </c>
      <c r="C33" t="e">
        <v>#N/A</v>
      </c>
      <c r="D33" t="e">
        <v>#N/A</v>
      </c>
      <c r="J33" t="str">
        <v>t</v>
      </c>
      <c r="K33" t="e">
        <f ca="1"/>
        <v>#N/A</v>
      </c>
      <c r="L33" t="str">
        <v>Red</v>
      </c>
      <c r="M33" t="e">
        <v>#N/A</v>
      </c>
      <c r="N33" t="e">
        <v>#N/A</v>
      </c>
      <c r="O33" t="e">
        <v>#N/A</v>
      </c>
      <c r="R33" t="e">
        <v>#N/A</v>
      </c>
      <c r="T33" t="e">
        <v>#N/A</v>
      </c>
      <c r="U33" t="e">
        <v>#N/A</v>
      </c>
      <c r="Y33" t="str">
        <v/>
      </c>
      <c r="AM33" t="str">
        <v>Steel Surface Area</v>
      </c>
      <c r="AN33" t="str">
        <v>m2</v>
      </c>
      <c r="AO33" t="str">
        <v/>
      </c>
      <c r="AQ33" t="str">
        <v>Slope Length</v>
      </c>
      <c r="AR33" t="str">
        <v>m</v>
      </c>
      <c r="AS33" t="e">
        <v>#N/A</v>
      </c>
      <c r="AU33" t="str">
        <v>Slope Factor</v>
      </c>
      <c r="AW33" t="e">
        <v>#N/A</v>
      </c>
    </row>
    <row r="34" spans="1:49" x14ac:dyDescent="0.25">
      <c r="A34" t="str">
        <v>Structural\Structural Steel\Purlins, Girths and Bracings\No details</v>
      </c>
      <c r="B34" t="str">
        <v>CWB80d - CUSTOM_800_F60_W30; Steel Grade: 400PLUS</v>
      </c>
      <c r="C34" t="e">
        <v>#N/A</v>
      </c>
      <c r="D34" t="e">
        <v>#N/A</v>
      </c>
      <c r="J34" t="str">
        <v>t</v>
      </c>
      <c r="K34" t="e">
        <f ca="1"/>
        <v>#N/A</v>
      </c>
      <c r="L34" t="str">
        <v>Red</v>
      </c>
      <c r="M34" t="e">
        <v>#N/A</v>
      </c>
      <c r="N34" t="e">
        <v>#N/A</v>
      </c>
      <c r="O34" t="e">
        <v>#N/A</v>
      </c>
      <c r="R34" t="e">
        <v>#N/A</v>
      </c>
      <c r="T34" t="e">
        <v>#N/A</v>
      </c>
      <c r="U34" t="e">
        <v>#N/A</v>
      </c>
      <c r="Y34" t="str">
        <v/>
      </c>
      <c r="AM34" t="str">
        <v>Steel Surface Area</v>
      </c>
      <c r="AN34" t="str">
        <v>m2</v>
      </c>
      <c r="AO34" t="str">
        <v/>
      </c>
      <c r="AQ34" t="str">
        <v>Slope Length</v>
      </c>
      <c r="AR34" t="str">
        <v>m</v>
      </c>
      <c r="AS34" t="e">
        <v>#N/A</v>
      </c>
      <c r="AU34" t="str">
        <v>Slope Factor</v>
      </c>
      <c r="AW34" t="e">
        <v>#N/A</v>
      </c>
    </row>
    <row r="35" spans="1:49" x14ac:dyDescent="0.25">
      <c r="A35" t="str">
        <v>Structural\Structural Steel\Purlins, Girths and Bracings\No details</v>
      </c>
      <c r="B35" t="str">
        <v>CWB90a - CUSTOM_900_F40_W12; Steel Grade: 400PLUS</v>
      </c>
      <c r="C35" t="e">
        <v>#N/A</v>
      </c>
      <c r="D35" t="e">
        <v>#N/A</v>
      </c>
      <c r="J35" t="str">
        <v>t</v>
      </c>
      <c r="K35" t="e">
        <f ca="1"/>
        <v>#N/A</v>
      </c>
      <c r="L35" t="str">
        <v>Red</v>
      </c>
      <c r="M35" t="e">
        <v>#N/A</v>
      </c>
      <c r="N35" t="e">
        <v>#N/A</v>
      </c>
      <c r="O35" t="e">
        <v>#N/A</v>
      </c>
      <c r="R35" t="e">
        <v>#N/A</v>
      </c>
      <c r="T35" t="e">
        <v>#N/A</v>
      </c>
      <c r="U35" t="e">
        <v>#N/A</v>
      </c>
      <c r="Y35" t="str">
        <v/>
      </c>
      <c r="AM35" t="str">
        <v>Steel Surface Area</v>
      </c>
      <c r="AN35" t="str">
        <v>m2</v>
      </c>
      <c r="AO35" t="str">
        <v/>
      </c>
      <c r="AQ35" t="str">
        <v>Slope Length</v>
      </c>
      <c r="AR35" t="str">
        <v>m</v>
      </c>
      <c r="AS35" t="e">
        <v>#N/A</v>
      </c>
      <c r="AU35" t="str">
        <v>Slope Factor</v>
      </c>
      <c r="AW35" t="e">
        <v>#N/A</v>
      </c>
    </row>
    <row r="36" spans="1:49" x14ac:dyDescent="0.25">
      <c r="A36" t="str">
        <v>Structural\Structural Steel\Purlins, Girths and Bracings\No details</v>
      </c>
      <c r="B36" t="str">
        <v>CWB90b - CUSTOM_900_F40_W20; Steel Grade: 400PLUS</v>
      </c>
      <c r="C36" t="e">
        <v>#N/A</v>
      </c>
      <c r="D36" t="e">
        <v>#N/A</v>
      </c>
      <c r="J36" t="str">
        <v>t</v>
      </c>
      <c r="K36" t="e">
        <f ca="1"/>
        <v>#N/A</v>
      </c>
      <c r="L36" t="str">
        <v>Red</v>
      </c>
      <c r="M36" t="e">
        <v>#N/A</v>
      </c>
      <c r="N36" t="e">
        <v>#N/A</v>
      </c>
      <c r="O36" t="e">
        <v>#N/A</v>
      </c>
      <c r="R36" t="e">
        <v>#N/A</v>
      </c>
      <c r="T36" t="e">
        <v>#N/A</v>
      </c>
      <c r="U36" t="e">
        <v>#N/A</v>
      </c>
      <c r="Y36" t="str">
        <v/>
      </c>
      <c r="AM36" t="str">
        <v>Steel Surface Area</v>
      </c>
      <c r="AN36" t="str">
        <v>m2</v>
      </c>
      <c r="AO36" t="str">
        <v/>
      </c>
      <c r="AQ36" t="str">
        <v>Slope Length</v>
      </c>
      <c r="AR36" t="str">
        <v>m</v>
      </c>
      <c r="AS36" t="e">
        <v>#N/A</v>
      </c>
      <c r="AU36" t="str">
        <v>Slope Factor</v>
      </c>
      <c r="AW36" t="e">
        <v>#N/A</v>
      </c>
    </row>
    <row r="37" spans="1:49" x14ac:dyDescent="0.25">
      <c r="A37" t="str">
        <v>Structural\Structural Steel\Purlins, Girths and Bracings\No details</v>
      </c>
      <c r="B37" t="str">
        <v>CWB90f - CUSTOM_900_F32_W12; Steel Grade: 400PLUS</v>
      </c>
      <c r="C37" t="e">
        <v>#N/A</v>
      </c>
      <c r="D37" t="e">
        <v>#N/A</v>
      </c>
      <c r="J37" t="str">
        <v>t</v>
      </c>
      <c r="K37" t="e">
        <f ca="1"/>
        <v>#N/A</v>
      </c>
      <c r="L37" t="str">
        <v>Red</v>
      </c>
      <c r="M37" t="e">
        <v>#N/A</v>
      </c>
      <c r="N37" t="e">
        <v>#N/A</v>
      </c>
      <c r="O37" t="e">
        <v>#N/A</v>
      </c>
      <c r="R37" t="e">
        <v>#N/A</v>
      </c>
      <c r="T37" t="e">
        <v>#N/A</v>
      </c>
      <c r="U37" t="e">
        <v>#N/A</v>
      </c>
      <c r="Y37" t="str">
        <v/>
      </c>
      <c r="AM37" t="str">
        <v>Steel Surface Area</v>
      </c>
      <c r="AN37" t="str">
        <v>m2</v>
      </c>
      <c r="AO37" t="str">
        <v/>
      </c>
      <c r="AQ37" t="str">
        <v>Slope Length</v>
      </c>
      <c r="AR37" t="str">
        <v>m</v>
      </c>
      <c r="AS37" t="e">
        <v>#N/A</v>
      </c>
      <c r="AU37" t="str">
        <v>Slope Factor</v>
      </c>
      <c r="AW37" t="e">
        <v>#N/A</v>
      </c>
    </row>
    <row r="38" spans="1:49" x14ac:dyDescent="0.25">
      <c r="A38" t="str">
        <v>Structural\Structural Steel\Purlins, Girths and Bracings\No details</v>
      </c>
      <c r="B38" t="str">
        <v>CWB100a - CUSTOM_1000_F80_W70; Steel Grade: 400PLUS</v>
      </c>
      <c r="C38" t="e">
        <v>#N/A</v>
      </c>
      <c r="D38" t="e">
        <v>#N/A</v>
      </c>
      <c r="J38" t="str">
        <v>t</v>
      </c>
      <c r="K38" t="e">
        <f ca="1"/>
        <v>#N/A</v>
      </c>
      <c r="L38" t="str">
        <v>Red</v>
      </c>
      <c r="M38" t="e">
        <v>#N/A</v>
      </c>
      <c r="N38" t="e">
        <v>#N/A</v>
      </c>
      <c r="O38" t="e">
        <v>#N/A</v>
      </c>
      <c r="R38" t="e">
        <v>#N/A</v>
      </c>
      <c r="T38" t="e">
        <v>#N/A</v>
      </c>
      <c r="U38" t="e">
        <v>#N/A</v>
      </c>
      <c r="Y38" t="str">
        <v/>
      </c>
      <c r="AM38" t="str">
        <v>Steel Surface Area</v>
      </c>
      <c r="AN38" t="str">
        <v>m2</v>
      </c>
      <c r="AO38" t="str">
        <v/>
      </c>
      <c r="AQ38" t="str">
        <v>Slope Length</v>
      </c>
      <c r="AR38" t="str">
        <v>m</v>
      </c>
      <c r="AS38" t="e">
        <v>#N/A</v>
      </c>
      <c r="AU38" t="str">
        <v>Slope Factor</v>
      </c>
      <c r="AW38" t="e">
        <v>#N/A</v>
      </c>
    </row>
    <row r="39" spans="1:49" x14ac:dyDescent="0.25">
      <c r="A39" t="str">
        <v>Structural\Structural Steel\Purlins, Girths and Bracings\No details</v>
      </c>
      <c r="B39" t="str">
        <v>CWB120a - CUSTOM_1800_F70_W70; Steel Grade: 400PLUS</v>
      </c>
      <c r="C39" t="e">
        <v>#N/A</v>
      </c>
      <c r="D39" t="e">
        <v>#N/A</v>
      </c>
      <c r="J39" t="str">
        <v>t</v>
      </c>
      <c r="K39" t="e">
        <f ca="1"/>
        <v>#N/A</v>
      </c>
      <c r="L39" t="str">
        <v>Red</v>
      </c>
      <c r="M39" t="e">
        <v>#N/A</v>
      </c>
      <c r="N39" t="e">
        <v>#N/A</v>
      </c>
      <c r="O39" t="e">
        <v>#N/A</v>
      </c>
      <c r="R39" t="e">
        <v>#N/A</v>
      </c>
      <c r="T39" t="e">
        <v>#N/A</v>
      </c>
      <c r="U39" t="e">
        <v>#N/A</v>
      </c>
      <c r="Y39" t="str">
        <v/>
      </c>
      <c r="AM39" t="str">
        <v>Steel Surface Area</v>
      </c>
      <c r="AN39" t="str">
        <v>m2</v>
      </c>
      <c r="AO39" t="str">
        <v/>
      </c>
      <c r="AQ39" t="str">
        <v>Slope Length</v>
      </c>
      <c r="AR39" t="str">
        <v>m</v>
      </c>
      <c r="AS39" t="e">
        <v>#N/A</v>
      </c>
      <c r="AU39" t="str">
        <v>Slope Factor</v>
      </c>
      <c r="AW39" t="e">
        <v>#N/A</v>
      </c>
    </row>
    <row r="40" spans="1:49" x14ac:dyDescent="0.25">
      <c r="A40" t="str">
        <v>Structural\Structural Steel\Purlins, Girths and Bracings\No details</v>
      </c>
      <c r="B40" t="str">
        <v>CWB120b - CUSTOM_1500_F80_W85; Steel Grade: 400PLUS</v>
      </c>
      <c r="C40" t="e">
        <v>#N/A</v>
      </c>
      <c r="D40" t="e">
        <v>#N/A</v>
      </c>
      <c r="J40" t="str">
        <v>t</v>
      </c>
      <c r="K40" t="e">
        <f ca="1"/>
        <v>#N/A</v>
      </c>
      <c r="L40" t="str">
        <v>Red</v>
      </c>
      <c r="M40" t="e">
        <v>#N/A</v>
      </c>
      <c r="N40" t="e">
        <v>#N/A</v>
      </c>
      <c r="O40" t="e">
        <v>#N/A</v>
      </c>
      <c r="R40" t="e">
        <v>#N/A</v>
      </c>
      <c r="T40" t="e">
        <v>#N/A</v>
      </c>
      <c r="U40" t="e">
        <v>#N/A</v>
      </c>
      <c r="Y40" t="str">
        <v/>
      </c>
      <c r="AM40" t="str">
        <v>Steel Surface Area</v>
      </c>
      <c r="AN40" t="str">
        <v>m2</v>
      </c>
      <c r="AO40" t="str">
        <v/>
      </c>
      <c r="AQ40" t="str">
        <v>Slope Length</v>
      </c>
      <c r="AR40" t="str">
        <v>m</v>
      </c>
      <c r="AS40" t="e">
        <v>#N/A</v>
      </c>
      <c r="AU40" t="str">
        <v>Slope Factor</v>
      </c>
      <c r="AW40" t="e">
        <v>#N/A</v>
      </c>
    </row>
    <row r="41" spans="1:49" x14ac:dyDescent="0.25">
      <c r="A41" t="str">
        <v/>
      </c>
      <c r="B41" t="str">
        <v/>
      </c>
      <c r="C41" t="e">
        <v>#N/A</v>
      </c>
      <c r="D41" t="e">
        <v>#N/A</v>
      </c>
      <c r="J41" t="str">
        <v/>
      </c>
      <c r="K41" t="e">
        <f ca="1"/>
        <v>#N/A</v>
      </c>
      <c r="L41" t="str">
        <v/>
      </c>
      <c r="M41" t="e">
        <v>#N/A</v>
      </c>
      <c r="N41" t="e">
        <v>#N/A</v>
      </c>
      <c r="O41" t="e">
        <v>#N/A</v>
      </c>
      <c r="R41" t="e">
        <v>#N/A</v>
      </c>
      <c r="T41" t="e">
        <v>#N/A</v>
      </c>
      <c r="U41" t="e">
        <v>#N/A</v>
      </c>
      <c r="Y41" t="str">
        <v/>
      </c>
      <c r="AM41" t="str">
        <v/>
      </c>
      <c r="AN41" t="str">
        <v/>
      </c>
      <c r="AO41" t="str">
        <v/>
      </c>
      <c r="AQ41" t="str">
        <v/>
      </c>
      <c r="AR41" t="str">
        <v/>
      </c>
      <c r="AS41" t="e">
        <v>#N/A</v>
      </c>
      <c r="AU41" t="str">
        <v/>
      </c>
      <c r="AW41" t="e">
        <v>#N/A</v>
      </c>
    </row>
    <row r="42" spans="1:49" x14ac:dyDescent="0.25">
      <c r="A42" t="str">
        <v/>
      </c>
      <c r="B42" t="str">
        <v/>
      </c>
      <c r="C42" t="e">
        <v>#N/A</v>
      </c>
      <c r="D42" t="e">
        <v>#N/A</v>
      </c>
      <c r="J42" t="str">
        <v/>
      </c>
      <c r="K42" t="e">
        <f ca="1"/>
        <v>#N/A</v>
      </c>
      <c r="L42" t="str">
        <v/>
      </c>
      <c r="M42" t="e">
        <v>#N/A</v>
      </c>
      <c r="N42" t="e">
        <v>#N/A</v>
      </c>
      <c r="O42" t="e">
        <v>#N/A</v>
      </c>
      <c r="R42" t="e">
        <v>#N/A</v>
      </c>
      <c r="T42" t="e">
        <v>#N/A</v>
      </c>
      <c r="U42" t="e">
        <v>#N/A</v>
      </c>
      <c r="Y42" t="str">
        <v/>
      </c>
      <c r="AM42" t="str">
        <v/>
      </c>
      <c r="AN42" t="str">
        <v/>
      </c>
      <c r="AO42" t="str">
        <v/>
      </c>
      <c r="AQ42" t="str">
        <v/>
      </c>
      <c r="AR42" t="str">
        <v/>
      </c>
      <c r="AS42" t="e">
        <v>#N/A</v>
      </c>
      <c r="AU42" t="str">
        <v/>
      </c>
      <c r="AW42" t="e">
        <v>#N/A</v>
      </c>
    </row>
    <row r="43" spans="1:49" x14ac:dyDescent="0.25">
      <c r="A43" t="str">
        <v/>
      </c>
      <c r="B43" t="str">
        <v/>
      </c>
      <c r="C43" t="e">
        <v>#N/A</v>
      </c>
      <c r="D43" t="e">
        <v>#N/A</v>
      </c>
      <c r="J43" t="str">
        <v/>
      </c>
      <c r="K43" t="e">
        <f ca="1"/>
        <v>#N/A</v>
      </c>
      <c r="L43" t="str">
        <v/>
      </c>
      <c r="M43" t="e">
        <v>#N/A</v>
      </c>
      <c r="N43" t="e">
        <v>#N/A</v>
      </c>
      <c r="O43" t="e">
        <v>#N/A</v>
      </c>
      <c r="R43" t="e">
        <v>#N/A</v>
      </c>
      <c r="T43" t="e">
        <v>#N/A</v>
      </c>
      <c r="U43" t="e">
        <v>#N/A</v>
      </c>
      <c r="Y43" t="str">
        <v/>
      </c>
      <c r="AM43" t="str">
        <v/>
      </c>
      <c r="AN43" t="str">
        <v/>
      </c>
      <c r="AO43" t="str">
        <v/>
      </c>
      <c r="AQ43" t="str">
        <v/>
      </c>
      <c r="AR43" t="str">
        <v/>
      </c>
      <c r="AS43" t="e">
        <v>#N/A</v>
      </c>
      <c r="AU43" t="str">
        <v/>
      </c>
      <c r="AW43" t="e">
        <v>#N/A</v>
      </c>
    </row>
    <row r="44" spans="1:49" x14ac:dyDescent="0.25">
      <c r="A44" t="str">
        <v/>
      </c>
      <c r="B44" t="str">
        <v/>
      </c>
      <c r="C44" t="e">
        <v>#N/A</v>
      </c>
      <c r="D44" t="e">
        <v>#N/A</v>
      </c>
      <c r="J44" t="str">
        <v/>
      </c>
      <c r="K44" t="e">
        <f ca="1"/>
        <v>#N/A</v>
      </c>
      <c r="L44" t="str">
        <v/>
      </c>
      <c r="M44" t="e">
        <v>#N/A</v>
      </c>
      <c r="N44" t="e">
        <v>#N/A</v>
      </c>
      <c r="O44" t="e">
        <v>#N/A</v>
      </c>
      <c r="R44" t="e">
        <v>#N/A</v>
      </c>
      <c r="T44" t="e">
        <v>#N/A</v>
      </c>
      <c r="U44" t="e">
        <v>#N/A</v>
      </c>
      <c r="Y44" t="str">
        <v/>
      </c>
      <c r="AM44" t="str">
        <v/>
      </c>
      <c r="AN44" t="str">
        <v/>
      </c>
      <c r="AO44" t="str">
        <v/>
      </c>
      <c r="AQ44" t="str">
        <v/>
      </c>
      <c r="AR44" t="str">
        <v/>
      </c>
      <c r="AS44" t="e">
        <v>#N/A</v>
      </c>
      <c r="AU44" t="str">
        <v/>
      </c>
      <c r="AW44" t="e">
        <v>#N/A</v>
      </c>
    </row>
    <row r="45" spans="1:49" x14ac:dyDescent="0.25">
      <c r="A45" t="str">
        <v/>
      </c>
      <c r="B45" t="str">
        <v/>
      </c>
      <c r="C45" t="e">
        <v>#N/A</v>
      </c>
      <c r="D45" t="e">
        <v>#N/A</v>
      </c>
      <c r="J45" t="str">
        <v/>
      </c>
      <c r="K45" t="e">
        <f ca="1"/>
        <v>#N/A</v>
      </c>
      <c r="L45" t="str">
        <v/>
      </c>
      <c r="M45" t="e">
        <v>#N/A</v>
      </c>
      <c r="N45" t="e">
        <v>#N/A</v>
      </c>
      <c r="O45" t="e">
        <v>#N/A</v>
      </c>
      <c r="R45" t="e">
        <v>#N/A</v>
      </c>
      <c r="T45" t="e">
        <v>#N/A</v>
      </c>
      <c r="U45" t="e">
        <v>#N/A</v>
      </c>
      <c r="Y45" t="str">
        <v/>
      </c>
      <c r="AM45" t="str">
        <v/>
      </c>
      <c r="AN45" t="str">
        <v/>
      </c>
      <c r="AO45" t="str">
        <v/>
      </c>
      <c r="AQ45" t="str">
        <v/>
      </c>
      <c r="AR45" t="str">
        <v/>
      </c>
      <c r="AS45" t="e">
        <v>#N/A</v>
      </c>
      <c r="AU45" t="str">
        <v/>
      </c>
      <c r="AW45" t="e">
        <v>#N/A</v>
      </c>
    </row>
    <row r="46" spans="1:49" x14ac:dyDescent="0.25">
      <c r="A46" t="str">
        <v/>
      </c>
      <c r="B46" t="str">
        <v/>
      </c>
      <c r="C46" t="e">
        <v>#N/A</v>
      </c>
      <c r="D46" t="e">
        <v>#N/A</v>
      </c>
      <c r="J46" t="str">
        <v/>
      </c>
      <c r="K46" t="e">
        <f ca="1"/>
        <v>#N/A</v>
      </c>
      <c r="L46" t="str">
        <v/>
      </c>
      <c r="M46" t="e">
        <v>#N/A</v>
      </c>
      <c r="N46" t="e">
        <v>#N/A</v>
      </c>
      <c r="O46" t="e">
        <v>#N/A</v>
      </c>
      <c r="R46" t="e">
        <v>#N/A</v>
      </c>
      <c r="T46" t="e">
        <v>#N/A</v>
      </c>
      <c r="U46" t="e">
        <v>#N/A</v>
      </c>
      <c r="Y46" t="str">
        <v/>
      </c>
      <c r="AM46" t="str">
        <v/>
      </c>
      <c r="AN46" t="str">
        <v/>
      </c>
      <c r="AO46" t="str">
        <v/>
      </c>
      <c r="AQ46" t="str">
        <v/>
      </c>
      <c r="AR46" t="str">
        <v/>
      </c>
      <c r="AS46" t="e">
        <v>#N/A</v>
      </c>
      <c r="AU46" t="str">
        <v/>
      </c>
      <c r="AW46" t="e">
        <v>#N/A</v>
      </c>
    </row>
    <row r="47" spans="1:49" x14ac:dyDescent="0.25">
      <c r="A47" t="str">
        <v/>
      </c>
      <c r="B47" t="str">
        <v/>
      </c>
      <c r="C47" t="e">
        <v>#N/A</v>
      </c>
      <c r="D47" t="e">
        <v>#N/A</v>
      </c>
      <c r="J47" t="str">
        <v/>
      </c>
      <c r="K47" t="e">
        <f ca="1"/>
        <v>#N/A</v>
      </c>
      <c r="L47" t="str">
        <v/>
      </c>
      <c r="M47" t="e">
        <v>#N/A</v>
      </c>
      <c r="N47" t="e">
        <v>#N/A</v>
      </c>
      <c r="O47" t="e">
        <v>#N/A</v>
      </c>
      <c r="R47" t="e">
        <v>#N/A</v>
      </c>
      <c r="T47" t="e">
        <v>#N/A</v>
      </c>
      <c r="U47" t="e">
        <v>#N/A</v>
      </c>
      <c r="Y47" t="str">
        <v/>
      </c>
      <c r="AM47" t="str">
        <v/>
      </c>
      <c r="AN47" t="str">
        <v/>
      </c>
      <c r="AO47" t="str">
        <v/>
      </c>
      <c r="AQ47" t="str">
        <v/>
      </c>
      <c r="AR47" t="str">
        <v/>
      </c>
      <c r="AS47" t="e">
        <v>#N/A</v>
      </c>
      <c r="AU47" t="str">
        <v/>
      </c>
      <c r="AW47" t="e">
        <v>#N/A</v>
      </c>
    </row>
    <row r="48" spans="1:49" x14ac:dyDescent="0.25">
      <c r="A48" t="str">
        <v/>
      </c>
      <c r="B48" t="str">
        <v/>
      </c>
      <c r="C48" t="e">
        <v>#N/A</v>
      </c>
      <c r="D48" t="e">
        <v>#N/A</v>
      </c>
      <c r="J48" t="str">
        <v/>
      </c>
      <c r="K48" t="e">
        <f ca="1"/>
        <v>#N/A</v>
      </c>
      <c r="L48" t="str">
        <v/>
      </c>
      <c r="M48" t="e">
        <v>#N/A</v>
      </c>
      <c r="N48" t="e">
        <v>#N/A</v>
      </c>
      <c r="O48" t="e">
        <v>#N/A</v>
      </c>
      <c r="R48" t="e">
        <v>#N/A</v>
      </c>
      <c r="T48" t="e">
        <v>#N/A</v>
      </c>
      <c r="U48" t="e">
        <v>#N/A</v>
      </c>
      <c r="Y48" t="str">
        <v/>
      </c>
      <c r="AM48" t="str">
        <v/>
      </c>
      <c r="AN48" t="str">
        <v/>
      </c>
      <c r="AO48" t="str">
        <v/>
      </c>
      <c r="AQ48" t="str">
        <v/>
      </c>
      <c r="AR48" t="str">
        <v/>
      </c>
      <c r="AS48" t="e">
        <v>#N/A</v>
      </c>
      <c r="AU48" t="str">
        <v/>
      </c>
      <c r="AW48" t="e">
        <v>#N/A</v>
      </c>
    </row>
    <row r="49" spans="1:49" x14ac:dyDescent="0.25">
      <c r="A49" t="str">
        <v/>
      </c>
      <c r="B49" t="str">
        <v/>
      </c>
      <c r="C49" t="e">
        <v>#N/A</v>
      </c>
      <c r="D49" t="e">
        <v>#N/A</v>
      </c>
      <c r="J49" t="str">
        <v/>
      </c>
      <c r="K49" t="e">
        <f ca="1"/>
        <v>#N/A</v>
      </c>
      <c r="L49" t="str">
        <v/>
      </c>
      <c r="M49" t="e">
        <v>#N/A</v>
      </c>
      <c r="N49" t="e">
        <v>#N/A</v>
      </c>
      <c r="O49" t="e">
        <v>#N/A</v>
      </c>
      <c r="R49" t="e">
        <v>#N/A</v>
      </c>
      <c r="T49" t="e">
        <v>#N/A</v>
      </c>
      <c r="U49" t="e">
        <v>#N/A</v>
      </c>
      <c r="Y49" t="str">
        <v/>
      </c>
      <c r="AM49" t="str">
        <v/>
      </c>
      <c r="AN49" t="str">
        <v/>
      </c>
      <c r="AO49" t="str">
        <v/>
      </c>
      <c r="AQ49" t="str">
        <v/>
      </c>
      <c r="AR49" t="str">
        <v/>
      </c>
      <c r="AS49" t="e">
        <v>#N/A</v>
      </c>
      <c r="AU49" t="str">
        <v/>
      </c>
      <c r="AW49" t="e">
        <v>#N/A</v>
      </c>
    </row>
    <row r="50" spans="1:49" x14ac:dyDescent="0.25">
      <c r="A50" t="str">
        <v/>
      </c>
      <c r="B50" t="str">
        <v/>
      </c>
      <c r="C50" t="e">
        <v>#N/A</v>
      </c>
      <c r="D50" t="e">
        <v>#N/A</v>
      </c>
      <c r="J50" t="str">
        <v/>
      </c>
      <c r="K50" t="e">
        <f ca="1"/>
        <v>#N/A</v>
      </c>
      <c r="L50" t="str">
        <v/>
      </c>
      <c r="M50" t="e">
        <v>#N/A</v>
      </c>
      <c r="N50" t="e">
        <v>#N/A</v>
      </c>
      <c r="O50" t="e">
        <v>#N/A</v>
      </c>
      <c r="R50" t="e">
        <v>#N/A</v>
      </c>
      <c r="T50" t="e">
        <v>#N/A</v>
      </c>
      <c r="U50" t="e">
        <v>#N/A</v>
      </c>
      <c r="Y50" t="str">
        <v/>
      </c>
      <c r="AM50" t="str">
        <v/>
      </c>
      <c r="AN50" t="str">
        <v/>
      </c>
      <c r="AO50" t="str">
        <v/>
      </c>
      <c r="AQ50" t="str">
        <v/>
      </c>
      <c r="AR50" t="str">
        <v/>
      </c>
      <c r="AS50" t="e">
        <v>#N/A</v>
      </c>
      <c r="AU50" t="str">
        <v/>
      </c>
      <c r="AW50" t="e">
        <v>#N/A</v>
      </c>
    </row>
    <row r="51" spans="1:49" x14ac:dyDescent="0.25">
      <c r="A51" t="str">
        <v/>
      </c>
      <c r="B51" t="str">
        <v/>
      </c>
      <c r="C51" t="e">
        <v>#N/A</v>
      </c>
      <c r="D51" t="e">
        <v>#N/A</v>
      </c>
      <c r="J51" t="str">
        <v/>
      </c>
      <c r="K51" t="e">
        <f ca="1"/>
        <v>#N/A</v>
      </c>
      <c r="L51" t="str">
        <v/>
      </c>
      <c r="M51" t="e">
        <v>#N/A</v>
      </c>
      <c r="N51" t="e">
        <v>#N/A</v>
      </c>
      <c r="O51" t="e">
        <v>#N/A</v>
      </c>
      <c r="R51" t="e">
        <v>#N/A</v>
      </c>
      <c r="T51" t="e">
        <v>#N/A</v>
      </c>
      <c r="U51" t="e">
        <v>#N/A</v>
      </c>
      <c r="Y51" t="str">
        <v/>
      </c>
      <c r="AM51" t="str">
        <v/>
      </c>
      <c r="AN51" t="str">
        <v/>
      </c>
      <c r="AO51" t="str">
        <v/>
      </c>
      <c r="AQ51" t="str">
        <v/>
      </c>
      <c r="AR51" t="str">
        <v/>
      </c>
      <c r="AS51" t="e">
        <v>#N/A</v>
      </c>
      <c r="AU51" t="str">
        <v/>
      </c>
      <c r="AW51" t="e">
        <v>#N/A</v>
      </c>
    </row>
    <row r="52" spans="1:49" x14ac:dyDescent="0.25">
      <c r="A52" t="str">
        <v/>
      </c>
      <c r="B52" t="str">
        <v/>
      </c>
      <c r="C52" t="e">
        <v>#N/A</v>
      </c>
      <c r="D52" t="e">
        <v>#N/A</v>
      </c>
      <c r="J52" t="str">
        <v/>
      </c>
      <c r="K52" t="e">
        <f ca="1"/>
        <v>#N/A</v>
      </c>
      <c r="L52" t="str">
        <v/>
      </c>
      <c r="M52" t="e">
        <v>#N/A</v>
      </c>
      <c r="N52" t="e">
        <v>#N/A</v>
      </c>
      <c r="O52" t="e">
        <v>#N/A</v>
      </c>
      <c r="R52" t="e">
        <v>#N/A</v>
      </c>
      <c r="T52" t="e">
        <v>#N/A</v>
      </c>
      <c r="U52" t="e">
        <v>#N/A</v>
      </c>
      <c r="Y52" t="str">
        <v/>
      </c>
      <c r="AM52" t="str">
        <v/>
      </c>
      <c r="AN52" t="str">
        <v/>
      </c>
      <c r="AO52" t="str">
        <v/>
      </c>
      <c r="AQ52" t="str">
        <v/>
      </c>
      <c r="AR52" t="str">
        <v/>
      </c>
      <c r="AS52" t="e">
        <v>#N/A</v>
      </c>
      <c r="AU52" t="str">
        <v/>
      </c>
      <c r="AW52" t="e">
        <v>#N/A</v>
      </c>
    </row>
    <row r="53" spans="1:49" x14ac:dyDescent="0.25">
      <c r="A53" t="str">
        <v/>
      </c>
      <c r="B53" t="str">
        <v/>
      </c>
      <c r="C53" t="e">
        <v>#N/A</v>
      </c>
      <c r="D53" t="e">
        <v>#N/A</v>
      </c>
      <c r="J53" t="str">
        <v/>
      </c>
      <c r="K53" t="e">
        <f ca="1"/>
        <v>#N/A</v>
      </c>
      <c r="L53" t="str">
        <v/>
      </c>
      <c r="M53" t="e">
        <v>#N/A</v>
      </c>
      <c r="N53" t="e">
        <v>#N/A</v>
      </c>
      <c r="O53" t="e">
        <v>#N/A</v>
      </c>
      <c r="R53" t="e">
        <v>#N/A</v>
      </c>
      <c r="T53" t="e">
        <v>#N/A</v>
      </c>
      <c r="U53" t="e">
        <v>#N/A</v>
      </c>
      <c r="Y53" t="str">
        <v/>
      </c>
      <c r="AM53" t="str">
        <v/>
      </c>
      <c r="AN53" t="str">
        <v/>
      </c>
      <c r="AO53" t="str">
        <v/>
      </c>
      <c r="AQ53" t="str">
        <v/>
      </c>
      <c r="AR53" t="str">
        <v/>
      </c>
      <c r="AS53" t="e">
        <v>#N/A</v>
      </c>
      <c r="AU53" t="str">
        <v/>
      </c>
      <c r="AW53" t="e">
        <v>#N/A</v>
      </c>
    </row>
    <row r="54" spans="1:49" x14ac:dyDescent="0.25">
      <c r="A54" t="str">
        <v/>
      </c>
      <c r="B54" t="str">
        <v/>
      </c>
      <c r="C54" t="e">
        <v>#N/A</v>
      </c>
      <c r="D54" t="e">
        <v>#N/A</v>
      </c>
      <c r="J54" t="str">
        <v/>
      </c>
      <c r="K54" t="e">
        <f ca="1"/>
        <v>#N/A</v>
      </c>
      <c r="L54" t="str">
        <v/>
      </c>
      <c r="M54" t="e">
        <v>#N/A</v>
      </c>
      <c r="N54" t="e">
        <v>#N/A</v>
      </c>
      <c r="O54" t="e">
        <v>#N/A</v>
      </c>
      <c r="R54" t="e">
        <v>#N/A</v>
      </c>
      <c r="T54" t="e">
        <v>#N/A</v>
      </c>
      <c r="U54" t="e">
        <v>#N/A</v>
      </c>
      <c r="Y54" t="str">
        <v/>
      </c>
      <c r="AM54" t="str">
        <v/>
      </c>
      <c r="AN54" t="str">
        <v/>
      </c>
      <c r="AO54" t="str">
        <v/>
      </c>
      <c r="AQ54" t="str">
        <v/>
      </c>
      <c r="AR54" t="str">
        <v/>
      </c>
      <c r="AS54" t="e">
        <v>#N/A</v>
      </c>
      <c r="AU54" t="str">
        <v/>
      </c>
      <c r="AW54" t="e">
        <v>#N/A</v>
      </c>
    </row>
    <row r="55" spans="1:49" x14ac:dyDescent="0.25">
      <c r="A55" t="str">
        <v/>
      </c>
      <c r="B55" t="str">
        <v/>
      </c>
      <c r="C55" t="e">
        <v>#N/A</v>
      </c>
      <c r="D55" t="e">
        <v>#N/A</v>
      </c>
      <c r="J55" t="str">
        <v/>
      </c>
      <c r="K55" t="e">
        <f ca="1"/>
        <v>#N/A</v>
      </c>
      <c r="L55" t="str">
        <v/>
      </c>
      <c r="M55" t="e">
        <v>#N/A</v>
      </c>
      <c r="N55" t="e">
        <v>#N/A</v>
      </c>
      <c r="O55" t="e">
        <v>#N/A</v>
      </c>
      <c r="R55" t="e">
        <v>#N/A</v>
      </c>
      <c r="T55" t="e">
        <v>#N/A</v>
      </c>
      <c r="U55" t="e">
        <v>#N/A</v>
      </c>
      <c r="Y55" t="str">
        <v/>
      </c>
      <c r="AM55" t="str">
        <v/>
      </c>
      <c r="AN55" t="str">
        <v/>
      </c>
      <c r="AO55" t="str">
        <v/>
      </c>
      <c r="AQ55" t="str">
        <v/>
      </c>
      <c r="AR55" t="str">
        <v/>
      </c>
      <c r="AS55" t="e">
        <v>#N/A</v>
      </c>
      <c r="AU55" t="str">
        <v/>
      </c>
      <c r="AW55" t="e">
        <v>#N/A</v>
      </c>
    </row>
    <row r="56" spans="1:49" x14ac:dyDescent="0.25">
      <c r="A56" t="str">
        <v/>
      </c>
      <c r="B56" t="str">
        <v/>
      </c>
      <c r="C56" t="e">
        <v>#N/A</v>
      </c>
      <c r="D56" t="e">
        <v>#N/A</v>
      </c>
      <c r="J56" t="str">
        <v/>
      </c>
      <c r="K56" t="e">
        <f ca="1"/>
        <v>#N/A</v>
      </c>
      <c r="L56" t="str">
        <v/>
      </c>
      <c r="M56" t="e">
        <v>#N/A</v>
      </c>
      <c r="N56" t="e">
        <v>#N/A</v>
      </c>
      <c r="O56" t="e">
        <v>#N/A</v>
      </c>
      <c r="R56" t="e">
        <v>#N/A</v>
      </c>
      <c r="T56" t="e">
        <v>#N/A</v>
      </c>
      <c r="U56" t="e">
        <v>#N/A</v>
      </c>
      <c r="Y56" t="str">
        <v/>
      </c>
      <c r="AM56" t="str">
        <v/>
      </c>
      <c r="AN56" t="str">
        <v/>
      </c>
      <c r="AO56" t="str">
        <v/>
      </c>
      <c r="AQ56" t="str">
        <v/>
      </c>
      <c r="AR56" t="str">
        <v/>
      </c>
      <c r="AS56" t="e">
        <v>#N/A</v>
      </c>
      <c r="AU56" t="str">
        <v/>
      </c>
      <c r="AW56" t="e">
        <v>#N/A</v>
      </c>
    </row>
    <row r="57" spans="1:49" x14ac:dyDescent="0.25">
      <c r="A57" t="str">
        <v/>
      </c>
      <c r="B57" t="str">
        <v/>
      </c>
      <c r="C57" t="e">
        <v>#N/A</v>
      </c>
      <c r="D57" t="e">
        <v>#N/A</v>
      </c>
      <c r="J57" t="str">
        <v/>
      </c>
      <c r="K57" t="e">
        <f ca="1"/>
        <v>#N/A</v>
      </c>
      <c r="L57" t="str">
        <v/>
      </c>
      <c r="M57" t="e">
        <v>#N/A</v>
      </c>
      <c r="N57" t="e">
        <v>#N/A</v>
      </c>
      <c r="O57" t="e">
        <v>#N/A</v>
      </c>
      <c r="R57" t="e">
        <v>#N/A</v>
      </c>
      <c r="T57" t="e">
        <v>#N/A</v>
      </c>
      <c r="U57" t="e">
        <v>#N/A</v>
      </c>
      <c r="Y57" t="str">
        <v/>
      </c>
      <c r="AM57" t="str">
        <v/>
      </c>
      <c r="AN57" t="str">
        <v/>
      </c>
      <c r="AO57" t="str">
        <v/>
      </c>
      <c r="AQ57" t="str">
        <v/>
      </c>
      <c r="AR57" t="str">
        <v/>
      </c>
      <c r="AS57" t="e">
        <v>#N/A</v>
      </c>
      <c r="AU57" t="str">
        <v/>
      </c>
      <c r="AW57" t="e">
        <v>#N/A</v>
      </c>
    </row>
    <row r="58" spans="1:49" x14ac:dyDescent="0.25">
      <c r="A58" t="str">
        <v/>
      </c>
      <c r="B58" t="str">
        <v/>
      </c>
      <c r="C58" t="e">
        <v>#N/A</v>
      </c>
      <c r="D58" t="e">
        <v>#N/A</v>
      </c>
      <c r="J58" t="str">
        <v/>
      </c>
      <c r="K58" t="e">
        <f ca="1"/>
        <v>#N/A</v>
      </c>
      <c r="L58" t="str">
        <v/>
      </c>
      <c r="M58" t="e">
        <v>#N/A</v>
      </c>
      <c r="N58" t="e">
        <v>#N/A</v>
      </c>
      <c r="O58" t="e">
        <v>#N/A</v>
      </c>
      <c r="R58" t="e">
        <v>#N/A</v>
      </c>
      <c r="T58" t="e">
        <v>#N/A</v>
      </c>
      <c r="U58" t="e">
        <v>#N/A</v>
      </c>
      <c r="Y58" t="str">
        <v/>
      </c>
      <c r="AM58" t="str">
        <v/>
      </c>
      <c r="AN58" t="str">
        <v/>
      </c>
      <c r="AO58" t="str">
        <v/>
      </c>
      <c r="AQ58" t="str">
        <v/>
      </c>
      <c r="AR58" t="str">
        <v/>
      </c>
      <c r="AS58" t="e">
        <v>#N/A</v>
      </c>
      <c r="AU58" t="str">
        <v/>
      </c>
      <c r="AW58" t="e">
        <v>#N/A</v>
      </c>
    </row>
    <row r="59" spans="1:49" x14ac:dyDescent="0.25">
      <c r="A59" t="str">
        <v/>
      </c>
      <c r="B59" t="str">
        <v/>
      </c>
      <c r="C59" t="e">
        <v>#N/A</v>
      </c>
      <c r="D59" t="e">
        <v>#N/A</v>
      </c>
      <c r="J59" t="str">
        <v/>
      </c>
      <c r="K59" t="e">
        <f ca="1"/>
        <v>#N/A</v>
      </c>
      <c r="L59" t="str">
        <v/>
      </c>
      <c r="M59" t="e">
        <v>#N/A</v>
      </c>
      <c r="N59" t="e">
        <v>#N/A</v>
      </c>
      <c r="O59" t="e">
        <v>#N/A</v>
      </c>
      <c r="R59" t="e">
        <v>#N/A</v>
      </c>
      <c r="T59" t="e">
        <v>#N/A</v>
      </c>
      <c r="U59" t="e">
        <v>#N/A</v>
      </c>
      <c r="Y59" t="str">
        <v/>
      </c>
      <c r="AM59" t="str">
        <v/>
      </c>
      <c r="AN59" t="str">
        <v/>
      </c>
      <c r="AO59" t="str">
        <v/>
      </c>
      <c r="AQ59" t="str">
        <v/>
      </c>
      <c r="AR59" t="str">
        <v/>
      </c>
      <c r="AS59" t="e">
        <v>#N/A</v>
      </c>
      <c r="AU59" t="str">
        <v/>
      </c>
      <c r="AW59" t="e">
        <v>#N/A</v>
      </c>
    </row>
    <row r="60" spans="1:49" x14ac:dyDescent="0.25">
      <c r="A60" t="str">
        <v/>
      </c>
      <c r="B60" t="str">
        <v/>
      </c>
      <c r="C60" t="e">
        <v>#N/A</v>
      </c>
      <c r="D60" t="e">
        <v>#N/A</v>
      </c>
      <c r="J60" t="str">
        <v/>
      </c>
      <c r="K60" t="e">
        <f ca="1"/>
        <v>#N/A</v>
      </c>
      <c r="L60" t="str">
        <v/>
      </c>
      <c r="M60" t="e">
        <v>#N/A</v>
      </c>
      <c r="N60" t="e">
        <v>#N/A</v>
      </c>
      <c r="O60" t="e">
        <v>#N/A</v>
      </c>
      <c r="R60" t="e">
        <v>#N/A</v>
      </c>
      <c r="T60" t="e">
        <v>#N/A</v>
      </c>
      <c r="U60" t="e">
        <v>#N/A</v>
      </c>
      <c r="Y60" t="str">
        <v/>
      </c>
      <c r="AM60" t="str">
        <v/>
      </c>
      <c r="AN60" t="str">
        <v/>
      </c>
      <c r="AO60" t="str">
        <v/>
      </c>
      <c r="AQ60" t="str">
        <v/>
      </c>
      <c r="AR60" t="str">
        <v/>
      </c>
      <c r="AS60" t="e">
        <v>#N/A</v>
      </c>
      <c r="AU60" t="str">
        <v/>
      </c>
      <c r="AW60" t="e">
        <v>#N/A</v>
      </c>
    </row>
    <row r="61" spans="1:49" x14ac:dyDescent="0.25">
      <c r="A61" t="str">
        <v/>
      </c>
      <c r="B61" t="str">
        <v/>
      </c>
      <c r="C61" t="e">
        <v>#N/A</v>
      </c>
      <c r="D61" t="e">
        <v>#N/A</v>
      </c>
      <c r="J61" t="str">
        <v/>
      </c>
      <c r="K61" t="e">
        <f ca="1"/>
        <v>#N/A</v>
      </c>
      <c r="L61" t="str">
        <v/>
      </c>
      <c r="M61" t="e">
        <v>#N/A</v>
      </c>
      <c r="N61" t="e">
        <v>#N/A</v>
      </c>
      <c r="O61" t="e">
        <v>#N/A</v>
      </c>
      <c r="R61" t="e">
        <v>#N/A</v>
      </c>
      <c r="T61" t="e">
        <v>#N/A</v>
      </c>
      <c r="U61" t="e">
        <v>#N/A</v>
      </c>
      <c r="Y61" t="str">
        <v/>
      </c>
      <c r="AM61" t="str">
        <v/>
      </c>
      <c r="AN61" t="str">
        <v/>
      </c>
      <c r="AO61" t="str">
        <v/>
      </c>
      <c r="AQ61" t="str">
        <v/>
      </c>
      <c r="AR61" t="str">
        <v/>
      </c>
      <c r="AS61" t="e">
        <v>#N/A</v>
      </c>
      <c r="AU61" t="str">
        <v/>
      </c>
      <c r="AW61" t="e">
        <v>#N/A</v>
      </c>
    </row>
    <row r="62" spans="1:49" x14ac:dyDescent="0.25">
      <c r="A62" t="str">
        <v/>
      </c>
      <c r="B62" t="str">
        <v/>
      </c>
      <c r="C62" t="e">
        <v>#N/A</v>
      </c>
      <c r="D62" t="e">
        <v>#N/A</v>
      </c>
      <c r="J62" t="str">
        <v/>
      </c>
      <c r="K62" t="e">
        <f ca="1"/>
        <v>#N/A</v>
      </c>
      <c r="L62" t="str">
        <v/>
      </c>
      <c r="M62" t="e">
        <v>#N/A</v>
      </c>
      <c r="N62" t="e">
        <v>#N/A</v>
      </c>
      <c r="O62" t="e">
        <v>#N/A</v>
      </c>
      <c r="R62" t="e">
        <v>#N/A</v>
      </c>
      <c r="T62" t="e">
        <v>#N/A</v>
      </c>
      <c r="U62" t="e">
        <v>#N/A</v>
      </c>
      <c r="Y62" t="str">
        <v/>
      </c>
      <c r="AM62" t="str">
        <v/>
      </c>
      <c r="AN62" t="str">
        <v/>
      </c>
      <c r="AO62" t="str">
        <v/>
      </c>
      <c r="AQ62" t="str">
        <v/>
      </c>
      <c r="AR62" t="str">
        <v/>
      </c>
      <c r="AS62" t="e">
        <v>#N/A</v>
      </c>
      <c r="AU62" t="str">
        <v/>
      </c>
      <c r="AW62" t="e">
        <v>#N/A</v>
      </c>
    </row>
    <row r="63" spans="1:49" x14ac:dyDescent="0.25">
      <c r="A63" t="str">
        <v/>
      </c>
      <c r="B63" t="str">
        <v/>
      </c>
      <c r="C63" t="e">
        <v>#N/A</v>
      </c>
      <c r="D63" t="e">
        <v>#N/A</v>
      </c>
      <c r="J63" t="str">
        <v/>
      </c>
      <c r="K63" t="e">
        <f ca="1"/>
        <v>#N/A</v>
      </c>
      <c r="L63" t="str">
        <v/>
      </c>
      <c r="M63" t="e">
        <v>#N/A</v>
      </c>
      <c r="N63" t="e">
        <v>#N/A</v>
      </c>
      <c r="O63" t="e">
        <v>#N/A</v>
      </c>
      <c r="R63" t="e">
        <v>#N/A</v>
      </c>
      <c r="T63" t="e">
        <v>#N/A</v>
      </c>
      <c r="U63" t="e">
        <v>#N/A</v>
      </c>
      <c r="Y63" t="str">
        <v/>
      </c>
      <c r="AM63" t="str">
        <v/>
      </c>
      <c r="AN63" t="str">
        <v/>
      </c>
      <c r="AO63" t="str">
        <v/>
      </c>
      <c r="AQ63" t="str">
        <v/>
      </c>
      <c r="AR63" t="str">
        <v/>
      </c>
      <c r="AS63" t="e">
        <v>#N/A</v>
      </c>
      <c r="AU63" t="str">
        <v/>
      </c>
      <c r="AW63" t="e">
        <v>#N/A</v>
      </c>
    </row>
    <row r="64" spans="1:49" x14ac:dyDescent="0.25">
      <c r="A64" t="str">
        <v/>
      </c>
      <c r="B64" t="str">
        <v/>
      </c>
      <c r="C64" t="e">
        <v>#N/A</v>
      </c>
      <c r="D64" t="e">
        <v>#N/A</v>
      </c>
      <c r="J64" t="str">
        <v/>
      </c>
      <c r="K64" t="e">
        <f ca="1"/>
        <v>#N/A</v>
      </c>
      <c r="L64" t="str">
        <v/>
      </c>
      <c r="M64" t="e">
        <v>#N/A</v>
      </c>
      <c r="N64" t="e">
        <v>#N/A</v>
      </c>
      <c r="O64" t="e">
        <v>#N/A</v>
      </c>
      <c r="R64" t="e">
        <v>#N/A</v>
      </c>
      <c r="T64" t="e">
        <v>#N/A</v>
      </c>
      <c r="U64" t="e">
        <v>#N/A</v>
      </c>
      <c r="Y64" t="str">
        <v/>
      </c>
      <c r="AM64" t="str">
        <v/>
      </c>
      <c r="AN64" t="str">
        <v/>
      </c>
      <c r="AO64" t="str">
        <v/>
      </c>
      <c r="AQ64" t="str">
        <v/>
      </c>
      <c r="AR64" t="str">
        <v/>
      </c>
      <c r="AS64" t="e">
        <v>#N/A</v>
      </c>
      <c r="AU64" t="str">
        <v/>
      </c>
      <c r="AW64" t="e">
        <v>#N/A</v>
      </c>
    </row>
    <row r="65" spans="1:49" x14ac:dyDescent="0.25">
      <c r="A65" t="str">
        <v/>
      </c>
      <c r="B65" t="str">
        <v/>
      </c>
      <c r="C65" t="e">
        <v>#N/A</v>
      </c>
      <c r="D65" t="e">
        <v>#N/A</v>
      </c>
      <c r="J65" t="str">
        <v/>
      </c>
      <c r="K65" t="e">
        <f ca="1"/>
        <v>#N/A</v>
      </c>
      <c r="L65" t="str">
        <v/>
      </c>
      <c r="M65" t="e">
        <v>#N/A</v>
      </c>
      <c r="N65" t="e">
        <v>#N/A</v>
      </c>
      <c r="O65" t="e">
        <v>#N/A</v>
      </c>
      <c r="R65" t="e">
        <v>#N/A</v>
      </c>
      <c r="T65" t="e">
        <v>#N/A</v>
      </c>
      <c r="U65" t="e">
        <v>#N/A</v>
      </c>
      <c r="Y65" t="str">
        <v/>
      </c>
      <c r="AM65" t="str">
        <v/>
      </c>
      <c r="AN65" t="str">
        <v/>
      </c>
      <c r="AO65" t="str">
        <v/>
      </c>
      <c r="AQ65" t="str">
        <v/>
      </c>
      <c r="AR65" t="str">
        <v/>
      </c>
      <c r="AS65" t="e">
        <v>#N/A</v>
      </c>
      <c r="AU65" t="str">
        <v/>
      </c>
      <c r="AW65" t="e">
        <v>#N/A</v>
      </c>
    </row>
    <row r="66" spans="1:49" x14ac:dyDescent="0.25">
      <c r="A66" t="str">
        <v/>
      </c>
      <c r="B66" t="str">
        <v/>
      </c>
      <c r="C66" t="e">
        <v>#N/A</v>
      </c>
      <c r="D66" t="e">
        <v>#N/A</v>
      </c>
      <c r="J66" t="str">
        <v/>
      </c>
      <c r="K66" t="e">
        <f ca="1"/>
        <v>#N/A</v>
      </c>
      <c r="L66" t="str">
        <v/>
      </c>
      <c r="M66" t="e">
        <v>#N/A</v>
      </c>
      <c r="N66" t="e">
        <v>#N/A</v>
      </c>
      <c r="O66" t="e">
        <v>#N/A</v>
      </c>
      <c r="R66" t="e">
        <v>#N/A</v>
      </c>
      <c r="T66" t="e">
        <v>#N/A</v>
      </c>
      <c r="U66" t="e">
        <v>#N/A</v>
      </c>
      <c r="Y66" t="str">
        <v/>
      </c>
      <c r="AM66" t="str">
        <v/>
      </c>
      <c r="AN66" t="str">
        <v/>
      </c>
      <c r="AO66" t="str">
        <v/>
      </c>
      <c r="AQ66" t="str">
        <v/>
      </c>
      <c r="AR66" t="str">
        <v/>
      </c>
      <c r="AS66" t="e">
        <v>#N/A</v>
      </c>
      <c r="AU66" t="str">
        <v/>
      </c>
      <c r="AW66" t="e">
        <v>#N/A</v>
      </c>
    </row>
    <row r="67" spans="1:49" x14ac:dyDescent="0.25">
      <c r="A67" t="str">
        <v/>
      </c>
      <c r="B67" t="str">
        <v/>
      </c>
      <c r="C67" t="e">
        <v>#N/A</v>
      </c>
      <c r="D67" t="e">
        <v>#N/A</v>
      </c>
      <c r="J67" t="str">
        <v/>
      </c>
      <c r="K67" t="e">
        <f ca="1"/>
        <v>#N/A</v>
      </c>
      <c r="L67" t="str">
        <v/>
      </c>
      <c r="M67" t="e">
        <v>#N/A</v>
      </c>
      <c r="N67" t="e">
        <v>#N/A</v>
      </c>
      <c r="O67" t="e">
        <v>#N/A</v>
      </c>
      <c r="R67" t="e">
        <v>#N/A</v>
      </c>
      <c r="T67" t="e">
        <v>#N/A</v>
      </c>
      <c r="U67" t="e">
        <v>#N/A</v>
      </c>
      <c r="Y67" t="str">
        <v/>
      </c>
      <c r="AM67" t="str">
        <v/>
      </c>
      <c r="AN67" t="str">
        <v/>
      </c>
      <c r="AO67" t="str">
        <v/>
      </c>
      <c r="AQ67" t="str">
        <v/>
      </c>
      <c r="AR67" t="str">
        <v/>
      </c>
      <c r="AS67" t="e">
        <v>#N/A</v>
      </c>
      <c r="AU67" t="str">
        <v/>
      </c>
      <c r="AW67" t="e">
        <v>#N/A</v>
      </c>
    </row>
    <row r="68" spans="1:49" x14ac:dyDescent="0.25">
      <c r="A68" t="str">
        <v/>
      </c>
      <c r="B68" t="str">
        <v/>
      </c>
      <c r="C68" t="e">
        <v>#N/A</v>
      </c>
      <c r="D68" t="e">
        <v>#N/A</v>
      </c>
      <c r="J68" t="str">
        <v/>
      </c>
      <c r="K68" t="e">
        <f ca="1"/>
        <v>#N/A</v>
      </c>
      <c r="L68" t="str">
        <v/>
      </c>
      <c r="M68" t="e">
        <v>#N/A</v>
      </c>
      <c r="N68" t="e">
        <v>#N/A</v>
      </c>
      <c r="O68" t="e">
        <v>#N/A</v>
      </c>
      <c r="R68" t="e">
        <v>#N/A</v>
      </c>
      <c r="T68" t="e">
        <v>#N/A</v>
      </c>
      <c r="U68" t="e">
        <v>#N/A</v>
      </c>
      <c r="Y68" t="str">
        <v/>
      </c>
      <c r="AM68" t="str">
        <v/>
      </c>
      <c r="AN68" t="str">
        <v/>
      </c>
      <c r="AO68" t="str">
        <v/>
      </c>
      <c r="AQ68" t="str">
        <v/>
      </c>
      <c r="AR68" t="str">
        <v/>
      </c>
      <c r="AS68" t="e">
        <v>#N/A</v>
      </c>
      <c r="AU68" t="str">
        <v/>
      </c>
      <c r="AW68" t="e">
        <v>#N/A</v>
      </c>
    </row>
    <row r="69" spans="1:49" x14ac:dyDescent="0.25">
      <c r="A69" t="str">
        <v/>
      </c>
      <c r="B69" t="str">
        <v/>
      </c>
      <c r="C69" t="e">
        <v>#N/A</v>
      </c>
      <c r="D69" t="e">
        <v>#N/A</v>
      </c>
      <c r="J69" t="str">
        <v/>
      </c>
      <c r="K69" t="e">
        <f ca="1"/>
        <v>#N/A</v>
      </c>
      <c r="L69" t="str">
        <v/>
      </c>
      <c r="M69" t="e">
        <v>#N/A</v>
      </c>
      <c r="N69" t="e">
        <v>#N/A</v>
      </c>
      <c r="O69" t="e">
        <v>#N/A</v>
      </c>
      <c r="R69" t="e">
        <v>#N/A</v>
      </c>
      <c r="T69" t="e">
        <v>#N/A</v>
      </c>
      <c r="U69" t="e">
        <v>#N/A</v>
      </c>
      <c r="Y69" t="str">
        <v/>
      </c>
      <c r="AM69" t="str">
        <v/>
      </c>
      <c r="AN69" t="str">
        <v/>
      </c>
      <c r="AO69" t="str">
        <v/>
      </c>
      <c r="AQ69" t="str">
        <v/>
      </c>
      <c r="AR69" t="str">
        <v/>
      </c>
      <c r="AS69" t="e">
        <v>#N/A</v>
      </c>
      <c r="AU69" t="str">
        <v/>
      </c>
      <c r="AW69" t="e">
        <v>#N/A</v>
      </c>
    </row>
    <row r="70" spans="1:49" x14ac:dyDescent="0.25">
      <c r="A70" t="str">
        <v/>
      </c>
      <c r="B70" t="str">
        <v/>
      </c>
      <c r="C70" t="e">
        <v>#N/A</v>
      </c>
      <c r="D70" t="e">
        <v>#N/A</v>
      </c>
      <c r="J70" t="str">
        <v/>
      </c>
      <c r="K70" t="e">
        <f ca="1"/>
        <v>#N/A</v>
      </c>
      <c r="L70" t="str">
        <v/>
      </c>
      <c r="M70" t="e">
        <v>#N/A</v>
      </c>
      <c r="N70" t="e">
        <v>#N/A</v>
      </c>
      <c r="O70" t="e">
        <v>#N/A</v>
      </c>
      <c r="R70" t="e">
        <v>#N/A</v>
      </c>
      <c r="T70" t="e">
        <v>#N/A</v>
      </c>
      <c r="U70" t="e">
        <v>#N/A</v>
      </c>
      <c r="Y70" t="str">
        <v/>
      </c>
      <c r="AM70" t="str">
        <v/>
      </c>
      <c r="AN70" t="str">
        <v/>
      </c>
      <c r="AO70" t="str">
        <v/>
      </c>
      <c r="AQ70" t="str">
        <v/>
      </c>
      <c r="AR70" t="str">
        <v/>
      </c>
      <c r="AS70" t="e">
        <v>#N/A</v>
      </c>
      <c r="AU70" t="str">
        <v/>
      </c>
      <c r="AW70" t="e">
        <v>#N/A</v>
      </c>
    </row>
    <row r="71" spans="1:49" x14ac:dyDescent="0.25">
      <c r="A71" t="str">
        <v/>
      </c>
      <c r="B71" t="str">
        <v/>
      </c>
      <c r="C71" t="e">
        <v>#N/A</v>
      </c>
      <c r="D71" t="e">
        <v>#N/A</v>
      </c>
      <c r="J71" t="str">
        <v/>
      </c>
      <c r="K71" t="e">
        <f ca="1"/>
        <v>#N/A</v>
      </c>
      <c r="L71" t="str">
        <v/>
      </c>
      <c r="M71" t="e">
        <v>#N/A</v>
      </c>
      <c r="N71" t="e">
        <v>#N/A</v>
      </c>
      <c r="O71" t="e">
        <v>#N/A</v>
      </c>
      <c r="R71" t="e">
        <v>#N/A</v>
      </c>
      <c r="T71" t="e">
        <v>#N/A</v>
      </c>
      <c r="U71" t="e">
        <v>#N/A</v>
      </c>
      <c r="Y71" t="str">
        <v/>
      </c>
      <c r="AM71" t="str">
        <v/>
      </c>
      <c r="AN71" t="str">
        <v/>
      </c>
      <c r="AO71" t="str">
        <v/>
      </c>
      <c r="AQ71" t="str">
        <v/>
      </c>
      <c r="AR71" t="str">
        <v/>
      </c>
      <c r="AS71" t="e">
        <v>#N/A</v>
      </c>
      <c r="AU71" t="str">
        <v/>
      </c>
      <c r="AW71" t="e">
        <v>#N/A</v>
      </c>
    </row>
    <row r="72" spans="1:49" x14ac:dyDescent="0.25">
      <c r="A72" t="str">
        <v/>
      </c>
      <c r="B72" t="str">
        <v/>
      </c>
      <c r="C72" t="e">
        <v>#N/A</v>
      </c>
      <c r="D72" t="e">
        <v>#N/A</v>
      </c>
      <c r="J72" t="str">
        <v/>
      </c>
      <c r="K72" t="e">
        <f ca="1"/>
        <v>#N/A</v>
      </c>
      <c r="L72" t="str">
        <v/>
      </c>
      <c r="M72" t="e">
        <v>#N/A</v>
      </c>
      <c r="N72" t="e">
        <v>#N/A</v>
      </c>
      <c r="O72" t="e">
        <v>#N/A</v>
      </c>
      <c r="R72" t="e">
        <v>#N/A</v>
      </c>
      <c r="T72" t="e">
        <v>#N/A</v>
      </c>
      <c r="U72" t="e">
        <v>#N/A</v>
      </c>
      <c r="Y72" t="str">
        <v/>
      </c>
      <c r="AM72" t="str">
        <v/>
      </c>
      <c r="AN72" t="str">
        <v/>
      </c>
      <c r="AO72" t="str">
        <v/>
      </c>
      <c r="AQ72" t="str">
        <v/>
      </c>
      <c r="AR72" t="str">
        <v/>
      </c>
      <c r="AS72" t="e">
        <v>#N/A</v>
      </c>
      <c r="AU72" t="str">
        <v/>
      </c>
      <c r="AW72" t="e">
        <v>#N/A</v>
      </c>
    </row>
    <row r="73" spans="1:49" x14ac:dyDescent="0.25">
      <c r="A73" t="str">
        <v/>
      </c>
      <c r="B73" t="str">
        <v/>
      </c>
      <c r="C73" t="e">
        <v>#N/A</v>
      </c>
      <c r="D73" t="e">
        <v>#N/A</v>
      </c>
      <c r="J73" t="str">
        <v/>
      </c>
      <c r="K73" t="e">
        <f ca="1"/>
        <v>#N/A</v>
      </c>
      <c r="L73" t="str">
        <v/>
      </c>
      <c r="M73" t="e">
        <v>#N/A</v>
      </c>
      <c r="N73" t="e">
        <v>#N/A</v>
      </c>
      <c r="O73" t="e">
        <v>#N/A</v>
      </c>
      <c r="R73" t="e">
        <v>#N/A</v>
      </c>
      <c r="T73" t="e">
        <v>#N/A</v>
      </c>
      <c r="U73" t="e">
        <v>#N/A</v>
      </c>
      <c r="Y73" t="str">
        <v/>
      </c>
      <c r="AM73" t="str">
        <v/>
      </c>
      <c r="AN73" t="str">
        <v/>
      </c>
      <c r="AO73" t="str">
        <v/>
      </c>
      <c r="AQ73" t="str">
        <v/>
      </c>
      <c r="AR73" t="str">
        <v/>
      </c>
      <c r="AS73" t="e">
        <v>#N/A</v>
      </c>
      <c r="AU73" t="str">
        <v/>
      </c>
      <c r="AW73" t="e">
        <v>#N/A</v>
      </c>
    </row>
    <row r="74" spans="1:49" x14ac:dyDescent="0.25">
      <c r="A74" t="str">
        <v/>
      </c>
      <c r="B74" t="str">
        <v/>
      </c>
      <c r="C74" t="e">
        <v>#N/A</v>
      </c>
      <c r="D74" t="e">
        <v>#N/A</v>
      </c>
      <c r="J74" t="str">
        <v/>
      </c>
      <c r="K74" t="e">
        <f ca="1"/>
        <v>#N/A</v>
      </c>
      <c r="L74" t="str">
        <v/>
      </c>
      <c r="M74" t="e">
        <v>#N/A</v>
      </c>
      <c r="N74" t="e">
        <v>#N/A</v>
      </c>
      <c r="O74" t="e">
        <v>#N/A</v>
      </c>
      <c r="R74" t="e">
        <v>#N/A</v>
      </c>
      <c r="T74" t="e">
        <v>#N/A</v>
      </c>
      <c r="U74" t="e">
        <v>#N/A</v>
      </c>
      <c r="Y74" t="str">
        <v/>
      </c>
      <c r="AM74" t="str">
        <v/>
      </c>
      <c r="AN74" t="str">
        <v/>
      </c>
      <c r="AO74" t="str">
        <v/>
      </c>
      <c r="AQ74" t="str">
        <v/>
      </c>
      <c r="AR74" t="str">
        <v/>
      </c>
      <c r="AS74" t="e">
        <v>#N/A</v>
      </c>
      <c r="AU74" t="str">
        <v/>
      </c>
      <c r="AW74" t="e">
        <v>#N/A</v>
      </c>
    </row>
    <row r="75" spans="1:49" x14ac:dyDescent="0.25">
      <c r="A75" t="str">
        <v/>
      </c>
      <c r="B75" t="str">
        <v/>
      </c>
      <c r="C75" t="e">
        <v>#N/A</v>
      </c>
      <c r="D75" t="e">
        <v>#N/A</v>
      </c>
      <c r="J75" t="str">
        <v/>
      </c>
      <c r="K75" t="e">
        <f ca="1"/>
        <v>#N/A</v>
      </c>
      <c r="L75" t="str">
        <v/>
      </c>
      <c r="M75" t="e">
        <v>#N/A</v>
      </c>
      <c r="N75" t="e">
        <v>#N/A</v>
      </c>
      <c r="O75" t="e">
        <v>#N/A</v>
      </c>
      <c r="R75" t="e">
        <v>#N/A</v>
      </c>
      <c r="T75" t="e">
        <v>#N/A</v>
      </c>
      <c r="U75" t="e">
        <v>#N/A</v>
      </c>
      <c r="Y75" t="str">
        <v/>
      </c>
      <c r="AM75" t="str">
        <v/>
      </c>
      <c r="AN75" t="str">
        <v/>
      </c>
      <c r="AO75" t="str">
        <v/>
      </c>
      <c r="AQ75" t="str">
        <v/>
      </c>
      <c r="AR75" t="str">
        <v/>
      </c>
      <c r="AS75" t="e">
        <v>#N/A</v>
      </c>
      <c r="AU75" t="str">
        <v/>
      </c>
      <c r="AW75" t="e">
        <v>#N/A</v>
      </c>
    </row>
    <row r="76" spans="1:49" x14ac:dyDescent="0.25">
      <c r="A76" t="str">
        <v/>
      </c>
      <c r="B76" t="str">
        <v/>
      </c>
      <c r="C76" t="e">
        <v>#N/A</v>
      </c>
      <c r="D76" t="e">
        <v>#N/A</v>
      </c>
      <c r="J76" t="str">
        <v/>
      </c>
      <c r="K76" t="e">
        <f ca="1"/>
        <v>#N/A</v>
      </c>
      <c r="L76" t="str">
        <v/>
      </c>
      <c r="M76" t="e">
        <v>#N/A</v>
      </c>
      <c r="N76" t="e">
        <v>#N/A</v>
      </c>
      <c r="O76" t="e">
        <v>#N/A</v>
      </c>
      <c r="R76" t="e">
        <v>#N/A</v>
      </c>
      <c r="T76" t="e">
        <v>#N/A</v>
      </c>
      <c r="U76" t="e">
        <v>#N/A</v>
      </c>
      <c r="Y76" t="str">
        <v/>
      </c>
      <c r="AM76" t="str">
        <v/>
      </c>
      <c r="AN76" t="str">
        <v/>
      </c>
      <c r="AO76" t="str">
        <v/>
      </c>
      <c r="AQ76" t="str">
        <v/>
      </c>
      <c r="AR76" t="str">
        <v/>
      </c>
      <c r="AS76" t="e">
        <v>#N/A</v>
      </c>
      <c r="AU76" t="str">
        <v/>
      </c>
      <c r="AW76" t="e">
        <v>#N/A</v>
      </c>
    </row>
    <row r="77" spans="1:49" x14ac:dyDescent="0.25">
      <c r="A77" t="str">
        <v/>
      </c>
      <c r="B77" t="str">
        <v/>
      </c>
      <c r="C77" t="e">
        <v>#N/A</v>
      </c>
      <c r="D77" t="e">
        <v>#N/A</v>
      </c>
      <c r="J77" t="str">
        <v/>
      </c>
      <c r="K77" t="e">
        <f ca="1"/>
        <v>#N/A</v>
      </c>
      <c r="L77" t="str">
        <v/>
      </c>
      <c r="M77" t="e">
        <v>#N/A</v>
      </c>
      <c r="N77" t="e">
        <v>#N/A</v>
      </c>
      <c r="O77" t="e">
        <v>#N/A</v>
      </c>
      <c r="R77" t="e">
        <v>#N/A</v>
      </c>
      <c r="T77" t="e">
        <v>#N/A</v>
      </c>
      <c r="U77" t="e">
        <v>#N/A</v>
      </c>
      <c r="Y77" t="str">
        <v/>
      </c>
      <c r="AM77" t="str">
        <v/>
      </c>
      <c r="AN77" t="str">
        <v/>
      </c>
      <c r="AO77" t="str">
        <v/>
      </c>
      <c r="AQ77" t="str">
        <v/>
      </c>
      <c r="AR77" t="str">
        <v/>
      </c>
      <c r="AS77" t="e">
        <v>#N/A</v>
      </c>
      <c r="AU77" t="str">
        <v/>
      </c>
      <c r="AW77" t="e">
        <v>#N/A</v>
      </c>
    </row>
    <row r="78" spans="1:49" x14ac:dyDescent="0.25">
      <c r="A78" t="str">
        <v/>
      </c>
      <c r="B78" t="str">
        <v/>
      </c>
      <c r="C78" t="e">
        <v>#N/A</v>
      </c>
      <c r="D78" t="e">
        <v>#N/A</v>
      </c>
      <c r="J78" t="str">
        <v/>
      </c>
      <c r="K78" t="e">
        <f ca="1"/>
        <v>#N/A</v>
      </c>
      <c r="L78" t="str">
        <v/>
      </c>
      <c r="M78" t="e">
        <v>#N/A</v>
      </c>
      <c r="N78" t="e">
        <v>#N/A</v>
      </c>
      <c r="O78" t="e">
        <v>#N/A</v>
      </c>
      <c r="R78" t="e">
        <v>#N/A</v>
      </c>
      <c r="T78" t="e">
        <v>#N/A</v>
      </c>
      <c r="U78" t="e">
        <v>#N/A</v>
      </c>
      <c r="Y78" t="str">
        <v/>
      </c>
      <c r="AM78" t="str">
        <v/>
      </c>
      <c r="AN78" t="str">
        <v/>
      </c>
      <c r="AO78" t="str">
        <v/>
      </c>
      <c r="AQ78" t="str">
        <v/>
      </c>
      <c r="AR78" t="str">
        <v/>
      </c>
      <c r="AS78" t="e">
        <v>#N/A</v>
      </c>
      <c r="AU78" t="str">
        <v/>
      </c>
      <c r="AW78" t="e">
        <v>#N/A</v>
      </c>
    </row>
    <row r="79" spans="1:49" x14ac:dyDescent="0.25">
      <c r="A79" t="str">
        <v/>
      </c>
      <c r="B79" t="str">
        <v/>
      </c>
      <c r="C79" t="e">
        <v>#N/A</v>
      </c>
      <c r="D79" t="e">
        <v>#N/A</v>
      </c>
      <c r="J79" t="str">
        <v/>
      </c>
      <c r="K79" t="e">
        <f ca="1"/>
        <v>#N/A</v>
      </c>
      <c r="L79" t="str">
        <v/>
      </c>
      <c r="M79" t="e">
        <v>#N/A</v>
      </c>
      <c r="N79" t="e">
        <v>#N/A</v>
      </c>
      <c r="O79" t="e">
        <v>#N/A</v>
      </c>
      <c r="R79" t="e">
        <v>#N/A</v>
      </c>
      <c r="T79" t="e">
        <v>#N/A</v>
      </c>
      <c r="U79" t="e">
        <v>#N/A</v>
      </c>
      <c r="Y79" t="str">
        <v/>
      </c>
      <c r="AM79" t="str">
        <v/>
      </c>
      <c r="AN79" t="str">
        <v/>
      </c>
      <c r="AO79" t="str">
        <v/>
      </c>
      <c r="AQ79" t="str">
        <v/>
      </c>
      <c r="AR79" t="str">
        <v/>
      </c>
      <c r="AS79" t="e">
        <v>#N/A</v>
      </c>
      <c r="AU79" t="str">
        <v/>
      </c>
      <c r="AW79" t="e">
        <v>#N/A</v>
      </c>
    </row>
    <row r="80" spans="1:49" x14ac:dyDescent="0.25">
      <c r="A80" t="str">
        <v/>
      </c>
      <c r="B80" t="str">
        <v/>
      </c>
      <c r="C80" t="e">
        <v>#N/A</v>
      </c>
      <c r="D80" t="e">
        <v>#N/A</v>
      </c>
      <c r="J80" t="str">
        <v/>
      </c>
      <c r="K80" t="e">
        <f ca="1"/>
        <v>#N/A</v>
      </c>
      <c r="L80" t="str">
        <v/>
      </c>
      <c r="M80" t="e">
        <v>#N/A</v>
      </c>
      <c r="N80" t="e">
        <v>#N/A</v>
      </c>
      <c r="O80" t="e">
        <v>#N/A</v>
      </c>
      <c r="R80" t="e">
        <v>#N/A</v>
      </c>
      <c r="T80" t="e">
        <v>#N/A</v>
      </c>
      <c r="U80" t="e">
        <v>#N/A</v>
      </c>
      <c r="Y80" t="str">
        <v/>
      </c>
      <c r="AM80" t="str">
        <v/>
      </c>
      <c r="AN80" t="str">
        <v/>
      </c>
      <c r="AO80" t="str">
        <v/>
      </c>
      <c r="AQ80" t="str">
        <v/>
      </c>
      <c r="AR80" t="str">
        <v/>
      </c>
      <c r="AS80" t="e">
        <v>#N/A</v>
      </c>
      <c r="AU80" t="str">
        <v/>
      </c>
      <c r="AW80" t="e">
        <v>#N/A</v>
      </c>
    </row>
    <row r="81" spans="1:49" x14ac:dyDescent="0.25">
      <c r="A81" t="str">
        <v/>
      </c>
      <c r="B81" t="str">
        <v/>
      </c>
      <c r="C81" t="e">
        <v>#N/A</v>
      </c>
      <c r="D81" t="e">
        <v>#N/A</v>
      </c>
      <c r="J81" t="str">
        <v/>
      </c>
      <c r="K81" t="e">
        <f ca="1"/>
        <v>#N/A</v>
      </c>
      <c r="L81" t="str">
        <v/>
      </c>
      <c r="M81" t="e">
        <v>#N/A</v>
      </c>
      <c r="N81" t="e">
        <v>#N/A</v>
      </c>
      <c r="O81" t="e">
        <v>#N/A</v>
      </c>
      <c r="R81" t="e">
        <v>#N/A</v>
      </c>
      <c r="T81" t="e">
        <v>#N/A</v>
      </c>
      <c r="U81" t="e">
        <v>#N/A</v>
      </c>
      <c r="Y81" t="str">
        <v/>
      </c>
      <c r="AM81" t="str">
        <v/>
      </c>
      <c r="AN81" t="str">
        <v/>
      </c>
      <c r="AO81" t="str">
        <v/>
      </c>
      <c r="AQ81" t="str">
        <v/>
      </c>
      <c r="AR81" t="str">
        <v/>
      </c>
      <c r="AS81" t="e">
        <v>#N/A</v>
      </c>
      <c r="AU81" t="str">
        <v/>
      </c>
      <c r="AW81" t="e">
        <v>#N/A</v>
      </c>
    </row>
    <row r="82" spans="1:49" x14ac:dyDescent="0.25">
      <c r="A82" t="str">
        <v/>
      </c>
      <c r="B82" t="str">
        <v/>
      </c>
      <c r="C82" t="e">
        <v>#N/A</v>
      </c>
      <c r="D82" t="e">
        <v>#N/A</v>
      </c>
      <c r="J82" t="str">
        <v/>
      </c>
      <c r="K82" t="e">
        <f ca="1"/>
        <v>#N/A</v>
      </c>
      <c r="L82" t="str">
        <v/>
      </c>
      <c r="M82" t="e">
        <v>#N/A</v>
      </c>
      <c r="N82" t="e">
        <v>#N/A</v>
      </c>
      <c r="O82" t="e">
        <v>#N/A</v>
      </c>
      <c r="R82" t="e">
        <v>#N/A</v>
      </c>
      <c r="T82" t="e">
        <v>#N/A</v>
      </c>
      <c r="U82" t="e">
        <v>#N/A</v>
      </c>
      <c r="Y82" t="str">
        <v/>
      </c>
      <c r="AM82" t="str">
        <v/>
      </c>
      <c r="AN82" t="str">
        <v/>
      </c>
      <c r="AO82" t="str">
        <v/>
      </c>
      <c r="AQ82" t="str">
        <v/>
      </c>
      <c r="AR82" t="str">
        <v/>
      </c>
      <c r="AS82" t="e">
        <v>#N/A</v>
      </c>
      <c r="AU82" t="str">
        <v/>
      </c>
      <c r="AW82" t="e">
        <v>#N/A</v>
      </c>
    </row>
    <row r="83" spans="1:49" x14ac:dyDescent="0.25">
      <c r="A83" t="str">
        <v/>
      </c>
      <c r="B83" t="str">
        <v/>
      </c>
      <c r="C83" t="e">
        <v>#N/A</v>
      </c>
      <c r="D83" t="e">
        <v>#N/A</v>
      </c>
      <c r="J83" t="str">
        <v/>
      </c>
      <c r="K83" t="e">
        <f ca="1"/>
        <v>#N/A</v>
      </c>
      <c r="L83" t="str">
        <v/>
      </c>
      <c r="M83" t="e">
        <v>#N/A</v>
      </c>
      <c r="N83" t="e">
        <v>#N/A</v>
      </c>
      <c r="O83" t="e">
        <v>#N/A</v>
      </c>
      <c r="R83" t="e">
        <v>#N/A</v>
      </c>
      <c r="T83" t="e">
        <v>#N/A</v>
      </c>
      <c r="U83" t="e">
        <v>#N/A</v>
      </c>
      <c r="Y83" t="str">
        <v/>
      </c>
      <c r="AM83" t="str">
        <v/>
      </c>
      <c r="AN83" t="str">
        <v/>
      </c>
      <c r="AO83" t="str">
        <v/>
      </c>
      <c r="AQ83" t="str">
        <v/>
      </c>
      <c r="AR83" t="str">
        <v/>
      </c>
      <c r="AS83" t="e">
        <v>#N/A</v>
      </c>
      <c r="AU83" t="str">
        <v/>
      </c>
      <c r="AW83" t="e">
        <v>#N/A</v>
      </c>
    </row>
    <row r="84" spans="1:49" x14ac:dyDescent="0.25">
      <c r="A84" t="str">
        <v/>
      </c>
      <c r="B84" t="str">
        <v/>
      </c>
      <c r="C84" t="e">
        <v>#N/A</v>
      </c>
      <c r="D84" t="e">
        <v>#N/A</v>
      </c>
      <c r="J84" t="str">
        <v/>
      </c>
      <c r="K84" t="e">
        <f ca="1"/>
        <v>#N/A</v>
      </c>
      <c r="L84" t="str">
        <v/>
      </c>
      <c r="M84" t="e">
        <v>#N/A</v>
      </c>
      <c r="N84" t="e">
        <v>#N/A</v>
      </c>
      <c r="O84" t="e">
        <v>#N/A</v>
      </c>
      <c r="R84" t="e">
        <v>#N/A</v>
      </c>
      <c r="T84" t="e">
        <v>#N/A</v>
      </c>
      <c r="U84" t="e">
        <v>#N/A</v>
      </c>
      <c r="Y84" t="str">
        <v/>
      </c>
      <c r="AM84" t="str">
        <v/>
      </c>
      <c r="AN84" t="str">
        <v/>
      </c>
      <c r="AO84" t="str">
        <v/>
      </c>
      <c r="AQ84" t="str">
        <v/>
      </c>
      <c r="AR84" t="str">
        <v/>
      </c>
      <c r="AS84" t="e">
        <v>#N/A</v>
      </c>
      <c r="AU84" t="str">
        <v/>
      </c>
      <c r="AW84" t="e">
        <v>#N/A</v>
      </c>
    </row>
    <row r="85" spans="1:49" x14ac:dyDescent="0.25">
      <c r="A85" t="str">
        <v/>
      </c>
      <c r="B85" t="str">
        <v/>
      </c>
      <c r="C85" t="e">
        <v>#N/A</v>
      </c>
      <c r="D85" t="e">
        <v>#N/A</v>
      </c>
      <c r="J85" t="str">
        <v/>
      </c>
      <c r="K85" t="e">
        <f ca="1"/>
        <v>#N/A</v>
      </c>
      <c r="L85" t="str">
        <v/>
      </c>
      <c r="M85" t="e">
        <v>#N/A</v>
      </c>
      <c r="N85" t="e">
        <v>#N/A</v>
      </c>
      <c r="O85" t="e">
        <v>#N/A</v>
      </c>
      <c r="R85" t="e">
        <v>#N/A</v>
      </c>
      <c r="T85" t="e">
        <v>#N/A</v>
      </c>
      <c r="U85" t="e">
        <v>#N/A</v>
      </c>
      <c r="Y85" t="str">
        <v/>
      </c>
      <c r="AM85" t="str">
        <v/>
      </c>
      <c r="AN85" t="str">
        <v/>
      </c>
      <c r="AO85" t="str">
        <v/>
      </c>
      <c r="AQ85" t="str">
        <v/>
      </c>
      <c r="AR85" t="str">
        <v/>
      </c>
      <c r="AS85" t="e">
        <v>#N/A</v>
      </c>
      <c r="AU85" t="str">
        <v/>
      </c>
      <c r="AW85" t="e">
        <v>#N/A</v>
      </c>
    </row>
    <row r="86" spans="1:49" x14ac:dyDescent="0.25">
      <c r="A86" t="str">
        <v/>
      </c>
      <c r="B86" t="str">
        <v/>
      </c>
      <c r="C86" t="e">
        <v>#N/A</v>
      </c>
      <c r="D86" t="e">
        <v>#N/A</v>
      </c>
      <c r="J86" t="str">
        <v/>
      </c>
      <c r="K86" t="e">
        <f ca="1"/>
        <v>#N/A</v>
      </c>
      <c r="L86" t="str">
        <v/>
      </c>
      <c r="M86" t="e">
        <v>#N/A</v>
      </c>
      <c r="N86" t="e">
        <v>#N/A</v>
      </c>
      <c r="O86" t="e">
        <v>#N/A</v>
      </c>
      <c r="R86" t="e">
        <v>#N/A</v>
      </c>
      <c r="T86" t="e">
        <v>#N/A</v>
      </c>
      <c r="U86" t="e">
        <v>#N/A</v>
      </c>
      <c r="Y86" t="str">
        <v/>
      </c>
      <c r="AM86" t="str">
        <v/>
      </c>
      <c r="AN86" t="str">
        <v/>
      </c>
      <c r="AO86" t="str">
        <v/>
      </c>
      <c r="AQ86" t="str">
        <v/>
      </c>
      <c r="AR86" t="str">
        <v/>
      </c>
      <c r="AS86" t="e">
        <v>#N/A</v>
      </c>
      <c r="AU86" t="str">
        <v/>
      </c>
      <c r="AW86" t="e">
        <v>#N/A</v>
      </c>
    </row>
    <row r="87" spans="1:49" x14ac:dyDescent="0.25">
      <c r="A87" t="str">
        <v/>
      </c>
      <c r="B87" t="str">
        <v/>
      </c>
      <c r="C87" t="e">
        <v>#N/A</v>
      </c>
      <c r="D87" t="e">
        <v>#N/A</v>
      </c>
      <c r="J87" t="str">
        <v/>
      </c>
      <c r="K87" t="e">
        <f ca="1"/>
        <v>#N/A</v>
      </c>
      <c r="L87" t="str">
        <v/>
      </c>
      <c r="M87" t="e">
        <v>#N/A</v>
      </c>
      <c r="N87" t="e">
        <v>#N/A</v>
      </c>
      <c r="O87" t="e">
        <v>#N/A</v>
      </c>
      <c r="R87" t="e">
        <v>#N/A</v>
      </c>
      <c r="T87" t="e">
        <v>#N/A</v>
      </c>
      <c r="U87" t="e">
        <v>#N/A</v>
      </c>
      <c r="Y87" t="str">
        <v/>
      </c>
      <c r="AM87" t="str">
        <v/>
      </c>
      <c r="AN87" t="str">
        <v/>
      </c>
      <c r="AO87" t="str">
        <v/>
      </c>
      <c r="AQ87" t="str">
        <v/>
      </c>
      <c r="AR87" t="str">
        <v/>
      </c>
      <c r="AS87" t="e">
        <v>#N/A</v>
      </c>
      <c r="AU87" t="str">
        <v/>
      </c>
      <c r="AW87" t="e">
        <v>#N/A</v>
      </c>
    </row>
    <row r="88" spans="1:49" x14ac:dyDescent="0.25">
      <c r="A88" t="str">
        <v/>
      </c>
      <c r="B88" t="str">
        <v/>
      </c>
      <c r="C88" t="e">
        <v>#N/A</v>
      </c>
      <c r="D88" t="e">
        <v>#N/A</v>
      </c>
      <c r="J88" t="str">
        <v/>
      </c>
      <c r="K88" t="e">
        <f ca="1"/>
        <v>#N/A</v>
      </c>
      <c r="L88" t="str">
        <v/>
      </c>
      <c r="M88" t="e">
        <v>#N/A</v>
      </c>
      <c r="N88" t="e">
        <v>#N/A</v>
      </c>
      <c r="O88" t="e">
        <v>#N/A</v>
      </c>
      <c r="R88" t="e">
        <v>#N/A</v>
      </c>
      <c r="T88" t="e">
        <v>#N/A</v>
      </c>
      <c r="U88" t="e">
        <v>#N/A</v>
      </c>
      <c r="Y88" t="str">
        <v/>
      </c>
      <c r="AM88" t="str">
        <v/>
      </c>
      <c r="AN88" t="str">
        <v/>
      </c>
      <c r="AO88" t="str">
        <v/>
      </c>
      <c r="AQ88" t="str">
        <v/>
      </c>
      <c r="AR88" t="str">
        <v/>
      </c>
      <c r="AS88" t="e">
        <v>#N/A</v>
      </c>
      <c r="AU88" t="str">
        <v/>
      </c>
      <c r="AW88" t="e">
        <v>#N/A</v>
      </c>
    </row>
    <row r="89" spans="1:49" x14ac:dyDescent="0.25">
      <c r="A89" t="str">
        <v/>
      </c>
      <c r="B89" t="str">
        <v/>
      </c>
      <c r="C89" t="e">
        <v>#N/A</v>
      </c>
      <c r="D89" t="e">
        <v>#N/A</v>
      </c>
      <c r="J89" t="str">
        <v/>
      </c>
      <c r="K89" t="e">
        <f ca="1"/>
        <v>#N/A</v>
      </c>
      <c r="L89" t="str">
        <v/>
      </c>
      <c r="M89" t="e">
        <v>#N/A</v>
      </c>
      <c r="N89" t="e">
        <v>#N/A</v>
      </c>
      <c r="O89" t="e">
        <v>#N/A</v>
      </c>
      <c r="R89" t="e">
        <v>#N/A</v>
      </c>
      <c r="T89" t="e">
        <v>#N/A</v>
      </c>
      <c r="U89" t="e">
        <v>#N/A</v>
      </c>
      <c r="Y89" t="str">
        <v/>
      </c>
      <c r="AM89" t="str">
        <v/>
      </c>
      <c r="AN89" t="str">
        <v/>
      </c>
      <c r="AO89" t="str">
        <v/>
      </c>
      <c r="AQ89" t="str">
        <v/>
      </c>
      <c r="AR89" t="str">
        <v/>
      </c>
      <c r="AS89" t="e">
        <v>#N/A</v>
      </c>
      <c r="AU89" t="str">
        <v/>
      </c>
      <c r="AW89" t="e">
        <v>#N/A</v>
      </c>
    </row>
    <row r="90" spans="1:49" x14ac:dyDescent="0.25">
      <c r="A90" t="str">
        <v/>
      </c>
      <c r="B90" t="str">
        <v/>
      </c>
      <c r="C90" t="e">
        <v>#N/A</v>
      </c>
      <c r="D90" t="e">
        <v>#N/A</v>
      </c>
      <c r="J90" t="str">
        <v/>
      </c>
      <c r="K90" t="e">
        <f ca="1"/>
        <v>#N/A</v>
      </c>
      <c r="L90" t="str">
        <v/>
      </c>
      <c r="M90" t="e">
        <v>#N/A</v>
      </c>
      <c r="N90" t="e">
        <v>#N/A</v>
      </c>
      <c r="O90" t="e">
        <v>#N/A</v>
      </c>
      <c r="R90" t="e">
        <v>#N/A</v>
      </c>
      <c r="T90" t="e">
        <v>#N/A</v>
      </c>
      <c r="U90" t="e">
        <v>#N/A</v>
      </c>
      <c r="Y90" t="str">
        <v/>
      </c>
      <c r="AM90" t="str">
        <v/>
      </c>
      <c r="AN90" t="str">
        <v/>
      </c>
      <c r="AO90" t="str">
        <v/>
      </c>
      <c r="AQ90" t="str">
        <v/>
      </c>
      <c r="AR90" t="str">
        <v/>
      </c>
      <c r="AS90" t="e">
        <v>#N/A</v>
      </c>
      <c r="AU90" t="str">
        <v/>
      </c>
      <c r="AW90" t="e">
        <v>#N/A</v>
      </c>
    </row>
    <row r="91" spans="1:49" x14ac:dyDescent="0.25">
      <c r="A91" t="str">
        <v/>
      </c>
      <c r="B91" t="str">
        <v/>
      </c>
      <c r="C91" t="e">
        <v>#N/A</v>
      </c>
      <c r="D91" t="e">
        <v>#N/A</v>
      </c>
      <c r="J91" t="str">
        <v/>
      </c>
      <c r="K91" t="e">
        <f ca="1"/>
        <v>#N/A</v>
      </c>
      <c r="L91" t="str">
        <v/>
      </c>
      <c r="M91" t="e">
        <v>#N/A</v>
      </c>
      <c r="N91" t="e">
        <v>#N/A</v>
      </c>
      <c r="O91" t="e">
        <v>#N/A</v>
      </c>
      <c r="R91" t="e">
        <v>#N/A</v>
      </c>
      <c r="T91" t="e">
        <v>#N/A</v>
      </c>
      <c r="U91" t="e">
        <v>#N/A</v>
      </c>
      <c r="Y91" t="str">
        <v/>
      </c>
      <c r="AM91" t="str">
        <v/>
      </c>
      <c r="AN91" t="str">
        <v/>
      </c>
      <c r="AO91" t="str">
        <v/>
      </c>
      <c r="AQ91" t="str">
        <v/>
      </c>
      <c r="AR91" t="str">
        <v/>
      </c>
      <c r="AS91" t="e">
        <v>#N/A</v>
      </c>
      <c r="AU91" t="str">
        <v/>
      </c>
      <c r="AW91" t="e">
        <v>#N/A</v>
      </c>
    </row>
    <row r="92" spans="1:49" x14ac:dyDescent="0.25">
      <c r="A92" t="str">
        <v/>
      </c>
      <c r="B92" t="str">
        <v/>
      </c>
      <c r="C92" t="e">
        <v>#N/A</v>
      </c>
      <c r="D92" t="e">
        <v>#N/A</v>
      </c>
      <c r="J92" t="str">
        <v/>
      </c>
      <c r="K92" t="e">
        <f ca="1"/>
        <v>#N/A</v>
      </c>
      <c r="L92" t="str">
        <v/>
      </c>
      <c r="M92" t="e">
        <v>#N/A</v>
      </c>
      <c r="N92" t="e">
        <v>#N/A</v>
      </c>
      <c r="O92" t="e">
        <v>#N/A</v>
      </c>
      <c r="R92" t="e">
        <v>#N/A</v>
      </c>
      <c r="T92" t="e">
        <v>#N/A</v>
      </c>
      <c r="U92" t="e">
        <v>#N/A</v>
      </c>
      <c r="Y92" t="str">
        <v/>
      </c>
      <c r="AM92" t="str">
        <v/>
      </c>
      <c r="AN92" t="str">
        <v/>
      </c>
      <c r="AO92" t="str">
        <v/>
      </c>
      <c r="AQ92" t="str">
        <v/>
      </c>
      <c r="AR92" t="str">
        <v/>
      </c>
      <c r="AS92" t="e">
        <v>#N/A</v>
      </c>
      <c r="AU92" t="str">
        <v/>
      </c>
      <c r="AW92" t="e">
        <v>#N/A</v>
      </c>
    </row>
    <row r="93" spans="1:49" x14ac:dyDescent="0.25">
      <c r="A93" t="str">
        <v/>
      </c>
      <c r="B93" t="str">
        <v/>
      </c>
      <c r="C93" t="e">
        <v>#N/A</v>
      </c>
      <c r="D93" t="e">
        <v>#N/A</v>
      </c>
      <c r="J93" t="str">
        <v/>
      </c>
      <c r="K93" t="e">
        <f ca="1"/>
        <v>#N/A</v>
      </c>
      <c r="L93" t="str">
        <v/>
      </c>
      <c r="M93" t="e">
        <v>#N/A</v>
      </c>
      <c r="N93" t="e">
        <v>#N/A</v>
      </c>
      <c r="O93" t="e">
        <v>#N/A</v>
      </c>
      <c r="R93" t="e">
        <v>#N/A</v>
      </c>
      <c r="T93" t="e">
        <v>#N/A</v>
      </c>
      <c r="U93" t="e">
        <v>#N/A</v>
      </c>
      <c r="Y93" t="str">
        <v/>
      </c>
      <c r="AM93" t="str">
        <v/>
      </c>
      <c r="AN93" t="str">
        <v/>
      </c>
      <c r="AO93" t="str">
        <v/>
      </c>
      <c r="AQ93" t="str">
        <v/>
      </c>
      <c r="AR93" t="str">
        <v/>
      </c>
      <c r="AS93" t="e">
        <v>#N/A</v>
      </c>
      <c r="AU93" t="str">
        <v/>
      </c>
      <c r="AW93" t="e">
        <v>#N/A</v>
      </c>
    </row>
    <row r="94" spans="1:49" x14ac:dyDescent="0.25">
      <c r="A94" t="str">
        <v/>
      </c>
      <c r="B94" t="str">
        <v/>
      </c>
      <c r="C94" t="e">
        <v>#N/A</v>
      </c>
      <c r="D94" t="e">
        <v>#N/A</v>
      </c>
      <c r="J94" t="str">
        <v/>
      </c>
      <c r="K94" t="e">
        <f ca="1"/>
        <v>#N/A</v>
      </c>
      <c r="L94" t="str">
        <v/>
      </c>
      <c r="M94" t="e">
        <v>#N/A</v>
      </c>
      <c r="N94" t="e">
        <v>#N/A</v>
      </c>
      <c r="O94" t="e">
        <v>#N/A</v>
      </c>
      <c r="R94" t="e">
        <v>#N/A</v>
      </c>
      <c r="T94" t="e">
        <v>#N/A</v>
      </c>
      <c r="U94" t="e">
        <v>#N/A</v>
      </c>
      <c r="Y94" t="str">
        <v/>
      </c>
      <c r="AM94" t="str">
        <v/>
      </c>
      <c r="AN94" t="str">
        <v/>
      </c>
      <c r="AO94" t="str">
        <v/>
      </c>
      <c r="AQ94" t="str">
        <v/>
      </c>
      <c r="AR94" t="str">
        <v/>
      </c>
      <c r="AS94" t="e">
        <v>#N/A</v>
      </c>
      <c r="AU94" t="str">
        <v/>
      </c>
      <c r="AW94" t="e">
        <v>#N/A</v>
      </c>
    </row>
    <row r="95" spans="1:49" x14ac:dyDescent="0.25">
      <c r="A95" t="str">
        <v/>
      </c>
      <c r="B95" t="str">
        <v/>
      </c>
      <c r="C95" t="e">
        <v>#N/A</v>
      </c>
      <c r="D95" t="e">
        <v>#N/A</v>
      </c>
      <c r="J95" t="str">
        <v/>
      </c>
      <c r="K95" t="e">
        <f ca="1"/>
        <v>#N/A</v>
      </c>
      <c r="L95" t="str">
        <v/>
      </c>
      <c r="M95" t="e">
        <v>#N/A</v>
      </c>
      <c r="N95" t="e">
        <v>#N/A</v>
      </c>
      <c r="O95" t="e">
        <v>#N/A</v>
      </c>
      <c r="R95" t="e">
        <v>#N/A</v>
      </c>
      <c r="T95" t="e">
        <v>#N/A</v>
      </c>
      <c r="U95" t="e">
        <v>#N/A</v>
      </c>
      <c r="Y95" t="str">
        <v/>
      </c>
      <c r="AM95" t="str">
        <v/>
      </c>
      <c r="AN95" t="str">
        <v/>
      </c>
      <c r="AO95" t="str">
        <v/>
      </c>
      <c r="AQ95" t="str">
        <v/>
      </c>
      <c r="AR95" t="str">
        <v/>
      </c>
      <c r="AS95" t="e">
        <v>#N/A</v>
      </c>
      <c r="AU95" t="str">
        <v/>
      </c>
      <c r="AW95" t="e">
        <v>#N/A</v>
      </c>
    </row>
    <row r="96" spans="1:49" x14ac:dyDescent="0.25">
      <c r="A96" t="str">
        <v/>
      </c>
      <c r="B96" t="str">
        <v/>
      </c>
      <c r="C96" t="e">
        <v>#N/A</v>
      </c>
      <c r="D96" t="e">
        <v>#N/A</v>
      </c>
      <c r="J96" t="str">
        <v/>
      </c>
      <c r="K96" t="e">
        <f ca="1"/>
        <v>#N/A</v>
      </c>
      <c r="L96" t="str">
        <v/>
      </c>
      <c r="M96" t="e">
        <v>#N/A</v>
      </c>
      <c r="N96" t="e">
        <v>#N/A</v>
      </c>
      <c r="O96" t="e">
        <v>#N/A</v>
      </c>
      <c r="R96" t="e">
        <v>#N/A</v>
      </c>
      <c r="T96" t="e">
        <v>#N/A</v>
      </c>
      <c r="U96" t="e">
        <v>#N/A</v>
      </c>
      <c r="Y96" t="str">
        <v/>
      </c>
      <c r="AM96" t="str">
        <v/>
      </c>
      <c r="AN96" t="str">
        <v/>
      </c>
      <c r="AO96" t="str">
        <v/>
      </c>
      <c r="AQ96" t="str">
        <v/>
      </c>
      <c r="AR96" t="str">
        <v/>
      </c>
      <c r="AS96" t="e">
        <v>#N/A</v>
      </c>
      <c r="AU96" t="str">
        <v/>
      </c>
      <c r="AW96" t="e">
        <v>#N/A</v>
      </c>
    </row>
    <row r="97" spans="1:49" x14ac:dyDescent="0.25">
      <c r="A97" t="str">
        <v/>
      </c>
      <c r="B97" t="str">
        <v/>
      </c>
      <c r="C97" t="e">
        <v>#N/A</v>
      </c>
      <c r="D97" t="e">
        <v>#N/A</v>
      </c>
      <c r="J97" t="str">
        <v/>
      </c>
      <c r="K97" t="e">
        <f ca="1"/>
        <v>#N/A</v>
      </c>
      <c r="L97" t="str">
        <v/>
      </c>
      <c r="M97" t="e">
        <v>#N/A</v>
      </c>
      <c r="N97" t="e">
        <v>#N/A</v>
      </c>
      <c r="O97" t="e">
        <v>#N/A</v>
      </c>
      <c r="R97" t="e">
        <v>#N/A</v>
      </c>
      <c r="T97" t="e">
        <v>#N/A</v>
      </c>
      <c r="U97" t="e">
        <v>#N/A</v>
      </c>
      <c r="Y97" t="str">
        <v/>
      </c>
      <c r="AM97" t="str">
        <v/>
      </c>
      <c r="AN97" t="str">
        <v/>
      </c>
      <c r="AO97" t="str">
        <v/>
      </c>
      <c r="AQ97" t="str">
        <v/>
      </c>
      <c r="AR97" t="str">
        <v/>
      </c>
      <c r="AS97" t="e">
        <v>#N/A</v>
      </c>
      <c r="AU97" t="str">
        <v/>
      </c>
      <c r="AW97" t="e">
        <v>#N/A</v>
      </c>
    </row>
    <row r="98" spans="1:49" x14ac:dyDescent="0.25">
      <c r="A98" t="str">
        <v/>
      </c>
      <c r="B98" t="str">
        <v/>
      </c>
      <c r="C98" t="e">
        <v>#N/A</v>
      </c>
      <c r="D98" t="e">
        <v>#N/A</v>
      </c>
      <c r="J98" t="str">
        <v/>
      </c>
      <c r="K98" t="e">
        <f ca="1"/>
        <v>#N/A</v>
      </c>
      <c r="L98" t="str">
        <v/>
      </c>
      <c r="M98" t="e">
        <v>#N/A</v>
      </c>
      <c r="N98" t="e">
        <v>#N/A</v>
      </c>
      <c r="O98" t="e">
        <v>#N/A</v>
      </c>
      <c r="R98" t="e">
        <v>#N/A</v>
      </c>
      <c r="T98" t="e">
        <v>#N/A</v>
      </c>
      <c r="U98" t="e">
        <v>#N/A</v>
      </c>
      <c r="Y98" t="str">
        <v/>
      </c>
      <c r="AM98" t="str">
        <v/>
      </c>
      <c r="AN98" t="str">
        <v/>
      </c>
      <c r="AO98" t="str">
        <v/>
      </c>
      <c r="AQ98" t="str">
        <v/>
      </c>
      <c r="AR98" t="str">
        <v/>
      </c>
      <c r="AS98" t="e">
        <v>#N/A</v>
      </c>
      <c r="AU98" t="str">
        <v/>
      </c>
      <c r="AW98" t="e">
        <v>#N/A</v>
      </c>
    </row>
    <row r="99" spans="1:49" x14ac:dyDescent="0.25">
      <c r="A99" t="str">
        <v/>
      </c>
      <c r="B99" t="str">
        <v/>
      </c>
      <c r="C99" t="e">
        <v>#N/A</v>
      </c>
      <c r="D99" t="e">
        <v>#N/A</v>
      </c>
      <c r="J99" t="str">
        <v/>
      </c>
      <c r="K99" t="e">
        <f ca="1"/>
        <v>#N/A</v>
      </c>
      <c r="L99" t="str">
        <v/>
      </c>
      <c r="M99" t="e">
        <v>#N/A</v>
      </c>
      <c r="N99" t="e">
        <v>#N/A</v>
      </c>
      <c r="O99" t="e">
        <v>#N/A</v>
      </c>
      <c r="R99" t="e">
        <v>#N/A</v>
      </c>
      <c r="T99" t="e">
        <v>#N/A</v>
      </c>
      <c r="U99" t="e">
        <v>#N/A</v>
      </c>
      <c r="Y99" t="str">
        <v/>
      </c>
      <c r="AM99" t="str">
        <v/>
      </c>
      <c r="AN99" t="str">
        <v/>
      </c>
      <c r="AO99" t="str">
        <v/>
      </c>
      <c r="AQ99" t="str">
        <v/>
      </c>
      <c r="AR99" t="str">
        <v/>
      </c>
      <c r="AS99" t="e">
        <v>#N/A</v>
      </c>
      <c r="AU99" t="str">
        <v/>
      </c>
      <c r="AW99" t="e">
        <v>#N/A</v>
      </c>
    </row>
    <row r="100" spans="1:49" x14ac:dyDescent="0.25">
      <c r="A100" t="str">
        <v/>
      </c>
      <c r="B100" t="str">
        <v/>
      </c>
      <c r="C100" t="e">
        <v>#N/A</v>
      </c>
      <c r="D100" t="e">
        <v>#N/A</v>
      </c>
      <c r="J100" t="str">
        <v/>
      </c>
      <c r="K100" t="e">
        <f ca="1"/>
        <v>#N/A</v>
      </c>
      <c r="L100" t="str">
        <v/>
      </c>
      <c r="M100" t="e">
        <v>#N/A</v>
      </c>
      <c r="N100" t="e">
        <v>#N/A</v>
      </c>
      <c r="O100" t="e">
        <v>#N/A</v>
      </c>
      <c r="R100" t="e">
        <v>#N/A</v>
      </c>
      <c r="T100" t="e">
        <v>#N/A</v>
      </c>
      <c r="U100" t="e">
        <v>#N/A</v>
      </c>
      <c r="Y100" t="str">
        <v/>
      </c>
      <c r="AM100" t="str">
        <v/>
      </c>
      <c r="AN100" t="str">
        <v/>
      </c>
      <c r="AO100" t="str">
        <v/>
      </c>
      <c r="AQ100" t="str">
        <v/>
      </c>
      <c r="AR100" t="str">
        <v/>
      </c>
      <c r="AS100" t="e">
        <v>#N/A</v>
      </c>
      <c r="AU100" t="str">
        <v/>
      </c>
      <c r="AW100" t="e">
        <v>#N/A</v>
      </c>
    </row>
    <row r="101" spans="1:49" x14ac:dyDescent="0.25">
      <c r="A101" t="str">
        <v/>
      </c>
      <c r="B101" t="str">
        <v/>
      </c>
      <c r="C101" t="e">
        <v>#N/A</v>
      </c>
      <c r="D101" t="e">
        <v>#N/A</v>
      </c>
      <c r="J101" t="str">
        <v/>
      </c>
      <c r="K101" t="e">
        <f ca="1"/>
        <v>#N/A</v>
      </c>
      <c r="L101" t="str">
        <v/>
      </c>
      <c r="M101" t="e">
        <v>#N/A</v>
      </c>
      <c r="N101" t="e">
        <v>#N/A</v>
      </c>
      <c r="O101" t="e">
        <v>#N/A</v>
      </c>
      <c r="R101" t="e">
        <v>#N/A</v>
      </c>
      <c r="T101" t="e">
        <v>#N/A</v>
      </c>
      <c r="U101" t="e">
        <v>#N/A</v>
      </c>
      <c r="Y101" t="str">
        <v/>
      </c>
      <c r="AM101" t="str">
        <v/>
      </c>
      <c r="AN101" t="str">
        <v/>
      </c>
      <c r="AO101" t="str">
        <v/>
      </c>
      <c r="AQ101" t="str">
        <v/>
      </c>
      <c r="AR101" t="str">
        <v/>
      </c>
      <c r="AS101" t="e">
        <v>#N/A</v>
      </c>
      <c r="AU101" t="str">
        <v/>
      </c>
      <c r="AW101" t="e">
        <v>#N/A</v>
      </c>
    </row>
    <row r="102" spans="1:49" x14ac:dyDescent="0.25">
      <c r="A102" t="str">
        <v/>
      </c>
      <c r="B102" t="str">
        <v/>
      </c>
      <c r="C102" t="e">
        <v>#N/A</v>
      </c>
      <c r="D102" t="e">
        <v>#N/A</v>
      </c>
      <c r="J102" t="str">
        <v/>
      </c>
      <c r="K102" t="e">
        <f ca="1"/>
        <v>#N/A</v>
      </c>
      <c r="L102" t="str">
        <v/>
      </c>
      <c r="M102" t="e">
        <v>#N/A</v>
      </c>
      <c r="N102" t="e">
        <v>#N/A</v>
      </c>
      <c r="O102" t="e">
        <v>#N/A</v>
      </c>
      <c r="R102" t="e">
        <v>#N/A</v>
      </c>
      <c r="T102" t="e">
        <v>#N/A</v>
      </c>
      <c r="U102" t="e">
        <v>#N/A</v>
      </c>
      <c r="Y102" t="str">
        <v/>
      </c>
      <c r="AM102" t="str">
        <v/>
      </c>
      <c r="AN102" t="str">
        <v/>
      </c>
      <c r="AO102" t="str">
        <v/>
      </c>
      <c r="AQ102" t="str">
        <v/>
      </c>
      <c r="AR102" t="str">
        <v/>
      </c>
      <c r="AS102" t="e">
        <v>#N/A</v>
      </c>
      <c r="AU102" t="str">
        <v/>
      </c>
      <c r="AW102" t="e">
        <v>#N/A</v>
      </c>
    </row>
    <row r="103" spans="1:49" x14ac:dyDescent="0.25">
      <c r="A103" t="str">
        <v/>
      </c>
      <c r="B103" t="str">
        <v/>
      </c>
      <c r="C103" t="e">
        <v>#N/A</v>
      </c>
      <c r="D103" t="e">
        <v>#N/A</v>
      </c>
      <c r="J103" t="str">
        <v/>
      </c>
      <c r="K103" t="e">
        <f ca="1"/>
        <v>#N/A</v>
      </c>
      <c r="L103" t="str">
        <v/>
      </c>
      <c r="M103" t="e">
        <v>#N/A</v>
      </c>
      <c r="N103" t="e">
        <v>#N/A</v>
      </c>
      <c r="O103" t="e">
        <v>#N/A</v>
      </c>
      <c r="R103" t="e">
        <v>#N/A</v>
      </c>
      <c r="T103" t="e">
        <v>#N/A</v>
      </c>
      <c r="U103" t="e">
        <v>#N/A</v>
      </c>
      <c r="Y103" t="str">
        <v/>
      </c>
      <c r="AM103" t="str">
        <v/>
      </c>
      <c r="AN103" t="str">
        <v/>
      </c>
      <c r="AO103" t="str">
        <v/>
      </c>
      <c r="AQ103" t="str">
        <v/>
      </c>
      <c r="AR103" t="str">
        <v/>
      </c>
      <c r="AS103" t="e">
        <v>#N/A</v>
      </c>
      <c r="AU103" t="str">
        <v/>
      </c>
      <c r="AW103" t="e">
        <v>#N/A</v>
      </c>
    </row>
    <row r="104" spans="1:49" x14ac:dyDescent="0.25">
      <c r="A104" t="str">
        <v/>
      </c>
      <c r="B104" t="str">
        <v/>
      </c>
      <c r="C104" t="e">
        <v>#N/A</v>
      </c>
      <c r="D104" t="e">
        <v>#N/A</v>
      </c>
      <c r="J104" t="str">
        <v/>
      </c>
      <c r="K104" t="e">
        <f ca="1"/>
        <v>#N/A</v>
      </c>
      <c r="L104" t="str">
        <v/>
      </c>
      <c r="M104" t="e">
        <v>#N/A</v>
      </c>
      <c r="N104" t="e">
        <v>#N/A</v>
      </c>
      <c r="O104" t="e">
        <v>#N/A</v>
      </c>
      <c r="R104" t="e">
        <v>#N/A</v>
      </c>
      <c r="T104" t="e">
        <v>#N/A</v>
      </c>
      <c r="U104" t="e">
        <v>#N/A</v>
      </c>
      <c r="Y104" t="str">
        <v/>
      </c>
      <c r="AM104" t="str">
        <v/>
      </c>
      <c r="AN104" t="str">
        <v/>
      </c>
      <c r="AO104" t="str">
        <v/>
      </c>
      <c r="AQ104" t="str">
        <v/>
      </c>
      <c r="AR104" t="str">
        <v/>
      </c>
      <c r="AS104" t="e">
        <v>#N/A</v>
      </c>
      <c r="AU104" t="str">
        <v/>
      </c>
      <c r="AW104" t="e">
        <v>#N/A</v>
      </c>
    </row>
    <row r="105" spans="1:49" x14ac:dyDescent="0.25">
      <c r="A105" t="str">
        <v/>
      </c>
      <c r="B105" t="str">
        <v/>
      </c>
      <c r="C105" t="e">
        <v>#N/A</v>
      </c>
      <c r="D105" t="e">
        <v>#N/A</v>
      </c>
      <c r="J105" t="str">
        <v/>
      </c>
      <c r="K105" t="e">
        <f ca="1"/>
        <v>#N/A</v>
      </c>
      <c r="L105" t="str">
        <v/>
      </c>
      <c r="M105" t="e">
        <v>#N/A</v>
      </c>
      <c r="N105" t="e">
        <v>#N/A</v>
      </c>
      <c r="O105" t="e">
        <v>#N/A</v>
      </c>
      <c r="R105" t="e">
        <v>#N/A</v>
      </c>
      <c r="T105" t="e">
        <v>#N/A</v>
      </c>
      <c r="U105" t="e">
        <v>#N/A</v>
      </c>
      <c r="Y105" t="str">
        <v/>
      </c>
      <c r="AM105" t="str">
        <v/>
      </c>
      <c r="AN105" t="str">
        <v/>
      </c>
      <c r="AO105" t="str">
        <v/>
      </c>
      <c r="AQ105" t="str">
        <v/>
      </c>
      <c r="AR105" t="str">
        <v/>
      </c>
      <c r="AS105" t="e">
        <v>#N/A</v>
      </c>
      <c r="AU105" t="str">
        <v/>
      </c>
      <c r="AW105" t="e">
        <v>#N/A</v>
      </c>
    </row>
    <row r="106" spans="1:49" x14ac:dyDescent="0.25">
      <c r="A106" t="str">
        <v/>
      </c>
      <c r="B106" t="str">
        <v/>
      </c>
      <c r="C106" t="e">
        <v>#N/A</v>
      </c>
      <c r="D106" t="e">
        <v>#N/A</v>
      </c>
      <c r="J106" t="str">
        <v/>
      </c>
      <c r="K106" t="e">
        <f ca="1"/>
        <v>#N/A</v>
      </c>
      <c r="L106" t="str">
        <v/>
      </c>
      <c r="M106" t="e">
        <v>#N/A</v>
      </c>
      <c r="N106" t="e">
        <v>#N/A</v>
      </c>
      <c r="O106" t="e">
        <v>#N/A</v>
      </c>
      <c r="R106" t="e">
        <v>#N/A</v>
      </c>
      <c r="T106" t="e">
        <v>#N/A</v>
      </c>
      <c r="U106" t="e">
        <v>#N/A</v>
      </c>
      <c r="Y106" t="str">
        <v/>
      </c>
      <c r="AM106" t="str">
        <v/>
      </c>
      <c r="AN106" t="str">
        <v/>
      </c>
      <c r="AO106" t="str">
        <v/>
      </c>
      <c r="AQ106" t="str">
        <v/>
      </c>
      <c r="AR106" t="str">
        <v/>
      </c>
      <c r="AS106" t="e">
        <v>#N/A</v>
      </c>
      <c r="AU106" t="str">
        <v/>
      </c>
      <c r="AW106" t="e">
        <v>#N/A</v>
      </c>
    </row>
    <row r="107" spans="1:49" x14ac:dyDescent="0.25">
      <c r="A107" t="str">
        <v/>
      </c>
      <c r="B107" t="str">
        <v/>
      </c>
      <c r="C107" t="e">
        <v>#N/A</v>
      </c>
      <c r="D107" t="e">
        <v>#N/A</v>
      </c>
      <c r="J107" t="str">
        <v/>
      </c>
      <c r="K107" t="e">
        <f ca="1"/>
        <v>#N/A</v>
      </c>
      <c r="L107" t="str">
        <v/>
      </c>
      <c r="M107" t="e">
        <v>#N/A</v>
      </c>
      <c r="N107" t="e">
        <v>#N/A</v>
      </c>
      <c r="O107" t="e">
        <v>#N/A</v>
      </c>
      <c r="R107" t="e">
        <v>#N/A</v>
      </c>
      <c r="T107" t="e">
        <v>#N/A</v>
      </c>
      <c r="U107" t="e">
        <v>#N/A</v>
      </c>
      <c r="Y107" t="str">
        <v/>
      </c>
      <c r="AM107" t="str">
        <v/>
      </c>
      <c r="AN107" t="str">
        <v/>
      </c>
      <c r="AO107" t="str">
        <v/>
      </c>
      <c r="AQ107" t="str">
        <v/>
      </c>
      <c r="AR107" t="str">
        <v/>
      </c>
      <c r="AS107" t="e">
        <v>#N/A</v>
      </c>
      <c r="AU107" t="str">
        <v/>
      </c>
      <c r="AW107" t="e">
        <v>#N/A</v>
      </c>
    </row>
    <row r="108" spans="1:49" x14ac:dyDescent="0.25">
      <c r="A108" t="str">
        <v/>
      </c>
      <c r="B108" t="str">
        <v/>
      </c>
      <c r="C108" t="e">
        <v>#N/A</v>
      </c>
      <c r="D108" t="e">
        <v>#N/A</v>
      </c>
      <c r="J108" t="str">
        <v/>
      </c>
      <c r="K108" t="e">
        <f ca="1"/>
        <v>#N/A</v>
      </c>
      <c r="L108" t="str">
        <v/>
      </c>
      <c r="M108" t="e">
        <v>#N/A</v>
      </c>
      <c r="N108" t="e">
        <v>#N/A</v>
      </c>
      <c r="O108" t="e">
        <v>#N/A</v>
      </c>
      <c r="R108" t="e">
        <v>#N/A</v>
      </c>
      <c r="T108" t="e">
        <v>#N/A</v>
      </c>
      <c r="U108" t="e">
        <v>#N/A</v>
      </c>
      <c r="Y108" t="str">
        <v/>
      </c>
      <c r="AM108" t="str">
        <v/>
      </c>
      <c r="AN108" t="str">
        <v/>
      </c>
      <c r="AO108" t="str">
        <v/>
      </c>
      <c r="AQ108" t="str">
        <v/>
      </c>
      <c r="AR108" t="str">
        <v/>
      </c>
      <c r="AS108" t="e">
        <v>#N/A</v>
      </c>
      <c r="AU108" t="str">
        <v/>
      </c>
      <c r="AW108" t="e">
        <v>#N/A</v>
      </c>
    </row>
    <row r="109" spans="1:49" x14ac:dyDescent="0.25">
      <c r="A109" t="str">
        <v/>
      </c>
      <c r="B109" t="str">
        <v/>
      </c>
      <c r="C109" t="e">
        <v>#N/A</v>
      </c>
      <c r="D109" t="e">
        <v>#N/A</v>
      </c>
      <c r="J109" t="str">
        <v/>
      </c>
      <c r="K109" t="e">
        <f ca="1"/>
        <v>#N/A</v>
      </c>
      <c r="L109" t="str">
        <v/>
      </c>
      <c r="M109" t="e">
        <v>#N/A</v>
      </c>
      <c r="N109" t="e">
        <v>#N/A</v>
      </c>
      <c r="O109" t="e">
        <v>#N/A</v>
      </c>
      <c r="R109" t="e">
        <v>#N/A</v>
      </c>
      <c r="T109" t="e">
        <v>#N/A</v>
      </c>
      <c r="U109" t="e">
        <v>#N/A</v>
      </c>
      <c r="Y109" t="str">
        <v/>
      </c>
      <c r="AM109" t="str">
        <v/>
      </c>
      <c r="AN109" t="str">
        <v/>
      </c>
      <c r="AO109" t="str">
        <v/>
      </c>
      <c r="AQ109" t="str">
        <v/>
      </c>
      <c r="AR109" t="str">
        <v/>
      </c>
      <c r="AS109" t="e">
        <v>#N/A</v>
      </c>
      <c r="AU109" t="str">
        <v/>
      </c>
      <c r="AW109" t="e">
        <v>#N/A</v>
      </c>
    </row>
    <row r="110" spans="1:49" x14ac:dyDescent="0.25">
      <c r="A110" t="str">
        <v/>
      </c>
      <c r="B110" t="str">
        <v/>
      </c>
      <c r="C110" t="e">
        <v>#N/A</v>
      </c>
      <c r="D110" t="e">
        <v>#N/A</v>
      </c>
      <c r="J110" t="str">
        <v/>
      </c>
      <c r="K110" t="e">
        <f ca="1"/>
        <v>#N/A</v>
      </c>
      <c r="L110" t="str">
        <v/>
      </c>
      <c r="M110" t="e">
        <v>#N/A</v>
      </c>
      <c r="N110" t="e">
        <v>#N/A</v>
      </c>
      <c r="O110" t="e">
        <v>#N/A</v>
      </c>
      <c r="R110" t="e">
        <v>#N/A</v>
      </c>
      <c r="T110" t="e">
        <v>#N/A</v>
      </c>
      <c r="U110" t="e">
        <v>#N/A</v>
      </c>
      <c r="Y110" t="str">
        <v/>
      </c>
      <c r="AM110" t="str">
        <v/>
      </c>
      <c r="AN110" t="str">
        <v/>
      </c>
      <c r="AO110" t="str">
        <v/>
      </c>
      <c r="AQ110" t="str">
        <v/>
      </c>
      <c r="AR110" t="str">
        <v/>
      </c>
      <c r="AS110" t="e">
        <v>#N/A</v>
      </c>
      <c r="AU110" t="str">
        <v/>
      </c>
      <c r="AW110" t="e">
        <v>#N/A</v>
      </c>
    </row>
    <row r="111" spans="1:49" x14ac:dyDescent="0.25">
      <c r="A111" t="str">
        <v/>
      </c>
      <c r="B111" t="str">
        <v/>
      </c>
      <c r="C111" t="e">
        <v>#N/A</v>
      </c>
      <c r="D111" t="e">
        <v>#N/A</v>
      </c>
      <c r="J111" t="str">
        <v/>
      </c>
      <c r="K111" t="e">
        <f ca="1"/>
        <v>#N/A</v>
      </c>
      <c r="L111" t="str">
        <v/>
      </c>
      <c r="M111" t="e">
        <v>#N/A</v>
      </c>
      <c r="N111" t="e">
        <v>#N/A</v>
      </c>
      <c r="O111" t="e">
        <v>#N/A</v>
      </c>
      <c r="R111" t="e">
        <v>#N/A</v>
      </c>
      <c r="T111" t="e">
        <v>#N/A</v>
      </c>
      <c r="U111" t="e">
        <v>#N/A</v>
      </c>
      <c r="Y111" t="str">
        <v/>
      </c>
      <c r="AM111" t="str">
        <v/>
      </c>
      <c r="AN111" t="str">
        <v/>
      </c>
      <c r="AO111" t="str">
        <v/>
      </c>
      <c r="AQ111" t="str">
        <v/>
      </c>
      <c r="AR111" t="str">
        <v/>
      </c>
      <c r="AS111" t="e">
        <v>#N/A</v>
      </c>
      <c r="AU111" t="str">
        <v/>
      </c>
      <c r="AW111" t="e">
        <v>#N/A</v>
      </c>
    </row>
    <row r="112" spans="1:49" x14ac:dyDescent="0.25">
      <c r="A112" t="str">
        <v/>
      </c>
      <c r="B112" t="str">
        <v/>
      </c>
      <c r="C112" t="e">
        <v>#N/A</v>
      </c>
      <c r="D112" t="e">
        <v>#N/A</v>
      </c>
      <c r="J112" t="str">
        <v/>
      </c>
      <c r="K112" t="e">
        <f ca="1"/>
        <v>#N/A</v>
      </c>
      <c r="L112" t="str">
        <v/>
      </c>
      <c r="M112" t="e">
        <v>#N/A</v>
      </c>
      <c r="N112" t="e">
        <v>#N/A</v>
      </c>
      <c r="O112" t="e">
        <v>#N/A</v>
      </c>
      <c r="R112" t="e">
        <v>#N/A</v>
      </c>
      <c r="T112" t="e">
        <v>#N/A</v>
      </c>
      <c r="U112" t="e">
        <v>#N/A</v>
      </c>
      <c r="Y112" t="str">
        <v/>
      </c>
      <c r="AM112" t="str">
        <v/>
      </c>
      <c r="AN112" t="str">
        <v/>
      </c>
      <c r="AO112" t="str">
        <v/>
      </c>
      <c r="AQ112" t="str">
        <v/>
      </c>
      <c r="AR112" t="str">
        <v/>
      </c>
      <c r="AS112" t="e">
        <v>#N/A</v>
      </c>
      <c r="AU112" t="str">
        <v/>
      </c>
      <c r="AW112" t="e">
        <v>#N/A</v>
      </c>
    </row>
    <row r="113" spans="1:49" x14ac:dyDescent="0.25">
      <c r="A113" t="str">
        <v/>
      </c>
      <c r="B113" t="str">
        <v/>
      </c>
      <c r="C113" t="e">
        <v>#N/A</v>
      </c>
      <c r="D113" t="e">
        <v>#N/A</v>
      </c>
      <c r="J113" t="str">
        <v/>
      </c>
      <c r="K113" t="e">
        <f ca="1"/>
        <v>#N/A</v>
      </c>
      <c r="L113" t="str">
        <v/>
      </c>
      <c r="M113" t="e">
        <v>#N/A</v>
      </c>
      <c r="N113" t="e">
        <v>#N/A</v>
      </c>
      <c r="O113" t="e">
        <v>#N/A</v>
      </c>
      <c r="R113" t="e">
        <v>#N/A</v>
      </c>
      <c r="T113" t="e">
        <v>#N/A</v>
      </c>
      <c r="U113" t="e">
        <v>#N/A</v>
      </c>
      <c r="Y113" t="str">
        <v/>
      </c>
      <c r="AM113" t="str">
        <v/>
      </c>
      <c r="AN113" t="str">
        <v/>
      </c>
      <c r="AO113" t="str">
        <v/>
      </c>
      <c r="AQ113" t="str">
        <v/>
      </c>
      <c r="AR113" t="str">
        <v/>
      </c>
      <c r="AS113" t="e">
        <v>#N/A</v>
      </c>
      <c r="AU113" t="str">
        <v/>
      </c>
      <c r="AW113" t="e">
        <v>#N/A</v>
      </c>
    </row>
    <row r="114" spans="1:49" x14ac:dyDescent="0.25">
      <c r="A114" t="str">
        <v/>
      </c>
      <c r="B114" t="str">
        <v/>
      </c>
      <c r="C114" t="e">
        <v>#N/A</v>
      </c>
      <c r="D114" t="e">
        <v>#N/A</v>
      </c>
      <c r="J114" t="str">
        <v/>
      </c>
      <c r="K114" t="e">
        <f ca="1"/>
        <v>#N/A</v>
      </c>
      <c r="L114" t="str">
        <v/>
      </c>
      <c r="M114" t="e">
        <v>#N/A</v>
      </c>
      <c r="N114" t="e">
        <v>#N/A</v>
      </c>
      <c r="O114" t="e">
        <v>#N/A</v>
      </c>
      <c r="R114" t="e">
        <v>#N/A</v>
      </c>
      <c r="T114" t="e">
        <v>#N/A</v>
      </c>
      <c r="U114" t="e">
        <v>#N/A</v>
      </c>
      <c r="Y114" t="str">
        <v/>
      </c>
      <c r="AM114" t="str">
        <v/>
      </c>
      <c r="AN114" t="str">
        <v/>
      </c>
      <c r="AO114" t="str">
        <v/>
      </c>
      <c r="AQ114" t="str">
        <v/>
      </c>
      <c r="AR114" t="str">
        <v/>
      </c>
      <c r="AS114" t="e">
        <v>#N/A</v>
      </c>
      <c r="AU114" t="str">
        <v/>
      </c>
      <c r="AW114" t="e">
        <v>#N/A</v>
      </c>
    </row>
    <row r="115" spans="1:49" x14ac:dyDescent="0.25">
      <c r="A115" t="str">
        <v/>
      </c>
      <c r="B115" t="str">
        <v/>
      </c>
      <c r="C115" t="e">
        <v>#N/A</v>
      </c>
      <c r="D115" t="e">
        <v>#N/A</v>
      </c>
      <c r="J115" t="str">
        <v/>
      </c>
      <c r="K115" t="e">
        <f ca="1"/>
        <v>#N/A</v>
      </c>
      <c r="L115" t="str">
        <v/>
      </c>
      <c r="M115" t="e">
        <v>#N/A</v>
      </c>
      <c r="N115" t="e">
        <v>#N/A</v>
      </c>
      <c r="O115" t="e">
        <v>#N/A</v>
      </c>
      <c r="R115" t="e">
        <v>#N/A</v>
      </c>
      <c r="T115" t="e">
        <v>#N/A</v>
      </c>
      <c r="U115" t="e">
        <v>#N/A</v>
      </c>
      <c r="Y115" t="str">
        <v/>
      </c>
      <c r="AM115" t="str">
        <v/>
      </c>
      <c r="AN115" t="str">
        <v/>
      </c>
      <c r="AO115" t="str">
        <v/>
      </c>
      <c r="AQ115" t="str">
        <v/>
      </c>
      <c r="AR115" t="str">
        <v/>
      </c>
      <c r="AS115" t="e">
        <v>#N/A</v>
      </c>
      <c r="AU115" t="str">
        <v/>
      </c>
      <c r="AW115" t="e">
        <v>#N/A</v>
      </c>
    </row>
    <row r="116" spans="1:49" x14ac:dyDescent="0.25">
      <c r="A116" t="str">
        <v/>
      </c>
      <c r="B116" t="str">
        <v/>
      </c>
      <c r="C116" t="e">
        <v>#N/A</v>
      </c>
      <c r="D116" t="e">
        <v>#N/A</v>
      </c>
      <c r="J116" t="str">
        <v/>
      </c>
      <c r="K116" t="e">
        <f ca="1"/>
        <v>#N/A</v>
      </c>
      <c r="L116" t="str">
        <v/>
      </c>
      <c r="M116" t="e">
        <v>#N/A</v>
      </c>
      <c r="N116" t="e">
        <v>#N/A</v>
      </c>
      <c r="O116" t="e">
        <v>#N/A</v>
      </c>
      <c r="R116" t="e">
        <v>#N/A</v>
      </c>
      <c r="T116" t="e">
        <v>#N/A</v>
      </c>
      <c r="U116" t="e">
        <v>#N/A</v>
      </c>
      <c r="Y116" t="str">
        <v/>
      </c>
      <c r="AM116" t="str">
        <v/>
      </c>
      <c r="AN116" t="str">
        <v/>
      </c>
      <c r="AO116" t="str">
        <v/>
      </c>
      <c r="AQ116" t="str">
        <v/>
      </c>
      <c r="AR116" t="str">
        <v/>
      </c>
      <c r="AS116" t="e">
        <v>#N/A</v>
      </c>
      <c r="AU116" t="str">
        <v/>
      </c>
      <c r="AW116" t="e">
        <v>#N/A</v>
      </c>
    </row>
    <row r="117" spans="1:49" x14ac:dyDescent="0.25">
      <c r="A117" t="str">
        <v/>
      </c>
      <c r="B117" t="str">
        <v/>
      </c>
      <c r="C117" t="e">
        <v>#N/A</v>
      </c>
      <c r="D117" t="e">
        <v>#N/A</v>
      </c>
      <c r="J117" t="str">
        <v/>
      </c>
      <c r="K117" t="e">
        <f ca="1"/>
        <v>#N/A</v>
      </c>
      <c r="L117" t="str">
        <v/>
      </c>
      <c r="M117" t="e">
        <v>#N/A</v>
      </c>
      <c r="N117" t="e">
        <v>#N/A</v>
      </c>
      <c r="O117" t="e">
        <v>#N/A</v>
      </c>
      <c r="R117" t="e">
        <v>#N/A</v>
      </c>
      <c r="T117" t="e">
        <v>#N/A</v>
      </c>
      <c r="U117" t="e">
        <v>#N/A</v>
      </c>
      <c r="Y117" t="str">
        <v/>
      </c>
      <c r="AM117" t="str">
        <v/>
      </c>
      <c r="AN117" t="str">
        <v/>
      </c>
      <c r="AO117" t="str">
        <v/>
      </c>
      <c r="AQ117" t="str">
        <v/>
      </c>
      <c r="AR117" t="str">
        <v/>
      </c>
      <c r="AS117" t="e">
        <v>#N/A</v>
      </c>
      <c r="AU117" t="str">
        <v/>
      </c>
      <c r="AW117" t="e">
        <v>#N/A</v>
      </c>
    </row>
    <row r="118" spans="1:49" x14ac:dyDescent="0.25">
      <c r="A118" t="str">
        <v/>
      </c>
      <c r="B118" t="str">
        <v/>
      </c>
      <c r="C118" t="e">
        <v>#N/A</v>
      </c>
      <c r="D118" t="e">
        <v>#N/A</v>
      </c>
      <c r="J118" t="str">
        <v/>
      </c>
      <c r="K118" t="e">
        <f ca="1"/>
        <v>#N/A</v>
      </c>
      <c r="L118" t="str">
        <v/>
      </c>
      <c r="M118" t="e">
        <v>#N/A</v>
      </c>
      <c r="N118" t="e">
        <v>#N/A</v>
      </c>
      <c r="O118" t="e">
        <v>#N/A</v>
      </c>
      <c r="R118" t="e">
        <v>#N/A</v>
      </c>
      <c r="T118" t="e">
        <v>#N/A</v>
      </c>
      <c r="U118" t="e">
        <v>#N/A</v>
      </c>
      <c r="Y118" t="str">
        <v/>
      </c>
      <c r="AM118" t="str">
        <v/>
      </c>
      <c r="AN118" t="str">
        <v/>
      </c>
      <c r="AO118" t="str">
        <v/>
      </c>
      <c r="AQ118" t="str">
        <v/>
      </c>
      <c r="AR118" t="str">
        <v/>
      </c>
      <c r="AS118" t="e">
        <v>#N/A</v>
      </c>
      <c r="AU118" t="str">
        <v/>
      </c>
      <c r="AW118" t="e">
        <v>#N/A</v>
      </c>
    </row>
    <row r="119" spans="1:49" x14ac:dyDescent="0.25">
      <c r="A119" t="str">
        <v/>
      </c>
      <c r="B119" t="str">
        <v/>
      </c>
      <c r="C119" t="e">
        <v>#N/A</v>
      </c>
      <c r="D119" t="e">
        <v>#N/A</v>
      </c>
      <c r="J119" t="str">
        <v/>
      </c>
      <c r="K119" t="e">
        <f ca="1"/>
        <v>#N/A</v>
      </c>
      <c r="L119" t="str">
        <v/>
      </c>
      <c r="M119" t="e">
        <v>#N/A</v>
      </c>
      <c r="N119" t="e">
        <v>#N/A</v>
      </c>
      <c r="O119" t="e">
        <v>#N/A</v>
      </c>
      <c r="R119" t="e">
        <v>#N/A</v>
      </c>
      <c r="T119" t="e">
        <v>#N/A</v>
      </c>
      <c r="U119" t="e">
        <v>#N/A</v>
      </c>
      <c r="Y119" t="str">
        <v/>
      </c>
      <c r="AM119" t="str">
        <v/>
      </c>
      <c r="AN119" t="str">
        <v/>
      </c>
      <c r="AO119" t="str">
        <v/>
      </c>
      <c r="AQ119" t="str">
        <v/>
      </c>
      <c r="AR119" t="str">
        <v/>
      </c>
      <c r="AS119" t="e">
        <v>#N/A</v>
      </c>
      <c r="AU119" t="str">
        <v/>
      </c>
      <c r="AW119" t="e">
        <v>#N/A</v>
      </c>
    </row>
    <row r="120" spans="1:49" x14ac:dyDescent="0.25">
      <c r="A120" t="str">
        <v/>
      </c>
      <c r="B120" t="str">
        <v/>
      </c>
      <c r="C120" t="e">
        <v>#N/A</v>
      </c>
      <c r="D120" t="e">
        <v>#N/A</v>
      </c>
      <c r="J120" t="str">
        <v/>
      </c>
      <c r="K120" t="e">
        <f ca="1"/>
        <v>#N/A</v>
      </c>
      <c r="L120" t="str">
        <v/>
      </c>
      <c r="M120" t="e">
        <v>#N/A</v>
      </c>
      <c r="N120" t="e">
        <v>#N/A</v>
      </c>
      <c r="O120" t="e">
        <v>#N/A</v>
      </c>
      <c r="R120" t="e">
        <v>#N/A</v>
      </c>
      <c r="T120" t="e">
        <v>#N/A</v>
      </c>
      <c r="U120" t="e">
        <v>#N/A</v>
      </c>
      <c r="Y120" t="str">
        <v/>
      </c>
      <c r="AM120" t="str">
        <v/>
      </c>
      <c r="AN120" t="str">
        <v/>
      </c>
      <c r="AO120" t="str">
        <v/>
      </c>
      <c r="AQ120" t="str">
        <v/>
      </c>
      <c r="AR120" t="str">
        <v/>
      </c>
      <c r="AS120" t="e">
        <v>#N/A</v>
      </c>
      <c r="AU120" t="str">
        <v/>
      </c>
      <c r="AW120" t="e">
        <v>#N/A</v>
      </c>
    </row>
    <row r="121" spans="1:49" x14ac:dyDescent="0.25">
      <c r="A121" t="str">
        <v/>
      </c>
      <c r="B121" t="str">
        <v/>
      </c>
      <c r="C121" t="e">
        <v>#N/A</v>
      </c>
      <c r="D121" t="e">
        <v>#N/A</v>
      </c>
      <c r="J121" t="str">
        <v/>
      </c>
      <c r="K121" t="e">
        <f ca="1"/>
        <v>#N/A</v>
      </c>
      <c r="L121" t="str">
        <v/>
      </c>
      <c r="M121" t="e">
        <v>#N/A</v>
      </c>
      <c r="N121" t="e">
        <v>#N/A</v>
      </c>
      <c r="O121" t="e">
        <v>#N/A</v>
      </c>
      <c r="R121" t="e">
        <v>#N/A</v>
      </c>
      <c r="T121" t="e">
        <v>#N/A</v>
      </c>
      <c r="U121" t="e">
        <v>#N/A</v>
      </c>
      <c r="Y121" t="str">
        <v/>
      </c>
      <c r="AM121" t="str">
        <v/>
      </c>
      <c r="AN121" t="str">
        <v/>
      </c>
      <c r="AO121" t="str">
        <v/>
      </c>
      <c r="AQ121" t="str">
        <v/>
      </c>
      <c r="AR121" t="str">
        <v/>
      </c>
      <c r="AS121" t="e">
        <v>#N/A</v>
      </c>
      <c r="AU121" t="str">
        <v/>
      </c>
      <c r="AW121" t="e">
        <v>#N/A</v>
      </c>
    </row>
    <row r="122" spans="1:49" x14ac:dyDescent="0.25">
      <c r="A122" t="str">
        <v/>
      </c>
      <c r="B122" t="str">
        <v/>
      </c>
      <c r="C122" t="e">
        <v>#N/A</v>
      </c>
      <c r="D122" t="e">
        <v>#N/A</v>
      </c>
      <c r="J122" t="str">
        <v/>
      </c>
      <c r="K122" t="e">
        <f ca="1"/>
        <v>#N/A</v>
      </c>
      <c r="L122" t="str">
        <v/>
      </c>
      <c r="M122" t="e">
        <v>#N/A</v>
      </c>
      <c r="N122" t="e">
        <v>#N/A</v>
      </c>
      <c r="O122" t="e">
        <v>#N/A</v>
      </c>
      <c r="R122" t="e">
        <v>#N/A</v>
      </c>
      <c r="T122" t="e">
        <v>#N/A</v>
      </c>
      <c r="U122" t="e">
        <v>#N/A</v>
      </c>
      <c r="Y122" t="str">
        <v/>
      </c>
      <c r="AM122" t="str">
        <v/>
      </c>
      <c r="AN122" t="str">
        <v/>
      </c>
      <c r="AO122" t="str">
        <v/>
      </c>
      <c r="AQ122" t="str">
        <v/>
      </c>
      <c r="AR122" t="str">
        <v/>
      </c>
      <c r="AS122" t="e">
        <v>#N/A</v>
      </c>
      <c r="AU122" t="str">
        <v/>
      </c>
      <c r="AW122" t="e">
        <v>#N/A</v>
      </c>
    </row>
    <row r="123" spans="1:49" x14ac:dyDescent="0.25">
      <c r="A123" t="str">
        <v/>
      </c>
      <c r="B123" t="str">
        <v/>
      </c>
      <c r="C123" t="e">
        <v>#N/A</v>
      </c>
      <c r="D123" t="e">
        <v>#N/A</v>
      </c>
      <c r="J123" t="str">
        <v/>
      </c>
      <c r="K123" t="e">
        <f ca="1"/>
        <v>#N/A</v>
      </c>
      <c r="L123" t="str">
        <v/>
      </c>
      <c r="M123" t="e">
        <v>#N/A</v>
      </c>
      <c r="N123" t="e">
        <v>#N/A</v>
      </c>
      <c r="O123" t="e">
        <v>#N/A</v>
      </c>
      <c r="R123" t="e">
        <v>#N/A</v>
      </c>
      <c r="T123" t="e">
        <v>#N/A</v>
      </c>
      <c r="U123" t="e">
        <v>#N/A</v>
      </c>
      <c r="Y123" t="str">
        <v/>
      </c>
      <c r="AM123" t="str">
        <v/>
      </c>
      <c r="AN123" t="str">
        <v/>
      </c>
      <c r="AO123" t="str">
        <v/>
      </c>
      <c r="AQ123" t="str">
        <v/>
      </c>
      <c r="AR123" t="str">
        <v/>
      </c>
      <c r="AS123" t="e">
        <v>#N/A</v>
      </c>
      <c r="AU123" t="str">
        <v/>
      </c>
      <c r="AW123" t="e">
        <v>#N/A</v>
      </c>
    </row>
    <row r="124" spans="1:49" x14ac:dyDescent="0.25">
      <c r="A124" t="str">
        <v/>
      </c>
      <c r="B124" t="str">
        <v/>
      </c>
      <c r="C124" t="e">
        <v>#N/A</v>
      </c>
      <c r="D124" t="e">
        <v>#N/A</v>
      </c>
      <c r="J124" t="str">
        <v/>
      </c>
      <c r="K124" t="e">
        <f ca="1"/>
        <v>#N/A</v>
      </c>
      <c r="L124" t="str">
        <v/>
      </c>
      <c r="M124" t="e">
        <v>#N/A</v>
      </c>
      <c r="N124" t="e">
        <v>#N/A</v>
      </c>
      <c r="O124" t="e">
        <v>#N/A</v>
      </c>
      <c r="R124" t="e">
        <v>#N/A</v>
      </c>
      <c r="T124" t="e">
        <v>#N/A</v>
      </c>
      <c r="U124" t="e">
        <v>#N/A</v>
      </c>
      <c r="Y124" t="str">
        <v/>
      </c>
      <c r="AM124" t="str">
        <v/>
      </c>
      <c r="AN124" t="str">
        <v/>
      </c>
      <c r="AO124" t="str">
        <v/>
      </c>
      <c r="AQ124" t="str">
        <v/>
      </c>
      <c r="AR124" t="str">
        <v/>
      </c>
      <c r="AS124" t="e">
        <v>#N/A</v>
      </c>
      <c r="AU124" t="str">
        <v/>
      </c>
      <c r="AW124" t="e">
        <v>#N/A</v>
      </c>
    </row>
    <row r="125" spans="1:49" x14ac:dyDescent="0.25">
      <c r="A125" t="str">
        <v/>
      </c>
      <c r="B125" t="str">
        <v/>
      </c>
      <c r="C125" t="e">
        <v>#N/A</v>
      </c>
      <c r="D125" t="e">
        <v>#N/A</v>
      </c>
      <c r="J125" t="str">
        <v/>
      </c>
      <c r="K125" t="e">
        <f ca="1"/>
        <v>#N/A</v>
      </c>
      <c r="L125" t="str">
        <v/>
      </c>
      <c r="M125" t="e">
        <v>#N/A</v>
      </c>
      <c r="N125" t="e">
        <v>#N/A</v>
      </c>
      <c r="O125" t="e">
        <v>#N/A</v>
      </c>
      <c r="R125" t="e">
        <v>#N/A</v>
      </c>
      <c r="T125" t="e">
        <v>#N/A</v>
      </c>
      <c r="U125" t="e">
        <v>#N/A</v>
      </c>
      <c r="Y125" t="str">
        <v/>
      </c>
      <c r="AM125" t="str">
        <v/>
      </c>
      <c r="AN125" t="str">
        <v/>
      </c>
      <c r="AO125" t="str">
        <v/>
      </c>
      <c r="AQ125" t="str">
        <v/>
      </c>
      <c r="AR125" t="str">
        <v/>
      </c>
      <c r="AS125" t="e">
        <v>#N/A</v>
      </c>
      <c r="AU125" t="str">
        <v/>
      </c>
      <c r="AW125" t="e">
        <v>#N/A</v>
      </c>
    </row>
    <row r="126" spans="1:49" x14ac:dyDescent="0.25">
      <c r="A126" t="str">
        <v/>
      </c>
      <c r="B126" t="str">
        <v/>
      </c>
      <c r="C126" t="e">
        <v>#N/A</v>
      </c>
      <c r="D126" t="e">
        <v>#N/A</v>
      </c>
      <c r="J126" t="str">
        <v/>
      </c>
      <c r="K126" t="e">
        <f ca="1"/>
        <v>#N/A</v>
      </c>
      <c r="L126" t="str">
        <v/>
      </c>
      <c r="M126" t="e">
        <v>#N/A</v>
      </c>
      <c r="N126" t="e">
        <v>#N/A</v>
      </c>
      <c r="O126" t="e">
        <v>#N/A</v>
      </c>
      <c r="R126" t="e">
        <v>#N/A</v>
      </c>
      <c r="T126" t="e">
        <v>#N/A</v>
      </c>
      <c r="U126" t="e">
        <v>#N/A</v>
      </c>
      <c r="Y126" t="str">
        <v/>
      </c>
      <c r="AM126" t="str">
        <v/>
      </c>
      <c r="AN126" t="str">
        <v/>
      </c>
      <c r="AO126" t="str">
        <v/>
      </c>
      <c r="AQ126" t="str">
        <v/>
      </c>
      <c r="AR126" t="str">
        <v/>
      </c>
      <c r="AS126" t="e">
        <v>#N/A</v>
      </c>
      <c r="AU126" t="str">
        <v/>
      </c>
      <c r="AW126" t="e">
        <v>#N/A</v>
      </c>
    </row>
    <row r="127" spans="1:49" x14ac:dyDescent="0.25">
      <c r="A127" t="str">
        <v/>
      </c>
      <c r="B127" t="str">
        <v/>
      </c>
      <c r="C127" t="e">
        <v>#N/A</v>
      </c>
      <c r="D127" t="e">
        <v>#N/A</v>
      </c>
      <c r="J127" t="str">
        <v/>
      </c>
      <c r="K127" t="e">
        <f ca="1"/>
        <v>#N/A</v>
      </c>
      <c r="L127" t="str">
        <v/>
      </c>
      <c r="M127" t="e">
        <v>#N/A</v>
      </c>
      <c r="N127" t="e">
        <v>#N/A</v>
      </c>
      <c r="O127" t="e">
        <v>#N/A</v>
      </c>
      <c r="R127" t="e">
        <v>#N/A</v>
      </c>
      <c r="T127" t="e">
        <v>#N/A</v>
      </c>
      <c r="U127" t="e">
        <v>#N/A</v>
      </c>
      <c r="Y127" t="str">
        <v/>
      </c>
      <c r="AM127" t="str">
        <v/>
      </c>
      <c r="AN127" t="str">
        <v/>
      </c>
      <c r="AO127" t="str">
        <v/>
      </c>
      <c r="AQ127" t="str">
        <v/>
      </c>
      <c r="AR127" t="str">
        <v/>
      </c>
      <c r="AS127" t="e">
        <v>#N/A</v>
      </c>
      <c r="AU127" t="str">
        <v/>
      </c>
      <c r="AW127" t="e">
        <v>#N/A</v>
      </c>
    </row>
    <row r="128" spans="1:49" x14ac:dyDescent="0.25">
      <c r="A128" t="str">
        <v/>
      </c>
      <c r="B128" t="str">
        <v/>
      </c>
      <c r="C128" t="e">
        <v>#N/A</v>
      </c>
      <c r="D128" t="e">
        <v>#N/A</v>
      </c>
      <c r="J128" t="str">
        <v/>
      </c>
      <c r="K128" t="e">
        <f ca="1"/>
        <v>#N/A</v>
      </c>
      <c r="L128" t="str">
        <v/>
      </c>
      <c r="M128" t="e">
        <v>#N/A</v>
      </c>
      <c r="N128" t="e">
        <v>#N/A</v>
      </c>
      <c r="O128" t="e">
        <v>#N/A</v>
      </c>
      <c r="R128" t="e">
        <v>#N/A</v>
      </c>
      <c r="T128" t="e">
        <v>#N/A</v>
      </c>
      <c r="U128" t="e">
        <v>#N/A</v>
      </c>
      <c r="Y128" t="str">
        <v/>
      </c>
      <c r="AM128" t="str">
        <v/>
      </c>
      <c r="AN128" t="str">
        <v/>
      </c>
      <c r="AO128" t="str">
        <v/>
      </c>
      <c r="AQ128" t="str">
        <v/>
      </c>
      <c r="AR128" t="str">
        <v/>
      </c>
      <c r="AS128" t="e">
        <v>#N/A</v>
      </c>
      <c r="AU128" t="str">
        <v/>
      </c>
      <c r="AW128" t="e">
        <v>#N/A</v>
      </c>
    </row>
    <row r="129" spans="1:49" x14ac:dyDescent="0.25">
      <c r="A129" t="str">
        <v/>
      </c>
      <c r="B129" t="str">
        <v/>
      </c>
      <c r="C129" t="e">
        <v>#N/A</v>
      </c>
      <c r="D129" t="e">
        <v>#N/A</v>
      </c>
      <c r="J129" t="str">
        <v/>
      </c>
      <c r="K129" t="e">
        <f ca="1"/>
        <v>#N/A</v>
      </c>
      <c r="L129" t="str">
        <v/>
      </c>
      <c r="M129" t="e">
        <v>#N/A</v>
      </c>
      <c r="N129" t="e">
        <v>#N/A</v>
      </c>
      <c r="O129" t="e">
        <v>#N/A</v>
      </c>
      <c r="R129" t="e">
        <v>#N/A</v>
      </c>
      <c r="T129" t="e">
        <v>#N/A</v>
      </c>
      <c r="U129" t="e">
        <v>#N/A</v>
      </c>
      <c r="Y129" t="str">
        <v/>
      </c>
      <c r="AM129" t="str">
        <v/>
      </c>
      <c r="AN129" t="str">
        <v/>
      </c>
      <c r="AO129" t="str">
        <v/>
      </c>
      <c r="AQ129" t="str">
        <v/>
      </c>
      <c r="AR129" t="str">
        <v/>
      </c>
      <c r="AS129" t="e">
        <v>#N/A</v>
      </c>
      <c r="AU129" t="str">
        <v/>
      </c>
      <c r="AW129" t="e">
        <v>#N/A</v>
      </c>
    </row>
    <row r="130" spans="1:49" x14ac:dyDescent="0.25">
      <c r="A130" t="str">
        <v/>
      </c>
      <c r="B130" t="str">
        <v/>
      </c>
      <c r="C130" t="e">
        <v>#N/A</v>
      </c>
      <c r="D130" t="e">
        <v>#N/A</v>
      </c>
      <c r="J130" t="str">
        <v/>
      </c>
      <c r="K130" t="e">
        <f ca="1"/>
        <v>#N/A</v>
      </c>
      <c r="L130" t="str">
        <v/>
      </c>
      <c r="M130" t="e">
        <v>#N/A</v>
      </c>
      <c r="N130" t="e">
        <v>#N/A</v>
      </c>
      <c r="O130" t="e">
        <v>#N/A</v>
      </c>
      <c r="R130" t="e">
        <v>#N/A</v>
      </c>
      <c r="T130" t="e">
        <v>#N/A</v>
      </c>
      <c r="U130" t="e">
        <v>#N/A</v>
      </c>
      <c r="Y130" t="str">
        <v/>
      </c>
      <c r="AM130" t="str">
        <v/>
      </c>
      <c r="AN130" t="str">
        <v/>
      </c>
      <c r="AO130" t="str">
        <v/>
      </c>
      <c r="AQ130" t="str">
        <v/>
      </c>
      <c r="AR130" t="str">
        <v/>
      </c>
      <c r="AS130" t="e">
        <v>#N/A</v>
      </c>
      <c r="AU130" t="str">
        <v/>
      </c>
      <c r="AW130" t="e">
        <v>#N/A</v>
      </c>
    </row>
    <row r="131" spans="1:49" x14ac:dyDescent="0.25">
      <c r="A131" t="str">
        <v/>
      </c>
      <c r="B131" t="str">
        <v/>
      </c>
      <c r="C131" t="e">
        <v>#N/A</v>
      </c>
      <c r="D131" t="e">
        <v>#N/A</v>
      </c>
      <c r="J131" t="str">
        <v/>
      </c>
      <c r="K131" t="e">
        <f ca="1"/>
        <v>#N/A</v>
      </c>
      <c r="L131" t="str">
        <v/>
      </c>
      <c r="M131" t="e">
        <v>#N/A</v>
      </c>
      <c r="N131" t="e">
        <v>#N/A</v>
      </c>
      <c r="O131" t="e">
        <v>#N/A</v>
      </c>
      <c r="R131" t="e">
        <v>#N/A</v>
      </c>
      <c r="T131" t="e">
        <v>#N/A</v>
      </c>
      <c r="U131" t="e">
        <v>#N/A</v>
      </c>
      <c r="Y131" t="str">
        <v/>
      </c>
      <c r="AM131" t="str">
        <v/>
      </c>
      <c r="AN131" t="str">
        <v/>
      </c>
      <c r="AO131" t="str">
        <v/>
      </c>
      <c r="AQ131" t="str">
        <v/>
      </c>
      <c r="AR131" t="str">
        <v/>
      </c>
      <c r="AS131" t="e">
        <v>#N/A</v>
      </c>
      <c r="AU131" t="str">
        <v/>
      </c>
      <c r="AW131" t="e">
        <v>#N/A</v>
      </c>
    </row>
    <row r="132" spans="1:49" x14ac:dyDescent="0.25">
      <c r="A132" t="str">
        <v/>
      </c>
      <c r="B132" t="str">
        <v/>
      </c>
      <c r="C132" t="e">
        <v>#N/A</v>
      </c>
      <c r="D132" t="e">
        <v>#N/A</v>
      </c>
      <c r="J132" t="str">
        <v/>
      </c>
      <c r="K132" t="e">
        <f ca="1"/>
        <v>#N/A</v>
      </c>
      <c r="L132" t="str">
        <v/>
      </c>
      <c r="M132" t="e">
        <v>#N/A</v>
      </c>
      <c r="N132" t="e">
        <v>#N/A</v>
      </c>
      <c r="O132" t="e">
        <v>#N/A</v>
      </c>
      <c r="R132" t="e">
        <v>#N/A</v>
      </c>
      <c r="T132" t="e">
        <v>#N/A</v>
      </c>
      <c r="U132" t="e">
        <v>#N/A</v>
      </c>
      <c r="Y132" t="str">
        <v/>
      </c>
      <c r="AM132" t="str">
        <v/>
      </c>
      <c r="AN132" t="str">
        <v/>
      </c>
      <c r="AO132" t="str">
        <v/>
      </c>
      <c r="AQ132" t="str">
        <v/>
      </c>
      <c r="AR132" t="str">
        <v/>
      </c>
      <c r="AS132" t="e">
        <v>#N/A</v>
      </c>
      <c r="AU132" t="str">
        <v/>
      </c>
      <c r="AW132" t="e">
        <v>#N/A</v>
      </c>
    </row>
    <row r="133" spans="1:49" x14ac:dyDescent="0.25">
      <c r="A133" t="str">
        <v/>
      </c>
      <c r="B133" t="str">
        <v/>
      </c>
      <c r="C133" t="e">
        <v>#N/A</v>
      </c>
      <c r="D133" t="e">
        <v>#N/A</v>
      </c>
      <c r="J133" t="str">
        <v/>
      </c>
      <c r="K133" t="e">
        <f ca="1"/>
        <v>#N/A</v>
      </c>
      <c r="L133" t="str">
        <v/>
      </c>
      <c r="M133" t="e">
        <v>#N/A</v>
      </c>
      <c r="N133" t="e">
        <v>#N/A</v>
      </c>
      <c r="O133" t="e">
        <v>#N/A</v>
      </c>
      <c r="R133" t="e">
        <v>#N/A</v>
      </c>
      <c r="T133" t="e">
        <v>#N/A</v>
      </c>
      <c r="U133" t="e">
        <v>#N/A</v>
      </c>
      <c r="Y133" t="str">
        <v/>
      </c>
      <c r="AM133" t="str">
        <v/>
      </c>
      <c r="AN133" t="str">
        <v/>
      </c>
      <c r="AO133" t="str">
        <v/>
      </c>
      <c r="AQ133" t="str">
        <v/>
      </c>
      <c r="AR133" t="str">
        <v/>
      </c>
      <c r="AS133" t="e">
        <v>#N/A</v>
      </c>
      <c r="AU133" t="str">
        <v/>
      </c>
      <c r="AW133" t="e">
        <v>#N/A</v>
      </c>
    </row>
    <row r="134" spans="1:49" x14ac:dyDescent="0.25">
      <c r="A134" t="str">
        <v/>
      </c>
      <c r="B134" t="str">
        <v/>
      </c>
      <c r="C134" t="e">
        <v>#N/A</v>
      </c>
      <c r="D134" t="e">
        <v>#N/A</v>
      </c>
      <c r="J134" t="str">
        <v/>
      </c>
      <c r="K134" t="e">
        <f ca="1"/>
        <v>#N/A</v>
      </c>
      <c r="L134" t="str">
        <v/>
      </c>
      <c r="M134" t="e">
        <v>#N/A</v>
      </c>
      <c r="N134" t="e">
        <v>#N/A</v>
      </c>
      <c r="O134" t="e">
        <v>#N/A</v>
      </c>
      <c r="R134" t="e">
        <v>#N/A</v>
      </c>
      <c r="T134" t="e">
        <v>#N/A</v>
      </c>
      <c r="U134" t="e">
        <v>#N/A</v>
      </c>
      <c r="Y134" t="str">
        <v/>
      </c>
      <c r="AM134" t="str">
        <v/>
      </c>
      <c r="AN134" t="str">
        <v/>
      </c>
      <c r="AO134" t="str">
        <v/>
      </c>
      <c r="AQ134" t="str">
        <v/>
      </c>
      <c r="AR134" t="str">
        <v/>
      </c>
      <c r="AS134" t="e">
        <v>#N/A</v>
      </c>
      <c r="AU134" t="str">
        <v/>
      </c>
      <c r="AW134" t="e">
        <v>#N/A</v>
      </c>
    </row>
    <row r="135" spans="1:49" x14ac:dyDescent="0.25">
      <c r="A135" t="str">
        <v/>
      </c>
      <c r="B135" t="str">
        <v/>
      </c>
      <c r="C135" t="e">
        <v>#N/A</v>
      </c>
      <c r="D135" t="e">
        <v>#N/A</v>
      </c>
      <c r="J135" t="str">
        <v/>
      </c>
      <c r="K135" t="e">
        <f ca="1"/>
        <v>#N/A</v>
      </c>
      <c r="L135" t="str">
        <v/>
      </c>
      <c r="M135" t="e">
        <v>#N/A</v>
      </c>
      <c r="N135" t="e">
        <v>#N/A</v>
      </c>
      <c r="O135" t="e">
        <v>#N/A</v>
      </c>
      <c r="R135" t="e">
        <v>#N/A</v>
      </c>
      <c r="T135" t="e">
        <v>#N/A</v>
      </c>
      <c r="U135" t="e">
        <v>#N/A</v>
      </c>
      <c r="Y135" t="str">
        <v/>
      </c>
      <c r="AM135" t="str">
        <v/>
      </c>
      <c r="AN135" t="str">
        <v/>
      </c>
      <c r="AO135" t="str">
        <v/>
      </c>
      <c r="AQ135" t="str">
        <v/>
      </c>
      <c r="AR135" t="str">
        <v/>
      </c>
      <c r="AS135" t="e">
        <v>#N/A</v>
      </c>
      <c r="AU135" t="str">
        <v/>
      </c>
      <c r="AW135" t="e">
        <v>#N/A</v>
      </c>
    </row>
    <row r="136" spans="1:49" x14ac:dyDescent="0.25">
      <c r="A136" t="str">
        <v/>
      </c>
      <c r="B136" t="str">
        <v/>
      </c>
      <c r="C136" t="e">
        <v>#N/A</v>
      </c>
      <c r="D136" t="e">
        <v>#N/A</v>
      </c>
      <c r="J136" t="str">
        <v/>
      </c>
      <c r="K136" t="e">
        <f ca="1"/>
        <v>#N/A</v>
      </c>
      <c r="L136" t="str">
        <v/>
      </c>
      <c r="M136" t="e">
        <v>#N/A</v>
      </c>
      <c r="N136" t="e">
        <v>#N/A</v>
      </c>
      <c r="O136" t="e">
        <v>#N/A</v>
      </c>
      <c r="R136" t="e">
        <v>#N/A</v>
      </c>
      <c r="T136" t="e">
        <v>#N/A</v>
      </c>
      <c r="U136" t="e">
        <v>#N/A</v>
      </c>
      <c r="Y136" t="str">
        <v/>
      </c>
      <c r="AM136" t="str">
        <v/>
      </c>
      <c r="AN136" t="str">
        <v/>
      </c>
      <c r="AO136" t="str">
        <v/>
      </c>
      <c r="AQ136" t="str">
        <v/>
      </c>
      <c r="AR136" t="str">
        <v/>
      </c>
      <c r="AS136" t="e">
        <v>#N/A</v>
      </c>
      <c r="AU136" t="str">
        <v/>
      </c>
      <c r="AW136" t="e">
        <v>#N/A</v>
      </c>
    </row>
    <row r="137" spans="1:49" x14ac:dyDescent="0.25">
      <c r="A137" t="str">
        <v/>
      </c>
      <c r="B137" t="str">
        <v/>
      </c>
      <c r="C137" t="e">
        <v>#N/A</v>
      </c>
      <c r="D137" t="e">
        <v>#N/A</v>
      </c>
      <c r="J137" t="str">
        <v/>
      </c>
      <c r="K137" t="e">
        <f ca="1"/>
        <v>#N/A</v>
      </c>
      <c r="L137" t="str">
        <v/>
      </c>
      <c r="M137" t="e">
        <v>#N/A</v>
      </c>
      <c r="N137" t="e">
        <v>#N/A</v>
      </c>
      <c r="O137" t="e">
        <v>#N/A</v>
      </c>
      <c r="R137" t="e">
        <v>#N/A</v>
      </c>
      <c r="T137" t="e">
        <v>#N/A</v>
      </c>
      <c r="U137" t="e">
        <v>#N/A</v>
      </c>
      <c r="Y137" t="str">
        <v/>
      </c>
      <c r="AM137" t="str">
        <v/>
      </c>
      <c r="AN137" t="str">
        <v/>
      </c>
      <c r="AO137" t="str">
        <v/>
      </c>
      <c r="AQ137" t="str">
        <v/>
      </c>
      <c r="AR137" t="str">
        <v/>
      </c>
      <c r="AS137" t="e">
        <v>#N/A</v>
      </c>
      <c r="AU137" t="str">
        <v/>
      </c>
      <c r="AW137" t="e">
        <v>#N/A</v>
      </c>
    </row>
    <row r="138" spans="1:49" x14ac:dyDescent="0.25">
      <c r="A138" t="str">
        <v/>
      </c>
      <c r="B138" t="str">
        <v/>
      </c>
      <c r="C138" t="e">
        <v>#N/A</v>
      </c>
      <c r="D138" t="e">
        <v>#N/A</v>
      </c>
      <c r="J138" t="str">
        <v/>
      </c>
      <c r="K138" t="e">
        <f ca="1"/>
        <v>#N/A</v>
      </c>
      <c r="L138" t="str">
        <v/>
      </c>
      <c r="M138" t="e">
        <v>#N/A</v>
      </c>
      <c r="N138" t="e">
        <v>#N/A</v>
      </c>
      <c r="O138" t="e">
        <v>#N/A</v>
      </c>
      <c r="R138" t="e">
        <v>#N/A</v>
      </c>
      <c r="T138" t="e">
        <v>#N/A</v>
      </c>
      <c r="U138" t="e">
        <v>#N/A</v>
      </c>
      <c r="Y138" t="str">
        <v/>
      </c>
      <c r="AM138" t="str">
        <v/>
      </c>
      <c r="AN138" t="str">
        <v/>
      </c>
      <c r="AO138" t="str">
        <v/>
      </c>
      <c r="AQ138" t="str">
        <v/>
      </c>
      <c r="AR138" t="str">
        <v/>
      </c>
      <c r="AS138" t="e">
        <v>#N/A</v>
      </c>
      <c r="AU138" t="str">
        <v/>
      </c>
      <c r="AW138" t="e">
        <v>#N/A</v>
      </c>
    </row>
    <row r="139" spans="1:49" x14ac:dyDescent="0.25">
      <c r="A139" t="str">
        <v/>
      </c>
      <c r="B139" t="str">
        <v/>
      </c>
      <c r="C139" t="e">
        <v>#N/A</v>
      </c>
      <c r="D139" t="e">
        <v>#N/A</v>
      </c>
      <c r="J139" t="str">
        <v/>
      </c>
      <c r="K139" t="e">
        <f ca="1"/>
        <v>#N/A</v>
      </c>
      <c r="L139" t="str">
        <v/>
      </c>
      <c r="M139" t="e">
        <v>#N/A</v>
      </c>
      <c r="N139" t="e">
        <v>#N/A</v>
      </c>
      <c r="O139" t="e">
        <v>#N/A</v>
      </c>
      <c r="R139" t="e">
        <v>#N/A</v>
      </c>
      <c r="T139" t="e">
        <v>#N/A</v>
      </c>
      <c r="U139" t="e">
        <v>#N/A</v>
      </c>
      <c r="Y139" t="str">
        <v/>
      </c>
      <c r="AM139" t="str">
        <v/>
      </c>
      <c r="AN139" t="str">
        <v/>
      </c>
      <c r="AO139" t="str">
        <v/>
      </c>
      <c r="AQ139" t="str">
        <v/>
      </c>
      <c r="AR139" t="str">
        <v/>
      </c>
      <c r="AS139" t="e">
        <v>#N/A</v>
      </c>
      <c r="AU139" t="str">
        <v/>
      </c>
      <c r="AW139" t="e">
        <v>#N/A</v>
      </c>
    </row>
    <row r="140" spans="1:49" x14ac:dyDescent="0.25">
      <c r="A140" t="str">
        <v/>
      </c>
      <c r="B140" t="str">
        <v/>
      </c>
      <c r="C140" t="e">
        <v>#N/A</v>
      </c>
      <c r="D140" t="e">
        <v>#N/A</v>
      </c>
      <c r="J140" t="str">
        <v/>
      </c>
      <c r="K140" t="e">
        <f ca="1"/>
        <v>#N/A</v>
      </c>
      <c r="L140" t="str">
        <v/>
      </c>
      <c r="M140" t="e">
        <v>#N/A</v>
      </c>
      <c r="N140" t="e">
        <v>#N/A</v>
      </c>
      <c r="O140" t="e">
        <v>#N/A</v>
      </c>
      <c r="R140" t="e">
        <v>#N/A</v>
      </c>
      <c r="T140" t="e">
        <v>#N/A</v>
      </c>
      <c r="U140" t="e">
        <v>#N/A</v>
      </c>
      <c r="Y140" t="str">
        <v/>
      </c>
      <c r="AM140" t="str">
        <v/>
      </c>
      <c r="AN140" t="str">
        <v/>
      </c>
      <c r="AO140" t="str">
        <v/>
      </c>
      <c r="AQ140" t="str">
        <v/>
      </c>
      <c r="AR140" t="str">
        <v/>
      </c>
      <c r="AS140" t="e">
        <v>#N/A</v>
      </c>
      <c r="AU140" t="str">
        <v/>
      </c>
      <c r="AW140" t="e">
        <v>#N/A</v>
      </c>
    </row>
    <row r="141" spans="1:49" x14ac:dyDescent="0.25">
      <c r="A141" t="str">
        <v/>
      </c>
      <c r="B141" t="str">
        <v/>
      </c>
      <c r="C141" t="e">
        <v>#N/A</v>
      </c>
      <c r="D141" t="e">
        <v>#N/A</v>
      </c>
      <c r="J141" t="str">
        <v/>
      </c>
      <c r="K141" t="e">
        <f ca="1"/>
        <v>#N/A</v>
      </c>
      <c r="L141" t="str">
        <v/>
      </c>
      <c r="M141" t="e">
        <v>#N/A</v>
      </c>
      <c r="N141" t="e">
        <v>#N/A</v>
      </c>
      <c r="O141" t="e">
        <v>#N/A</v>
      </c>
      <c r="R141" t="e">
        <v>#N/A</v>
      </c>
      <c r="T141" t="e">
        <v>#N/A</v>
      </c>
      <c r="U141" t="e">
        <v>#N/A</v>
      </c>
      <c r="Y141" t="str">
        <v/>
      </c>
      <c r="AM141" t="str">
        <v/>
      </c>
      <c r="AN141" t="str">
        <v/>
      </c>
      <c r="AO141" t="str">
        <v/>
      </c>
      <c r="AQ141" t="str">
        <v/>
      </c>
      <c r="AR141" t="str">
        <v/>
      </c>
      <c r="AS141" t="e">
        <v>#N/A</v>
      </c>
      <c r="AU141" t="str">
        <v/>
      </c>
      <c r="AW141" t="e">
        <v>#N/A</v>
      </c>
    </row>
    <row r="142" spans="1:49" x14ac:dyDescent="0.25">
      <c r="A142" t="str">
        <v/>
      </c>
      <c r="B142" t="str">
        <v/>
      </c>
      <c r="C142" t="e">
        <v>#N/A</v>
      </c>
      <c r="D142" t="e">
        <v>#N/A</v>
      </c>
      <c r="J142" t="str">
        <v/>
      </c>
      <c r="K142" t="e">
        <f ca="1"/>
        <v>#N/A</v>
      </c>
      <c r="L142" t="str">
        <v/>
      </c>
      <c r="M142" t="e">
        <v>#N/A</v>
      </c>
      <c r="N142" t="e">
        <v>#N/A</v>
      </c>
      <c r="O142" t="e">
        <v>#N/A</v>
      </c>
      <c r="R142" t="e">
        <v>#N/A</v>
      </c>
      <c r="T142" t="e">
        <v>#N/A</v>
      </c>
      <c r="U142" t="e">
        <v>#N/A</v>
      </c>
      <c r="Y142" t="str">
        <v/>
      </c>
      <c r="AM142" t="str">
        <v/>
      </c>
      <c r="AN142" t="str">
        <v/>
      </c>
      <c r="AO142" t="str">
        <v/>
      </c>
      <c r="AQ142" t="str">
        <v/>
      </c>
      <c r="AR142" t="str">
        <v/>
      </c>
      <c r="AS142" t="e">
        <v>#N/A</v>
      </c>
      <c r="AU142" t="str">
        <v/>
      </c>
      <c r="AW142" t="e">
        <v>#N/A</v>
      </c>
    </row>
    <row r="143" spans="1:49" x14ac:dyDescent="0.25">
      <c r="A143" t="str">
        <v/>
      </c>
      <c r="B143" t="str">
        <v/>
      </c>
      <c r="C143" t="e">
        <v>#N/A</v>
      </c>
      <c r="D143" t="e">
        <v>#N/A</v>
      </c>
      <c r="J143" t="str">
        <v/>
      </c>
      <c r="K143" t="e">
        <f ca="1"/>
        <v>#N/A</v>
      </c>
      <c r="L143" t="str">
        <v/>
      </c>
      <c r="M143" t="e">
        <v>#N/A</v>
      </c>
      <c r="N143" t="e">
        <v>#N/A</v>
      </c>
      <c r="O143" t="e">
        <v>#N/A</v>
      </c>
      <c r="R143" t="e">
        <v>#N/A</v>
      </c>
      <c r="T143" t="e">
        <v>#N/A</v>
      </c>
      <c r="U143" t="e">
        <v>#N/A</v>
      </c>
      <c r="Y143" t="str">
        <v/>
      </c>
      <c r="AM143" t="str">
        <v/>
      </c>
      <c r="AN143" t="str">
        <v/>
      </c>
      <c r="AO143" t="str">
        <v/>
      </c>
      <c r="AQ143" t="str">
        <v/>
      </c>
      <c r="AR143" t="str">
        <v/>
      </c>
      <c r="AS143" t="e">
        <v>#N/A</v>
      </c>
      <c r="AU143" t="str">
        <v/>
      </c>
      <c r="AW143" t="e">
        <v>#N/A</v>
      </c>
    </row>
    <row r="144" spans="1:49" x14ac:dyDescent="0.25">
      <c r="A144" t="str">
        <v/>
      </c>
      <c r="B144" t="str">
        <v/>
      </c>
      <c r="C144" t="e">
        <v>#N/A</v>
      </c>
      <c r="D144" t="e">
        <v>#N/A</v>
      </c>
      <c r="J144" t="str">
        <v/>
      </c>
      <c r="K144" t="e">
        <f ca="1"/>
        <v>#N/A</v>
      </c>
      <c r="L144" t="str">
        <v/>
      </c>
      <c r="M144" t="e">
        <v>#N/A</v>
      </c>
      <c r="N144" t="e">
        <v>#N/A</v>
      </c>
      <c r="O144" t="e">
        <v>#N/A</v>
      </c>
      <c r="R144" t="e">
        <v>#N/A</v>
      </c>
      <c r="T144" t="e">
        <v>#N/A</v>
      </c>
      <c r="U144" t="e">
        <v>#N/A</v>
      </c>
      <c r="Y144" t="str">
        <v/>
      </c>
      <c r="AM144" t="str">
        <v/>
      </c>
      <c r="AN144" t="str">
        <v/>
      </c>
      <c r="AO144" t="str">
        <v/>
      </c>
      <c r="AQ144" t="str">
        <v/>
      </c>
      <c r="AR144" t="str">
        <v/>
      </c>
      <c r="AS144" t="e">
        <v>#N/A</v>
      </c>
      <c r="AU144" t="str">
        <v/>
      </c>
      <c r="AW144" t="e">
        <v>#N/A</v>
      </c>
    </row>
    <row r="145" spans="1:49" x14ac:dyDescent="0.25">
      <c r="A145" t="str">
        <v/>
      </c>
      <c r="B145" t="str">
        <v/>
      </c>
      <c r="C145" t="e">
        <v>#N/A</v>
      </c>
      <c r="D145" t="e">
        <v>#N/A</v>
      </c>
      <c r="J145" t="str">
        <v/>
      </c>
      <c r="K145" t="e">
        <f ca="1"/>
        <v>#N/A</v>
      </c>
      <c r="L145" t="str">
        <v/>
      </c>
      <c r="M145" t="e">
        <v>#N/A</v>
      </c>
      <c r="N145" t="e">
        <v>#N/A</v>
      </c>
      <c r="O145" t="e">
        <v>#N/A</v>
      </c>
      <c r="R145" t="e">
        <v>#N/A</v>
      </c>
      <c r="T145" t="e">
        <v>#N/A</v>
      </c>
      <c r="U145" t="e">
        <v>#N/A</v>
      </c>
      <c r="Y145" t="str">
        <v/>
      </c>
      <c r="AM145" t="str">
        <v/>
      </c>
      <c r="AN145" t="str">
        <v/>
      </c>
      <c r="AO145" t="str">
        <v/>
      </c>
      <c r="AQ145" t="str">
        <v/>
      </c>
      <c r="AR145" t="str">
        <v/>
      </c>
      <c r="AS145" t="e">
        <v>#N/A</v>
      </c>
      <c r="AU145" t="str">
        <v/>
      </c>
      <c r="AW145" t="e">
        <v>#N/A</v>
      </c>
    </row>
    <row r="146" spans="1:49" x14ac:dyDescent="0.25">
      <c r="A146" t="str">
        <v/>
      </c>
      <c r="B146" t="str">
        <v/>
      </c>
      <c r="C146" t="e">
        <v>#N/A</v>
      </c>
      <c r="D146" t="e">
        <v>#N/A</v>
      </c>
      <c r="J146" t="str">
        <v/>
      </c>
      <c r="K146" t="e">
        <f ca="1"/>
        <v>#N/A</v>
      </c>
      <c r="L146" t="str">
        <v/>
      </c>
      <c r="M146" t="e">
        <v>#N/A</v>
      </c>
      <c r="N146" t="e">
        <v>#N/A</v>
      </c>
      <c r="O146" t="e">
        <v>#N/A</v>
      </c>
      <c r="R146" t="e">
        <v>#N/A</v>
      </c>
      <c r="T146" t="e">
        <v>#N/A</v>
      </c>
      <c r="U146" t="e">
        <v>#N/A</v>
      </c>
      <c r="Y146" t="str">
        <v/>
      </c>
      <c r="AM146" t="str">
        <v/>
      </c>
      <c r="AN146" t="str">
        <v/>
      </c>
      <c r="AO146" t="str">
        <v/>
      </c>
      <c r="AQ146" t="str">
        <v/>
      </c>
      <c r="AR146" t="str">
        <v/>
      </c>
      <c r="AS146" t="e">
        <v>#N/A</v>
      </c>
      <c r="AU146" t="str">
        <v/>
      </c>
      <c r="AW146" t="e">
        <v>#N/A</v>
      </c>
    </row>
    <row r="147" spans="1:49" x14ac:dyDescent="0.25">
      <c r="A147" t="str">
        <v/>
      </c>
      <c r="B147" t="str">
        <v/>
      </c>
      <c r="C147" t="e">
        <v>#N/A</v>
      </c>
      <c r="D147" t="e">
        <v>#N/A</v>
      </c>
      <c r="J147" t="str">
        <v/>
      </c>
      <c r="K147" t="e">
        <f ca="1"/>
        <v>#N/A</v>
      </c>
      <c r="L147" t="str">
        <v/>
      </c>
      <c r="M147" t="e">
        <v>#N/A</v>
      </c>
      <c r="N147" t="e">
        <v>#N/A</v>
      </c>
      <c r="O147" t="e">
        <v>#N/A</v>
      </c>
      <c r="R147" t="e">
        <v>#N/A</v>
      </c>
      <c r="T147" t="e">
        <v>#N/A</v>
      </c>
      <c r="U147" t="e">
        <v>#N/A</v>
      </c>
      <c r="Y147" t="str">
        <v/>
      </c>
      <c r="AM147" t="str">
        <v/>
      </c>
      <c r="AN147" t="str">
        <v/>
      </c>
      <c r="AO147" t="str">
        <v/>
      </c>
      <c r="AQ147" t="str">
        <v/>
      </c>
      <c r="AR147" t="str">
        <v/>
      </c>
      <c r="AS147" t="e">
        <v>#N/A</v>
      </c>
      <c r="AU147" t="str">
        <v/>
      </c>
      <c r="AW147" t="e">
        <v>#N/A</v>
      </c>
    </row>
    <row r="148" spans="1:49" x14ac:dyDescent="0.25">
      <c r="A148" t="str">
        <v/>
      </c>
      <c r="B148" t="str">
        <v/>
      </c>
      <c r="C148" t="e">
        <v>#N/A</v>
      </c>
      <c r="D148" t="e">
        <v>#N/A</v>
      </c>
      <c r="J148" t="str">
        <v/>
      </c>
      <c r="K148" t="e">
        <f ca="1"/>
        <v>#N/A</v>
      </c>
      <c r="L148" t="str">
        <v/>
      </c>
      <c r="M148" t="e">
        <v>#N/A</v>
      </c>
      <c r="N148" t="e">
        <v>#N/A</v>
      </c>
      <c r="O148" t="e">
        <v>#N/A</v>
      </c>
      <c r="R148" t="e">
        <v>#N/A</v>
      </c>
      <c r="T148" t="e">
        <v>#N/A</v>
      </c>
      <c r="U148" t="e">
        <v>#N/A</v>
      </c>
      <c r="Y148" t="str">
        <v/>
      </c>
      <c r="AM148" t="str">
        <v/>
      </c>
      <c r="AN148" t="str">
        <v/>
      </c>
      <c r="AO148" t="str">
        <v/>
      </c>
      <c r="AQ148" t="str">
        <v/>
      </c>
      <c r="AR148" t="str">
        <v/>
      </c>
      <c r="AS148" t="e">
        <v>#N/A</v>
      </c>
      <c r="AU148" t="str">
        <v/>
      </c>
      <c r="AW148" t="e">
        <v>#N/A</v>
      </c>
    </row>
    <row r="149" spans="1:49" x14ac:dyDescent="0.25">
      <c r="A149" t="str">
        <v/>
      </c>
      <c r="B149" t="str">
        <v/>
      </c>
      <c r="C149" t="e">
        <v>#N/A</v>
      </c>
      <c r="D149" t="e">
        <v>#N/A</v>
      </c>
      <c r="J149" t="str">
        <v/>
      </c>
      <c r="K149" t="e">
        <f ca="1"/>
        <v>#N/A</v>
      </c>
      <c r="L149" t="str">
        <v/>
      </c>
      <c r="M149" t="e">
        <v>#N/A</v>
      </c>
      <c r="N149" t="e">
        <v>#N/A</v>
      </c>
      <c r="O149" t="e">
        <v>#N/A</v>
      </c>
      <c r="R149" t="e">
        <v>#N/A</v>
      </c>
      <c r="T149" t="e">
        <v>#N/A</v>
      </c>
      <c r="U149" t="e">
        <v>#N/A</v>
      </c>
      <c r="Y149" t="str">
        <v/>
      </c>
      <c r="AM149" t="str">
        <v/>
      </c>
      <c r="AN149" t="str">
        <v/>
      </c>
      <c r="AO149" t="str">
        <v/>
      </c>
      <c r="AQ149" t="str">
        <v/>
      </c>
      <c r="AR149" t="str">
        <v/>
      </c>
      <c r="AS149" t="e">
        <v>#N/A</v>
      </c>
      <c r="AU149" t="str">
        <v/>
      </c>
      <c r="AW149" t="e">
        <v>#N/A</v>
      </c>
    </row>
    <row r="150" spans="1:49" x14ac:dyDescent="0.25">
      <c r="A150" t="str">
        <v/>
      </c>
      <c r="B150" t="str">
        <v/>
      </c>
      <c r="C150" t="e">
        <v>#N/A</v>
      </c>
      <c r="D150" t="e">
        <v>#N/A</v>
      </c>
      <c r="J150" t="str">
        <v/>
      </c>
      <c r="K150" t="e">
        <f ca="1"/>
        <v>#N/A</v>
      </c>
      <c r="L150" t="str">
        <v/>
      </c>
      <c r="M150" t="e">
        <v>#N/A</v>
      </c>
      <c r="N150" t="e">
        <v>#N/A</v>
      </c>
      <c r="O150" t="e">
        <v>#N/A</v>
      </c>
      <c r="R150" t="e">
        <v>#N/A</v>
      </c>
      <c r="T150" t="e">
        <v>#N/A</v>
      </c>
      <c r="U150" t="e">
        <v>#N/A</v>
      </c>
      <c r="Y150" t="str">
        <v/>
      </c>
      <c r="AM150" t="str">
        <v/>
      </c>
      <c r="AN150" t="str">
        <v/>
      </c>
      <c r="AO150" t="str">
        <v/>
      </c>
      <c r="AQ150" t="str">
        <v/>
      </c>
      <c r="AR150" t="str">
        <v/>
      </c>
      <c r="AS150" t="e">
        <v>#N/A</v>
      </c>
      <c r="AU150" t="str">
        <v/>
      </c>
      <c r="AW150" t="e">
        <v>#N/A</v>
      </c>
    </row>
    <row r="151" spans="1:49" x14ac:dyDescent="0.25">
      <c r="A151" t="str">
        <v/>
      </c>
      <c r="B151" t="str">
        <v/>
      </c>
      <c r="C151" t="e">
        <v>#N/A</v>
      </c>
      <c r="D151" t="e">
        <v>#N/A</v>
      </c>
      <c r="J151" t="str">
        <v/>
      </c>
      <c r="K151" t="e">
        <f ca="1"/>
        <v>#N/A</v>
      </c>
      <c r="L151" t="str">
        <v/>
      </c>
      <c r="M151" t="e">
        <v>#N/A</v>
      </c>
      <c r="N151" t="e">
        <v>#N/A</v>
      </c>
      <c r="O151" t="e">
        <v>#N/A</v>
      </c>
      <c r="R151" t="e">
        <v>#N/A</v>
      </c>
      <c r="T151" t="e">
        <v>#N/A</v>
      </c>
      <c r="U151" t="e">
        <v>#N/A</v>
      </c>
      <c r="Y151" t="str">
        <v/>
      </c>
      <c r="AM151" t="str">
        <v/>
      </c>
      <c r="AN151" t="str">
        <v/>
      </c>
      <c r="AO151" t="str">
        <v/>
      </c>
      <c r="AQ151" t="str">
        <v/>
      </c>
      <c r="AR151" t="str">
        <v/>
      </c>
      <c r="AS151" t="e">
        <v>#N/A</v>
      </c>
      <c r="AU151" t="str">
        <v/>
      </c>
      <c r="AW151" t="e">
        <v>#N/A</v>
      </c>
    </row>
    <row r="152" spans="1:49" x14ac:dyDescent="0.25">
      <c r="A152" t="str">
        <v/>
      </c>
      <c r="B152" t="str">
        <v/>
      </c>
      <c r="C152" t="e">
        <v>#N/A</v>
      </c>
      <c r="D152" t="e">
        <v>#N/A</v>
      </c>
      <c r="J152" t="str">
        <v/>
      </c>
      <c r="K152" t="e">
        <f ca="1"/>
        <v>#N/A</v>
      </c>
      <c r="L152" t="str">
        <v/>
      </c>
      <c r="M152" t="e">
        <v>#N/A</v>
      </c>
      <c r="N152" t="e">
        <v>#N/A</v>
      </c>
      <c r="O152" t="e">
        <v>#N/A</v>
      </c>
      <c r="R152" t="e">
        <v>#N/A</v>
      </c>
      <c r="T152" t="e">
        <v>#N/A</v>
      </c>
      <c r="U152" t="e">
        <v>#N/A</v>
      </c>
      <c r="Y152" t="str">
        <v/>
      </c>
      <c r="AM152" t="str">
        <v/>
      </c>
      <c r="AN152" t="str">
        <v/>
      </c>
      <c r="AO152" t="str">
        <v/>
      </c>
      <c r="AQ152" t="str">
        <v/>
      </c>
      <c r="AR152" t="str">
        <v/>
      </c>
      <c r="AS152" t="e">
        <v>#N/A</v>
      </c>
      <c r="AU152" t="str">
        <v/>
      </c>
      <c r="AW152" t="e">
        <v>#N/A</v>
      </c>
    </row>
    <row r="153" spans="1:49" x14ac:dyDescent="0.25">
      <c r="A153" t="str">
        <v/>
      </c>
      <c r="B153" t="str">
        <v/>
      </c>
      <c r="C153" t="e">
        <v>#N/A</v>
      </c>
      <c r="D153" t="e">
        <v>#N/A</v>
      </c>
      <c r="J153" t="str">
        <v/>
      </c>
      <c r="K153" t="e">
        <f ca="1"/>
        <v>#N/A</v>
      </c>
      <c r="L153" t="str">
        <v/>
      </c>
      <c r="M153" t="e">
        <v>#N/A</v>
      </c>
      <c r="N153" t="e">
        <v>#N/A</v>
      </c>
      <c r="O153" t="e">
        <v>#N/A</v>
      </c>
      <c r="R153" t="e">
        <v>#N/A</v>
      </c>
      <c r="T153" t="e">
        <v>#N/A</v>
      </c>
      <c r="U153" t="e">
        <v>#N/A</v>
      </c>
      <c r="Y153" t="str">
        <v/>
      </c>
      <c r="AM153" t="str">
        <v/>
      </c>
      <c r="AN153" t="str">
        <v/>
      </c>
      <c r="AO153" t="str">
        <v/>
      </c>
      <c r="AQ153" t="str">
        <v/>
      </c>
      <c r="AR153" t="str">
        <v/>
      </c>
      <c r="AS153" t="e">
        <v>#N/A</v>
      </c>
      <c r="AU153" t="str">
        <v/>
      </c>
      <c r="AW153" t="e">
        <v>#N/A</v>
      </c>
    </row>
    <row r="154" spans="1:49" x14ac:dyDescent="0.25">
      <c r="A154" t="str">
        <v/>
      </c>
      <c r="B154" t="str">
        <v/>
      </c>
      <c r="C154" t="e">
        <v>#N/A</v>
      </c>
      <c r="D154" t="e">
        <v>#N/A</v>
      </c>
      <c r="J154" t="str">
        <v/>
      </c>
      <c r="K154" t="e">
        <f ca="1"/>
        <v>#N/A</v>
      </c>
      <c r="L154" t="str">
        <v/>
      </c>
      <c r="M154" t="e">
        <v>#N/A</v>
      </c>
      <c r="N154" t="e">
        <v>#N/A</v>
      </c>
      <c r="O154" t="e">
        <v>#N/A</v>
      </c>
      <c r="R154" t="e">
        <v>#N/A</v>
      </c>
      <c r="T154" t="e">
        <v>#N/A</v>
      </c>
      <c r="U154" t="e">
        <v>#N/A</v>
      </c>
      <c r="Y154" t="str">
        <v/>
      </c>
      <c r="AM154" t="str">
        <v/>
      </c>
      <c r="AN154" t="str">
        <v/>
      </c>
      <c r="AO154" t="str">
        <v/>
      </c>
      <c r="AQ154" t="str">
        <v/>
      </c>
      <c r="AR154" t="str">
        <v/>
      </c>
      <c r="AS154" t="e">
        <v>#N/A</v>
      </c>
      <c r="AU154" t="str">
        <v/>
      </c>
      <c r="AW154" t="e">
        <v>#N/A</v>
      </c>
    </row>
    <row r="155" spans="1:49" x14ac:dyDescent="0.25">
      <c r="A155" t="str">
        <v/>
      </c>
      <c r="B155" t="str">
        <v/>
      </c>
      <c r="C155" t="e">
        <v>#N/A</v>
      </c>
      <c r="D155" t="e">
        <v>#N/A</v>
      </c>
      <c r="J155" t="str">
        <v/>
      </c>
      <c r="K155" t="e">
        <f ca="1"/>
        <v>#N/A</v>
      </c>
      <c r="L155" t="str">
        <v/>
      </c>
      <c r="M155" t="e">
        <v>#N/A</v>
      </c>
      <c r="N155" t="e">
        <v>#N/A</v>
      </c>
      <c r="O155" t="e">
        <v>#N/A</v>
      </c>
      <c r="R155" t="e">
        <v>#N/A</v>
      </c>
      <c r="T155" t="e">
        <v>#N/A</v>
      </c>
      <c r="U155" t="e">
        <v>#N/A</v>
      </c>
      <c r="Y155" t="str">
        <v/>
      </c>
      <c r="AM155" t="str">
        <v/>
      </c>
      <c r="AN155" t="str">
        <v/>
      </c>
      <c r="AO155" t="str">
        <v/>
      </c>
      <c r="AQ155" t="str">
        <v/>
      </c>
      <c r="AR155" t="str">
        <v/>
      </c>
      <c r="AS155" t="e">
        <v>#N/A</v>
      </c>
      <c r="AU155" t="str">
        <v/>
      </c>
      <c r="AW155" t="e">
        <v>#N/A</v>
      </c>
    </row>
    <row r="156" spans="1:49" x14ac:dyDescent="0.25">
      <c r="A156" t="str">
        <v/>
      </c>
      <c r="B156" t="str">
        <v/>
      </c>
      <c r="C156" t="e">
        <v>#N/A</v>
      </c>
      <c r="D156" t="e">
        <v>#N/A</v>
      </c>
      <c r="J156" t="str">
        <v/>
      </c>
      <c r="K156" t="e">
        <f ca="1"/>
        <v>#N/A</v>
      </c>
      <c r="L156" t="str">
        <v/>
      </c>
      <c r="M156" t="e">
        <v>#N/A</v>
      </c>
      <c r="N156" t="e">
        <v>#N/A</v>
      </c>
      <c r="O156" t="e">
        <v>#N/A</v>
      </c>
      <c r="R156" t="e">
        <v>#N/A</v>
      </c>
      <c r="T156" t="e">
        <v>#N/A</v>
      </c>
      <c r="U156" t="e">
        <v>#N/A</v>
      </c>
      <c r="Y156" t="str">
        <v/>
      </c>
      <c r="AM156" t="str">
        <v/>
      </c>
      <c r="AN156" t="str">
        <v/>
      </c>
      <c r="AO156" t="str">
        <v/>
      </c>
      <c r="AQ156" t="str">
        <v/>
      </c>
      <c r="AR156" t="str">
        <v/>
      </c>
      <c r="AS156" t="e">
        <v>#N/A</v>
      </c>
      <c r="AU156" t="str">
        <v/>
      </c>
      <c r="AW156" t="e">
        <v>#N/A</v>
      </c>
    </row>
    <row r="157" spans="1:49" x14ac:dyDescent="0.25">
      <c r="A157" t="str">
        <v/>
      </c>
      <c r="B157" t="str">
        <v/>
      </c>
      <c r="C157" t="e">
        <v>#N/A</v>
      </c>
      <c r="D157" t="e">
        <v>#N/A</v>
      </c>
      <c r="J157" t="str">
        <v/>
      </c>
      <c r="K157" t="e">
        <f ca="1"/>
        <v>#N/A</v>
      </c>
      <c r="L157" t="str">
        <v/>
      </c>
      <c r="M157" t="e">
        <v>#N/A</v>
      </c>
      <c r="N157" t="e">
        <v>#N/A</v>
      </c>
      <c r="O157" t="e">
        <v>#N/A</v>
      </c>
      <c r="R157" t="e">
        <v>#N/A</v>
      </c>
      <c r="T157" t="e">
        <v>#N/A</v>
      </c>
      <c r="U157" t="e">
        <v>#N/A</v>
      </c>
      <c r="Y157" t="str">
        <v/>
      </c>
      <c r="AM157" t="str">
        <v/>
      </c>
      <c r="AN157" t="str">
        <v/>
      </c>
      <c r="AO157" t="str">
        <v/>
      </c>
      <c r="AQ157" t="str">
        <v/>
      </c>
      <c r="AR157" t="str">
        <v/>
      </c>
      <c r="AS157" t="e">
        <v>#N/A</v>
      </c>
      <c r="AU157" t="str">
        <v/>
      </c>
      <c r="AW157" t="e">
        <v>#N/A</v>
      </c>
    </row>
    <row r="158" spans="1:49" x14ac:dyDescent="0.25">
      <c r="A158" t="str">
        <v/>
      </c>
      <c r="B158" t="str">
        <v/>
      </c>
      <c r="C158" t="e">
        <v>#N/A</v>
      </c>
      <c r="D158" t="e">
        <v>#N/A</v>
      </c>
      <c r="J158" t="str">
        <v/>
      </c>
      <c r="K158" t="e">
        <f ca="1"/>
        <v>#N/A</v>
      </c>
      <c r="L158" t="str">
        <v/>
      </c>
      <c r="M158" t="e">
        <v>#N/A</v>
      </c>
      <c r="N158" t="e">
        <v>#N/A</v>
      </c>
      <c r="O158" t="e">
        <v>#N/A</v>
      </c>
      <c r="R158" t="e">
        <v>#N/A</v>
      </c>
      <c r="T158" t="e">
        <v>#N/A</v>
      </c>
      <c r="U158" t="e">
        <v>#N/A</v>
      </c>
      <c r="Y158" t="str">
        <v/>
      </c>
      <c r="AM158" t="str">
        <v/>
      </c>
      <c r="AN158" t="str">
        <v/>
      </c>
      <c r="AO158" t="str">
        <v/>
      </c>
      <c r="AQ158" t="str">
        <v/>
      </c>
      <c r="AR158" t="str">
        <v/>
      </c>
      <c r="AS158" t="e">
        <v>#N/A</v>
      </c>
      <c r="AU158" t="str">
        <v/>
      </c>
      <c r="AW158" t="e">
        <v>#N/A</v>
      </c>
    </row>
    <row r="159" spans="1:49" x14ac:dyDescent="0.25">
      <c r="A159" t="str">
        <v/>
      </c>
      <c r="B159" t="str">
        <v/>
      </c>
      <c r="C159" t="e">
        <v>#N/A</v>
      </c>
      <c r="D159" t="e">
        <v>#N/A</v>
      </c>
      <c r="J159" t="str">
        <v/>
      </c>
      <c r="K159" t="e">
        <f ca="1"/>
        <v>#N/A</v>
      </c>
      <c r="L159" t="str">
        <v/>
      </c>
      <c r="M159" t="e">
        <v>#N/A</v>
      </c>
      <c r="N159" t="e">
        <v>#N/A</v>
      </c>
      <c r="O159" t="e">
        <v>#N/A</v>
      </c>
      <c r="R159" t="e">
        <v>#N/A</v>
      </c>
      <c r="T159" t="e">
        <v>#N/A</v>
      </c>
      <c r="U159" t="e">
        <v>#N/A</v>
      </c>
      <c r="Y159" t="str">
        <v/>
      </c>
      <c r="AM159" t="str">
        <v/>
      </c>
      <c r="AN159" t="str">
        <v/>
      </c>
      <c r="AO159" t="str">
        <v/>
      </c>
      <c r="AQ159" t="str">
        <v/>
      </c>
      <c r="AR159" t="str">
        <v/>
      </c>
      <c r="AS159" t="e">
        <v>#N/A</v>
      </c>
      <c r="AU159" t="str">
        <v/>
      </c>
      <c r="AW159" t="e">
        <v>#N/A</v>
      </c>
    </row>
    <row r="160" spans="1:49" x14ac:dyDescent="0.25">
      <c r="A160" t="str">
        <v/>
      </c>
      <c r="B160" t="str">
        <v/>
      </c>
      <c r="C160" t="e">
        <v>#N/A</v>
      </c>
      <c r="D160" t="e">
        <v>#N/A</v>
      </c>
      <c r="J160" t="str">
        <v/>
      </c>
      <c r="K160" t="e">
        <f ca="1"/>
        <v>#N/A</v>
      </c>
      <c r="L160" t="str">
        <v/>
      </c>
      <c r="M160" t="e">
        <v>#N/A</v>
      </c>
      <c r="N160" t="e">
        <v>#N/A</v>
      </c>
      <c r="O160" t="e">
        <v>#N/A</v>
      </c>
      <c r="R160" t="e">
        <v>#N/A</v>
      </c>
      <c r="T160" t="e">
        <v>#N/A</v>
      </c>
      <c r="U160" t="e">
        <v>#N/A</v>
      </c>
      <c r="Y160" t="str">
        <v/>
      </c>
      <c r="AM160" t="str">
        <v/>
      </c>
      <c r="AN160" t="str">
        <v/>
      </c>
      <c r="AO160" t="str">
        <v/>
      </c>
      <c r="AQ160" t="str">
        <v/>
      </c>
      <c r="AR160" t="str">
        <v/>
      </c>
      <c r="AS160" t="e">
        <v>#N/A</v>
      </c>
      <c r="AU160" t="str">
        <v/>
      </c>
      <c r="AW160" t="e">
        <v>#N/A</v>
      </c>
    </row>
    <row r="161" spans="1:49" x14ac:dyDescent="0.25">
      <c r="A161" t="str">
        <v/>
      </c>
      <c r="B161" t="str">
        <v/>
      </c>
      <c r="C161" t="e">
        <v>#N/A</v>
      </c>
      <c r="D161" t="e">
        <v>#N/A</v>
      </c>
      <c r="J161" t="str">
        <v/>
      </c>
      <c r="K161" t="e">
        <f ca="1"/>
        <v>#N/A</v>
      </c>
      <c r="L161" t="str">
        <v/>
      </c>
      <c r="M161" t="e">
        <v>#N/A</v>
      </c>
      <c r="N161" t="e">
        <v>#N/A</v>
      </c>
      <c r="O161" t="e">
        <v>#N/A</v>
      </c>
      <c r="R161" t="e">
        <v>#N/A</v>
      </c>
      <c r="T161" t="e">
        <v>#N/A</v>
      </c>
      <c r="U161" t="e">
        <v>#N/A</v>
      </c>
      <c r="Y161" t="str">
        <v/>
      </c>
      <c r="AM161" t="str">
        <v/>
      </c>
      <c r="AN161" t="str">
        <v/>
      </c>
      <c r="AO161" t="str">
        <v/>
      </c>
      <c r="AQ161" t="str">
        <v/>
      </c>
      <c r="AR161" t="str">
        <v/>
      </c>
      <c r="AS161" t="e">
        <v>#N/A</v>
      </c>
      <c r="AU161" t="str">
        <v/>
      </c>
      <c r="AW161" t="e">
        <v>#N/A</v>
      </c>
    </row>
    <row r="162" spans="1:49" x14ac:dyDescent="0.25">
      <c r="A162" t="str">
        <v/>
      </c>
      <c r="B162" t="str">
        <v/>
      </c>
      <c r="C162" t="e">
        <v>#N/A</v>
      </c>
      <c r="D162" t="e">
        <v>#N/A</v>
      </c>
      <c r="J162" t="str">
        <v/>
      </c>
      <c r="K162" t="e">
        <f ca="1"/>
        <v>#N/A</v>
      </c>
      <c r="L162" t="str">
        <v/>
      </c>
      <c r="M162" t="e">
        <v>#N/A</v>
      </c>
      <c r="N162" t="e">
        <v>#N/A</v>
      </c>
      <c r="O162" t="e">
        <v>#N/A</v>
      </c>
      <c r="R162" t="e">
        <v>#N/A</v>
      </c>
      <c r="T162" t="e">
        <v>#N/A</v>
      </c>
      <c r="U162" t="e">
        <v>#N/A</v>
      </c>
      <c r="Y162" t="str">
        <v/>
      </c>
      <c r="AM162" t="str">
        <v/>
      </c>
      <c r="AN162" t="str">
        <v/>
      </c>
      <c r="AO162" t="str">
        <v/>
      </c>
      <c r="AQ162" t="str">
        <v/>
      </c>
      <c r="AR162" t="str">
        <v/>
      </c>
      <c r="AS162" t="e">
        <v>#N/A</v>
      </c>
      <c r="AU162" t="str">
        <v/>
      </c>
      <c r="AW162" t="e">
        <v>#N/A</v>
      </c>
    </row>
    <row r="163" spans="1:49" x14ac:dyDescent="0.25">
      <c r="A163" t="str">
        <v/>
      </c>
      <c r="B163" t="str">
        <v/>
      </c>
      <c r="C163" t="e">
        <v>#N/A</v>
      </c>
      <c r="D163" t="e">
        <v>#N/A</v>
      </c>
      <c r="J163" t="str">
        <v/>
      </c>
      <c r="K163" t="e">
        <f ca="1"/>
        <v>#N/A</v>
      </c>
      <c r="L163" t="str">
        <v/>
      </c>
      <c r="M163" t="e">
        <v>#N/A</v>
      </c>
      <c r="N163" t="e">
        <v>#N/A</v>
      </c>
      <c r="O163" t="e">
        <v>#N/A</v>
      </c>
      <c r="R163" t="e">
        <v>#N/A</v>
      </c>
      <c r="T163" t="e">
        <v>#N/A</v>
      </c>
      <c r="U163" t="e">
        <v>#N/A</v>
      </c>
      <c r="Y163" t="str">
        <v/>
      </c>
      <c r="AM163" t="str">
        <v/>
      </c>
      <c r="AN163" t="str">
        <v/>
      </c>
      <c r="AO163" t="str">
        <v/>
      </c>
      <c r="AQ163" t="str">
        <v/>
      </c>
      <c r="AR163" t="str">
        <v/>
      </c>
      <c r="AS163" t="e">
        <v>#N/A</v>
      </c>
      <c r="AU163" t="str">
        <v/>
      </c>
      <c r="AW163" t="e">
        <v>#N/A</v>
      </c>
    </row>
    <row r="164" spans="1:49" x14ac:dyDescent="0.25">
      <c r="A164" t="str">
        <v/>
      </c>
      <c r="B164" t="str">
        <v/>
      </c>
      <c r="C164" t="e">
        <v>#N/A</v>
      </c>
      <c r="D164" t="e">
        <v>#N/A</v>
      </c>
      <c r="J164" t="str">
        <v/>
      </c>
      <c r="K164" t="e">
        <f ca="1"/>
        <v>#N/A</v>
      </c>
      <c r="L164" t="str">
        <v/>
      </c>
      <c r="M164" t="e">
        <v>#N/A</v>
      </c>
      <c r="N164" t="e">
        <v>#N/A</v>
      </c>
      <c r="O164" t="e">
        <v>#N/A</v>
      </c>
      <c r="R164" t="e">
        <v>#N/A</v>
      </c>
      <c r="T164" t="e">
        <v>#N/A</v>
      </c>
      <c r="U164" t="e">
        <v>#N/A</v>
      </c>
      <c r="Y164" t="str">
        <v/>
      </c>
      <c r="AM164" t="str">
        <v/>
      </c>
      <c r="AN164" t="str">
        <v/>
      </c>
      <c r="AO164" t="str">
        <v/>
      </c>
      <c r="AQ164" t="str">
        <v/>
      </c>
      <c r="AR164" t="str">
        <v/>
      </c>
      <c r="AS164" t="e">
        <v>#N/A</v>
      </c>
      <c r="AU164" t="str">
        <v/>
      </c>
      <c r="AW164" t="e">
        <v>#N/A</v>
      </c>
    </row>
    <row r="165" spans="1:49" x14ac:dyDescent="0.25">
      <c r="A165" t="str">
        <v/>
      </c>
      <c r="B165" t="str">
        <v/>
      </c>
      <c r="C165" t="e">
        <v>#N/A</v>
      </c>
      <c r="D165" t="e">
        <v>#N/A</v>
      </c>
      <c r="J165" t="str">
        <v/>
      </c>
      <c r="K165" t="e">
        <f ca="1"/>
        <v>#N/A</v>
      </c>
      <c r="L165" t="str">
        <v/>
      </c>
      <c r="M165" t="e">
        <v>#N/A</v>
      </c>
      <c r="N165" t="e">
        <v>#N/A</v>
      </c>
      <c r="O165" t="e">
        <v>#N/A</v>
      </c>
      <c r="R165" t="e">
        <v>#N/A</v>
      </c>
      <c r="T165" t="e">
        <v>#N/A</v>
      </c>
      <c r="U165" t="e">
        <v>#N/A</v>
      </c>
      <c r="Y165" t="str">
        <v/>
      </c>
      <c r="AM165" t="str">
        <v/>
      </c>
      <c r="AN165" t="str">
        <v/>
      </c>
      <c r="AO165" t="str">
        <v/>
      </c>
      <c r="AQ165" t="str">
        <v/>
      </c>
      <c r="AR165" t="str">
        <v/>
      </c>
      <c r="AS165" t="e">
        <v>#N/A</v>
      </c>
      <c r="AU165" t="str">
        <v/>
      </c>
      <c r="AW165" t="e">
        <v>#N/A</v>
      </c>
    </row>
    <row r="166" spans="1:49" x14ac:dyDescent="0.25">
      <c r="A166" t="str">
        <v/>
      </c>
      <c r="B166" t="str">
        <v/>
      </c>
      <c r="C166" t="e">
        <v>#N/A</v>
      </c>
      <c r="D166" t="e">
        <v>#N/A</v>
      </c>
      <c r="J166" t="str">
        <v/>
      </c>
      <c r="K166" t="e">
        <f ca="1"/>
        <v>#N/A</v>
      </c>
      <c r="L166" t="str">
        <v/>
      </c>
      <c r="M166" t="e">
        <v>#N/A</v>
      </c>
      <c r="N166" t="e">
        <v>#N/A</v>
      </c>
      <c r="O166" t="e">
        <v>#N/A</v>
      </c>
      <c r="R166" t="e">
        <v>#N/A</v>
      </c>
      <c r="T166" t="e">
        <v>#N/A</v>
      </c>
      <c r="U166" t="e">
        <v>#N/A</v>
      </c>
      <c r="Y166" t="str">
        <v/>
      </c>
      <c r="AM166" t="str">
        <v/>
      </c>
      <c r="AN166" t="str">
        <v/>
      </c>
      <c r="AO166" t="str">
        <v/>
      </c>
      <c r="AQ166" t="str">
        <v/>
      </c>
      <c r="AR166" t="str">
        <v/>
      </c>
      <c r="AS166" t="e">
        <v>#N/A</v>
      </c>
      <c r="AU166" t="str">
        <v/>
      </c>
      <c r="AW166" t="e">
        <v>#N/A</v>
      </c>
    </row>
    <row r="167" spans="1:49" x14ac:dyDescent="0.25">
      <c r="A167" t="str">
        <v/>
      </c>
      <c r="B167" t="str">
        <v/>
      </c>
      <c r="C167" t="e">
        <v>#N/A</v>
      </c>
      <c r="D167" t="e">
        <v>#N/A</v>
      </c>
      <c r="J167" t="str">
        <v/>
      </c>
      <c r="K167" t="e">
        <f ca="1"/>
        <v>#N/A</v>
      </c>
      <c r="L167" t="str">
        <v/>
      </c>
      <c r="M167" t="e">
        <v>#N/A</v>
      </c>
      <c r="N167" t="e">
        <v>#N/A</v>
      </c>
      <c r="O167" t="e">
        <v>#N/A</v>
      </c>
      <c r="R167" t="e">
        <v>#N/A</v>
      </c>
      <c r="T167" t="e">
        <v>#N/A</v>
      </c>
      <c r="U167" t="e">
        <v>#N/A</v>
      </c>
      <c r="Y167" t="str">
        <v/>
      </c>
      <c r="AM167" t="str">
        <v/>
      </c>
      <c r="AN167" t="str">
        <v/>
      </c>
      <c r="AO167" t="str">
        <v/>
      </c>
      <c r="AQ167" t="str">
        <v/>
      </c>
      <c r="AR167" t="str">
        <v/>
      </c>
      <c r="AS167" t="e">
        <v>#N/A</v>
      </c>
      <c r="AU167" t="str">
        <v/>
      </c>
      <c r="AW167" t="e">
        <v>#N/A</v>
      </c>
    </row>
    <row r="168" spans="1:49" x14ac:dyDescent="0.25">
      <c r="A168" t="str">
        <v/>
      </c>
      <c r="B168" t="str">
        <v/>
      </c>
      <c r="C168" t="e">
        <v>#N/A</v>
      </c>
      <c r="D168" t="e">
        <v>#N/A</v>
      </c>
      <c r="J168" t="str">
        <v/>
      </c>
      <c r="K168" t="e">
        <f ca="1"/>
        <v>#N/A</v>
      </c>
      <c r="L168" t="str">
        <v/>
      </c>
      <c r="M168" t="e">
        <v>#N/A</v>
      </c>
      <c r="N168" t="e">
        <v>#N/A</v>
      </c>
      <c r="O168" t="e">
        <v>#N/A</v>
      </c>
      <c r="R168" t="e">
        <v>#N/A</v>
      </c>
      <c r="T168" t="e">
        <v>#N/A</v>
      </c>
      <c r="U168" t="e">
        <v>#N/A</v>
      </c>
      <c r="Y168" t="str">
        <v/>
      </c>
      <c r="AM168" t="str">
        <v/>
      </c>
      <c r="AN168" t="str">
        <v/>
      </c>
      <c r="AO168" t="str">
        <v/>
      </c>
      <c r="AQ168" t="str">
        <v/>
      </c>
      <c r="AR168" t="str">
        <v/>
      </c>
      <c r="AS168" t="e">
        <v>#N/A</v>
      </c>
      <c r="AU168" t="str">
        <v/>
      </c>
      <c r="AW168" t="e">
        <v>#N/A</v>
      </c>
    </row>
    <row r="169" spans="1:49" x14ac:dyDescent="0.25">
      <c r="A169" t="str">
        <v/>
      </c>
      <c r="B169" t="str">
        <v/>
      </c>
      <c r="C169" t="e">
        <v>#N/A</v>
      </c>
      <c r="D169" t="e">
        <v>#N/A</v>
      </c>
      <c r="J169" t="str">
        <v/>
      </c>
      <c r="K169" t="e">
        <f ca="1"/>
        <v>#N/A</v>
      </c>
      <c r="L169" t="str">
        <v/>
      </c>
      <c r="M169" t="e">
        <v>#N/A</v>
      </c>
      <c r="N169" t="e">
        <v>#N/A</v>
      </c>
      <c r="O169" t="e">
        <v>#N/A</v>
      </c>
      <c r="R169" t="e">
        <v>#N/A</v>
      </c>
      <c r="T169" t="e">
        <v>#N/A</v>
      </c>
      <c r="U169" t="e">
        <v>#N/A</v>
      </c>
      <c r="Y169" t="str">
        <v/>
      </c>
      <c r="AM169" t="str">
        <v/>
      </c>
      <c r="AN169" t="str">
        <v/>
      </c>
      <c r="AO169" t="str">
        <v/>
      </c>
      <c r="AQ169" t="str">
        <v/>
      </c>
      <c r="AR169" t="str">
        <v/>
      </c>
      <c r="AS169" t="e">
        <v>#N/A</v>
      </c>
      <c r="AU169" t="str">
        <v/>
      </c>
      <c r="AW169" t="e">
        <v>#N/A</v>
      </c>
    </row>
    <row r="170" spans="1:49" x14ac:dyDescent="0.25">
      <c r="A170" t="str">
        <v/>
      </c>
      <c r="B170" t="str">
        <v/>
      </c>
      <c r="C170" t="e">
        <v>#N/A</v>
      </c>
      <c r="D170" t="e">
        <v>#N/A</v>
      </c>
      <c r="J170" t="str">
        <v/>
      </c>
      <c r="K170" t="e">
        <f ca="1"/>
        <v>#N/A</v>
      </c>
      <c r="L170" t="str">
        <v/>
      </c>
      <c r="M170" t="e">
        <v>#N/A</v>
      </c>
      <c r="N170" t="e">
        <v>#N/A</v>
      </c>
      <c r="O170" t="e">
        <v>#N/A</v>
      </c>
      <c r="R170" t="e">
        <v>#N/A</v>
      </c>
      <c r="T170" t="e">
        <v>#N/A</v>
      </c>
      <c r="U170" t="e">
        <v>#N/A</v>
      </c>
      <c r="Y170" t="str">
        <v/>
      </c>
      <c r="AM170" t="str">
        <v/>
      </c>
      <c r="AN170" t="str">
        <v/>
      </c>
      <c r="AO170" t="str">
        <v/>
      </c>
      <c r="AQ170" t="str">
        <v/>
      </c>
      <c r="AR170" t="str">
        <v/>
      </c>
      <c r="AS170" t="e">
        <v>#N/A</v>
      </c>
      <c r="AU170" t="str">
        <v/>
      </c>
      <c r="AW170" t="e">
        <v>#N/A</v>
      </c>
    </row>
    <row r="171" spans="1:49" x14ac:dyDescent="0.25">
      <c r="A171" t="str">
        <v/>
      </c>
      <c r="B171" t="str">
        <v/>
      </c>
      <c r="C171" t="e">
        <v>#N/A</v>
      </c>
      <c r="D171" t="e">
        <v>#N/A</v>
      </c>
      <c r="J171" t="str">
        <v/>
      </c>
      <c r="K171" t="e">
        <f ca="1"/>
        <v>#N/A</v>
      </c>
      <c r="L171" t="str">
        <v/>
      </c>
      <c r="M171" t="e">
        <v>#N/A</v>
      </c>
      <c r="N171" t="e">
        <v>#N/A</v>
      </c>
      <c r="O171" t="e">
        <v>#N/A</v>
      </c>
      <c r="R171" t="e">
        <v>#N/A</v>
      </c>
      <c r="T171" t="e">
        <v>#N/A</v>
      </c>
      <c r="U171" t="e">
        <v>#N/A</v>
      </c>
      <c r="Y171" t="str">
        <v/>
      </c>
      <c r="AM171" t="str">
        <v/>
      </c>
      <c r="AN171" t="str">
        <v/>
      </c>
      <c r="AO171" t="str">
        <v/>
      </c>
      <c r="AQ171" t="str">
        <v/>
      </c>
      <c r="AR171" t="str">
        <v/>
      </c>
      <c r="AS171" t="e">
        <v>#N/A</v>
      </c>
      <c r="AU171" t="str">
        <v/>
      </c>
      <c r="AW171" t="e">
        <v>#N/A</v>
      </c>
    </row>
    <row r="172" spans="1:49" x14ac:dyDescent="0.25">
      <c r="A172" t="str">
        <v/>
      </c>
      <c r="B172" t="str">
        <v/>
      </c>
      <c r="C172" t="e">
        <v>#N/A</v>
      </c>
      <c r="D172" t="e">
        <v>#N/A</v>
      </c>
      <c r="J172" t="str">
        <v/>
      </c>
      <c r="K172" t="e">
        <f ca="1"/>
        <v>#N/A</v>
      </c>
      <c r="L172" t="str">
        <v/>
      </c>
      <c r="M172" t="e">
        <v>#N/A</v>
      </c>
      <c r="N172" t="e">
        <v>#N/A</v>
      </c>
      <c r="O172" t="e">
        <v>#N/A</v>
      </c>
      <c r="R172" t="e">
        <v>#N/A</v>
      </c>
      <c r="T172" t="e">
        <v>#N/A</v>
      </c>
      <c r="U172" t="e">
        <v>#N/A</v>
      </c>
      <c r="Y172" t="str">
        <v/>
      </c>
      <c r="AM172" t="str">
        <v/>
      </c>
      <c r="AN172" t="str">
        <v/>
      </c>
      <c r="AO172" t="str">
        <v/>
      </c>
      <c r="AQ172" t="str">
        <v/>
      </c>
      <c r="AR172" t="str">
        <v/>
      </c>
      <c r="AS172" t="e">
        <v>#N/A</v>
      </c>
      <c r="AU172" t="str">
        <v/>
      </c>
      <c r="AW172" t="e">
        <v>#N/A</v>
      </c>
    </row>
    <row r="173" spans="1:49" x14ac:dyDescent="0.25">
      <c r="A173" t="str">
        <v/>
      </c>
      <c r="B173" t="str">
        <v/>
      </c>
      <c r="C173" t="e">
        <v>#N/A</v>
      </c>
      <c r="D173" t="e">
        <v>#N/A</v>
      </c>
      <c r="J173" t="str">
        <v/>
      </c>
      <c r="K173" t="e">
        <f ca="1"/>
        <v>#N/A</v>
      </c>
      <c r="L173" t="str">
        <v/>
      </c>
      <c r="M173" t="e">
        <v>#N/A</v>
      </c>
      <c r="N173" t="e">
        <v>#N/A</v>
      </c>
      <c r="O173" t="e">
        <v>#N/A</v>
      </c>
      <c r="R173" t="e">
        <v>#N/A</v>
      </c>
      <c r="T173" t="e">
        <v>#N/A</v>
      </c>
      <c r="U173" t="e">
        <v>#N/A</v>
      </c>
      <c r="Y173" t="str">
        <v/>
      </c>
      <c r="AM173" t="str">
        <v/>
      </c>
      <c r="AN173" t="str">
        <v/>
      </c>
      <c r="AO173" t="str">
        <v/>
      </c>
      <c r="AQ173" t="str">
        <v/>
      </c>
      <c r="AR173" t="str">
        <v/>
      </c>
      <c r="AS173" t="e">
        <v>#N/A</v>
      </c>
      <c r="AU173" t="str">
        <v/>
      </c>
      <c r="AW173" t="e">
        <v>#N/A</v>
      </c>
    </row>
    <row r="174" spans="1:49" x14ac:dyDescent="0.25">
      <c r="A174" t="str">
        <v/>
      </c>
      <c r="B174" t="str">
        <v/>
      </c>
      <c r="C174" t="e">
        <v>#N/A</v>
      </c>
      <c r="D174" t="e">
        <v>#N/A</v>
      </c>
      <c r="J174" t="str">
        <v/>
      </c>
      <c r="K174" t="e">
        <f ca="1"/>
        <v>#N/A</v>
      </c>
      <c r="L174" t="str">
        <v/>
      </c>
      <c r="M174" t="e">
        <v>#N/A</v>
      </c>
      <c r="N174" t="e">
        <v>#N/A</v>
      </c>
      <c r="O174" t="e">
        <v>#N/A</v>
      </c>
      <c r="R174" t="e">
        <v>#N/A</v>
      </c>
      <c r="T174" t="e">
        <v>#N/A</v>
      </c>
      <c r="U174" t="e">
        <v>#N/A</v>
      </c>
      <c r="Y174" t="str">
        <v/>
      </c>
      <c r="AM174" t="str">
        <v/>
      </c>
      <c r="AN174" t="str">
        <v/>
      </c>
      <c r="AO174" t="str">
        <v/>
      </c>
      <c r="AQ174" t="str">
        <v/>
      </c>
      <c r="AR174" t="str">
        <v/>
      </c>
      <c r="AS174" t="e">
        <v>#N/A</v>
      </c>
      <c r="AU174" t="str">
        <v/>
      </c>
      <c r="AW174" t="e">
        <v>#N/A</v>
      </c>
    </row>
    <row r="175" spans="1:49" x14ac:dyDescent="0.25">
      <c r="A175" t="str">
        <v/>
      </c>
      <c r="B175" t="str">
        <v/>
      </c>
      <c r="C175" t="e">
        <v>#N/A</v>
      </c>
      <c r="D175" t="e">
        <v>#N/A</v>
      </c>
      <c r="J175" t="str">
        <v/>
      </c>
      <c r="K175" t="e">
        <f ca="1"/>
        <v>#N/A</v>
      </c>
      <c r="L175" t="str">
        <v/>
      </c>
      <c r="M175" t="e">
        <v>#N/A</v>
      </c>
      <c r="N175" t="e">
        <v>#N/A</v>
      </c>
      <c r="O175" t="e">
        <v>#N/A</v>
      </c>
      <c r="R175" t="e">
        <v>#N/A</v>
      </c>
      <c r="T175" t="e">
        <v>#N/A</v>
      </c>
      <c r="U175" t="e">
        <v>#N/A</v>
      </c>
      <c r="Y175" t="str">
        <v/>
      </c>
      <c r="AM175" t="str">
        <v/>
      </c>
      <c r="AN175" t="str">
        <v/>
      </c>
      <c r="AO175" t="str">
        <v/>
      </c>
      <c r="AQ175" t="str">
        <v/>
      </c>
      <c r="AR175" t="str">
        <v/>
      </c>
      <c r="AS175" t="e">
        <v>#N/A</v>
      </c>
      <c r="AU175" t="str">
        <v/>
      </c>
      <c r="AW175" t="e">
        <v>#N/A</v>
      </c>
    </row>
    <row r="176" spans="1:49" x14ac:dyDescent="0.25">
      <c r="A176" t="str">
        <v/>
      </c>
      <c r="B176" t="str">
        <v/>
      </c>
      <c r="C176" t="e">
        <v>#N/A</v>
      </c>
      <c r="D176" t="e">
        <v>#N/A</v>
      </c>
      <c r="J176" t="str">
        <v/>
      </c>
      <c r="K176" t="e">
        <f ca="1"/>
        <v>#N/A</v>
      </c>
      <c r="L176" t="str">
        <v/>
      </c>
      <c r="M176" t="e">
        <v>#N/A</v>
      </c>
      <c r="N176" t="e">
        <v>#N/A</v>
      </c>
      <c r="O176" t="e">
        <v>#N/A</v>
      </c>
      <c r="R176" t="e">
        <v>#N/A</v>
      </c>
      <c r="T176" t="e">
        <v>#N/A</v>
      </c>
      <c r="U176" t="e">
        <v>#N/A</v>
      </c>
      <c r="Y176" t="str">
        <v/>
      </c>
      <c r="AM176" t="str">
        <v/>
      </c>
      <c r="AN176" t="str">
        <v/>
      </c>
      <c r="AO176" t="str">
        <v/>
      </c>
      <c r="AQ176" t="str">
        <v/>
      </c>
      <c r="AR176" t="str">
        <v/>
      </c>
      <c r="AS176" t="e">
        <v>#N/A</v>
      </c>
      <c r="AU176" t="str">
        <v/>
      </c>
      <c r="AW176" t="e">
        <v>#N/A</v>
      </c>
    </row>
    <row r="177" spans="1:49" x14ac:dyDescent="0.25">
      <c r="A177" t="str">
        <v/>
      </c>
      <c r="B177" t="str">
        <v/>
      </c>
      <c r="C177" t="e">
        <v>#N/A</v>
      </c>
      <c r="D177" t="e">
        <v>#N/A</v>
      </c>
      <c r="J177" t="str">
        <v/>
      </c>
      <c r="K177" t="e">
        <f ca="1"/>
        <v>#N/A</v>
      </c>
      <c r="L177" t="str">
        <v/>
      </c>
      <c r="M177" t="e">
        <v>#N/A</v>
      </c>
      <c r="N177" t="e">
        <v>#N/A</v>
      </c>
      <c r="O177" t="e">
        <v>#N/A</v>
      </c>
      <c r="R177" t="e">
        <v>#N/A</v>
      </c>
      <c r="T177" t="e">
        <v>#N/A</v>
      </c>
      <c r="U177" t="e">
        <v>#N/A</v>
      </c>
      <c r="Y177" t="str">
        <v/>
      </c>
      <c r="AM177" t="str">
        <v/>
      </c>
      <c r="AN177" t="str">
        <v/>
      </c>
      <c r="AO177" t="str">
        <v/>
      </c>
      <c r="AQ177" t="str">
        <v/>
      </c>
      <c r="AR177" t="str">
        <v/>
      </c>
      <c r="AS177" t="e">
        <v>#N/A</v>
      </c>
      <c r="AU177" t="str">
        <v/>
      </c>
      <c r="AW177" t="e">
        <v>#N/A</v>
      </c>
    </row>
    <row r="178" spans="1:49" x14ac:dyDescent="0.25">
      <c r="A178" t="str">
        <v/>
      </c>
      <c r="B178" t="str">
        <v/>
      </c>
      <c r="C178" t="e">
        <v>#N/A</v>
      </c>
      <c r="D178" t="e">
        <v>#N/A</v>
      </c>
      <c r="J178" t="str">
        <v/>
      </c>
      <c r="K178" t="e">
        <f ca="1"/>
        <v>#N/A</v>
      </c>
      <c r="L178" t="str">
        <v/>
      </c>
      <c r="M178" t="e">
        <v>#N/A</v>
      </c>
      <c r="N178" t="e">
        <v>#N/A</v>
      </c>
      <c r="O178" t="e">
        <v>#N/A</v>
      </c>
      <c r="R178" t="e">
        <v>#N/A</v>
      </c>
      <c r="T178" t="e">
        <v>#N/A</v>
      </c>
      <c r="U178" t="e">
        <v>#N/A</v>
      </c>
      <c r="Y178" t="str">
        <v/>
      </c>
      <c r="AM178" t="str">
        <v/>
      </c>
      <c r="AN178" t="str">
        <v/>
      </c>
      <c r="AO178" t="str">
        <v/>
      </c>
      <c r="AQ178" t="str">
        <v/>
      </c>
      <c r="AR178" t="str">
        <v/>
      </c>
      <c r="AS178" t="e">
        <v>#N/A</v>
      </c>
      <c r="AU178" t="str">
        <v/>
      </c>
      <c r="AW178" t="e">
        <v>#N/A</v>
      </c>
    </row>
    <row r="179" spans="1:49" x14ac:dyDescent="0.25">
      <c r="A179" t="str">
        <v/>
      </c>
      <c r="B179" t="str">
        <v/>
      </c>
      <c r="C179" t="e">
        <v>#N/A</v>
      </c>
      <c r="D179" t="e">
        <v>#N/A</v>
      </c>
      <c r="J179" t="str">
        <v/>
      </c>
      <c r="K179" t="e">
        <f ca="1"/>
        <v>#N/A</v>
      </c>
      <c r="L179" t="str">
        <v/>
      </c>
      <c r="M179" t="e">
        <v>#N/A</v>
      </c>
      <c r="N179" t="e">
        <v>#N/A</v>
      </c>
      <c r="O179" t="e">
        <v>#N/A</v>
      </c>
      <c r="R179" t="e">
        <v>#N/A</v>
      </c>
      <c r="T179" t="e">
        <v>#N/A</v>
      </c>
      <c r="U179" t="e">
        <v>#N/A</v>
      </c>
      <c r="Y179" t="str">
        <v/>
      </c>
      <c r="AM179" t="str">
        <v/>
      </c>
      <c r="AN179" t="str">
        <v/>
      </c>
      <c r="AO179" t="str">
        <v/>
      </c>
      <c r="AQ179" t="str">
        <v/>
      </c>
      <c r="AR179" t="str">
        <v/>
      </c>
      <c r="AS179" t="e">
        <v>#N/A</v>
      </c>
      <c r="AU179" t="str">
        <v/>
      </c>
      <c r="AW179" t="e">
        <v>#N/A</v>
      </c>
    </row>
    <row r="180" spans="1:49" x14ac:dyDescent="0.25">
      <c r="A180" t="str">
        <v/>
      </c>
      <c r="B180" t="str">
        <v/>
      </c>
      <c r="C180" t="e">
        <v>#N/A</v>
      </c>
      <c r="D180" t="e">
        <v>#N/A</v>
      </c>
      <c r="J180" t="str">
        <v/>
      </c>
      <c r="K180" t="e">
        <f ca="1"/>
        <v>#N/A</v>
      </c>
      <c r="L180" t="str">
        <v/>
      </c>
      <c r="M180" t="e">
        <v>#N/A</v>
      </c>
      <c r="N180" t="e">
        <v>#N/A</v>
      </c>
      <c r="O180" t="e">
        <v>#N/A</v>
      </c>
      <c r="R180" t="e">
        <v>#N/A</v>
      </c>
      <c r="T180" t="e">
        <v>#N/A</v>
      </c>
      <c r="U180" t="e">
        <v>#N/A</v>
      </c>
      <c r="Y180" t="str">
        <v/>
      </c>
      <c r="AM180" t="str">
        <v/>
      </c>
      <c r="AN180" t="str">
        <v/>
      </c>
      <c r="AO180" t="str">
        <v/>
      </c>
      <c r="AQ180" t="str">
        <v/>
      </c>
      <c r="AR180" t="str">
        <v/>
      </c>
      <c r="AS180" t="e">
        <v>#N/A</v>
      </c>
      <c r="AU180" t="str">
        <v/>
      </c>
      <c r="AW180" t="e">
        <v>#N/A</v>
      </c>
    </row>
    <row r="181" spans="1:49" x14ac:dyDescent="0.25">
      <c r="A181" t="str">
        <v/>
      </c>
      <c r="B181" t="str">
        <v/>
      </c>
      <c r="C181" t="e">
        <v>#N/A</v>
      </c>
      <c r="D181" t="e">
        <v>#N/A</v>
      </c>
      <c r="J181" t="str">
        <v/>
      </c>
      <c r="K181" t="e">
        <f ca="1"/>
        <v>#N/A</v>
      </c>
      <c r="L181" t="str">
        <v/>
      </c>
      <c r="M181" t="e">
        <v>#N/A</v>
      </c>
      <c r="N181" t="e">
        <v>#N/A</v>
      </c>
      <c r="O181" t="e">
        <v>#N/A</v>
      </c>
      <c r="R181" t="e">
        <v>#N/A</v>
      </c>
      <c r="T181" t="e">
        <v>#N/A</v>
      </c>
      <c r="U181" t="e">
        <v>#N/A</v>
      </c>
      <c r="Y181" t="str">
        <v/>
      </c>
      <c r="AM181" t="str">
        <v/>
      </c>
      <c r="AN181" t="str">
        <v/>
      </c>
      <c r="AO181" t="str">
        <v/>
      </c>
      <c r="AQ181" t="str">
        <v/>
      </c>
      <c r="AR181" t="str">
        <v/>
      </c>
      <c r="AS181" t="e">
        <v>#N/A</v>
      </c>
      <c r="AU181" t="str">
        <v/>
      </c>
      <c r="AW181" t="e">
        <v>#N/A</v>
      </c>
    </row>
    <row r="182" spans="1:49" x14ac:dyDescent="0.25">
      <c r="A182" t="str">
        <v/>
      </c>
      <c r="B182" t="str">
        <v/>
      </c>
      <c r="C182" t="e">
        <v>#N/A</v>
      </c>
      <c r="D182" t="e">
        <v>#N/A</v>
      </c>
      <c r="J182" t="str">
        <v/>
      </c>
      <c r="K182" t="e">
        <f ca="1"/>
        <v>#N/A</v>
      </c>
      <c r="L182" t="str">
        <v/>
      </c>
      <c r="M182" t="e">
        <v>#N/A</v>
      </c>
      <c r="N182" t="e">
        <v>#N/A</v>
      </c>
      <c r="O182" t="e">
        <v>#N/A</v>
      </c>
      <c r="R182" t="e">
        <v>#N/A</v>
      </c>
      <c r="T182" t="e">
        <v>#N/A</v>
      </c>
      <c r="U182" t="e">
        <v>#N/A</v>
      </c>
      <c r="Y182" t="str">
        <v/>
      </c>
      <c r="AM182" t="str">
        <v/>
      </c>
      <c r="AN182" t="str">
        <v/>
      </c>
      <c r="AO182" t="str">
        <v/>
      </c>
      <c r="AQ182" t="str">
        <v/>
      </c>
      <c r="AR182" t="str">
        <v/>
      </c>
      <c r="AS182" t="e">
        <v>#N/A</v>
      </c>
      <c r="AU182" t="str">
        <v/>
      </c>
      <c r="AW182" t="e">
        <v>#N/A</v>
      </c>
    </row>
    <row r="183" spans="1:49" x14ac:dyDescent="0.25">
      <c r="A183" t="str">
        <v/>
      </c>
      <c r="B183" t="str">
        <v/>
      </c>
      <c r="C183" t="e">
        <v>#N/A</v>
      </c>
      <c r="D183" t="e">
        <v>#N/A</v>
      </c>
      <c r="J183" t="str">
        <v/>
      </c>
      <c r="K183" t="e">
        <f ca="1"/>
        <v>#N/A</v>
      </c>
      <c r="L183" t="str">
        <v/>
      </c>
      <c r="M183" t="e">
        <v>#N/A</v>
      </c>
      <c r="N183" t="e">
        <v>#N/A</v>
      </c>
      <c r="O183" t="e">
        <v>#N/A</v>
      </c>
      <c r="R183" t="e">
        <v>#N/A</v>
      </c>
      <c r="T183" t="e">
        <v>#N/A</v>
      </c>
      <c r="U183" t="e">
        <v>#N/A</v>
      </c>
      <c r="Y183" t="str">
        <v/>
      </c>
      <c r="AM183" t="str">
        <v/>
      </c>
      <c r="AN183" t="str">
        <v/>
      </c>
      <c r="AO183" t="str">
        <v/>
      </c>
      <c r="AQ183" t="str">
        <v/>
      </c>
      <c r="AR183" t="str">
        <v/>
      </c>
      <c r="AS183" t="e">
        <v>#N/A</v>
      </c>
      <c r="AU183" t="str">
        <v/>
      </c>
      <c r="AW183" t="e">
        <v>#N/A</v>
      </c>
    </row>
    <row r="184" spans="1:49" x14ac:dyDescent="0.25">
      <c r="A184" t="str">
        <v/>
      </c>
      <c r="B184" t="str">
        <v/>
      </c>
      <c r="C184" t="e">
        <v>#N/A</v>
      </c>
      <c r="D184" t="e">
        <v>#N/A</v>
      </c>
      <c r="J184" t="str">
        <v/>
      </c>
      <c r="K184" t="e">
        <f ca="1"/>
        <v>#N/A</v>
      </c>
      <c r="L184" t="str">
        <v/>
      </c>
      <c r="M184" t="e">
        <v>#N/A</v>
      </c>
      <c r="N184" t="e">
        <v>#N/A</v>
      </c>
      <c r="O184" t="e">
        <v>#N/A</v>
      </c>
      <c r="R184" t="e">
        <v>#N/A</v>
      </c>
      <c r="T184" t="e">
        <v>#N/A</v>
      </c>
      <c r="U184" t="e">
        <v>#N/A</v>
      </c>
      <c r="Y184" t="str">
        <v/>
      </c>
      <c r="AM184" t="str">
        <v/>
      </c>
      <c r="AN184" t="str">
        <v/>
      </c>
      <c r="AO184" t="str">
        <v/>
      </c>
      <c r="AQ184" t="str">
        <v/>
      </c>
      <c r="AR184" t="str">
        <v/>
      </c>
      <c r="AS184" t="e">
        <v>#N/A</v>
      </c>
      <c r="AU184" t="str">
        <v/>
      </c>
      <c r="AW184" t="e">
        <v>#N/A</v>
      </c>
    </row>
    <row r="185" spans="1:49" x14ac:dyDescent="0.25">
      <c r="A185" t="str">
        <v/>
      </c>
      <c r="B185" t="str">
        <v/>
      </c>
      <c r="C185" t="e">
        <v>#N/A</v>
      </c>
      <c r="D185" t="e">
        <v>#N/A</v>
      </c>
      <c r="J185" t="str">
        <v/>
      </c>
      <c r="K185" t="e">
        <f ca="1"/>
        <v>#N/A</v>
      </c>
      <c r="L185" t="str">
        <v/>
      </c>
      <c r="M185" t="e">
        <v>#N/A</v>
      </c>
      <c r="N185" t="e">
        <v>#N/A</v>
      </c>
      <c r="O185" t="e">
        <v>#N/A</v>
      </c>
      <c r="R185" t="e">
        <v>#N/A</v>
      </c>
      <c r="T185" t="e">
        <v>#N/A</v>
      </c>
      <c r="U185" t="e">
        <v>#N/A</v>
      </c>
      <c r="Y185" t="str">
        <v/>
      </c>
      <c r="AM185" t="str">
        <v/>
      </c>
      <c r="AN185" t="str">
        <v/>
      </c>
      <c r="AO185" t="str">
        <v/>
      </c>
      <c r="AQ185" t="str">
        <v/>
      </c>
      <c r="AR185" t="str">
        <v/>
      </c>
      <c r="AS185" t="e">
        <v>#N/A</v>
      </c>
      <c r="AU185" t="str">
        <v/>
      </c>
      <c r="AW185" t="e">
        <v>#N/A</v>
      </c>
    </row>
    <row r="186" spans="1:49" x14ac:dyDescent="0.25">
      <c r="A186" t="str">
        <v/>
      </c>
      <c r="B186" t="str">
        <v/>
      </c>
      <c r="C186" t="e">
        <v>#N/A</v>
      </c>
      <c r="D186" t="e">
        <v>#N/A</v>
      </c>
      <c r="J186" t="str">
        <v/>
      </c>
      <c r="K186" t="e">
        <f ca="1"/>
        <v>#N/A</v>
      </c>
      <c r="L186" t="str">
        <v/>
      </c>
      <c r="M186" t="e">
        <v>#N/A</v>
      </c>
      <c r="N186" t="e">
        <v>#N/A</v>
      </c>
      <c r="O186" t="e">
        <v>#N/A</v>
      </c>
      <c r="R186" t="e">
        <v>#N/A</v>
      </c>
      <c r="T186" t="e">
        <v>#N/A</v>
      </c>
      <c r="U186" t="e">
        <v>#N/A</v>
      </c>
      <c r="Y186" t="str">
        <v/>
      </c>
      <c r="AM186" t="str">
        <v/>
      </c>
      <c r="AN186" t="str">
        <v/>
      </c>
      <c r="AO186" t="str">
        <v/>
      </c>
      <c r="AQ186" t="str">
        <v/>
      </c>
      <c r="AR186" t="str">
        <v/>
      </c>
      <c r="AS186" t="e">
        <v>#N/A</v>
      </c>
      <c r="AU186" t="str">
        <v/>
      </c>
      <c r="AW186" t="e">
        <v>#N/A</v>
      </c>
    </row>
    <row r="187" spans="1:49" x14ac:dyDescent="0.25">
      <c r="A187" t="str">
        <v/>
      </c>
      <c r="B187" t="str">
        <v/>
      </c>
      <c r="C187" t="e">
        <v>#N/A</v>
      </c>
      <c r="D187" t="e">
        <v>#N/A</v>
      </c>
      <c r="J187" t="str">
        <v/>
      </c>
      <c r="K187" t="e">
        <f ca="1"/>
        <v>#N/A</v>
      </c>
      <c r="L187" t="str">
        <v/>
      </c>
      <c r="M187" t="e">
        <v>#N/A</v>
      </c>
      <c r="N187" t="e">
        <v>#N/A</v>
      </c>
      <c r="O187" t="e">
        <v>#N/A</v>
      </c>
      <c r="R187" t="e">
        <v>#N/A</v>
      </c>
      <c r="T187" t="e">
        <v>#N/A</v>
      </c>
      <c r="U187" t="e">
        <v>#N/A</v>
      </c>
      <c r="Y187" t="str">
        <v/>
      </c>
      <c r="AM187" t="str">
        <v/>
      </c>
      <c r="AN187" t="str">
        <v/>
      </c>
      <c r="AO187" t="str">
        <v/>
      </c>
      <c r="AQ187" t="str">
        <v/>
      </c>
      <c r="AR187" t="str">
        <v/>
      </c>
      <c r="AS187" t="e">
        <v>#N/A</v>
      </c>
      <c r="AU187" t="str">
        <v/>
      </c>
      <c r="AW187" t="e">
        <v>#N/A</v>
      </c>
    </row>
    <row r="188" spans="1:49" x14ac:dyDescent="0.25">
      <c r="A188" t="str">
        <v/>
      </c>
      <c r="B188" t="str">
        <v/>
      </c>
      <c r="C188" t="e">
        <v>#N/A</v>
      </c>
      <c r="D188" t="e">
        <v>#N/A</v>
      </c>
      <c r="J188" t="str">
        <v/>
      </c>
      <c r="K188" t="e">
        <f ca="1"/>
        <v>#N/A</v>
      </c>
      <c r="L188" t="str">
        <v/>
      </c>
      <c r="M188" t="e">
        <v>#N/A</v>
      </c>
      <c r="N188" t="e">
        <v>#N/A</v>
      </c>
      <c r="O188" t="e">
        <v>#N/A</v>
      </c>
      <c r="R188" t="e">
        <v>#N/A</v>
      </c>
      <c r="T188" t="e">
        <v>#N/A</v>
      </c>
      <c r="U188" t="e">
        <v>#N/A</v>
      </c>
      <c r="Y188" t="str">
        <v/>
      </c>
      <c r="AM188" t="str">
        <v/>
      </c>
      <c r="AN188" t="str">
        <v/>
      </c>
      <c r="AO188" t="str">
        <v/>
      </c>
      <c r="AQ188" t="str">
        <v/>
      </c>
      <c r="AR188" t="str">
        <v/>
      </c>
      <c r="AS188" t="e">
        <v>#N/A</v>
      </c>
      <c r="AU188" t="str">
        <v/>
      </c>
      <c r="AW188" t="e">
        <v>#N/A</v>
      </c>
    </row>
    <row r="189" spans="1:49" x14ac:dyDescent="0.25">
      <c r="A189" t="str">
        <v/>
      </c>
      <c r="B189" t="str">
        <v/>
      </c>
      <c r="C189" t="e">
        <v>#N/A</v>
      </c>
      <c r="D189" t="e">
        <v>#N/A</v>
      </c>
      <c r="J189" t="str">
        <v/>
      </c>
      <c r="K189" t="e">
        <f ca="1"/>
        <v>#N/A</v>
      </c>
      <c r="L189" t="str">
        <v/>
      </c>
      <c r="M189" t="e">
        <v>#N/A</v>
      </c>
      <c r="N189" t="e">
        <v>#N/A</v>
      </c>
      <c r="O189" t="e">
        <v>#N/A</v>
      </c>
      <c r="R189" t="e">
        <v>#N/A</v>
      </c>
      <c r="T189" t="e">
        <v>#N/A</v>
      </c>
      <c r="U189" t="e">
        <v>#N/A</v>
      </c>
      <c r="Y189" t="str">
        <v/>
      </c>
      <c r="AM189" t="str">
        <v/>
      </c>
      <c r="AN189" t="str">
        <v/>
      </c>
      <c r="AO189" t="str">
        <v/>
      </c>
      <c r="AQ189" t="str">
        <v/>
      </c>
      <c r="AR189" t="str">
        <v/>
      </c>
      <c r="AS189" t="e">
        <v>#N/A</v>
      </c>
      <c r="AU189" t="str">
        <v/>
      </c>
      <c r="AW189" t="e">
        <v>#N/A</v>
      </c>
    </row>
    <row r="190" spans="1:49" x14ac:dyDescent="0.25">
      <c r="A190" t="str">
        <v/>
      </c>
      <c r="B190" t="str">
        <v/>
      </c>
      <c r="C190" t="e">
        <v>#N/A</v>
      </c>
      <c r="D190" t="e">
        <v>#N/A</v>
      </c>
      <c r="J190" t="str">
        <v/>
      </c>
      <c r="K190" t="e">
        <f ca="1"/>
        <v>#N/A</v>
      </c>
      <c r="L190" t="str">
        <v/>
      </c>
      <c r="M190" t="e">
        <v>#N/A</v>
      </c>
      <c r="N190" t="e">
        <v>#N/A</v>
      </c>
      <c r="O190" t="e">
        <v>#N/A</v>
      </c>
      <c r="R190" t="e">
        <v>#N/A</v>
      </c>
      <c r="T190" t="e">
        <v>#N/A</v>
      </c>
      <c r="U190" t="e">
        <v>#N/A</v>
      </c>
      <c r="Y190" t="str">
        <v/>
      </c>
      <c r="AM190" t="str">
        <v/>
      </c>
      <c r="AN190" t="str">
        <v/>
      </c>
      <c r="AO190" t="str">
        <v/>
      </c>
      <c r="AQ190" t="str">
        <v/>
      </c>
      <c r="AR190" t="str">
        <v/>
      </c>
      <c r="AS190" t="e">
        <v>#N/A</v>
      </c>
      <c r="AU190" t="str">
        <v/>
      </c>
      <c r="AW190" t="e">
        <v>#N/A</v>
      </c>
    </row>
    <row r="191" spans="1:49" x14ac:dyDescent="0.25">
      <c r="A191" t="str">
        <v/>
      </c>
      <c r="B191" t="str">
        <v/>
      </c>
      <c r="C191" t="e">
        <v>#N/A</v>
      </c>
      <c r="D191" t="e">
        <v>#N/A</v>
      </c>
      <c r="J191" t="str">
        <v/>
      </c>
      <c r="K191" t="e">
        <f ca="1"/>
        <v>#N/A</v>
      </c>
      <c r="L191" t="str">
        <v/>
      </c>
      <c r="M191" t="e">
        <v>#N/A</v>
      </c>
      <c r="N191" t="e">
        <v>#N/A</v>
      </c>
      <c r="O191" t="e">
        <v>#N/A</v>
      </c>
      <c r="R191" t="e">
        <v>#N/A</v>
      </c>
      <c r="T191" t="e">
        <v>#N/A</v>
      </c>
      <c r="U191" t="e">
        <v>#N/A</v>
      </c>
      <c r="Y191" t="str">
        <v/>
      </c>
      <c r="AM191" t="str">
        <v/>
      </c>
      <c r="AN191" t="str">
        <v/>
      </c>
      <c r="AO191" t="str">
        <v/>
      </c>
      <c r="AQ191" t="str">
        <v/>
      </c>
      <c r="AR191" t="str">
        <v/>
      </c>
      <c r="AS191" t="e">
        <v>#N/A</v>
      </c>
      <c r="AU191" t="str">
        <v/>
      </c>
      <c r="AW191" t="e">
        <v>#N/A</v>
      </c>
    </row>
    <row r="192" spans="1:49" x14ac:dyDescent="0.25">
      <c r="A192" t="str">
        <v/>
      </c>
      <c r="B192" t="str">
        <v/>
      </c>
      <c r="C192" t="e">
        <v>#N/A</v>
      </c>
      <c r="D192" t="e">
        <v>#N/A</v>
      </c>
      <c r="J192" t="str">
        <v/>
      </c>
      <c r="K192" t="e">
        <f ca="1"/>
        <v>#N/A</v>
      </c>
      <c r="L192" t="str">
        <v/>
      </c>
      <c r="M192" t="e">
        <v>#N/A</v>
      </c>
      <c r="N192" t="e">
        <v>#N/A</v>
      </c>
      <c r="O192" t="e">
        <v>#N/A</v>
      </c>
      <c r="R192" t="e">
        <v>#N/A</v>
      </c>
      <c r="T192" t="e">
        <v>#N/A</v>
      </c>
      <c r="U192" t="e">
        <v>#N/A</v>
      </c>
      <c r="Y192" t="str">
        <v/>
      </c>
      <c r="AM192" t="str">
        <v/>
      </c>
      <c r="AN192" t="str">
        <v/>
      </c>
      <c r="AO192" t="str">
        <v/>
      </c>
      <c r="AQ192" t="str">
        <v/>
      </c>
      <c r="AR192" t="str">
        <v/>
      </c>
      <c r="AS192" t="e">
        <v>#N/A</v>
      </c>
      <c r="AU192" t="str">
        <v/>
      </c>
      <c r="AW192" t="e">
        <v>#N/A</v>
      </c>
    </row>
    <row r="193" spans="1:49" x14ac:dyDescent="0.25">
      <c r="A193" t="str">
        <v/>
      </c>
      <c r="B193" t="str">
        <v/>
      </c>
      <c r="C193" t="e">
        <v>#N/A</v>
      </c>
      <c r="D193" t="e">
        <v>#N/A</v>
      </c>
      <c r="J193" t="str">
        <v/>
      </c>
      <c r="K193" t="e">
        <f ca="1"/>
        <v>#N/A</v>
      </c>
      <c r="L193" t="str">
        <v/>
      </c>
      <c r="M193" t="e">
        <v>#N/A</v>
      </c>
      <c r="N193" t="e">
        <v>#N/A</v>
      </c>
      <c r="O193" t="e">
        <v>#N/A</v>
      </c>
      <c r="R193" t="e">
        <v>#N/A</v>
      </c>
      <c r="T193" t="e">
        <v>#N/A</v>
      </c>
      <c r="U193" t="e">
        <v>#N/A</v>
      </c>
      <c r="Y193" t="str">
        <v/>
      </c>
      <c r="AM193" t="str">
        <v/>
      </c>
      <c r="AN193" t="str">
        <v/>
      </c>
      <c r="AO193" t="str">
        <v/>
      </c>
      <c r="AQ193" t="str">
        <v/>
      </c>
      <c r="AR193" t="str">
        <v/>
      </c>
      <c r="AS193" t="e">
        <v>#N/A</v>
      </c>
      <c r="AU193" t="str">
        <v/>
      </c>
      <c r="AW193" t="e">
        <v>#N/A</v>
      </c>
    </row>
    <row r="194" spans="1:49" x14ac:dyDescent="0.25">
      <c r="A194" t="str">
        <v/>
      </c>
      <c r="B194" t="str">
        <v/>
      </c>
      <c r="C194" t="e">
        <v>#N/A</v>
      </c>
      <c r="D194" t="e">
        <v>#N/A</v>
      </c>
      <c r="J194" t="str">
        <v/>
      </c>
      <c r="K194" t="e">
        <f ca="1"/>
        <v>#N/A</v>
      </c>
      <c r="L194" t="str">
        <v/>
      </c>
      <c r="M194" t="e">
        <v>#N/A</v>
      </c>
      <c r="N194" t="e">
        <v>#N/A</v>
      </c>
      <c r="O194" t="e">
        <v>#N/A</v>
      </c>
      <c r="R194" t="e">
        <v>#N/A</v>
      </c>
      <c r="T194" t="e">
        <v>#N/A</v>
      </c>
      <c r="U194" t="e">
        <v>#N/A</v>
      </c>
      <c r="Y194" t="str">
        <v/>
      </c>
      <c r="AM194" t="str">
        <v/>
      </c>
      <c r="AN194" t="str">
        <v/>
      </c>
      <c r="AO194" t="str">
        <v/>
      </c>
      <c r="AQ194" t="str">
        <v/>
      </c>
      <c r="AR194" t="str">
        <v/>
      </c>
      <c r="AS194" t="e">
        <v>#N/A</v>
      </c>
      <c r="AU194" t="str">
        <v/>
      </c>
      <c r="AW194" t="e">
        <v>#N/A</v>
      </c>
    </row>
    <row r="195" spans="1:49" x14ac:dyDescent="0.25">
      <c r="A195" t="str">
        <v/>
      </c>
      <c r="B195" t="str">
        <v/>
      </c>
      <c r="C195" t="e">
        <v>#N/A</v>
      </c>
      <c r="D195" t="e">
        <v>#N/A</v>
      </c>
      <c r="J195" t="str">
        <v/>
      </c>
      <c r="K195" t="e">
        <f ca="1"/>
        <v>#N/A</v>
      </c>
      <c r="L195" t="str">
        <v/>
      </c>
      <c r="M195" t="e">
        <v>#N/A</v>
      </c>
      <c r="N195" t="e">
        <v>#N/A</v>
      </c>
      <c r="O195" t="e">
        <v>#N/A</v>
      </c>
      <c r="R195" t="e">
        <v>#N/A</v>
      </c>
      <c r="T195" t="e">
        <v>#N/A</v>
      </c>
      <c r="U195" t="e">
        <v>#N/A</v>
      </c>
      <c r="Y195" t="str">
        <v/>
      </c>
      <c r="AM195" t="str">
        <v/>
      </c>
      <c r="AN195" t="str">
        <v/>
      </c>
      <c r="AO195" t="str">
        <v/>
      </c>
      <c r="AQ195" t="str">
        <v/>
      </c>
      <c r="AR195" t="str">
        <v/>
      </c>
      <c r="AS195" t="e">
        <v>#N/A</v>
      </c>
      <c r="AU195" t="str">
        <v/>
      </c>
      <c r="AW195" t="e">
        <v>#N/A</v>
      </c>
    </row>
    <row r="196" spans="1:49" x14ac:dyDescent="0.25">
      <c r="A196" t="str">
        <v/>
      </c>
      <c r="B196" t="str">
        <v/>
      </c>
      <c r="C196" t="e">
        <v>#N/A</v>
      </c>
      <c r="D196" t="e">
        <v>#N/A</v>
      </c>
      <c r="J196" t="str">
        <v/>
      </c>
      <c r="K196" t="e">
        <f ca="1"/>
        <v>#N/A</v>
      </c>
      <c r="L196" t="str">
        <v/>
      </c>
      <c r="M196" t="e">
        <v>#N/A</v>
      </c>
      <c r="N196" t="e">
        <v>#N/A</v>
      </c>
      <c r="O196" t="e">
        <v>#N/A</v>
      </c>
      <c r="R196" t="e">
        <v>#N/A</v>
      </c>
      <c r="T196" t="e">
        <v>#N/A</v>
      </c>
      <c r="U196" t="e">
        <v>#N/A</v>
      </c>
      <c r="Y196" t="str">
        <v/>
      </c>
      <c r="AM196" t="str">
        <v/>
      </c>
      <c r="AN196" t="str">
        <v/>
      </c>
      <c r="AO196" t="str">
        <v/>
      </c>
      <c r="AQ196" t="str">
        <v/>
      </c>
      <c r="AR196" t="str">
        <v/>
      </c>
      <c r="AS196" t="e">
        <v>#N/A</v>
      </c>
      <c r="AU196" t="str">
        <v/>
      </c>
      <c r="AW196" t="e">
        <v>#N/A</v>
      </c>
    </row>
    <row r="197" spans="1:49" x14ac:dyDescent="0.25">
      <c r="A197" t="str">
        <v/>
      </c>
      <c r="B197" t="str">
        <v/>
      </c>
      <c r="C197" t="e">
        <v>#N/A</v>
      </c>
      <c r="D197" t="e">
        <v>#N/A</v>
      </c>
      <c r="J197" t="str">
        <v/>
      </c>
      <c r="K197" t="e">
        <f ca="1"/>
        <v>#N/A</v>
      </c>
      <c r="L197" t="str">
        <v/>
      </c>
      <c r="M197" t="e">
        <v>#N/A</v>
      </c>
      <c r="N197" t="e">
        <v>#N/A</v>
      </c>
      <c r="O197" t="e">
        <v>#N/A</v>
      </c>
      <c r="R197" t="e">
        <v>#N/A</v>
      </c>
      <c r="T197" t="e">
        <v>#N/A</v>
      </c>
      <c r="U197" t="e">
        <v>#N/A</v>
      </c>
      <c r="Y197" t="str">
        <v/>
      </c>
      <c r="AM197" t="str">
        <v/>
      </c>
      <c r="AN197" t="str">
        <v/>
      </c>
      <c r="AO197" t="str">
        <v/>
      </c>
      <c r="AQ197" t="str">
        <v/>
      </c>
      <c r="AR197" t="str">
        <v/>
      </c>
      <c r="AS197" t="e">
        <v>#N/A</v>
      </c>
      <c r="AU197" t="str">
        <v/>
      </c>
      <c r="AW197" t="e">
        <v>#N/A</v>
      </c>
    </row>
    <row r="198" spans="1:49" x14ac:dyDescent="0.25">
      <c r="A198" t="str">
        <v/>
      </c>
      <c r="B198" t="str">
        <v/>
      </c>
      <c r="C198" t="e">
        <v>#N/A</v>
      </c>
      <c r="D198" t="e">
        <v>#N/A</v>
      </c>
      <c r="J198" t="str">
        <v/>
      </c>
      <c r="K198" t="e">
        <f ca="1"/>
        <v>#N/A</v>
      </c>
      <c r="L198" t="str">
        <v/>
      </c>
      <c r="M198" t="e">
        <v>#N/A</v>
      </c>
      <c r="N198" t="e">
        <v>#N/A</v>
      </c>
      <c r="O198" t="e">
        <v>#N/A</v>
      </c>
      <c r="R198" t="e">
        <v>#N/A</v>
      </c>
      <c r="T198" t="e">
        <v>#N/A</v>
      </c>
      <c r="U198" t="e">
        <v>#N/A</v>
      </c>
      <c r="Y198" t="str">
        <v/>
      </c>
      <c r="AM198" t="str">
        <v/>
      </c>
      <c r="AN198" t="str">
        <v/>
      </c>
      <c r="AO198" t="str">
        <v/>
      </c>
      <c r="AQ198" t="str">
        <v/>
      </c>
      <c r="AR198" t="str">
        <v/>
      </c>
      <c r="AS198" t="e">
        <v>#N/A</v>
      </c>
      <c r="AU198" t="str">
        <v/>
      </c>
      <c r="AW198" t="e">
        <v>#N/A</v>
      </c>
    </row>
    <row r="199" spans="1:49" x14ac:dyDescent="0.25">
      <c r="A199" t="str">
        <v/>
      </c>
      <c r="B199" t="str">
        <v/>
      </c>
      <c r="C199" t="e">
        <v>#N/A</v>
      </c>
      <c r="D199" t="e">
        <v>#N/A</v>
      </c>
      <c r="J199" t="str">
        <v/>
      </c>
      <c r="K199" t="e">
        <f ca="1"/>
        <v>#N/A</v>
      </c>
      <c r="L199" t="str">
        <v/>
      </c>
      <c r="M199" t="e">
        <v>#N/A</v>
      </c>
      <c r="N199" t="e">
        <v>#N/A</v>
      </c>
      <c r="O199" t="e">
        <v>#N/A</v>
      </c>
      <c r="R199" t="e">
        <v>#N/A</v>
      </c>
      <c r="T199" t="e">
        <v>#N/A</v>
      </c>
      <c r="U199" t="e">
        <v>#N/A</v>
      </c>
      <c r="Y199" t="str">
        <v/>
      </c>
      <c r="AM199" t="str">
        <v/>
      </c>
      <c r="AN199" t="str">
        <v/>
      </c>
      <c r="AO199" t="str">
        <v/>
      </c>
      <c r="AQ199" t="str">
        <v/>
      </c>
      <c r="AR199" t="str">
        <v/>
      </c>
      <c r="AS199" t="e">
        <v>#N/A</v>
      </c>
      <c r="AU199" t="str">
        <v/>
      </c>
      <c r="AW199" t="e">
        <v>#N/A</v>
      </c>
    </row>
    <row r="200" spans="1:49" x14ac:dyDescent="0.25">
      <c r="A200" t="str">
        <v/>
      </c>
      <c r="B200" t="str">
        <v/>
      </c>
      <c r="C200" t="e">
        <v>#N/A</v>
      </c>
      <c r="D200" t="e">
        <v>#N/A</v>
      </c>
      <c r="J200" t="str">
        <v/>
      </c>
      <c r="K200" t="e">
        <f ca="1"/>
        <v>#N/A</v>
      </c>
      <c r="L200" t="str">
        <v/>
      </c>
      <c r="M200" t="e">
        <v>#N/A</v>
      </c>
      <c r="N200" t="e">
        <v>#N/A</v>
      </c>
      <c r="O200" t="e">
        <v>#N/A</v>
      </c>
      <c r="R200" t="e">
        <v>#N/A</v>
      </c>
      <c r="T200" t="e">
        <v>#N/A</v>
      </c>
      <c r="U200" t="e">
        <v>#N/A</v>
      </c>
      <c r="Y200" t="str">
        <v/>
      </c>
      <c r="AM200" t="str">
        <v/>
      </c>
      <c r="AN200" t="str">
        <v/>
      </c>
      <c r="AO200" t="str">
        <v/>
      </c>
      <c r="AQ200" t="str">
        <v/>
      </c>
      <c r="AR200" t="str">
        <v/>
      </c>
      <c r="AS200" t="e">
        <v>#N/A</v>
      </c>
      <c r="AU200" t="str">
        <v/>
      </c>
      <c r="AW200" t="e">
        <v>#N/A</v>
      </c>
    </row>
    <row r="201" spans="1:49" x14ac:dyDescent="0.25">
      <c r="A201" t="str">
        <v/>
      </c>
      <c r="B201" t="str">
        <v/>
      </c>
      <c r="C201" t="e">
        <v>#N/A</v>
      </c>
      <c r="D201" t="e">
        <v>#N/A</v>
      </c>
      <c r="J201" t="str">
        <v/>
      </c>
      <c r="K201" t="e">
        <f ca="1"/>
        <v>#N/A</v>
      </c>
      <c r="L201" t="str">
        <v/>
      </c>
      <c r="M201" t="e">
        <v>#N/A</v>
      </c>
      <c r="N201" t="e">
        <v>#N/A</v>
      </c>
      <c r="O201" t="e">
        <v>#N/A</v>
      </c>
      <c r="R201" t="e">
        <v>#N/A</v>
      </c>
      <c r="T201" t="e">
        <v>#N/A</v>
      </c>
      <c r="U201" t="e">
        <v>#N/A</v>
      </c>
      <c r="Y201" t="str">
        <v/>
      </c>
      <c r="AM201" t="str">
        <v/>
      </c>
      <c r="AN201" t="str">
        <v/>
      </c>
      <c r="AO201" t="str">
        <v/>
      </c>
      <c r="AQ201" t="str">
        <v/>
      </c>
      <c r="AR201" t="str">
        <v/>
      </c>
      <c r="AS201" t="e">
        <v>#N/A</v>
      </c>
      <c r="AU201" t="str">
        <v/>
      </c>
      <c r="AW201" t="e">
        <v>#N/A</v>
      </c>
    </row>
    <row r="202" spans="1:49" x14ac:dyDescent="0.25">
      <c r="A202" t="str">
        <v/>
      </c>
      <c r="B202" t="str">
        <v/>
      </c>
      <c r="C202" t="e">
        <v>#N/A</v>
      </c>
      <c r="D202" t="e">
        <v>#N/A</v>
      </c>
      <c r="J202" t="str">
        <v/>
      </c>
      <c r="K202" t="e">
        <f ca="1"/>
        <v>#N/A</v>
      </c>
      <c r="L202" t="str">
        <v/>
      </c>
      <c r="M202" t="e">
        <v>#N/A</v>
      </c>
      <c r="N202" t="e">
        <v>#N/A</v>
      </c>
      <c r="O202" t="e">
        <v>#N/A</v>
      </c>
      <c r="R202" t="e">
        <v>#N/A</v>
      </c>
      <c r="T202" t="e">
        <v>#N/A</v>
      </c>
      <c r="U202" t="e">
        <v>#N/A</v>
      </c>
      <c r="Y202" t="str">
        <v/>
      </c>
      <c r="AM202" t="str">
        <v/>
      </c>
      <c r="AN202" t="str">
        <v/>
      </c>
      <c r="AO202" t="str">
        <v/>
      </c>
      <c r="AQ202" t="str">
        <v/>
      </c>
      <c r="AR202" t="str">
        <v/>
      </c>
      <c r="AS202" t="e">
        <v>#N/A</v>
      </c>
      <c r="AU202" t="str">
        <v/>
      </c>
      <c r="AW202" t="e">
        <v>#N/A</v>
      </c>
    </row>
    <row r="203" spans="1:49" x14ac:dyDescent="0.25">
      <c r="A203" t="str">
        <v/>
      </c>
      <c r="B203" t="str">
        <v/>
      </c>
      <c r="C203" t="e">
        <v>#N/A</v>
      </c>
      <c r="D203" t="e">
        <v>#N/A</v>
      </c>
      <c r="J203" t="str">
        <v/>
      </c>
      <c r="K203" t="e">
        <f ca="1"/>
        <v>#N/A</v>
      </c>
      <c r="L203" t="str">
        <v/>
      </c>
      <c r="M203" t="e">
        <v>#N/A</v>
      </c>
      <c r="N203" t="e">
        <v>#N/A</v>
      </c>
      <c r="O203" t="e">
        <v>#N/A</v>
      </c>
      <c r="R203" t="e">
        <v>#N/A</v>
      </c>
      <c r="T203" t="e">
        <v>#N/A</v>
      </c>
      <c r="U203" t="e">
        <v>#N/A</v>
      </c>
      <c r="Y203" t="str">
        <v/>
      </c>
      <c r="AM203" t="str">
        <v/>
      </c>
      <c r="AN203" t="str">
        <v/>
      </c>
      <c r="AO203" t="str">
        <v/>
      </c>
      <c r="AQ203" t="str">
        <v/>
      </c>
      <c r="AR203" t="str">
        <v/>
      </c>
      <c r="AS203" t="e">
        <v>#N/A</v>
      </c>
      <c r="AU203" t="str">
        <v/>
      </c>
      <c r="AW203" t="e">
        <v>#N/A</v>
      </c>
    </row>
    <row r="204" spans="1:49" x14ac:dyDescent="0.25">
      <c r="A204" t="str">
        <v/>
      </c>
      <c r="B204" t="str">
        <v/>
      </c>
      <c r="C204" t="e">
        <v>#N/A</v>
      </c>
      <c r="D204" t="e">
        <v>#N/A</v>
      </c>
      <c r="J204" t="str">
        <v/>
      </c>
      <c r="K204" t="e">
        <f ca="1"/>
        <v>#N/A</v>
      </c>
      <c r="L204" t="str">
        <v/>
      </c>
      <c r="M204" t="e">
        <v>#N/A</v>
      </c>
      <c r="N204" t="e">
        <v>#N/A</v>
      </c>
      <c r="O204" t="e">
        <v>#N/A</v>
      </c>
      <c r="R204" t="e">
        <v>#N/A</v>
      </c>
      <c r="T204" t="e">
        <v>#N/A</v>
      </c>
      <c r="U204" t="e">
        <v>#N/A</v>
      </c>
      <c r="Y204" t="str">
        <v/>
      </c>
      <c r="AM204" t="str">
        <v/>
      </c>
      <c r="AN204" t="str">
        <v/>
      </c>
      <c r="AO204" t="str">
        <v/>
      </c>
      <c r="AQ204" t="str">
        <v/>
      </c>
      <c r="AR204" t="str">
        <v/>
      </c>
      <c r="AS204" t="e">
        <v>#N/A</v>
      </c>
      <c r="AU204" t="str">
        <v/>
      </c>
      <c r="AW204" t="e">
        <v>#N/A</v>
      </c>
    </row>
    <row r="205" spans="1:49" x14ac:dyDescent="0.25">
      <c r="A205" t="str">
        <v/>
      </c>
      <c r="B205" t="str">
        <v/>
      </c>
      <c r="C205" t="e">
        <v>#N/A</v>
      </c>
      <c r="D205" t="e">
        <v>#N/A</v>
      </c>
      <c r="J205" t="str">
        <v/>
      </c>
      <c r="K205" t="e">
        <f ca="1"/>
        <v>#N/A</v>
      </c>
      <c r="L205" t="str">
        <v/>
      </c>
      <c r="M205" t="e">
        <v>#N/A</v>
      </c>
      <c r="N205" t="e">
        <v>#N/A</v>
      </c>
      <c r="O205" t="e">
        <v>#N/A</v>
      </c>
      <c r="R205" t="e">
        <v>#N/A</v>
      </c>
      <c r="T205" t="e">
        <v>#N/A</v>
      </c>
      <c r="U205" t="e">
        <v>#N/A</v>
      </c>
      <c r="Y205" t="str">
        <v/>
      </c>
      <c r="AM205" t="str">
        <v/>
      </c>
      <c r="AN205" t="str">
        <v/>
      </c>
      <c r="AO205" t="str">
        <v/>
      </c>
      <c r="AQ205" t="str">
        <v/>
      </c>
      <c r="AR205" t="str">
        <v/>
      </c>
      <c r="AS205" t="e">
        <v>#N/A</v>
      </c>
      <c r="AU205" t="str">
        <v/>
      </c>
      <c r="AW205" t="e">
        <v>#N/A</v>
      </c>
    </row>
    <row r="206" spans="1:49" x14ac:dyDescent="0.25">
      <c r="A206" t="str">
        <v/>
      </c>
      <c r="B206" t="str">
        <v/>
      </c>
      <c r="C206" t="e">
        <v>#N/A</v>
      </c>
      <c r="D206" t="e">
        <v>#N/A</v>
      </c>
      <c r="J206" t="str">
        <v/>
      </c>
      <c r="K206" t="e">
        <f ca="1"/>
        <v>#N/A</v>
      </c>
      <c r="L206" t="str">
        <v/>
      </c>
      <c r="M206" t="e">
        <v>#N/A</v>
      </c>
      <c r="N206" t="e">
        <v>#N/A</v>
      </c>
      <c r="O206" t="e">
        <v>#N/A</v>
      </c>
      <c r="R206" t="e">
        <v>#N/A</v>
      </c>
      <c r="T206" t="e">
        <v>#N/A</v>
      </c>
      <c r="U206" t="e">
        <v>#N/A</v>
      </c>
      <c r="Y206" t="str">
        <v/>
      </c>
      <c r="AM206" t="str">
        <v/>
      </c>
      <c r="AN206" t="str">
        <v/>
      </c>
      <c r="AO206" t="str">
        <v/>
      </c>
      <c r="AQ206" t="str">
        <v/>
      </c>
      <c r="AR206" t="str">
        <v/>
      </c>
      <c r="AS206" t="e">
        <v>#N/A</v>
      </c>
      <c r="AU206" t="str">
        <v/>
      </c>
      <c r="AW206" t="e">
        <v>#N/A</v>
      </c>
    </row>
    <row r="207" spans="1:49" x14ac:dyDescent="0.25">
      <c r="A207" t="str">
        <v/>
      </c>
      <c r="B207" t="str">
        <v/>
      </c>
      <c r="C207" t="e">
        <v>#N/A</v>
      </c>
      <c r="D207" t="e">
        <v>#N/A</v>
      </c>
      <c r="J207" t="str">
        <v/>
      </c>
      <c r="K207" t="e">
        <f ca="1"/>
        <v>#N/A</v>
      </c>
      <c r="L207" t="str">
        <v/>
      </c>
      <c r="M207" t="e">
        <v>#N/A</v>
      </c>
      <c r="N207" t="e">
        <v>#N/A</v>
      </c>
      <c r="O207" t="e">
        <v>#N/A</v>
      </c>
      <c r="R207" t="e">
        <v>#N/A</v>
      </c>
      <c r="T207" t="e">
        <v>#N/A</v>
      </c>
      <c r="U207" t="e">
        <v>#N/A</v>
      </c>
      <c r="Y207" t="str">
        <v/>
      </c>
      <c r="AM207" t="str">
        <v/>
      </c>
      <c r="AN207" t="str">
        <v/>
      </c>
      <c r="AO207" t="str">
        <v/>
      </c>
      <c r="AQ207" t="str">
        <v/>
      </c>
      <c r="AR207" t="str">
        <v/>
      </c>
      <c r="AS207" t="e">
        <v>#N/A</v>
      </c>
      <c r="AU207" t="str">
        <v/>
      </c>
      <c r="AW207" t="e">
        <v>#N/A</v>
      </c>
    </row>
    <row r="208" spans="1:49" x14ac:dyDescent="0.25">
      <c r="A208" t="str">
        <v/>
      </c>
      <c r="B208" t="str">
        <v/>
      </c>
      <c r="C208" t="e">
        <v>#N/A</v>
      </c>
      <c r="D208" t="e">
        <v>#N/A</v>
      </c>
      <c r="J208" t="str">
        <v/>
      </c>
      <c r="K208" t="e">
        <f ca="1"/>
        <v>#N/A</v>
      </c>
      <c r="L208" t="str">
        <v/>
      </c>
      <c r="M208" t="e">
        <v>#N/A</v>
      </c>
      <c r="N208" t="e">
        <v>#N/A</v>
      </c>
      <c r="O208" t="e">
        <v>#N/A</v>
      </c>
      <c r="R208" t="e">
        <v>#N/A</v>
      </c>
      <c r="T208" t="e">
        <v>#N/A</v>
      </c>
      <c r="U208" t="e">
        <v>#N/A</v>
      </c>
      <c r="Y208" t="str">
        <v/>
      </c>
      <c r="AM208" t="str">
        <v/>
      </c>
      <c r="AN208" t="str">
        <v/>
      </c>
      <c r="AO208" t="str">
        <v/>
      </c>
      <c r="AQ208" t="str">
        <v/>
      </c>
      <c r="AR208" t="str">
        <v/>
      </c>
      <c r="AS208" t="e">
        <v>#N/A</v>
      </c>
      <c r="AU208" t="str">
        <v/>
      </c>
      <c r="AW208" t="e">
        <v>#N/A</v>
      </c>
    </row>
    <row r="209" spans="1:49" x14ac:dyDescent="0.25">
      <c r="A209" t="str">
        <v/>
      </c>
      <c r="B209" t="str">
        <v/>
      </c>
      <c r="C209" t="e">
        <v>#N/A</v>
      </c>
      <c r="D209" t="e">
        <v>#N/A</v>
      </c>
      <c r="J209" t="str">
        <v/>
      </c>
      <c r="K209" t="e">
        <f ca="1"/>
        <v>#N/A</v>
      </c>
      <c r="L209" t="str">
        <v/>
      </c>
      <c r="M209" t="e">
        <v>#N/A</v>
      </c>
      <c r="N209" t="e">
        <v>#N/A</v>
      </c>
      <c r="O209" t="e">
        <v>#N/A</v>
      </c>
      <c r="R209" t="e">
        <v>#N/A</v>
      </c>
      <c r="T209" t="e">
        <v>#N/A</v>
      </c>
      <c r="U209" t="e">
        <v>#N/A</v>
      </c>
      <c r="Y209" t="str">
        <v/>
      </c>
      <c r="AM209" t="str">
        <v/>
      </c>
      <c r="AN209" t="str">
        <v/>
      </c>
      <c r="AO209" t="str">
        <v/>
      </c>
      <c r="AQ209" t="str">
        <v/>
      </c>
      <c r="AR209" t="str">
        <v/>
      </c>
      <c r="AS209" t="e">
        <v>#N/A</v>
      </c>
      <c r="AU209" t="str">
        <v/>
      </c>
      <c r="AW209" t="e">
        <v>#N/A</v>
      </c>
    </row>
    <row r="210" spans="1:49" x14ac:dyDescent="0.25">
      <c r="A210" t="str">
        <v/>
      </c>
      <c r="B210" t="str">
        <v/>
      </c>
      <c r="C210" t="e">
        <v>#N/A</v>
      </c>
      <c r="D210" t="e">
        <v>#N/A</v>
      </c>
      <c r="J210" t="str">
        <v/>
      </c>
      <c r="K210" t="e">
        <f ca="1"/>
        <v>#N/A</v>
      </c>
      <c r="L210" t="str">
        <v/>
      </c>
      <c r="M210" t="e">
        <v>#N/A</v>
      </c>
      <c r="N210" t="e">
        <v>#N/A</v>
      </c>
      <c r="O210" t="e">
        <v>#N/A</v>
      </c>
      <c r="R210" t="e">
        <v>#N/A</v>
      </c>
      <c r="T210" t="e">
        <v>#N/A</v>
      </c>
      <c r="U210" t="e">
        <v>#N/A</v>
      </c>
      <c r="Y210" t="str">
        <v/>
      </c>
      <c r="AM210" t="str">
        <v/>
      </c>
      <c r="AN210" t="str">
        <v/>
      </c>
      <c r="AO210" t="str">
        <v/>
      </c>
      <c r="AQ210" t="str">
        <v/>
      </c>
      <c r="AR210" t="str">
        <v/>
      </c>
      <c r="AS210" t="e">
        <v>#N/A</v>
      </c>
      <c r="AU210" t="str">
        <v/>
      </c>
      <c r="AW210" t="e">
        <v>#N/A</v>
      </c>
    </row>
    <row r="211" spans="1:49" x14ac:dyDescent="0.25">
      <c r="A211" t="str">
        <v/>
      </c>
      <c r="B211" t="str">
        <v/>
      </c>
      <c r="C211" t="e">
        <v>#N/A</v>
      </c>
      <c r="D211" t="e">
        <v>#N/A</v>
      </c>
      <c r="J211" t="str">
        <v/>
      </c>
      <c r="K211" t="e">
        <f ca="1"/>
        <v>#N/A</v>
      </c>
      <c r="L211" t="str">
        <v/>
      </c>
      <c r="M211" t="e">
        <v>#N/A</v>
      </c>
      <c r="N211" t="e">
        <v>#N/A</v>
      </c>
      <c r="O211" t="e">
        <v>#N/A</v>
      </c>
      <c r="R211" t="e">
        <v>#N/A</v>
      </c>
      <c r="T211" t="e">
        <v>#N/A</v>
      </c>
      <c r="U211" t="e">
        <v>#N/A</v>
      </c>
      <c r="Y211" t="str">
        <v/>
      </c>
      <c r="AM211" t="str">
        <v/>
      </c>
      <c r="AN211" t="str">
        <v/>
      </c>
      <c r="AO211" t="str">
        <v/>
      </c>
      <c r="AQ211" t="str">
        <v/>
      </c>
      <c r="AR211" t="str">
        <v/>
      </c>
      <c r="AS211" t="e">
        <v>#N/A</v>
      </c>
      <c r="AU211" t="str">
        <v/>
      </c>
      <c r="AW211" t="e">
        <v>#N/A</v>
      </c>
    </row>
    <row r="212" spans="1:49" x14ac:dyDescent="0.25">
      <c r="A212" t="str">
        <v/>
      </c>
      <c r="B212" t="str">
        <v/>
      </c>
      <c r="C212" t="e">
        <v>#N/A</v>
      </c>
      <c r="D212" t="e">
        <v>#N/A</v>
      </c>
      <c r="J212" t="str">
        <v/>
      </c>
      <c r="K212" t="e">
        <f ca="1"/>
        <v>#N/A</v>
      </c>
      <c r="L212" t="str">
        <v/>
      </c>
      <c r="M212" t="e">
        <v>#N/A</v>
      </c>
      <c r="N212" t="e">
        <v>#N/A</v>
      </c>
      <c r="O212" t="e">
        <v>#N/A</v>
      </c>
      <c r="R212" t="e">
        <v>#N/A</v>
      </c>
      <c r="T212" t="e">
        <v>#N/A</v>
      </c>
      <c r="U212" t="e">
        <v>#N/A</v>
      </c>
      <c r="Y212" t="str">
        <v/>
      </c>
      <c r="AM212" t="str">
        <v/>
      </c>
      <c r="AN212" t="str">
        <v/>
      </c>
      <c r="AO212" t="str">
        <v/>
      </c>
      <c r="AQ212" t="str">
        <v/>
      </c>
      <c r="AR212" t="str">
        <v/>
      </c>
      <c r="AS212" t="e">
        <v>#N/A</v>
      </c>
      <c r="AU212" t="str">
        <v/>
      </c>
      <c r="AW212" t="e">
        <v>#N/A</v>
      </c>
    </row>
    <row r="213" spans="1:49" x14ac:dyDescent="0.25">
      <c r="A213" t="str">
        <v/>
      </c>
      <c r="B213" t="str">
        <v/>
      </c>
      <c r="C213" t="e">
        <v>#N/A</v>
      </c>
      <c r="D213" t="e">
        <v>#N/A</v>
      </c>
      <c r="J213" t="str">
        <v/>
      </c>
      <c r="K213" t="e">
        <f ca="1"/>
        <v>#N/A</v>
      </c>
      <c r="L213" t="str">
        <v/>
      </c>
      <c r="M213" t="e">
        <v>#N/A</v>
      </c>
      <c r="N213" t="e">
        <v>#N/A</v>
      </c>
      <c r="O213" t="e">
        <v>#N/A</v>
      </c>
      <c r="R213" t="e">
        <v>#N/A</v>
      </c>
      <c r="T213" t="e">
        <v>#N/A</v>
      </c>
      <c r="U213" t="e">
        <v>#N/A</v>
      </c>
      <c r="Y213" t="str">
        <v/>
      </c>
      <c r="AM213" t="str">
        <v/>
      </c>
      <c r="AN213" t="str">
        <v/>
      </c>
      <c r="AO213" t="str">
        <v/>
      </c>
      <c r="AQ213" t="str">
        <v/>
      </c>
      <c r="AR213" t="str">
        <v/>
      </c>
      <c r="AS213" t="e">
        <v>#N/A</v>
      </c>
      <c r="AU213" t="str">
        <v/>
      </c>
      <c r="AW213" t="e">
        <v>#N/A</v>
      </c>
    </row>
    <row r="214" spans="1:49" x14ac:dyDescent="0.25">
      <c r="A214" t="str">
        <v/>
      </c>
      <c r="B214" t="str">
        <v/>
      </c>
      <c r="C214" t="e">
        <v>#N/A</v>
      </c>
      <c r="D214" t="e">
        <v>#N/A</v>
      </c>
      <c r="J214" t="str">
        <v/>
      </c>
      <c r="K214" t="e">
        <f ca="1"/>
        <v>#N/A</v>
      </c>
      <c r="L214" t="str">
        <v/>
      </c>
      <c r="M214" t="e">
        <v>#N/A</v>
      </c>
      <c r="N214" t="e">
        <v>#N/A</v>
      </c>
      <c r="O214" t="e">
        <v>#N/A</v>
      </c>
      <c r="R214" t="e">
        <v>#N/A</v>
      </c>
      <c r="T214" t="e">
        <v>#N/A</v>
      </c>
      <c r="U214" t="e">
        <v>#N/A</v>
      </c>
      <c r="Y214" t="str">
        <v/>
      </c>
      <c r="AM214" t="str">
        <v/>
      </c>
      <c r="AN214" t="str">
        <v/>
      </c>
      <c r="AO214" t="str">
        <v/>
      </c>
      <c r="AQ214" t="str">
        <v/>
      </c>
      <c r="AR214" t="str">
        <v/>
      </c>
      <c r="AS214" t="e">
        <v>#N/A</v>
      </c>
      <c r="AU214" t="str">
        <v/>
      </c>
      <c r="AW214" t="e">
        <v>#N/A</v>
      </c>
    </row>
    <row r="215" spans="1:49" x14ac:dyDescent="0.25">
      <c r="A215" t="str">
        <v/>
      </c>
      <c r="B215" t="str">
        <v/>
      </c>
      <c r="C215" t="e">
        <v>#N/A</v>
      </c>
      <c r="D215" t="e">
        <v>#N/A</v>
      </c>
      <c r="J215" t="str">
        <v/>
      </c>
      <c r="K215" t="e">
        <f ca="1"/>
        <v>#N/A</v>
      </c>
      <c r="L215" t="str">
        <v/>
      </c>
      <c r="M215" t="e">
        <v>#N/A</v>
      </c>
      <c r="N215" t="e">
        <v>#N/A</v>
      </c>
      <c r="O215" t="e">
        <v>#N/A</v>
      </c>
      <c r="R215" t="e">
        <v>#N/A</v>
      </c>
      <c r="T215" t="e">
        <v>#N/A</v>
      </c>
      <c r="U215" t="e">
        <v>#N/A</v>
      </c>
      <c r="Y215" t="str">
        <v/>
      </c>
      <c r="AM215" t="str">
        <v/>
      </c>
      <c r="AN215" t="str">
        <v/>
      </c>
      <c r="AO215" t="str">
        <v/>
      </c>
      <c r="AQ215" t="str">
        <v/>
      </c>
      <c r="AR215" t="str">
        <v/>
      </c>
      <c r="AS215" t="e">
        <v>#N/A</v>
      </c>
      <c r="AU215" t="str">
        <v/>
      </c>
      <c r="AW215" t="e">
        <v>#N/A</v>
      </c>
    </row>
    <row r="216" spans="1:49" x14ac:dyDescent="0.25">
      <c r="A216" t="str">
        <v/>
      </c>
      <c r="B216" t="str">
        <v/>
      </c>
      <c r="C216" t="e">
        <v>#N/A</v>
      </c>
      <c r="D216" t="e">
        <v>#N/A</v>
      </c>
      <c r="J216" t="str">
        <v/>
      </c>
      <c r="K216" t="e">
        <f ca="1"/>
        <v>#N/A</v>
      </c>
      <c r="L216" t="str">
        <v/>
      </c>
      <c r="M216" t="e">
        <v>#N/A</v>
      </c>
      <c r="N216" t="e">
        <v>#N/A</v>
      </c>
      <c r="O216" t="e">
        <v>#N/A</v>
      </c>
      <c r="R216" t="e">
        <v>#N/A</v>
      </c>
      <c r="T216" t="e">
        <v>#N/A</v>
      </c>
      <c r="U216" t="e">
        <v>#N/A</v>
      </c>
      <c r="Y216" t="str">
        <v/>
      </c>
      <c r="AM216" t="str">
        <v/>
      </c>
      <c r="AN216" t="str">
        <v/>
      </c>
      <c r="AO216" t="str">
        <v/>
      </c>
      <c r="AQ216" t="str">
        <v/>
      </c>
      <c r="AR216" t="str">
        <v/>
      </c>
      <c r="AS216" t="e">
        <v>#N/A</v>
      </c>
      <c r="AU216" t="str">
        <v/>
      </c>
      <c r="AW216" t="e">
        <v>#N/A</v>
      </c>
    </row>
    <row r="217" spans="1:49" x14ac:dyDescent="0.25">
      <c r="A217" t="str">
        <v/>
      </c>
      <c r="B217" t="str">
        <v/>
      </c>
      <c r="C217" t="e">
        <v>#N/A</v>
      </c>
      <c r="D217" t="e">
        <v>#N/A</v>
      </c>
      <c r="J217" t="str">
        <v/>
      </c>
      <c r="K217" t="e">
        <f ca="1"/>
        <v>#N/A</v>
      </c>
      <c r="L217" t="str">
        <v/>
      </c>
      <c r="M217" t="e">
        <v>#N/A</v>
      </c>
      <c r="N217" t="e">
        <v>#N/A</v>
      </c>
      <c r="O217" t="e">
        <v>#N/A</v>
      </c>
      <c r="R217" t="e">
        <v>#N/A</v>
      </c>
      <c r="T217" t="e">
        <v>#N/A</v>
      </c>
      <c r="U217" t="e">
        <v>#N/A</v>
      </c>
      <c r="Y217" t="str">
        <v/>
      </c>
      <c r="AM217" t="str">
        <v/>
      </c>
      <c r="AN217" t="str">
        <v/>
      </c>
      <c r="AO217" t="str">
        <v/>
      </c>
      <c r="AQ217" t="str">
        <v/>
      </c>
      <c r="AR217" t="str">
        <v/>
      </c>
      <c r="AS217" t="e">
        <v>#N/A</v>
      </c>
      <c r="AU217" t="str">
        <v/>
      </c>
      <c r="AW217" t="e">
        <v>#N/A</v>
      </c>
    </row>
    <row r="218" spans="1:49" x14ac:dyDescent="0.25">
      <c r="A218" t="str">
        <v/>
      </c>
      <c r="B218" t="str">
        <v/>
      </c>
      <c r="C218" t="e">
        <v>#N/A</v>
      </c>
      <c r="D218" t="e">
        <v>#N/A</v>
      </c>
      <c r="J218" t="str">
        <v/>
      </c>
      <c r="K218" t="e">
        <f ca="1"/>
        <v>#N/A</v>
      </c>
      <c r="L218" t="str">
        <v/>
      </c>
      <c r="M218" t="e">
        <v>#N/A</v>
      </c>
      <c r="N218" t="e">
        <v>#N/A</v>
      </c>
      <c r="O218" t="e">
        <v>#N/A</v>
      </c>
      <c r="R218" t="e">
        <v>#N/A</v>
      </c>
      <c r="T218" t="e">
        <v>#N/A</v>
      </c>
      <c r="U218" t="e">
        <v>#N/A</v>
      </c>
      <c r="Y218" t="str">
        <v/>
      </c>
      <c r="AM218" t="str">
        <v/>
      </c>
      <c r="AN218" t="str">
        <v/>
      </c>
      <c r="AO218" t="str">
        <v/>
      </c>
      <c r="AQ218" t="str">
        <v/>
      </c>
      <c r="AR218" t="str">
        <v/>
      </c>
      <c r="AS218" t="e">
        <v>#N/A</v>
      </c>
      <c r="AU218" t="str">
        <v/>
      </c>
      <c r="AW218" t="e">
        <v>#N/A</v>
      </c>
    </row>
    <row r="219" spans="1:49" x14ac:dyDescent="0.25">
      <c r="A219" t="str">
        <v/>
      </c>
      <c r="B219" t="str">
        <v/>
      </c>
      <c r="C219" t="e">
        <v>#N/A</v>
      </c>
      <c r="D219" t="e">
        <v>#N/A</v>
      </c>
      <c r="J219" t="str">
        <v/>
      </c>
      <c r="K219" t="e">
        <f ca="1"/>
        <v>#N/A</v>
      </c>
      <c r="L219" t="str">
        <v/>
      </c>
      <c r="M219" t="e">
        <v>#N/A</v>
      </c>
      <c r="N219" t="e">
        <v>#N/A</v>
      </c>
      <c r="O219" t="e">
        <v>#N/A</v>
      </c>
      <c r="R219" t="e">
        <v>#N/A</v>
      </c>
      <c r="T219" t="e">
        <v>#N/A</v>
      </c>
      <c r="U219" t="e">
        <v>#N/A</v>
      </c>
      <c r="Y219" t="str">
        <v/>
      </c>
      <c r="AM219" t="str">
        <v/>
      </c>
      <c r="AN219" t="str">
        <v/>
      </c>
      <c r="AO219" t="str">
        <v/>
      </c>
      <c r="AQ219" t="str">
        <v/>
      </c>
      <c r="AR219" t="str">
        <v/>
      </c>
      <c r="AS219" t="e">
        <v>#N/A</v>
      </c>
      <c r="AU219" t="str">
        <v/>
      </c>
      <c r="AW219" t="e">
        <v>#N/A</v>
      </c>
    </row>
    <row r="220" spans="1:49" x14ac:dyDescent="0.25">
      <c r="A220" t="str">
        <v/>
      </c>
      <c r="B220" t="str">
        <v/>
      </c>
      <c r="C220" t="e">
        <v>#N/A</v>
      </c>
      <c r="D220" t="e">
        <v>#N/A</v>
      </c>
      <c r="J220" t="str">
        <v/>
      </c>
      <c r="K220" t="e">
        <f ca="1"/>
        <v>#N/A</v>
      </c>
      <c r="L220" t="str">
        <v/>
      </c>
      <c r="M220" t="e">
        <v>#N/A</v>
      </c>
      <c r="N220" t="e">
        <v>#N/A</v>
      </c>
      <c r="O220" t="e">
        <v>#N/A</v>
      </c>
      <c r="R220" t="e">
        <v>#N/A</v>
      </c>
      <c r="T220" t="e">
        <v>#N/A</v>
      </c>
      <c r="U220" t="e">
        <v>#N/A</v>
      </c>
      <c r="Y220" t="str">
        <v/>
      </c>
      <c r="AM220" t="str">
        <v/>
      </c>
      <c r="AN220" t="str">
        <v/>
      </c>
      <c r="AO220" t="str">
        <v/>
      </c>
      <c r="AQ220" t="str">
        <v/>
      </c>
      <c r="AR220" t="str">
        <v/>
      </c>
      <c r="AS220" t="e">
        <v>#N/A</v>
      </c>
      <c r="AU220" t="str">
        <v/>
      </c>
      <c r="AW220" t="e">
        <v>#N/A</v>
      </c>
    </row>
    <row r="221" spans="1:49" x14ac:dyDescent="0.25">
      <c r="A221" t="str">
        <v/>
      </c>
      <c r="B221" t="str">
        <v/>
      </c>
      <c r="C221" t="e">
        <v>#N/A</v>
      </c>
      <c r="D221" t="e">
        <v>#N/A</v>
      </c>
      <c r="J221" t="str">
        <v/>
      </c>
      <c r="K221" t="e">
        <f ca="1"/>
        <v>#N/A</v>
      </c>
      <c r="L221" t="str">
        <v/>
      </c>
      <c r="M221" t="e">
        <v>#N/A</v>
      </c>
      <c r="N221" t="e">
        <v>#N/A</v>
      </c>
      <c r="O221" t="e">
        <v>#N/A</v>
      </c>
      <c r="R221" t="e">
        <v>#N/A</v>
      </c>
      <c r="T221" t="e">
        <v>#N/A</v>
      </c>
      <c r="U221" t="e">
        <v>#N/A</v>
      </c>
      <c r="Y221" t="str">
        <v/>
      </c>
      <c r="AM221" t="str">
        <v/>
      </c>
      <c r="AN221" t="str">
        <v/>
      </c>
      <c r="AO221" t="str">
        <v/>
      </c>
      <c r="AQ221" t="str">
        <v/>
      </c>
      <c r="AR221" t="str">
        <v/>
      </c>
      <c r="AS221" t="e">
        <v>#N/A</v>
      </c>
      <c r="AU221" t="str">
        <v/>
      </c>
      <c r="AW221" t="e">
        <v>#N/A</v>
      </c>
    </row>
    <row r="222" spans="1:49" x14ac:dyDescent="0.25">
      <c r="A222" t="str">
        <v/>
      </c>
      <c r="B222" t="str">
        <v/>
      </c>
      <c r="C222" t="e">
        <v>#N/A</v>
      </c>
      <c r="D222" t="e">
        <v>#N/A</v>
      </c>
      <c r="J222" t="str">
        <v/>
      </c>
      <c r="K222" t="e">
        <f ca="1"/>
        <v>#N/A</v>
      </c>
      <c r="L222" t="str">
        <v/>
      </c>
      <c r="M222" t="e">
        <v>#N/A</v>
      </c>
      <c r="N222" t="e">
        <v>#N/A</v>
      </c>
      <c r="O222" t="e">
        <v>#N/A</v>
      </c>
      <c r="R222" t="e">
        <v>#N/A</v>
      </c>
      <c r="T222" t="e">
        <v>#N/A</v>
      </c>
      <c r="U222" t="e">
        <v>#N/A</v>
      </c>
      <c r="Y222" t="str">
        <v/>
      </c>
      <c r="AM222" t="str">
        <v/>
      </c>
      <c r="AN222" t="str">
        <v/>
      </c>
      <c r="AO222" t="str">
        <v/>
      </c>
      <c r="AQ222" t="str">
        <v/>
      </c>
      <c r="AR222" t="str">
        <v/>
      </c>
      <c r="AS222" t="e">
        <v>#N/A</v>
      </c>
      <c r="AU222" t="str">
        <v/>
      </c>
      <c r="AW222" t="e">
        <v>#N/A</v>
      </c>
    </row>
    <row r="223" spans="1:49" x14ac:dyDescent="0.25">
      <c r="A223" t="str">
        <v/>
      </c>
      <c r="B223" t="str">
        <v/>
      </c>
      <c r="C223" t="e">
        <v>#N/A</v>
      </c>
      <c r="D223" t="e">
        <v>#N/A</v>
      </c>
      <c r="J223" t="str">
        <v/>
      </c>
      <c r="K223" t="e">
        <f ca="1"/>
        <v>#N/A</v>
      </c>
      <c r="L223" t="str">
        <v/>
      </c>
      <c r="M223" t="e">
        <v>#N/A</v>
      </c>
      <c r="N223" t="e">
        <v>#N/A</v>
      </c>
      <c r="O223" t="e">
        <v>#N/A</v>
      </c>
      <c r="R223" t="e">
        <v>#N/A</v>
      </c>
      <c r="T223" t="e">
        <v>#N/A</v>
      </c>
      <c r="U223" t="e">
        <v>#N/A</v>
      </c>
      <c r="Y223" t="str">
        <v/>
      </c>
      <c r="AM223" t="str">
        <v/>
      </c>
      <c r="AN223" t="str">
        <v/>
      </c>
      <c r="AO223" t="str">
        <v/>
      </c>
      <c r="AQ223" t="str">
        <v/>
      </c>
      <c r="AR223" t="str">
        <v/>
      </c>
      <c r="AS223" t="e">
        <v>#N/A</v>
      </c>
      <c r="AU223" t="str">
        <v/>
      </c>
      <c r="AW223" t="e">
        <v>#N/A</v>
      </c>
    </row>
    <row r="224" spans="1:49" x14ac:dyDescent="0.25">
      <c r="A224" t="str">
        <v/>
      </c>
      <c r="B224" t="str">
        <v/>
      </c>
      <c r="C224" t="e">
        <v>#N/A</v>
      </c>
      <c r="D224" t="e">
        <v>#N/A</v>
      </c>
      <c r="J224" t="str">
        <v/>
      </c>
      <c r="K224" t="e">
        <f ca="1"/>
        <v>#N/A</v>
      </c>
      <c r="L224" t="str">
        <v/>
      </c>
      <c r="M224" t="e">
        <v>#N/A</v>
      </c>
      <c r="N224" t="e">
        <v>#N/A</v>
      </c>
      <c r="O224" t="e">
        <v>#N/A</v>
      </c>
      <c r="R224" t="e">
        <v>#N/A</v>
      </c>
      <c r="T224" t="e">
        <v>#N/A</v>
      </c>
      <c r="U224" t="e">
        <v>#N/A</v>
      </c>
      <c r="Y224" t="str">
        <v/>
      </c>
      <c r="AM224" t="str">
        <v/>
      </c>
      <c r="AN224" t="str">
        <v/>
      </c>
      <c r="AO224" t="str">
        <v/>
      </c>
      <c r="AQ224" t="str">
        <v/>
      </c>
      <c r="AR224" t="str">
        <v/>
      </c>
      <c r="AS224" t="e">
        <v>#N/A</v>
      </c>
      <c r="AU224" t="str">
        <v/>
      </c>
      <c r="AW224" t="e">
        <v>#N/A</v>
      </c>
    </row>
    <row r="225" spans="1:49" x14ac:dyDescent="0.25">
      <c r="A225" t="str">
        <v/>
      </c>
      <c r="B225" t="str">
        <v/>
      </c>
      <c r="C225" t="e">
        <v>#N/A</v>
      </c>
      <c r="D225" t="e">
        <v>#N/A</v>
      </c>
      <c r="J225" t="str">
        <v/>
      </c>
      <c r="K225" t="e">
        <f ca="1"/>
        <v>#N/A</v>
      </c>
      <c r="L225" t="str">
        <v/>
      </c>
      <c r="M225" t="e">
        <v>#N/A</v>
      </c>
      <c r="N225" t="e">
        <v>#N/A</v>
      </c>
      <c r="O225" t="e">
        <v>#N/A</v>
      </c>
      <c r="R225" t="e">
        <v>#N/A</v>
      </c>
      <c r="T225" t="e">
        <v>#N/A</v>
      </c>
      <c r="U225" t="e">
        <v>#N/A</v>
      </c>
      <c r="Y225" t="str">
        <v/>
      </c>
      <c r="AM225" t="str">
        <v/>
      </c>
      <c r="AN225" t="str">
        <v/>
      </c>
      <c r="AO225" t="str">
        <v/>
      </c>
      <c r="AQ225" t="str">
        <v/>
      </c>
      <c r="AR225" t="str">
        <v/>
      </c>
      <c r="AS225" t="e">
        <v>#N/A</v>
      </c>
      <c r="AU225" t="str">
        <v/>
      </c>
      <c r="AW225" t="e">
        <v>#N/A</v>
      </c>
    </row>
    <row r="226" spans="1:49" x14ac:dyDescent="0.25">
      <c r="A226" t="str">
        <v/>
      </c>
      <c r="B226" t="str">
        <v/>
      </c>
      <c r="C226" t="e">
        <v>#N/A</v>
      </c>
      <c r="D226" t="e">
        <v>#N/A</v>
      </c>
      <c r="J226" t="str">
        <v/>
      </c>
      <c r="K226" t="e">
        <f ca="1"/>
        <v>#N/A</v>
      </c>
      <c r="L226" t="str">
        <v/>
      </c>
      <c r="M226" t="e">
        <v>#N/A</v>
      </c>
      <c r="N226" t="e">
        <v>#N/A</v>
      </c>
      <c r="O226" t="e">
        <v>#N/A</v>
      </c>
      <c r="R226" t="e">
        <v>#N/A</v>
      </c>
      <c r="T226" t="e">
        <v>#N/A</v>
      </c>
      <c r="U226" t="e">
        <v>#N/A</v>
      </c>
      <c r="Y226" t="str">
        <v/>
      </c>
      <c r="AM226" t="str">
        <v/>
      </c>
      <c r="AN226" t="str">
        <v/>
      </c>
      <c r="AO226" t="str">
        <v/>
      </c>
      <c r="AQ226" t="str">
        <v/>
      </c>
      <c r="AR226" t="str">
        <v/>
      </c>
      <c r="AS226" t="e">
        <v>#N/A</v>
      </c>
      <c r="AU226" t="str">
        <v/>
      </c>
      <c r="AW226" t="e">
        <v>#N/A</v>
      </c>
    </row>
    <row r="227" spans="1:49" x14ac:dyDescent="0.25">
      <c r="A227" t="str">
        <v/>
      </c>
      <c r="B227" t="str">
        <v/>
      </c>
      <c r="C227" t="e">
        <v>#N/A</v>
      </c>
      <c r="D227" t="e">
        <v>#N/A</v>
      </c>
      <c r="J227" t="str">
        <v/>
      </c>
      <c r="K227" t="e">
        <f ca="1"/>
        <v>#N/A</v>
      </c>
      <c r="L227" t="str">
        <v/>
      </c>
      <c r="M227" t="e">
        <v>#N/A</v>
      </c>
      <c r="N227" t="e">
        <v>#N/A</v>
      </c>
      <c r="O227" t="e">
        <v>#N/A</v>
      </c>
      <c r="R227" t="e">
        <v>#N/A</v>
      </c>
      <c r="T227" t="e">
        <v>#N/A</v>
      </c>
      <c r="U227" t="e">
        <v>#N/A</v>
      </c>
      <c r="Y227" t="str">
        <v/>
      </c>
      <c r="AM227" t="str">
        <v/>
      </c>
      <c r="AN227" t="str">
        <v/>
      </c>
      <c r="AO227" t="str">
        <v/>
      </c>
      <c r="AQ227" t="str">
        <v/>
      </c>
      <c r="AR227" t="str">
        <v/>
      </c>
      <c r="AS227" t="e">
        <v>#N/A</v>
      </c>
      <c r="AU227" t="str">
        <v/>
      </c>
      <c r="AW227" t="e">
        <v>#N/A</v>
      </c>
    </row>
    <row r="228" spans="1:49" x14ac:dyDescent="0.25">
      <c r="A228" t="str">
        <v/>
      </c>
      <c r="B228" t="str">
        <v/>
      </c>
      <c r="C228" t="e">
        <v>#N/A</v>
      </c>
      <c r="D228" t="e">
        <v>#N/A</v>
      </c>
      <c r="J228" t="str">
        <v/>
      </c>
      <c r="K228" t="e">
        <f ca="1"/>
        <v>#N/A</v>
      </c>
      <c r="L228" t="str">
        <v/>
      </c>
      <c r="M228" t="e">
        <v>#N/A</v>
      </c>
      <c r="N228" t="e">
        <v>#N/A</v>
      </c>
      <c r="O228" t="e">
        <v>#N/A</v>
      </c>
      <c r="R228" t="e">
        <v>#N/A</v>
      </c>
      <c r="T228" t="e">
        <v>#N/A</v>
      </c>
      <c r="U228" t="e">
        <v>#N/A</v>
      </c>
      <c r="Y228" t="str">
        <v/>
      </c>
      <c r="AM228" t="str">
        <v/>
      </c>
      <c r="AN228" t="str">
        <v/>
      </c>
      <c r="AO228" t="str">
        <v/>
      </c>
      <c r="AQ228" t="str">
        <v/>
      </c>
      <c r="AR228" t="str">
        <v/>
      </c>
      <c r="AS228" t="e">
        <v>#N/A</v>
      </c>
      <c r="AU228" t="str">
        <v/>
      </c>
      <c r="AW228" t="e">
        <v>#N/A</v>
      </c>
    </row>
    <row r="229" spans="1:49" x14ac:dyDescent="0.25">
      <c r="A229" t="str">
        <v/>
      </c>
      <c r="B229" t="str">
        <v/>
      </c>
      <c r="C229" t="e">
        <v>#N/A</v>
      </c>
      <c r="D229" t="e">
        <v>#N/A</v>
      </c>
      <c r="J229" t="str">
        <v/>
      </c>
      <c r="K229" t="e">
        <f ca="1"/>
        <v>#N/A</v>
      </c>
      <c r="L229" t="str">
        <v/>
      </c>
      <c r="M229" t="e">
        <v>#N/A</v>
      </c>
      <c r="N229" t="e">
        <v>#N/A</v>
      </c>
      <c r="O229" t="e">
        <v>#N/A</v>
      </c>
      <c r="R229" t="e">
        <v>#N/A</v>
      </c>
      <c r="T229" t="e">
        <v>#N/A</v>
      </c>
      <c r="U229" t="e">
        <v>#N/A</v>
      </c>
      <c r="Y229" t="str">
        <v/>
      </c>
      <c r="AM229" t="str">
        <v/>
      </c>
      <c r="AN229" t="str">
        <v/>
      </c>
      <c r="AO229" t="str">
        <v/>
      </c>
      <c r="AQ229" t="str">
        <v/>
      </c>
      <c r="AR229" t="str">
        <v/>
      </c>
      <c r="AS229" t="e">
        <v>#N/A</v>
      </c>
      <c r="AU229" t="str">
        <v/>
      </c>
      <c r="AW229" t="e">
        <v>#N/A</v>
      </c>
    </row>
    <row r="230" spans="1:49" x14ac:dyDescent="0.25">
      <c r="A230" t="str">
        <v/>
      </c>
      <c r="B230" t="str">
        <v/>
      </c>
      <c r="C230" t="e">
        <v>#N/A</v>
      </c>
      <c r="D230" t="e">
        <v>#N/A</v>
      </c>
      <c r="J230" t="str">
        <v/>
      </c>
      <c r="K230" t="e">
        <f ca="1"/>
        <v>#N/A</v>
      </c>
      <c r="L230" t="str">
        <v/>
      </c>
      <c r="M230" t="e">
        <v>#N/A</v>
      </c>
      <c r="N230" t="e">
        <v>#N/A</v>
      </c>
      <c r="O230" t="e">
        <v>#N/A</v>
      </c>
      <c r="R230" t="e">
        <v>#N/A</v>
      </c>
      <c r="T230" t="e">
        <v>#N/A</v>
      </c>
      <c r="U230" t="e">
        <v>#N/A</v>
      </c>
      <c r="Y230" t="str">
        <v/>
      </c>
      <c r="AM230" t="str">
        <v/>
      </c>
      <c r="AN230" t="str">
        <v/>
      </c>
      <c r="AO230" t="str">
        <v/>
      </c>
      <c r="AQ230" t="str">
        <v/>
      </c>
      <c r="AR230" t="str">
        <v/>
      </c>
      <c r="AS230" t="e">
        <v>#N/A</v>
      </c>
      <c r="AU230" t="str">
        <v/>
      </c>
      <c r="AW230" t="e">
        <v>#N/A</v>
      </c>
    </row>
    <row r="231" spans="1:49" x14ac:dyDescent="0.25">
      <c r="A231" t="str">
        <v/>
      </c>
      <c r="B231" t="str">
        <v/>
      </c>
      <c r="C231" t="e">
        <v>#N/A</v>
      </c>
      <c r="D231" t="e">
        <v>#N/A</v>
      </c>
      <c r="J231" t="str">
        <v/>
      </c>
      <c r="K231" t="e">
        <f ca="1"/>
        <v>#N/A</v>
      </c>
      <c r="L231" t="str">
        <v/>
      </c>
      <c r="M231" t="e">
        <v>#N/A</v>
      </c>
      <c r="N231" t="e">
        <v>#N/A</v>
      </c>
      <c r="O231" t="e">
        <v>#N/A</v>
      </c>
      <c r="R231" t="e">
        <v>#N/A</v>
      </c>
      <c r="T231" t="e">
        <v>#N/A</v>
      </c>
      <c r="U231" t="e">
        <v>#N/A</v>
      </c>
      <c r="Y231" t="str">
        <v/>
      </c>
      <c r="AM231" t="str">
        <v/>
      </c>
      <c r="AN231" t="str">
        <v/>
      </c>
      <c r="AO231" t="str">
        <v/>
      </c>
      <c r="AQ231" t="str">
        <v/>
      </c>
      <c r="AR231" t="str">
        <v/>
      </c>
      <c r="AS231" t="e">
        <v>#N/A</v>
      </c>
      <c r="AU231" t="str">
        <v/>
      </c>
      <c r="AW231" t="e">
        <v>#N/A</v>
      </c>
    </row>
    <row r="232" spans="1:49" x14ac:dyDescent="0.25">
      <c r="A232" t="str">
        <v/>
      </c>
      <c r="B232" t="str">
        <v/>
      </c>
      <c r="C232" t="e">
        <v>#N/A</v>
      </c>
      <c r="D232" t="e">
        <v>#N/A</v>
      </c>
      <c r="J232" t="str">
        <v/>
      </c>
      <c r="K232" t="e">
        <f ca="1"/>
        <v>#N/A</v>
      </c>
      <c r="L232" t="str">
        <v/>
      </c>
      <c r="M232" t="e">
        <v>#N/A</v>
      </c>
      <c r="N232" t="e">
        <v>#N/A</v>
      </c>
      <c r="O232" t="e">
        <v>#N/A</v>
      </c>
      <c r="R232" t="e">
        <v>#N/A</v>
      </c>
      <c r="T232" t="e">
        <v>#N/A</v>
      </c>
      <c r="U232" t="e">
        <v>#N/A</v>
      </c>
      <c r="Y232" t="str">
        <v/>
      </c>
      <c r="AM232" t="str">
        <v/>
      </c>
      <c r="AN232" t="str">
        <v/>
      </c>
      <c r="AO232" t="str">
        <v/>
      </c>
      <c r="AQ232" t="str">
        <v/>
      </c>
      <c r="AR232" t="str">
        <v/>
      </c>
      <c r="AS232" t="e">
        <v>#N/A</v>
      </c>
      <c r="AU232" t="str">
        <v/>
      </c>
      <c r="AW232" t="e">
        <v>#N/A</v>
      </c>
    </row>
    <row r="233" spans="1:49" x14ac:dyDescent="0.25">
      <c r="A233" t="str">
        <v/>
      </c>
      <c r="B233" t="str">
        <v/>
      </c>
      <c r="C233" t="e">
        <v>#N/A</v>
      </c>
      <c r="D233" t="e">
        <v>#N/A</v>
      </c>
      <c r="J233" t="str">
        <v/>
      </c>
      <c r="K233" t="e">
        <f ca="1"/>
        <v>#N/A</v>
      </c>
      <c r="L233" t="str">
        <v/>
      </c>
      <c r="M233" t="e">
        <v>#N/A</v>
      </c>
      <c r="N233" t="e">
        <v>#N/A</v>
      </c>
      <c r="O233" t="e">
        <v>#N/A</v>
      </c>
      <c r="R233" t="e">
        <v>#N/A</v>
      </c>
      <c r="T233" t="e">
        <v>#N/A</v>
      </c>
      <c r="U233" t="e">
        <v>#N/A</v>
      </c>
      <c r="Y233" t="str">
        <v/>
      </c>
      <c r="AM233" t="str">
        <v/>
      </c>
      <c r="AN233" t="str">
        <v/>
      </c>
      <c r="AO233" t="str">
        <v/>
      </c>
      <c r="AQ233" t="str">
        <v/>
      </c>
      <c r="AR233" t="str">
        <v/>
      </c>
      <c r="AS233" t="e">
        <v>#N/A</v>
      </c>
      <c r="AU233" t="str">
        <v/>
      </c>
      <c r="AW233" t="e">
        <v>#N/A</v>
      </c>
    </row>
    <row r="234" spans="1:49" x14ac:dyDescent="0.25">
      <c r="A234" t="str">
        <v/>
      </c>
      <c r="B234" t="str">
        <v/>
      </c>
      <c r="C234" t="e">
        <v>#N/A</v>
      </c>
      <c r="D234" t="e">
        <v>#N/A</v>
      </c>
      <c r="J234" t="str">
        <v/>
      </c>
      <c r="K234" t="e">
        <f ca="1"/>
        <v>#N/A</v>
      </c>
      <c r="L234" t="str">
        <v/>
      </c>
      <c r="M234" t="e">
        <v>#N/A</v>
      </c>
      <c r="N234" t="e">
        <v>#N/A</v>
      </c>
      <c r="O234" t="e">
        <v>#N/A</v>
      </c>
      <c r="R234" t="e">
        <v>#N/A</v>
      </c>
      <c r="T234" t="e">
        <v>#N/A</v>
      </c>
      <c r="U234" t="e">
        <v>#N/A</v>
      </c>
      <c r="Y234" t="str">
        <v/>
      </c>
      <c r="AM234" t="str">
        <v/>
      </c>
      <c r="AN234" t="str">
        <v/>
      </c>
      <c r="AO234" t="str">
        <v/>
      </c>
      <c r="AQ234" t="str">
        <v/>
      </c>
      <c r="AR234" t="str">
        <v/>
      </c>
      <c r="AS234" t="e">
        <v>#N/A</v>
      </c>
      <c r="AU234" t="str">
        <v/>
      </c>
      <c r="AW234" t="e">
        <v>#N/A</v>
      </c>
    </row>
    <row r="235" spans="1:49" x14ac:dyDescent="0.25">
      <c r="A235" t="str">
        <v/>
      </c>
      <c r="B235" t="str">
        <v/>
      </c>
      <c r="C235" t="e">
        <v>#N/A</v>
      </c>
      <c r="D235" t="e">
        <v>#N/A</v>
      </c>
      <c r="J235" t="str">
        <v/>
      </c>
      <c r="K235" t="e">
        <f ca="1"/>
        <v>#N/A</v>
      </c>
      <c r="L235" t="str">
        <v/>
      </c>
      <c r="M235" t="e">
        <v>#N/A</v>
      </c>
      <c r="N235" t="e">
        <v>#N/A</v>
      </c>
      <c r="O235" t="e">
        <v>#N/A</v>
      </c>
      <c r="R235" t="e">
        <v>#N/A</v>
      </c>
      <c r="T235" t="e">
        <v>#N/A</v>
      </c>
      <c r="U235" t="e">
        <v>#N/A</v>
      </c>
      <c r="Y235" t="str">
        <v/>
      </c>
      <c r="AM235" t="str">
        <v/>
      </c>
      <c r="AN235" t="str">
        <v/>
      </c>
      <c r="AO235" t="str">
        <v/>
      </c>
      <c r="AQ235" t="str">
        <v/>
      </c>
      <c r="AR235" t="str">
        <v/>
      </c>
      <c r="AS235" t="e">
        <v>#N/A</v>
      </c>
      <c r="AU235" t="str">
        <v/>
      </c>
      <c r="AW235" t="e">
        <v>#N/A</v>
      </c>
    </row>
    <row r="236" spans="1:49" x14ac:dyDescent="0.25">
      <c r="A236" t="str">
        <v/>
      </c>
      <c r="B236" t="str">
        <v/>
      </c>
      <c r="C236" t="e">
        <v>#N/A</v>
      </c>
      <c r="D236" t="e">
        <v>#N/A</v>
      </c>
      <c r="J236" t="str">
        <v/>
      </c>
      <c r="K236" t="e">
        <f ca="1"/>
        <v>#N/A</v>
      </c>
      <c r="L236" t="str">
        <v/>
      </c>
      <c r="M236" t="e">
        <v>#N/A</v>
      </c>
      <c r="N236" t="e">
        <v>#N/A</v>
      </c>
      <c r="O236" t="e">
        <v>#N/A</v>
      </c>
      <c r="R236" t="e">
        <v>#N/A</v>
      </c>
      <c r="T236" t="e">
        <v>#N/A</v>
      </c>
      <c r="U236" t="e">
        <v>#N/A</v>
      </c>
      <c r="Y236" t="str">
        <v/>
      </c>
      <c r="AM236" t="str">
        <v/>
      </c>
      <c r="AN236" t="str">
        <v/>
      </c>
      <c r="AO236" t="str">
        <v/>
      </c>
      <c r="AQ236" t="str">
        <v/>
      </c>
      <c r="AR236" t="str">
        <v/>
      </c>
      <c r="AS236" t="e">
        <v>#N/A</v>
      </c>
      <c r="AU236" t="str">
        <v/>
      </c>
      <c r="AW236" t="e">
        <v>#N/A</v>
      </c>
    </row>
    <row r="237" spans="1:49" x14ac:dyDescent="0.25">
      <c r="A237" t="str">
        <v/>
      </c>
      <c r="B237" t="str">
        <v/>
      </c>
      <c r="C237" t="e">
        <v>#N/A</v>
      </c>
      <c r="D237" t="e">
        <v>#N/A</v>
      </c>
      <c r="J237" t="str">
        <v/>
      </c>
      <c r="K237" t="e">
        <f ca="1"/>
        <v>#N/A</v>
      </c>
      <c r="L237" t="str">
        <v/>
      </c>
      <c r="M237" t="e">
        <v>#N/A</v>
      </c>
      <c r="N237" t="e">
        <v>#N/A</v>
      </c>
      <c r="O237" t="e">
        <v>#N/A</v>
      </c>
      <c r="R237" t="e">
        <v>#N/A</v>
      </c>
      <c r="T237" t="e">
        <v>#N/A</v>
      </c>
      <c r="U237" t="e">
        <v>#N/A</v>
      </c>
      <c r="Y237" t="str">
        <v/>
      </c>
      <c r="AM237" t="str">
        <v/>
      </c>
      <c r="AN237" t="str">
        <v/>
      </c>
      <c r="AO237" t="str">
        <v/>
      </c>
      <c r="AQ237" t="str">
        <v/>
      </c>
      <c r="AR237" t="str">
        <v/>
      </c>
      <c r="AS237" t="e">
        <v>#N/A</v>
      </c>
      <c r="AU237" t="str">
        <v/>
      </c>
      <c r="AW237" t="e">
        <v>#N/A</v>
      </c>
    </row>
    <row r="238" spans="1:49" x14ac:dyDescent="0.25">
      <c r="A238" t="str">
        <v/>
      </c>
      <c r="B238" t="str">
        <v/>
      </c>
      <c r="C238" t="e">
        <v>#N/A</v>
      </c>
      <c r="D238" t="e">
        <v>#N/A</v>
      </c>
      <c r="J238" t="str">
        <v/>
      </c>
      <c r="K238" t="e">
        <f ca="1"/>
        <v>#N/A</v>
      </c>
      <c r="L238" t="str">
        <v/>
      </c>
      <c r="M238" t="e">
        <v>#N/A</v>
      </c>
      <c r="N238" t="e">
        <v>#N/A</v>
      </c>
      <c r="O238" t="e">
        <v>#N/A</v>
      </c>
      <c r="R238" t="e">
        <v>#N/A</v>
      </c>
      <c r="T238" t="e">
        <v>#N/A</v>
      </c>
      <c r="U238" t="e">
        <v>#N/A</v>
      </c>
      <c r="Y238" t="str">
        <v/>
      </c>
      <c r="AM238" t="str">
        <v/>
      </c>
      <c r="AN238" t="str">
        <v/>
      </c>
      <c r="AO238" t="str">
        <v/>
      </c>
      <c r="AQ238" t="str">
        <v/>
      </c>
      <c r="AR238" t="str">
        <v/>
      </c>
      <c r="AS238" t="e">
        <v>#N/A</v>
      </c>
      <c r="AU238" t="str">
        <v/>
      </c>
      <c r="AW238" t="e">
        <v>#N/A</v>
      </c>
    </row>
    <row r="239" spans="1:49" x14ac:dyDescent="0.25">
      <c r="A239" t="str">
        <v/>
      </c>
      <c r="B239" t="str">
        <v/>
      </c>
      <c r="C239" t="e">
        <v>#N/A</v>
      </c>
      <c r="D239" t="e">
        <v>#N/A</v>
      </c>
      <c r="J239" t="str">
        <v/>
      </c>
      <c r="K239" t="e">
        <f ca="1"/>
        <v>#N/A</v>
      </c>
      <c r="L239" t="str">
        <v/>
      </c>
      <c r="M239" t="e">
        <v>#N/A</v>
      </c>
      <c r="N239" t="e">
        <v>#N/A</v>
      </c>
      <c r="O239" t="e">
        <v>#N/A</v>
      </c>
      <c r="R239" t="e">
        <v>#N/A</v>
      </c>
      <c r="T239" t="e">
        <v>#N/A</v>
      </c>
      <c r="U239" t="e">
        <v>#N/A</v>
      </c>
      <c r="Y239" t="str">
        <v/>
      </c>
      <c r="AM239" t="str">
        <v/>
      </c>
      <c r="AN239" t="str">
        <v/>
      </c>
      <c r="AO239" t="str">
        <v/>
      </c>
      <c r="AQ239" t="str">
        <v/>
      </c>
      <c r="AR239" t="str">
        <v/>
      </c>
      <c r="AS239" t="e">
        <v>#N/A</v>
      </c>
      <c r="AU239" t="str">
        <v/>
      </c>
      <c r="AW239" t="e">
        <v>#N/A</v>
      </c>
    </row>
    <row r="240" spans="1:49" x14ac:dyDescent="0.25">
      <c r="A240" t="str">
        <v/>
      </c>
      <c r="B240" t="str">
        <v/>
      </c>
      <c r="C240" t="e">
        <v>#N/A</v>
      </c>
      <c r="D240" t="e">
        <v>#N/A</v>
      </c>
      <c r="J240" t="str">
        <v/>
      </c>
      <c r="K240" t="e">
        <f ca="1"/>
        <v>#N/A</v>
      </c>
      <c r="L240" t="str">
        <v/>
      </c>
      <c r="M240" t="e">
        <v>#N/A</v>
      </c>
      <c r="N240" t="e">
        <v>#N/A</v>
      </c>
      <c r="O240" t="e">
        <v>#N/A</v>
      </c>
      <c r="R240" t="e">
        <v>#N/A</v>
      </c>
      <c r="T240" t="e">
        <v>#N/A</v>
      </c>
      <c r="U240" t="e">
        <v>#N/A</v>
      </c>
      <c r="Y240" t="str">
        <v/>
      </c>
      <c r="AM240" t="str">
        <v/>
      </c>
      <c r="AN240" t="str">
        <v/>
      </c>
      <c r="AO240" t="str">
        <v/>
      </c>
      <c r="AQ240" t="str">
        <v/>
      </c>
      <c r="AR240" t="str">
        <v/>
      </c>
      <c r="AS240" t="e">
        <v>#N/A</v>
      </c>
      <c r="AU240" t="str">
        <v/>
      </c>
      <c r="AW240" t="e">
        <v>#N/A</v>
      </c>
    </row>
    <row r="241" spans="1:49" x14ac:dyDescent="0.25">
      <c r="A241" t="str">
        <v/>
      </c>
      <c r="B241" t="str">
        <v/>
      </c>
      <c r="C241" t="e">
        <v>#N/A</v>
      </c>
      <c r="D241" t="e">
        <v>#N/A</v>
      </c>
      <c r="J241" t="str">
        <v/>
      </c>
      <c r="K241" t="e">
        <f ca="1"/>
        <v>#N/A</v>
      </c>
      <c r="L241" t="str">
        <v/>
      </c>
      <c r="M241" t="e">
        <v>#N/A</v>
      </c>
      <c r="N241" t="e">
        <v>#N/A</v>
      </c>
      <c r="O241" t="e">
        <v>#N/A</v>
      </c>
      <c r="R241" t="e">
        <v>#N/A</v>
      </c>
      <c r="T241" t="e">
        <v>#N/A</v>
      </c>
      <c r="U241" t="e">
        <v>#N/A</v>
      </c>
      <c r="Y241" t="str">
        <v/>
      </c>
      <c r="AM241" t="str">
        <v/>
      </c>
      <c r="AN241" t="str">
        <v/>
      </c>
      <c r="AO241" t="str">
        <v/>
      </c>
      <c r="AQ241" t="str">
        <v/>
      </c>
      <c r="AR241" t="str">
        <v/>
      </c>
      <c r="AS241" t="e">
        <v>#N/A</v>
      </c>
      <c r="AU241" t="str">
        <v/>
      </c>
      <c r="AW241" t="e">
        <v>#N/A</v>
      </c>
    </row>
    <row r="242" spans="1:49" x14ac:dyDescent="0.25">
      <c r="A242" t="str">
        <v/>
      </c>
      <c r="B242" t="str">
        <v/>
      </c>
      <c r="C242" t="e">
        <v>#N/A</v>
      </c>
      <c r="D242" t="e">
        <v>#N/A</v>
      </c>
      <c r="J242" t="str">
        <v/>
      </c>
      <c r="K242" t="e">
        <f ca="1"/>
        <v>#N/A</v>
      </c>
      <c r="L242" t="str">
        <v/>
      </c>
      <c r="M242" t="e">
        <v>#N/A</v>
      </c>
      <c r="N242" t="e">
        <v>#N/A</v>
      </c>
      <c r="O242" t="e">
        <v>#N/A</v>
      </c>
      <c r="R242" t="e">
        <v>#N/A</v>
      </c>
      <c r="T242" t="e">
        <v>#N/A</v>
      </c>
      <c r="U242" t="e">
        <v>#N/A</v>
      </c>
      <c r="Y242" t="str">
        <v/>
      </c>
      <c r="AM242" t="str">
        <v/>
      </c>
      <c r="AN242" t="str">
        <v/>
      </c>
      <c r="AO242" t="str">
        <v/>
      </c>
      <c r="AQ242" t="str">
        <v/>
      </c>
      <c r="AR242" t="str">
        <v/>
      </c>
      <c r="AS242" t="e">
        <v>#N/A</v>
      </c>
      <c r="AU242" t="str">
        <v/>
      </c>
      <c r="AW242" t="e">
        <v>#N/A</v>
      </c>
    </row>
    <row r="243" spans="1:49" x14ac:dyDescent="0.25">
      <c r="A243" t="str">
        <v/>
      </c>
      <c r="B243" t="str">
        <v/>
      </c>
      <c r="C243" t="e">
        <v>#N/A</v>
      </c>
      <c r="D243" t="e">
        <v>#N/A</v>
      </c>
      <c r="J243" t="str">
        <v/>
      </c>
      <c r="K243" t="e">
        <f ca="1"/>
        <v>#N/A</v>
      </c>
      <c r="L243" t="str">
        <v/>
      </c>
      <c r="M243" t="e">
        <v>#N/A</v>
      </c>
      <c r="N243" t="e">
        <v>#N/A</v>
      </c>
      <c r="O243" t="e">
        <v>#N/A</v>
      </c>
      <c r="R243" t="e">
        <v>#N/A</v>
      </c>
      <c r="T243" t="e">
        <v>#N/A</v>
      </c>
      <c r="U243" t="e">
        <v>#N/A</v>
      </c>
      <c r="Y243" t="str">
        <v/>
      </c>
      <c r="AM243" t="str">
        <v/>
      </c>
      <c r="AN243" t="str">
        <v/>
      </c>
      <c r="AO243" t="str">
        <v/>
      </c>
      <c r="AQ243" t="str">
        <v/>
      </c>
      <c r="AR243" t="str">
        <v/>
      </c>
      <c r="AS243" t="e">
        <v>#N/A</v>
      </c>
      <c r="AU243" t="str">
        <v/>
      </c>
      <c r="AW243" t="e">
        <v>#N/A</v>
      </c>
    </row>
    <row r="244" spans="1:49" x14ac:dyDescent="0.25">
      <c r="A244" t="str">
        <v/>
      </c>
      <c r="B244" t="str">
        <v/>
      </c>
      <c r="C244" t="e">
        <v>#N/A</v>
      </c>
      <c r="D244" t="e">
        <v>#N/A</v>
      </c>
      <c r="J244" t="str">
        <v/>
      </c>
      <c r="K244" t="e">
        <f ca="1"/>
        <v>#N/A</v>
      </c>
      <c r="L244" t="str">
        <v/>
      </c>
      <c r="M244" t="e">
        <v>#N/A</v>
      </c>
      <c r="N244" t="e">
        <v>#N/A</v>
      </c>
      <c r="O244" t="e">
        <v>#N/A</v>
      </c>
      <c r="R244" t="e">
        <v>#N/A</v>
      </c>
      <c r="T244" t="e">
        <v>#N/A</v>
      </c>
      <c r="U244" t="e">
        <v>#N/A</v>
      </c>
      <c r="Y244" t="str">
        <v/>
      </c>
      <c r="AM244" t="str">
        <v/>
      </c>
      <c r="AN244" t="str">
        <v/>
      </c>
      <c r="AO244" t="str">
        <v/>
      </c>
      <c r="AQ244" t="str">
        <v/>
      </c>
      <c r="AR244" t="str">
        <v/>
      </c>
      <c r="AS244" t="e">
        <v>#N/A</v>
      </c>
      <c r="AU244" t="str">
        <v/>
      </c>
      <c r="AW244" t="e">
        <v>#N/A</v>
      </c>
    </row>
    <row r="245" spans="1:49" x14ac:dyDescent="0.25">
      <c r="A245" t="str">
        <v/>
      </c>
      <c r="B245" t="str">
        <v/>
      </c>
      <c r="C245" t="e">
        <v>#N/A</v>
      </c>
      <c r="D245" t="e">
        <v>#N/A</v>
      </c>
      <c r="J245" t="str">
        <v/>
      </c>
      <c r="K245" t="e">
        <f ca="1"/>
        <v>#N/A</v>
      </c>
      <c r="L245" t="str">
        <v/>
      </c>
      <c r="M245" t="e">
        <v>#N/A</v>
      </c>
      <c r="N245" t="e">
        <v>#N/A</v>
      </c>
      <c r="O245" t="e">
        <v>#N/A</v>
      </c>
      <c r="R245" t="e">
        <v>#N/A</v>
      </c>
      <c r="T245" t="e">
        <v>#N/A</v>
      </c>
      <c r="U245" t="e">
        <v>#N/A</v>
      </c>
      <c r="Y245" t="str">
        <v/>
      </c>
      <c r="AM245" t="str">
        <v/>
      </c>
      <c r="AN245" t="str">
        <v/>
      </c>
      <c r="AO245" t="str">
        <v/>
      </c>
      <c r="AQ245" t="str">
        <v/>
      </c>
      <c r="AR245" t="str">
        <v/>
      </c>
      <c r="AS245" t="e">
        <v>#N/A</v>
      </c>
      <c r="AU245" t="str">
        <v/>
      </c>
      <c r="AW245" t="e">
        <v>#N/A</v>
      </c>
    </row>
    <row r="246" spans="1:49" x14ac:dyDescent="0.25">
      <c r="A246" t="str">
        <v/>
      </c>
      <c r="B246" t="str">
        <v/>
      </c>
      <c r="C246" t="e">
        <v>#N/A</v>
      </c>
      <c r="D246" t="e">
        <v>#N/A</v>
      </c>
      <c r="J246" t="str">
        <v/>
      </c>
      <c r="K246" t="e">
        <f ca="1"/>
        <v>#N/A</v>
      </c>
      <c r="L246" t="str">
        <v/>
      </c>
      <c r="M246" t="e">
        <v>#N/A</v>
      </c>
      <c r="N246" t="e">
        <v>#N/A</v>
      </c>
      <c r="O246" t="e">
        <v>#N/A</v>
      </c>
      <c r="R246" t="e">
        <v>#N/A</v>
      </c>
      <c r="T246" t="e">
        <v>#N/A</v>
      </c>
      <c r="U246" t="e">
        <v>#N/A</v>
      </c>
      <c r="Y246" t="str">
        <v/>
      </c>
      <c r="AM246" t="str">
        <v/>
      </c>
      <c r="AN246" t="str">
        <v/>
      </c>
      <c r="AO246" t="str">
        <v/>
      </c>
      <c r="AQ246" t="str">
        <v/>
      </c>
      <c r="AR246" t="str">
        <v/>
      </c>
      <c r="AS246" t="e">
        <v>#N/A</v>
      </c>
      <c r="AU246" t="str">
        <v/>
      </c>
      <c r="AW246" t="e">
        <v>#N/A</v>
      </c>
    </row>
    <row r="247" spans="1:49" x14ac:dyDescent="0.25">
      <c r="A247" t="str">
        <v/>
      </c>
      <c r="B247" t="str">
        <v/>
      </c>
      <c r="C247" t="e">
        <v>#N/A</v>
      </c>
      <c r="D247" t="e">
        <v>#N/A</v>
      </c>
      <c r="J247" t="str">
        <v/>
      </c>
      <c r="K247" t="e">
        <f ca="1"/>
        <v>#N/A</v>
      </c>
      <c r="L247" t="str">
        <v/>
      </c>
      <c r="M247" t="e">
        <v>#N/A</v>
      </c>
      <c r="N247" t="e">
        <v>#N/A</v>
      </c>
      <c r="O247" t="e">
        <v>#N/A</v>
      </c>
      <c r="R247" t="e">
        <v>#N/A</v>
      </c>
      <c r="T247" t="e">
        <v>#N/A</v>
      </c>
      <c r="U247" t="e">
        <v>#N/A</v>
      </c>
      <c r="Y247" t="str">
        <v/>
      </c>
      <c r="AM247" t="str">
        <v/>
      </c>
      <c r="AN247" t="str">
        <v/>
      </c>
      <c r="AO247" t="str">
        <v/>
      </c>
      <c r="AQ247" t="str">
        <v/>
      </c>
      <c r="AR247" t="str">
        <v/>
      </c>
      <c r="AS247" t="e">
        <v>#N/A</v>
      </c>
      <c r="AU247" t="str">
        <v/>
      </c>
      <c r="AW247" t="e">
        <v>#N/A</v>
      </c>
    </row>
    <row r="248" spans="1:49" x14ac:dyDescent="0.25">
      <c r="A248" t="str">
        <v/>
      </c>
      <c r="B248" t="str">
        <v/>
      </c>
      <c r="C248" t="e">
        <v>#N/A</v>
      </c>
      <c r="D248" t="e">
        <v>#N/A</v>
      </c>
      <c r="J248" t="str">
        <v/>
      </c>
      <c r="K248" t="e">
        <f ca="1"/>
        <v>#N/A</v>
      </c>
      <c r="L248" t="str">
        <v/>
      </c>
      <c r="M248" t="e">
        <v>#N/A</v>
      </c>
      <c r="N248" t="e">
        <v>#N/A</v>
      </c>
      <c r="O248" t="e">
        <v>#N/A</v>
      </c>
      <c r="R248" t="e">
        <v>#N/A</v>
      </c>
      <c r="T248" t="e">
        <v>#N/A</v>
      </c>
      <c r="U248" t="e">
        <v>#N/A</v>
      </c>
      <c r="Y248" t="str">
        <v/>
      </c>
      <c r="AM248" t="str">
        <v/>
      </c>
      <c r="AN248" t="str">
        <v/>
      </c>
      <c r="AO248" t="str">
        <v/>
      </c>
      <c r="AQ248" t="str">
        <v/>
      </c>
      <c r="AR248" t="str">
        <v/>
      </c>
      <c r="AS248" t="e">
        <v>#N/A</v>
      </c>
      <c r="AU248" t="str">
        <v/>
      </c>
      <c r="AW248" t="e">
        <v>#N/A</v>
      </c>
    </row>
    <row r="249" spans="1:49" x14ac:dyDescent="0.25">
      <c r="A249" t="str">
        <v/>
      </c>
      <c r="B249" t="str">
        <v/>
      </c>
      <c r="C249" t="e">
        <v>#N/A</v>
      </c>
      <c r="D249" t="e">
        <v>#N/A</v>
      </c>
      <c r="J249" t="str">
        <v/>
      </c>
      <c r="K249" t="e">
        <f ca="1"/>
        <v>#N/A</v>
      </c>
      <c r="L249" t="str">
        <v/>
      </c>
      <c r="M249" t="e">
        <v>#N/A</v>
      </c>
      <c r="N249" t="e">
        <v>#N/A</v>
      </c>
      <c r="O249" t="e">
        <v>#N/A</v>
      </c>
      <c r="R249" t="e">
        <v>#N/A</v>
      </c>
      <c r="T249" t="e">
        <v>#N/A</v>
      </c>
      <c r="U249" t="e">
        <v>#N/A</v>
      </c>
      <c r="Y249" t="str">
        <v/>
      </c>
      <c r="AM249" t="str">
        <v/>
      </c>
      <c r="AN249" t="str">
        <v/>
      </c>
      <c r="AO249" t="str">
        <v/>
      </c>
      <c r="AQ249" t="str">
        <v/>
      </c>
      <c r="AR249" t="str">
        <v/>
      </c>
      <c r="AS249" t="e">
        <v>#N/A</v>
      </c>
      <c r="AU249" t="str">
        <v/>
      </c>
      <c r="AW249" t="e">
        <v>#N/A</v>
      </c>
    </row>
    <row r="250" spans="1:49" x14ac:dyDescent="0.25">
      <c r="A250" t="str">
        <v/>
      </c>
      <c r="B250" t="str">
        <v/>
      </c>
      <c r="C250" t="e">
        <v>#N/A</v>
      </c>
      <c r="D250" t="e">
        <v>#N/A</v>
      </c>
      <c r="J250" t="str">
        <v/>
      </c>
      <c r="K250" t="e">
        <f ca="1"/>
        <v>#N/A</v>
      </c>
      <c r="L250" t="str">
        <v/>
      </c>
      <c r="M250" t="e">
        <v>#N/A</v>
      </c>
      <c r="N250" t="e">
        <v>#N/A</v>
      </c>
      <c r="O250" t="e">
        <v>#N/A</v>
      </c>
      <c r="R250" t="e">
        <v>#N/A</v>
      </c>
      <c r="T250" t="e">
        <v>#N/A</v>
      </c>
      <c r="U250" t="e">
        <v>#N/A</v>
      </c>
      <c r="Y250" t="str">
        <v/>
      </c>
      <c r="AM250" t="str">
        <v/>
      </c>
      <c r="AN250" t="str">
        <v/>
      </c>
      <c r="AO250" t="str">
        <v/>
      </c>
      <c r="AQ250" t="str">
        <v/>
      </c>
      <c r="AR250" t="str">
        <v/>
      </c>
      <c r="AS250" t="e">
        <v>#N/A</v>
      </c>
      <c r="AU250" t="str">
        <v/>
      </c>
      <c r="AW250" t="e">
        <v>#N/A</v>
      </c>
    </row>
    <row r="251" spans="1:49" x14ac:dyDescent="0.25">
      <c r="A251" t="str">
        <v/>
      </c>
      <c r="B251" t="str">
        <v/>
      </c>
      <c r="C251" t="e">
        <v>#N/A</v>
      </c>
      <c r="D251" t="e">
        <v>#N/A</v>
      </c>
      <c r="J251" t="str">
        <v/>
      </c>
      <c r="K251" t="e">
        <f ca="1"/>
        <v>#N/A</v>
      </c>
      <c r="L251" t="str">
        <v/>
      </c>
      <c r="M251" t="e">
        <v>#N/A</v>
      </c>
      <c r="N251" t="e">
        <v>#N/A</v>
      </c>
      <c r="O251" t="e">
        <v>#N/A</v>
      </c>
      <c r="R251" t="e">
        <v>#N/A</v>
      </c>
      <c r="T251" t="e">
        <v>#N/A</v>
      </c>
      <c r="U251" t="e">
        <v>#N/A</v>
      </c>
      <c r="Y251" t="str">
        <v/>
      </c>
      <c r="AM251" t="str">
        <v/>
      </c>
      <c r="AN251" t="str">
        <v/>
      </c>
      <c r="AO251" t="str">
        <v/>
      </c>
      <c r="AQ251" t="str">
        <v/>
      </c>
      <c r="AR251" t="str">
        <v/>
      </c>
      <c r="AS251" t="e">
        <v>#N/A</v>
      </c>
      <c r="AU251" t="str">
        <v/>
      </c>
      <c r="AW251" t="e">
        <v>#N/A</v>
      </c>
    </row>
    <row r="252" spans="1:49" x14ac:dyDescent="0.25">
      <c r="A252" t="str">
        <v/>
      </c>
      <c r="B252" t="str">
        <v/>
      </c>
      <c r="C252" t="e">
        <v>#N/A</v>
      </c>
      <c r="D252" t="e">
        <v>#N/A</v>
      </c>
      <c r="J252" t="str">
        <v/>
      </c>
      <c r="K252" t="e">
        <f ca="1"/>
        <v>#N/A</v>
      </c>
      <c r="L252" t="str">
        <v/>
      </c>
      <c r="M252" t="e">
        <v>#N/A</v>
      </c>
      <c r="N252" t="e">
        <v>#N/A</v>
      </c>
      <c r="O252" t="e">
        <v>#N/A</v>
      </c>
      <c r="R252" t="e">
        <v>#N/A</v>
      </c>
      <c r="T252" t="e">
        <v>#N/A</v>
      </c>
      <c r="U252" t="e">
        <v>#N/A</v>
      </c>
      <c r="Y252" t="str">
        <v/>
      </c>
      <c r="AM252" t="str">
        <v/>
      </c>
      <c r="AN252" t="str">
        <v/>
      </c>
      <c r="AO252" t="str">
        <v/>
      </c>
      <c r="AQ252" t="str">
        <v/>
      </c>
      <c r="AR252" t="str">
        <v/>
      </c>
      <c r="AS252" t="e">
        <v>#N/A</v>
      </c>
      <c r="AU252" t="str">
        <v/>
      </c>
      <c r="AW252" t="e">
        <v>#N/A</v>
      </c>
    </row>
    <row r="253" spans="1:49" x14ac:dyDescent="0.25">
      <c r="A253" t="str">
        <v/>
      </c>
      <c r="B253" t="str">
        <v/>
      </c>
      <c r="C253" t="e">
        <v>#N/A</v>
      </c>
      <c r="D253" t="e">
        <v>#N/A</v>
      </c>
      <c r="J253" t="str">
        <v/>
      </c>
      <c r="K253" t="e">
        <f ca="1"/>
        <v>#N/A</v>
      </c>
      <c r="L253" t="str">
        <v/>
      </c>
      <c r="M253" t="e">
        <v>#N/A</v>
      </c>
      <c r="N253" t="e">
        <v>#N/A</v>
      </c>
      <c r="O253" t="e">
        <v>#N/A</v>
      </c>
      <c r="R253" t="e">
        <v>#N/A</v>
      </c>
      <c r="T253" t="e">
        <v>#N/A</v>
      </c>
      <c r="U253" t="e">
        <v>#N/A</v>
      </c>
      <c r="Y253" t="str">
        <v/>
      </c>
      <c r="AM253" t="str">
        <v/>
      </c>
      <c r="AN253" t="str">
        <v/>
      </c>
      <c r="AO253" t="str">
        <v/>
      </c>
      <c r="AQ253" t="str">
        <v/>
      </c>
      <c r="AR253" t="str">
        <v/>
      </c>
      <c r="AS253" t="e">
        <v>#N/A</v>
      </c>
      <c r="AU253" t="str">
        <v/>
      </c>
      <c r="AW253" t="e">
        <v>#N/A</v>
      </c>
    </row>
    <row r="254" spans="1:49" x14ac:dyDescent="0.25">
      <c r="A254" t="str">
        <v/>
      </c>
      <c r="B254" t="str">
        <v/>
      </c>
      <c r="C254" t="e">
        <v>#N/A</v>
      </c>
      <c r="D254" t="e">
        <v>#N/A</v>
      </c>
      <c r="J254" t="str">
        <v/>
      </c>
      <c r="K254" t="e">
        <f ca="1"/>
        <v>#N/A</v>
      </c>
      <c r="L254" t="str">
        <v/>
      </c>
      <c r="M254" t="e">
        <v>#N/A</v>
      </c>
      <c r="N254" t="e">
        <v>#N/A</v>
      </c>
      <c r="O254" t="e">
        <v>#N/A</v>
      </c>
      <c r="R254" t="e">
        <v>#N/A</v>
      </c>
      <c r="T254" t="e">
        <v>#N/A</v>
      </c>
      <c r="U254" t="e">
        <v>#N/A</v>
      </c>
      <c r="Y254" t="str">
        <v/>
      </c>
      <c r="AM254" t="str">
        <v/>
      </c>
      <c r="AN254" t="str">
        <v/>
      </c>
      <c r="AO254" t="str">
        <v/>
      </c>
      <c r="AQ254" t="str">
        <v/>
      </c>
      <c r="AR254" t="str">
        <v/>
      </c>
      <c r="AS254" t="e">
        <v>#N/A</v>
      </c>
      <c r="AU254" t="str">
        <v/>
      </c>
      <c r="AW254" t="e">
        <v>#N/A</v>
      </c>
    </row>
    <row r="255" spans="1:49" x14ac:dyDescent="0.25">
      <c r="A255" t="str">
        <v/>
      </c>
      <c r="B255" t="str">
        <v/>
      </c>
      <c r="C255" t="e">
        <v>#N/A</v>
      </c>
      <c r="D255" t="e">
        <v>#N/A</v>
      </c>
      <c r="J255" t="str">
        <v/>
      </c>
      <c r="K255" t="e">
        <f ca="1"/>
        <v>#N/A</v>
      </c>
      <c r="L255" t="str">
        <v/>
      </c>
      <c r="M255" t="e">
        <v>#N/A</v>
      </c>
      <c r="N255" t="e">
        <v>#N/A</v>
      </c>
      <c r="O255" t="e">
        <v>#N/A</v>
      </c>
      <c r="R255" t="e">
        <v>#N/A</v>
      </c>
      <c r="T255" t="e">
        <v>#N/A</v>
      </c>
      <c r="U255" t="e">
        <v>#N/A</v>
      </c>
      <c r="Y255" t="str">
        <v/>
      </c>
      <c r="AM255" t="str">
        <v/>
      </c>
      <c r="AN255" t="str">
        <v/>
      </c>
      <c r="AO255" t="str">
        <v/>
      </c>
      <c r="AQ255" t="str">
        <v/>
      </c>
      <c r="AR255" t="str">
        <v/>
      </c>
      <c r="AS255" t="e">
        <v>#N/A</v>
      </c>
      <c r="AU255" t="str">
        <v/>
      </c>
      <c r="AW255" t="e">
        <v>#N/A</v>
      </c>
    </row>
    <row r="256" spans="1:49" x14ac:dyDescent="0.25">
      <c r="A256" t="str">
        <v/>
      </c>
      <c r="B256" t="str">
        <v/>
      </c>
      <c r="C256" t="e">
        <v>#N/A</v>
      </c>
      <c r="D256" t="e">
        <v>#N/A</v>
      </c>
      <c r="J256" t="str">
        <v/>
      </c>
      <c r="K256" t="e">
        <f ca="1"/>
        <v>#N/A</v>
      </c>
      <c r="L256" t="str">
        <v/>
      </c>
      <c r="M256" t="e">
        <v>#N/A</v>
      </c>
      <c r="N256" t="e">
        <v>#N/A</v>
      </c>
      <c r="O256" t="e">
        <v>#N/A</v>
      </c>
      <c r="R256" t="e">
        <v>#N/A</v>
      </c>
      <c r="T256" t="e">
        <v>#N/A</v>
      </c>
      <c r="U256" t="e">
        <v>#N/A</v>
      </c>
      <c r="Y256" t="str">
        <v/>
      </c>
      <c r="AM256" t="str">
        <v/>
      </c>
      <c r="AN256" t="str">
        <v/>
      </c>
      <c r="AO256" t="str">
        <v/>
      </c>
      <c r="AQ256" t="str">
        <v/>
      </c>
      <c r="AR256" t="str">
        <v/>
      </c>
      <c r="AS256" t="e">
        <v>#N/A</v>
      </c>
      <c r="AU256" t="str">
        <v/>
      </c>
      <c r="AW256" t="e">
        <v>#N/A</v>
      </c>
    </row>
    <row r="257" spans="1:49" x14ac:dyDescent="0.25">
      <c r="A257" t="str">
        <v/>
      </c>
      <c r="B257" t="str">
        <v/>
      </c>
      <c r="C257" t="e">
        <v>#N/A</v>
      </c>
      <c r="D257" t="e">
        <v>#N/A</v>
      </c>
      <c r="J257" t="str">
        <v/>
      </c>
      <c r="K257" t="e">
        <f ca="1"/>
        <v>#N/A</v>
      </c>
      <c r="L257" t="str">
        <v/>
      </c>
      <c r="M257" t="e">
        <v>#N/A</v>
      </c>
      <c r="N257" t="e">
        <v>#N/A</v>
      </c>
      <c r="O257" t="e">
        <v>#N/A</v>
      </c>
      <c r="R257" t="e">
        <v>#N/A</v>
      </c>
      <c r="T257" t="e">
        <v>#N/A</v>
      </c>
      <c r="U257" t="e">
        <v>#N/A</v>
      </c>
      <c r="Y257" t="str">
        <v/>
      </c>
      <c r="AM257" t="str">
        <v/>
      </c>
      <c r="AN257" t="str">
        <v/>
      </c>
      <c r="AO257" t="str">
        <v/>
      </c>
      <c r="AQ257" t="str">
        <v/>
      </c>
      <c r="AR257" t="str">
        <v/>
      </c>
      <c r="AS257" t="e">
        <v>#N/A</v>
      </c>
      <c r="AU257" t="str">
        <v/>
      </c>
      <c r="AW257" t="e">
        <v>#N/A</v>
      </c>
    </row>
    <row r="258" spans="1:49" x14ac:dyDescent="0.25">
      <c r="A258" t="str">
        <v/>
      </c>
      <c r="B258" t="str">
        <v/>
      </c>
      <c r="C258" t="e">
        <v>#N/A</v>
      </c>
      <c r="D258" t="e">
        <v>#N/A</v>
      </c>
      <c r="J258" t="str">
        <v/>
      </c>
      <c r="K258" t="e">
        <f ca="1"/>
        <v>#N/A</v>
      </c>
      <c r="L258" t="str">
        <v/>
      </c>
      <c r="M258" t="e">
        <v>#N/A</v>
      </c>
      <c r="N258" t="e">
        <v>#N/A</v>
      </c>
      <c r="O258" t="e">
        <v>#N/A</v>
      </c>
      <c r="R258" t="e">
        <v>#N/A</v>
      </c>
      <c r="T258" t="e">
        <v>#N/A</v>
      </c>
      <c r="U258" t="e">
        <v>#N/A</v>
      </c>
      <c r="Y258" t="str">
        <v/>
      </c>
      <c r="AM258" t="str">
        <v/>
      </c>
      <c r="AN258" t="str">
        <v/>
      </c>
      <c r="AO258" t="str">
        <v/>
      </c>
      <c r="AQ258" t="str">
        <v/>
      </c>
      <c r="AR258" t="str">
        <v/>
      </c>
      <c r="AS258" t="e">
        <v>#N/A</v>
      </c>
      <c r="AU258" t="str">
        <v/>
      </c>
      <c r="AW258" t="e">
        <v>#N/A</v>
      </c>
    </row>
    <row r="259" spans="1:49" x14ac:dyDescent="0.25">
      <c r="A259" t="str">
        <v/>
      </c>
      <c r="B259" t="str">
        <v/>
      </c>
      <c r="C259" t="e">
        <v>#N/A</v>
      </c>
      <c r="D259" t="e">
        <v>#N/A</v>
      </c>
      <c r="J259" t="str">
        <v/>
      </c>
      <c r="K259" t="e">
        <f ca="1"/>
        <v>#N/A</v>
      </c>
      <c r="L259" t="str">
        <v/>
      </c>
      <c r="M259" t="e">
        <v>#N/A</v>
      </c>
      <c r="N259" t="e">
        <v>#N/A</v>
      </c>
      <c r="O259" t="e">
        <v>#N/A</v>
      </c>
      <c r="R259" t="e">
        <v>#N/A</v>
      </c>
      <c r="T259" t="e">
        <v>#N/A</v>
      </c>
      <c r="U259" t="e">
        <v>#N/A</v>
      </c>
      <c r="Y259" t="str">
        <v/>
      </c>
      <c r="AM259" t="str">
        <v/>
      </c>
      <c r="AN259" t="str">
        <v/>
      </c>
      <c r="AO259" t="str">
        <v/>
      </c>
      <c r="AQ259" t="str">
        <v/>
      </c>
      <c r="AR259" t="str">
        <v/>
      </c>
      <c r="AS259" t="e">
        <v>#N/A</v>
      </c>
      <c r="AU259" t="str">
        <v/>
      </c>
      <c r="AW259" t="e">
        <v>#N/A</v>
      </c>
    </row>
    <row r="260" spans="1:49" x14ac:dyDescent="0.25">
      <c r="A260" t="str">
        <v/>
      </c>
      <c r="B260" t="str">
        <v/>
      </c>
      <c r="C260" t="e">
        <v>#N/A</v>
      </c>
      <c r="D260" t="e">
        <v>#N/A</v>
      </c>
      <c r="J260" t="str">
        <v/>
      </c>
      <c r="K260" t="e">
        <f ca="1"/>
        <v>#N/A</v>
      </c>
      <c r="L260" t="str">
        <v/>
      </c>
      <c r="M260" t="e">
        <v>#N/A</v>
      </c>
      <c r="N260" t="e">
        <v>#N/A</v>
      </c>
      <c r="O260" t="e">
        <v>#N/A</v>
      </c>
      <c r="R260" t="e">
        <v>#N/A</v>
      </c>
      <c r="T260" t="e">
        <v>#N/A</v>
      </c>
      <c r="U260" t="e">
        <v>#N/A</v>
      </c>
      <c r="Y260" t="str">
        <v/>
      </c>
      <c r="AM260" t="str">
        <v/>
      </c>
      <c r="AN260" t="str">
        <v/>
      </c>
      <c r="AO260" t="str">
        <v/>
      </c>
      <c r="AQ260" t="str">
        <v/>
      </c>
      <c r="AR260" t="str">
        <v/>
      </c>
      <c r="AS260" t="e">
        <v>#N/A</v>
      </c>
      <c r="AU260" t="str">
        <v/>
      </c>
      <c r="AW260" t="e">
        <v>#N/A</v>
      </c>
    </row>
    <row r="261" spans="1:49" x14ac:dyDescent="0.25">
      <c r="A261" t="str">
        <v/>
      </c>
      <c r="B261" t="str">
        <v/>
      </c>
      <c r="C261" t="e">
        <v>#N/A</v>
      </c>
      <c r="D261" t="e">
        <v>#N/A</v>
      </c>
      <c r="J261" t="str">
        <v/>
      </c>
      <c r="K261" t="e">
        <f ca="1"/>
        <v>#N/A</v>
      </c>
      <c r="L261" t="str">
        <v/>
      </c>
      <c r="M261" t="e">
        <v>#N/A</v>
      </c>
      <c r="N261" t="e">
        <v>#N/A</v>
      </c>
      <c r="O261" t="e">
        <v>#N/A</v>
      </c>
      <c r="R261" t="e">
        <v>#N/A</v>
      </c>
      <c r="T261" t="e">
        <v>#N/A</v>
      </c>
      <c r="U261" t="e">
        <v>#N/A</v>
      </c>
      <c r="Y261" t="str">
        <v/>
      </c>
      <c r="AM261" t="str">
        <v/>
      </c>
      <c r="AN261" t="str">
        <v/>
      </c>
      <c r="AO261" t="str">
        <v/>
      </c>
      <c r="AQ261" t="str">
        <v/>
      </c>
      <c r="AR261" t="str">
        <v/>
      </c>
      <c r="AS261" t="e">
        <v>#N/A</v>
      </c>
      <c r="AU261" t="str">
        <v/>
      </c>
      <c r="AW261" t="e">
        <v>#N/A</v>
      </c>
    </row>
    <row r="262" spans="1:49" x14ac:dyDescent="0.25">
      <c r="A262" t="str">
        <v/>
      </c>
      <c r="B262" t="str">
        <v/>
      </c>
      <c r="C262" t="e">
        <v>#N/A</v>
      </c>
      <c r="D262" t="e">
        <v>#N/A</v>
      </c>
      <c r="J262" t="str">
        <v/>
      </c>
      <c r="K262" t="e">
        <f ca="1"/>
        <v>#N/A</v>
      </c>
      <c r="L262" t="str">
        <v/>
      </c>
      <c r="M262" t="e">
        <v>#N/A</v>
      </c>
      <c r="N262" t="e">
        <v>#N/A</v>
      </c>
      <c r="O262" t="e">
        <v>#N/A</v>
      </c>
      <c r="R262" t="e">
        <v>#N/A</v>
      </c>
      <c r="T262" t="e">
        <v>#N/A</v>
      </c>
      <c r="U262" t="e">
        <v>#N/A</v>
      </c>
      <c r="Y262" t="str">
        <v/>
      </c>
      <c r="AM262" t="str">
        <v/>
      </c>
      <c r="AN262" t="str">
        <v/>
      </c>
      <c r="AO262" t="str">
        <v/>
      </c>
      <c r="AQ262" t="str">
        <v/>
      </c>
      <c r="AR262" t="str">
        <v/>
      </c>
      <c r="AS262" t="e">
        <v>#N/A</v>
      </c>
      <c r="AU262" t="str">
        <v/>
      </c>
      <c r="AW262" t="e">
        <v>#N/A</v>
      </c>
    </row>
    <row r="263" spans="1:49" x14ac:dyDescent="0.25">
      <c r="A263" t="str">
        <v/>
      </c>
      <c r="B263" t="str">
        <v/>
      </c>
      <c r="C263" t="e">
        <v>#N/A</v>
      </c>
      <c r="D263" t="e">
        <v>#N/A</v>
      </c>
      <c r="J263" t="str">
        <v/>
      </c>
      <c r="K263" t="e">
        <f ca="1"/>
        <v>#N/A</v>
      </c>
      <c r="L263" t="str">
        <v/>
      </c>
      <c r="M263" t="e">
        <v>#N/A</v>
      </c>
      <c r="N263" t="e">
        <v>#N/A</v>
      </c>
      <c r="O263" t="e">
        <v>#N/A</v>
      </c>
      <c r="R263" t="e">
        <v>#N/A</v>
      </c>
      <c r="T263" t="e">
        <v>#N/A</v>
      </c>
      <c r="U263" t="e">
        <v>#N/A</v>
      </c>
      <c r="Y263" t="str">
        <v/>
      </c>
      <c r="AM263" t="str">
        <v/>
      </c>
      <c r="AN263" t="str">
        <v/>
      </c>
      <c r="AO263" t="str">
        <v/>
      </c>
      <c r="AQ263" t="str">
        <v/>
      </c>
      <c r="AR263" t="str">
        <v/>
      </c>
      <c r="AS263" t="e">
        <v>#N/A</v>
      </c>
      <c r="AU263" t="str">
        <v/>
      </c>
      <c r="AW263" t="e">
        <v>#N/A</v>
      </c>
    </row>
    <row r="264" spans="1:49" x14ac:dyDescent="0.25">
      <c r="A264" t="str">
        <v/>
      </c>
      <c r="B264" t="str">
        <v/>
      </c>
      <c r="C264" t="e">
        <v>#N/A</v>
      </c>
      <c r="D264" t="e">
        <v>#N/A</v>
      </c>
      <c r="J264" t="str">
        <v/>
      </c>
      <c r="K264" t="e">
        <f ca="1"/>
        <v>#N/A</v>
      </c>
      <c r="L264" t="str">
        <v/>
      </c>
      <c r="M264" t="e">
        <v>#N/A</v>
      </c>
      <c r="N264" t="e">
        <v>#N/A</v>
      </c>
      <c r="O264" t="e">
        <v>#N/A</v>
      </c>
      <c r="R264" t="e">
        <v>#N/A</v>
      </c>
      <c r="T264" t="e">
        <v>#N/A</v>
      </c>
      <c r="U264" t="e">
        <v>#N/A</v>
      </c>
      <c r="Y264" t="str">
        <v/>
      </c>
      <c r="AM264" t="str">
        <v/>
      </c>
      <c r="AN264" t="str">
        <v/>
      </c>
      <c r="AO264" t="str">
        <v/>
      </c>
      <c r="AQ264" t="str">
        <v/>
      </c>
      <c r="AR264" t="str">
        <v/>
      </c>
      <c r="AS264" t="e">
        <v>#N/A</v>
      </c>
      <c r="AU264" t="str">
        <v/>
      </c>
      <c r="AW264" t="e">
        <v>#N/A</v>
      </c>
    </row>
    <row r="265" spans="1:49" x14ac:dyDescent="0.25">
      <c r="A265" t="str">
        <v/>
      </c>
      <c r="B265" t="str">
        <v/>
      </c>
      <c r="C265" t="e">
        <v>#N/A</v>
      </c>
      <c r="D265" t="e">
        <v>#N/A</v>
      </c>
      <c r="J265" t="str">
        <v/>
      </c>
      <c r="K265" t="e">
        <f ca="1"/>
        <v>#N/A</v>
      </c>
      <c r="L265" t="str">
        <v/>
      </c>
      <c r="M265" t="e">
        <v>#N/A</v>
      </c>
      <c r="N265" t="e">
        <v>#N/A</v>
      </c>
      <c r="O265" t="e">
        <v>#N/A</v>
      </c>
      <c r="R265" t="e">
        <v>#N/A</v>
      </c>
      <c r="T265" t="e">
        <v>#N/A</v>
      </c>
      <c r="U265" t="e">
        <v>#N/A</v>
      </c>
      <c r="Y265" t="str">
        <v/>
      </c>
      <c r="AM265" t="str">
        <v/>
      </c>
      <c r="AN265" t="str">
        <v/>
      </c>
      <c r="AO265" t="str">
        <v/>
      </c>
      <c r="AQ265" t="str">
        <v/>
      </c>
      <c r="AR265" t="str">
        <v/>
      </c>
      <c r="AS265" t="e">
        <v>#N/A</v>
      </c>
      <c r="AU265" t="str">
        <v/>
      </c>
      <c r="AW265" t="e">
        <v>#N/A</v>
      </c>
    </row>
    <row r="266" spans="1:49" x14ac:dyDescent="0.25">
      <c r="A266" t="str">
        <v/>
      </c>
      <c r="B266" t="str">
        <v/>
      </c>
      <c r="C266" t="e">
        <v>#N/A</v>
      </c>
      <c r="D266" t="e">
        <v>#N/A</v>
      </c>
      <c r="J266" t="str">
        <v/>
      </c>
      <c r="K266" t="e">
        <f ca="1"/>
        <v>#N/A</v>
      </c>
      <c r="L266" t="str">
        <v/>
      </c>
      <c r="M266" t="e">
        <v>#N/A</v>
      </c>
      <c r="N266" t="e">
        <v>#N/A</v>
      </c>
      <c r="O266" t="e">
        <v>#N/A</v>
      </c>
      <c r="R266" t="e">
        <v>#N/A</v>
      </c>
      <c r="T266" t="e">
        <v>#N/A</v>
      </c>
      <c r="U266" t="e">
        <v>#N/A</v>
      </c>
      <c r="Y266" t="str">
        <v/>
      </c>
      <c r="AM266" t="str">
        <v/>
      </c>
      <c r="AN266" t="str">
        <v/>
      </c>
      <c r="AO266" t="str">
        <v/>
      </c>
      <c r="AQ266" t="str">
        <v/>
      </c>
      <c r="AR266" t="str">
        <v/>
      </c>
      <c r="AS266" t="e">
        <v>#N/A</v>
      </c>
      <c r="AU266" t="str">
        <v/>
      </c>
      <c r="AW266" t="e">
        <v>#N/A</v>
      </c>
    </row>
    <row r="267" spans="1:49" x14ac:dyDescent="0.25">
      <c r="A267" t="str">
        <v/>
      </c>
      <c r="B267" t="str">
        <v/>
      </c>
      <c r="C267" t="e">
        <v>#N/A</v>
      </c>
      <c r="D267" t="e">
        <v>#N/A</v>
      </c>
      <c r="J267" t="str">
        <v/>
      </c>
      <c r="K267" t="e">
        <f ca="1"/>
        <v>#N/A</v>
      </c>
      <c r="L267" t="str">
        <v/>
      </c>
      <c r="M267" t="e">
        <v>#N/A</v>
      </c>
      <c r="N267" t="e">
        <v>#N/A</v>
      </c>
      <c r="O267" t="e">
        <v>#N/A</v>
      </c>
      <c r="R267" t="e">
        <v>#N/A</v>
      </c>
      <c r="T267" t="e">
        <v>#N/A</v>
      </c>
      <c r="U267" t="e">
        <v>#N/A</v>
      </c>
      <c r="Y267" t="str">
        <v/>
      </c>
      <c r="AM267" t="str">
        <v/>
      </c>
      <c r="AN267" t="str">
        <v/>
      </c>
      <c r="AO267" t="str">
        <v/>
      </c>
      <c r="AQ267" t="str">
        <v/>
      </c>
      <c r="AR267" t="str">
        <v/>
      </c>
      <c r="AS267" t="e">
        <v>#N/A</v>
      </c>
      <c r="AU267" t="str">
        <v/>
      </c>
      <c r="AW267" t="e">
        <v>#N/A</v>
      </c>
    </row>
    <row r="268" spans="1:49" x14ac:dyDescent="0.25">
      <c r="A268" t="str">
        <v/>
      </c>
      <c r="B268" t="str">
        <v/>
      </c>
      <c r="C268" t="e">
        <v>#N/A</v>
      </c>
      <c r="D268" t="e">
        <v>#N/A</v>
      </c>
      <c r="J268" t="str">
        <v/>
      </c>
      <c r="K268" t="e">
        <f ca="1"/>
        <v>#N/A</v>
      </c>
      <c r="L268" t="str">
        <v/>
      </c>
      <c r="M268" t="e">
        <v>#N/A</v>
      </c>
      <c r="N268" t="e">
        <v>#N/A</v>
      </c>
      <c r="O268" t="e">
        <v>#N/A</v>
      </c>
      <c r="R268" t="e">
        <v>#N/A</v>
      </c>
      <c r="T268" t="e">
        <v>#N/A</v>
      </c>
      <c r="U268" t="e">
        <v>#N/A</v>
      </c>
      <c r="Y268" t="str">
        <v/>
      </c>
      <c r="AM268" t="str">
        <v/>
      </c>
      <c r="AN268" t="str">
        <v/>
      </c>
      <c r="AO268" t="str">
        <v/>
      </c>
      <c r="AQ268" t="str">
        <v/>
      </c>
      <c r="AR268" t="str">
        <v/>
      </c>
      <c r="AS268" t="e">
        <v>#N/A</v>
      </c>
      <c r="AU268" t="str">
        <v/>
      </c>
      <c r="AW268" t="e">
        <v>#N/A</v>
      </c>
    </row>
    <row r="269" spans="1:49" x14ac:dyDescent="0.25">
      <c r="A269" t="str">
        <v/>
      </c>
      <c r="B269" t="str">
        <v/>
      </c>
      <c r="C269" t="e">
        <v>#N/A</v>
      </c>
      <c r="D269" t="e">
        <v>#N/A</v>
      </c>
      <c r="J269" t="str">
        <v/>
      </c>
      <c r="K269" t="e">
        <f ca="1"/>
        <v>#N/A</v>
      </c>
      <c r="L269" t="str">
        <v/>
      </c>
      <c r="M269" t="e">
        <v>#N/A</v>
      </c>
      <c r="N269" t="e">
        <v>#N/A</v>
      </c>
      <c r="O269" t="e">
        <v>#N/A</v>
      </c>
      <c r="R269" t="e">
        <v>#N/A</v>
      </c>
      <c r="T269" t="e">
        <v>#N/A</v>
      </c>
      <c r="U269" t="e">
        <v>#N/A</v>
      </c>
      <c r="Y269" t="str">
        <v/>
      </c>
      <c r="AM269" t="str">
        <v/>
      </c>
      <c r="AN269" t="str">
        <v/>
      </c>
      <c r="AO269" t="str">
        <v/>
      </c>
      <c r="AQ269" t="str">
        <v/>
      </c>
      <c r="AR269" t="str">
        <v/>
      </c>
      <c r="AS269" t="e">
        <v>#N/A</v>
      </c>
      <c r="AU269" t="str">
        <v/>
      </c>
      <c r="AW269" t="e">
        <v>#N/A</v>
      </c>
    </row>
    <row r="270" spans="1:49" x14ac:dyDescent="0.25">
      <c r="A270" t="str">
        <v/>
      </c>
      <c r="B270" t="str">
        <v/>
      </c>
      <c r="C270" t="e">
        <v>#N/A</v>
      </c>
      <c r="D270" t="e">
        <v>#N/A</v>
      </c>
      <c r="J270" t="str">
        <v/>
      </c>
      <c r="K270" t="e">
        <f ca="1"/>
        <v>#N/A</v>
      </c>
      <c r="L270" t="str">
        <v/>
      </c>
      <c r="M270" t="e">
        <v>#N/A</v>
      </c>
      <c r="N270" t="e">
        <v>#N/A</v>
      </c>
      <c r="O270" t="e">
        <v>#N/A</v>
      </c>
      <c r="R270" t="e">
        <v>#N/A</v>
      </c>
      <c r="T270" t="e">
        <v>#N/A</v>
      </c>
      <c r="U270" t="e">
        <v>#N/A</v>
      </c>
      <c r="Y270" t="str">
        <v/>
      </c>
      <c r="AM270" t="str">
        <v/>
      </c>
      <c r="AN270" t="str">
        <v/>
      </c>
      <c r="AO270" t="str">
        <v/>
      </c>
      <c r="AQ270" t="str">
        <v/>
      </c>
      <c r="AR270" t="str">
        <v/>
      </c>
      <c r="AS270" t="e">
        <v>#N/A</v>
      </c>
      <c r="AU270" t="str">
        <v/>
      </c>
      <c r="AW270" t="e">
        <v>#N/A</v>
      </c>
    </row>
    <row r="271" spans="1:49" x14ac:dyDescent="0.25">
      <c r="A271" t="str">
        <v/>
      </c>
      <c r="B271" t="str">
        <v/>
      </c>
      <c r="C271" t="e">
        <v>#N/A</v>
      </c>
      <c r="D271" t="e">
        <v>#N/A</v>
      </c>
      <c r="J271" t="str">
        <v/>
      </c>
      <c r="K271" t="e">
        <f ca="1"/>
        <v>#N/A</v>
      </c>
      <c r="L271" t="str">
        <v/>
      </c>
      <c r="M271" t="e">
        <v>#N/A</v>
      </c>
      <c r="N271" t="e">
        <v>#N/A</v>
      </c>
      <c r="O271" t="e">
        <v>#N/A</v>
      </c>
      <c r="R271" t="e">
        <v>#N/A</v>
      </c>
      <c r="T271" t="e">
        <v>#N/A</v>
      </c>
      <c r="U271" t="e">
        <v>#N/A</v>
      </c>
      <c r="Y271" t="str">
        <v/>
      </c>
      <c r="AM271" t="str">
        <v/>
      </c>
      <c r="AN271" t="str">
        <v/>
      </c>
      <c r="AO271" t="str">
        <v/>
      </c>
      <c r="AQ271" t="str">
        <v/>
      </c>
      <c r="AR271" t="str">
        <v/>
      </c>
      <c r="AS271" t="e">
        <v>#N/A</v>
      </c>
      <c r="AU271" t="str">
        <v/>
      </c>
      <c r="AW271" t="e">
        <v>#N/A</v>
      </c>
    </row>
    <row r="272" spans="1:49" x14ac:dyDescent="0.25">
      <c r="A272" t="str">
        <v/>
      </c>
      <c r="B272" t="str">
        <v/>
      </c>
      <c r="C272" t="e">
        <v>#N/A</v>
      </c>
      <c r="D272" t="e">
        <v>#N/A</v>
      </c>
      <c r="J272" t="str">
        <v/>
      </c>
      <c r="K272" t="e">
        <f ca="1"/>
        <v>#N/A</v>
      </c>
      <c r="L272" t="str">
        <v/>
      </c>
      <c r="M272" t="e">
        <v>#N/A</v>
      </c>
      <c r="N272" t="e">
        <v>#N/A</v>
      </c>
      <c r="O272" t="e">
        <v>#N/A</v>
      </c>
      <c r="R272" t="e">
        <v>#N/A</v>
      </c>
      <c r="T272" t="e">
        <v>#N/A</v>
      </c>
      <c r="U272" t="e">
        <v>#N/A</v>
      </c>
      <c r="Y272" t="str">
        <v/>
      </c>
      <c r="AM272" t="str">
        <v/>
      </c>
      <c r="AN272" t="str">
        <v/>
      </c>
      <c r="AO272" t="str">
        <v/>
      </c>
      <c r="AQ272" t="str">
        <v/>
      </c>
      <c r="AR272" t="str">
        <v/>
      </c>
      <c r="AS272" t="e">
        <v>#N/A</v>
      </c>
      <c r="AU272" t="str">
        <v/>
      </c>
      <c r="AW272" t="e">
        <v>#N/A</v>
      </c>
    </row>
    <row r="273" spans="1:49" x14ac:dyDescent="0.25">
      <c r="A273" t="str">
        <v/>
      </c>
      <c r="B273" t="str">
        <v/>
      </c>
      <c r="C273" t="e">
        <v>#N/A</v>
      </c>
      <c r="D273" t="e">
        <v>#N/A</v>
      </c>
      <c r="J273" t="str">
        <v/>
      </c>
      <c r="K273" t="e">
        <f ca="1"/>
        <v>#N/A</v>
      </c>
      <c r="L273" t="str">
        <v/>
      </c>
      <c r="M273" t="e">
        <v>#N/A</v>
      </c>
      <c r="N273" t="e">
        <v>#N/A</v>
      </c>
      <c r="O273" t="e">
        <v>#N/A</v>
      </c>
      <c r="R273" t="e">
        <v>#N/A</v>
      </c>
      <c r="T273" t="e">
        <v>#N/A</v>
      </c>
      <c r="U273" t="e">
        <v>#N/A</v>
      </c>
      <c r="Y273" t="str">
        <v/>
      </c>
      <c r="AM273" t="str">
        <v/>
      </c>
      <c r="AN273" t="str">
        <v/>
      </c>
      <c r="AO273" t="str">
        <v/>
      </c>
      <c r="AQ273" t="str">
        <v/>
      </c>
      <c r="AR273" t="str">
        <v/>
      </c>
      <c r="AS273" t="e">
        <v>#N/A</v>
      </c>
      <c r="AU273" t="str">
        <v/>
      </c>
      <c r="AW273" t="e">
        <v>#N/A</v>
      </c>
    </row>
    <row r="274" spans="1:49" x14ac:dyDescent="0.25">
      <c r="A274" t="str">
        <v/>
      </c>
      <c r="B274" t="str">
        <v/>
      </c>
      <c r="C274" t="e">
        <v>#N/A</v>
      </c>
      <c r="D274" t="e">
        <v>#N/A</v>
      </c>
      <c r="J274" t="str">
        <v/>
      </c>
      <c r="K274" t="e">
        <f ca="1"/>
        <v>#N/A</v>
      </c>
      <c r="L274" t="str">
        <v/>
      </c>
      <c r="M274" t="e">
        <v>#N/A</v>
      </c>
      <c r="N274" t="e">
        <v>#N/A</v>
      </c>
      <c r="O274" t="e">
        <v>#N/A</v>
      </c>
      <c r="R274" t="e">
        <v>#N/A</v>
      </c>
      <c r="T274" t="e">
        <v>#N/A</v>
      </c>
      <c r="U274" t="e">
        <v>#N/A</v>
      </c>
      <c r="Y274" t="str">
        <v/>
      </c>
      <c r="AM274" t="str">
        <v/>
      </c>
      <c r="AN274" t="str">
        <v/>
      </c>
      <c r="AO274" t="str">
        <v/>
      </c>
      <c r="AQ274" t="str">
        <v/>
      </c>
      <c r="AR274" t="str">
        <v/>
      </c>
      <c r="AS274" t="e">
        <v>#N/A</v>
      </c>
      <c r="AU274" t="str">
        <v/>
      </c>
      <c r="AW274" t="e">
        <v>#N/A</v>
      </c>
    </row>
    <row r="275" spans="1:49" x14ac:dyDescent="0.25">
      <c r="A275" t="str">
        <v/>
      </c>
      <c r="B275" t="str">
        <v/>
      </c>
      <c r="C275" t="e">
        <v>#N/A</v>
      </c>
      <c r="D275" t="e">
        <v>#N/A</v>
      </c>
      <c r="J275" t="str">
        <v/>
      </c>
      <c r="K275" t="e">
        <f ca="1"/>
        <v>#N/A</v>
      </c>
      <c r="L275" t="str">
        <v/>
      </c>
      <c r="M275" t="e">
        <v>#N/A</v>
      </c>
      <c r="N275" t="e">
        <v>#N/A</v>
      </c>
      <c r="O275" t="e">
        <v>#N/A</v>
      </c>
      <c r="R275" t="e">
        <v>#N/A</v>
      </c>
      <c r="T275" t="e">
        <v>#N/A</v>
      </c>
      <c r="U275" t="e">
        <v>#N/A</v>
      </c>
      <c r="Y275" t="str">
        <v/>
      </c>
      <c r="AM275" t="str">
        <v/>
      </c>
      <c r="AN275" t="str">
        <v/>
      </c>
      <c r="AO275" t="str">
        <v/>
      </c>
      <c r="AQ275" t="str">
        <v/>
      </c>
      <c r="AR275" t="str">
        <v/>
      </c>
      <c r="AS275" t="e">
        <v>#N/A</v>
      </c>
      <c r="AU275" t="str">
        <v/>
      </c>
      <c r="AW275" t="e">
        <v>#N/A</v>
      </c>
    </row>
    <row r="276" spans="1:49" x14ac:dyDescent="0.25">
      <c r="A276" t="str">
        <v/>
      </c>
      <c r="B276" t="str">
        <v/>
      </c>
      <c r="C276" t="e">
        <v>#N/A</v>
      </c>
      <c r="D276" t="e">
        <v>#N/A</v>
      </c>
      <c r="J276" t="str">
        <v/>
      </c>
      <c r="K276" t="e">
        <f ca="1"/>
        <v>#N/A</v>
      </c>
      <c r="L276" t="str">
        <v/>
      </c>
      <c r="M276" t="e">
        <v>#N/A</v>
      </c>
      <c r="N276" t="e">
        <v>#N/A</v>
      </c>
      <c r="O276" t="e">
        <v>#N/A</v>
      </c>
      <c r="R276" t="e">
        <v>#N/A</v>
      </c>
      <c r="T276" t="e">
        <v>#N/A</v>
      </c>
      <c r="U276" t="e">
        <v>#N/A</v>
      </c>
      <c r="Y276" t="str">
        <v/>
      </c>
      <c r="AM276" t="str">
        <v/>
      </c>
      <c r="AN276" t="str">
        <v/>
      </c>
      <c r="AO276" t="str">
        <v/>
      </c>
      <c r="AQ276" t="str">
        <v/>
      </c>
      <c r="AR276" t="str">
        <v/>
      </c>
      <c r="AS276" t="e">
        <v>#N/A</v>
      </c>
      <c r="AU276" t="str">
        <v/>
      </c>
      <c r="AW276" t="e">
        <v>#N/A</v>
      </c>
    </row>
    <row r="277" spans="1:49" x14ac:dyDescent="0.25">
      <c r="A277" t="str">
        <v/>
      </c>
      <c r="B277" t="str">
        <v/>
      </c>
      <c r="C277" t="e">
        <v>#N/A</v>
      </c>
      <c r="D277" t="e">
        <v>#N/A</v>
      </c>
      <c r="J277" t="str">
        <v/>
      </c>
      <c r="K277" t="e">
        <f ca="1"/>
        <v>#N/A</v>
      </c>
      <c r="L277" t="str">
        <v/>
      </c>
      <c r="M277" t="e">
        <v>#N/A</v>
      </c>
      <c r="N277" t="e">
        <v>#N/A</v>
      </c>
      <c r="O277" t="e">
        <v>#N/A</v>
      </c>
      <c r="R277" t="e">
        <v>#N/A</v>
      </c>
      <c r="T277" t="e">
        <v>#N/A</v>
      </c>
      <c r="U277" t="e">
        <v>#N/A</v>
      </c>
      <c r="Y277" t="str">
        <v/>
      </c>
      <c r="AM277" t="str">
        <v/>
      </c>
      <c r="AN277" t="str">
        <v/>
      </c>
      <c r="AO277" t="str">
        <v/>
      </c>
      <c r="AQ277" t="str">
        <v/>
      </c>
      <c r="AR277" t="str">
        <v/>
      </c>
      <c r="AS277" t="e">
        <v>#N/A</v>
      </c>
      <c r="AU277" t="str">
        <v/>
      </c>
      <c r="AW277" t="e">
        <v>#N/A</v>
      </c>
    </row>
    <row r="278" spans="1:49" x14ac:dyDescent="0.25">
      <c r="A278" t="str">
        <v/>
      </c>
      <c r="B278" t="str">
        <v/>
      </c>
      <c r="C278" t="e">
        <v>#N/A</v>
      </c>
      <c r="D278" t="e">
        <v>#N/A</v>
      </c>
      <c r="J278" t="str">
        <v/>
      </c>
      <c r="K278" t="e">
        <f ca="1"/>
        <v>#N/A</v>
      </c>
      <c r="L278" t="str">
        <v/>
      </c>
      <c r="M278" t="e">
        <v>#N/A</v>
      </c>
      <c r="N278" t="e">
        <v>#N/A</v>
      </c>
      <c r="O278" t="e">
        <v>#N/A</v>
      </c>
      <c r="R278" t="e">
        <v>#N/A</v>
      </c>
      <c r="T278" t="e">
        <v>#N/A</v>
      </c>
      <c r="U278" t="e">
        <v>#N/A</v>
      </c>
      <c r="Y278" t="str">
        <v/>
      </c>
      <c r="AM278" t="str">
        <v/>
      </c>
      <c r="AN278" t="str">
        <v/>
      </c>
      <c r="AO278" t="str">
        <v/>
      </c>
      <c r="AQ278" t="str">
        <v/>
      </c>
      <c r="AR278" t="str">
        <v/>
      </c>
      <c r="AS278" t="e">
        <v>#N/A</v>
      </c>
      <c r="AU278" t="str">
        <v/>
      </c>
      <c r="AW278" t="e">
        <v>#N/A</v>
      </c>
    </row>
    <row r="279" spans="1:49" x14ac:dyDescent="0.25">
      <c r="A279" t="str">
        <v/>
      </c>
      <c r="B279" t="str">
        <v/>
      </c>
      <c r="C279" t="e">
        <v>#N/A</v>
      </c>
      <c r="D279" t="e">
        <v>#N/A</v>
      </c>
      <c r="J279" t="str">
        <v/>
      </c>
      <c r="K279" t="e">
        <f ca="1"/>
        <v>#N/A</v>
      </c>
      <c r="L279" t="str">
        <v/>
      </c>
      <c r="M279" t="e">
        <v>#N/A</v>
      </c>
      <c r="N279" t="e">
        <v>#N/A</v>
      </c>
      <c r="O279" t="e">
        <v>#N/A</v>
      </c>
      <c r="R279" t="e">
        <v>#N/A</v>
      </c>
      <c r="T279" t="e">
        <v>#N/A</v>
      </c>
      <c r="U279" t="e">
        <v>#N/A</v>
      </c>
      <c r="Y279" t="str">
        <v/>
      </c>
      <c r="AM279" t="str">
        <v/>
      </c>
      <c r="AN279" t="str">
        <v/>
      </c>
      <c r="AO279" t="str">
        <v/>
      </c>
      <c r="AQ279" t="str">
        <v/>
      </c>
      <c r="AR279" t="str">
        <v/>
      </c>
      <c r="AS279" t="e">
        <v>#N/A</v>
      </c>
      <c r="AU279" t="str">
        <v/>
      </c>
      <c r="AW279" t="e">
        <v>#N/A</v>
      </c>
    </row>
    <row r="280" spans="1:49" x14ac:dyDescent="0.25">
      <c r="A280" t="str">
        <v/>
      </c>
      <c r="B280" t="str">
        <v/>
      </c>
      <c r="C280" t="e">
        <v>#N/A</v>
      </c>
      <c r="D280" t="e">
        <v>#N/A</v>
      </c>
      <c r="J280" t="str">
        <v/>
      </c>
      <c r="K280" t="e">
        <f ca="1"/>
        <v>#N/A</v>
      </c>
      <c r="L280" t="str">
        <v/>
      </c>
      <c r="M280" t="e">
        <v>#N/A</v>
      </c>
      <c r="N280" t="e">
        <v>#N/A</v>
      </c>
      <c r="O280" t="e">
        <v>#N/A</v>
      </c>
      <c r="R280" t="e">
        <v>#N/A</v>
      </c>
      <c r="T280" t="e">
        <v>#N/A</v>
      </c>
      <c r="U280" t="e">
        <v>#N/A</v>
      </c>
      <c r="Y280" t="str">
        <v/>
      </c>
      <c r="AM280" t="str">
        <v/>
      </c>
      <c r="AN280" t="str">
        <v/>
      </c>
      <c r="AO280" t="str">
        <v/>
      </c>
      <c r="AQ280" t="str">
        <v/>
      </c>
      <c r="AR280" t="str">
        <v/>
      </c>
      <c r="AS280" t="e">
        <v>#N/A</v>
      </c>
      <c r="AU280" t="str">
        <v/>
      </c>
      <c r="AW280" t="e">
        <v>#N/A</v>
      </c>
    </row>
    <row r="281" spans="1:49" x14ac:dyDescent="0.25">
      <c r="A281" t="str">
        <v/>
      </c>
      <c r="B281" t="str">
        <v/>
      </c>
      <c r="C281" t="e">
        <v>#N/A</v>
      </c>
      <c r="D281" t="e">
        <v>#N/A</v>
      </c>
      <c r="J281" t="str">
        <v/>
      </c>
      <c r="K281" t="e">
        <f ca="1"/>
        <v>#N/A</v>
      </c>
      <c r="L281" t="str">
        <v/>
      </c>
      <c r="M281" t="e">
        <v>#N/A</v>
      </c>
      <c r="N281" t="e">
        <v>#N/A</v>
      </c>
      <c r="O281" t="e">
        <v>#N/A</v>
      </c>
      <c r="R281" t="e">
        <v>#N/A</v>
      </c>
      <c r="T281" t="e">
        <v>#N/A</v>
      </c>
      <c r="U281" t="e">
        <v>#N/A</v>
      </c>
      <c r="Y281" t="str">
        <v/>
      </c>
      <c r="AM281" t="str">
        <v/>
      </c>
      <c r="AN281" t="str">
        <v/>
      </c>
      <c r="AO281" t="str">
        <v/>
      </c>
      <c r="AQ281" t="str">
        <v/>
      </c>
      <c r="AR281" t="str">
        <v/>
      </c>
      <c r="AS281" t="e">
        <v>#N/A</v>
      </c>
      <c r="AU281" t="str">
        <v/>
      </c>
      <c r="AW281" t="e">
        <v>#N/A</v>
      </c>
    </row>
    <row r="282" spans="1:49" x14ac:dyDescent="0.25">
      <c r="A282" t="str">
        <v/>
      </c>
      <c r="B282" t="str">
        <v/>
      </c>
      <c r="C282" t="e">
        <v>#N/A</v>
      </c>
      <c r="D282" t="e">
        <v>#N/A</v>
      </c>
      <c r="J282" t="str">
        <v/>
      </c>
      <c r="K282" t="e">
        <f ca="1"/>
        <v>#N/A</v>
      </c>
      <c r="L282" t="str">
        <v/>
      </c>
      <c r="M282" t="e">
        <v>#N/A</v>
      </c>
      <c r="N282" t="e">
        <v>#N/A</v>
      </c>
      <c r="O282" t="e">
        <v>#N/A</v>
      </c>
      <c r="R282" t="e">
        <v>#N/A</v>
      </c>
      <c r="T282" t="e">
        <v>#N/A</v>
      </c>
      <c r="U282" t="e">
        <v>#N/A</v>
      </c>
      <c r="Y282" t="str">
        <v/>
      </c>
      <c r="AM282" t="str">
        <v/>
      </c>
      <c r="AN282" t="str">
        <v/>
      </c>
      <c r="AO282" t="str">
        <v/>
      </c>
      <c r="AQ282" t="str">
        <v/>
      </c>
      <c r="AR282" t="str">
        <v/>
      </c>
      <c r="AS282" t="e">
        <v>#N/A</v>
      </c>
      <c r="AU282" t="str">
        <v/>
      </c>
      <c r="AW282" t="e">
        <v>#N/A</v>
      </c>
    </row>
    <row r="283" spans="1:49" x14ac:dyDescent="0.25">
      <c r="A283" t="str">
        <v/>
      </c>
      <c r="B283" t="str">
        <v/>
      </c>
      <c r="C283" t="e">
        <v>#N/A</v>
      </c>
      <c r="D283" t="e">
        <v>#N/A</v>
      </c>
      <c r="J283" t="str">
        <v/>
      </c>
      <c r="K283" t="e">
        <f ca="1"/>
        <v>#N/A</v>
      </c>
      <c r="L283" t="str">
        <v/>
      </c>
      <c r="M283" t="e">
        <v>#N/A</v>
      </c>
      <c r="N283" t="e">
        <v>#N/A</v>
      </c>
      <c r="O283" t="e">
        <v>#N/A</v>
      </c>
      <c r="R283" t="e">
        <v>#N/A</v>
      </c>
      <c r="T283" t="e">
        <v>#N/A</v>
      </c>
      <c r="U283" t="e">
        <v>#N/A</v>
      </c>
      <c r="Y283" t="str">
        <v/>
      </c>
      <c r="AM283" t="str">
        <v/>
      </c>
      <c r="AN283" t="str">
        <v/>
      </c>
      <c r="AO283" t="str">
        <v/>
      </c>
      <c r="AQ283" t="str">
        <v/>
      </c>
      <c r="AR283" t="str">
        <v/>
      </c>
      <c r="AS283" t="e">
        <v>#N/A</v>
      </c>
      <c r="AU283" t="str">
        <v/>
      </c>
      <c r="AW283" t="e">
        <v>#N/A</v>
      </c>
    </row>
    <row r="284" spans="1:49" x14ac:dyDescent="0.25">
      <c r="A284" t="str">
        <v/>
      </c>
      <c r="B284" t="str">
        <v/>
      </c>
      <c r="C284" t="e">
        <v>#N/A</v>
      </c>
      <c r="D284" t="e">
        <v>#N/A</v>
      </c>
      <c r="J284" t="str">
        <v/>
      </c>
      <c r="K284" t="e">
        <f ca="1"/>
        <v>#N/A</v>
      </c>
      <c r="L284" t="str">
        <v/>
      </c>
      <c r="M284" t="e">
        <v>#N/A</v>
      </c>
      <c r="N284" t="e">
        <v>#N/A</v>
      </c>
      <c r="O284" t="e">
        <v>#N/A</v>
      </c>
      <c r="R284" t="e">
        <v>#N/A</v>
      </c>
      <c r="T284" t="e">
        <v>#N/A</v>
      </c>
      <c r="U284" t="e">
        <v>#N/A</v>
      </c>
      <c r="Y284" t="str">
        <v/>
      </c>
      <c r="AM284" t="str">
        <v/>
      </c>
      <c r="AN284" t="str">
        <v/>
      </c>
      <c r="AO284" t="str">
        <v/>
      </c>
      <c r="AQ284" t="str">
        <v/>
      </c>
      <c r="AR284" t="str">
        <v/>
      </c>
      <c r="AS284" t="e">
        <v>#N/A</v>
      </c>
      <c r="AU284" t="str">
        <v/>
      </c>
      <c r="AW284" t="e">
        <v>#N/A</v>
      </c>
    </row>
    <row r="285" spans="1:49" x14ac:dyDescent="0.25">
      <c r="A285" t="str">
        <v/>
      </c>
      <c r="B285" t="str">
        <v/>
      </c>
      <c r="C285" t="e">
        <v>#N/A</v>
      </c>
      <c r="D285" t="e">
        <v>#N/A</v>
      </c>
      <c r="J285" t="str">
        <v/>
      </c>
      <c r="K285" t="e">
        <f ca="1"/>
        <v>#N/A</v>
      </c>
      <c r="L285" t="str">
        <v/>
      </c>
      <c r="M285" t="e">
        <v>#N/A</v>
      </c>
      <c r="N285" t="e">
        <v>#N/A</v>
      </c>
      <c r="O285" t="e">
        <v>#N/A</v>
      </c>
      <c r="R285" t="e">
        <v>#N/A</v>
      </c>
      <c r="T285" t="e">
        <v>#N/A</v>
      </c>
      <c r="U285" t="e">
        <v>#N/A</v>
      </c>
      <c r="Y285" t="str">
        <v/>
      </c>
      <c r="AM285" t="str">
        <v/>
      </c>
      <c r="AN285" t="str">
        <v/>
      </c>
      <c r="AO285" t="str">
        <v/>
      </c>
      <c r="AQ285" t="str">
        <v/>
      </c>
      <c r="AR285" t="str">
        <v/>
      </c>
      <c r="AS285" t="e">
        <v>#N/A</v>
      </c>
      <c r="AU285" t="str">
        <v/>
      </c>
      <c r="AW285" t="e">
        <v>#N/A</v>
      </c>
    </row>
    <row r="286" spans="1:49" x14ac:dyDescent="0.25">
      <c r="A286" t="str">
        <v/>
      </c>
      <c r="B286" t="str">
        <v/>
      </c>
      <c r="C286" t="e">
        <v>#N/A</v>
      </c>
      <c r="D286" t="e">
        <v>#N/A</v>
      </c>
      <c r="J286" t="str">
        <v/>
      </c>
      <c r="K286" t="e">
        <f ca="1"/>
        <v>#N/A</v>
      </c>
      <c r="L286" t="str">
        <v/>
      </c>
      <c r="M286" t="e">
        <v>#N/A</v>
      </c>
      <c r="N286" t="e">
        <v>#N/A</v>
      </c>
      <c r="O286" t="e">
        <v>#N/A</v>
      </c>
      <c r="R286" t="e">
        <v>#N/A</v>
      </c>
      <c r="T286" t="e">
        <v>#N/A</v>
      </c>
      <c r="U286" t="e">
        <v>#N/A</v>
      </c>
      <c r="Y286" t="str">
        <v/>
      </c>
      <c r="AM286" t="str">
        <v/>
      </c>
      <c r="AN286" t="str">
        <v/>
      </c>
      <c r="AO286" t="str">
        <v/>
      </c>
      <c r="AQ286" t="str">
        <v/>
      </c>
      <c r="AR286" t="str">
        <v/>
      </c>
      <c r="AS286" t="e">
        <v>#N/A</v>
      </c>
      <c r="AU286" t="str">
        <v/>
      </c>
      <c r="AW286" t="e">
        <v>#N/A</v>
      </c>
    </row>
    <row r="287" spans="1:49" x14ac:dyDescent="0.25">
      <c r="A287" t="str">
        <v/>
      </c>
      <c r="B287" t="str">
        <v/>
      </c>
      <c r="C287" t="e">
        <v>#N/A</v>
      </c>
      <c r="D287" t="e">
        <v>#N/A</v>
      </c>
      <c r="J287" t="str">
        <v/>
      </c>
      <c r="K287" t="e">
        <f ca="1"/>
        <v>#N/A</v>
      </c>
      <c r="L287" t="str">
        <v/>
      </c>
      <c r="M287" t="e">
        <v>#N/A</v>
      </c>
      <c r="N287" t="e">
        <v>#N/A</v>
      </c>
      <c r="O287" t="e">
        <v>#N/A</v>
      </c>
      <c r="R287" t="e">
        <v>#N/A</v>
      </c>
      <c r="T287" t="e">
        <v>#N/A</v>
      </c>
      <c r="U287" t="e">
        <v>#N/A</v>
      </c>
      <c r="Y287" t="str">
        <v/>
      </c>
      <c r="AM287" t="str">
        <v/>
      </c>
      <c r="AN287" t="str">
        <v/>
      </c>
      <c r="AO287" t="str">
        <v/>
      </c>
      <c r="AQ287" t="str">
        <v/>
      </c>
      <c r="AR287" t="str">
        <v/>
      </c>
      <c r="AS287" t="e">
        <v>#N/A</v>
      </c>
      <c r="AU287" t="str">
        <v/>
      </c>
      <c r="AW287" t="e">
        <v>#N/A</v>
      </c>
    </row>
    <row r="288" spans="1:49" x14ac:dyDescent="0.25">
      <c r="A288" t="str">
        <v/>
      </c>
      <c r="B288" t="str">
        <v/>
      </c>
      <c r="C288" t="e">
        <v>#N/A</v>
      </c>
      <c r="D288" t="e">
        <v>#N/A</v>
      </c>
      <c r="J288" t="str">
        <v/>
      </c>
      <c r="K288" t="e">
        <f ca="1"/>
        <v>#N/A</v>
      </c>
      <c r="L288" t="str">
        <v/>
      </c>
      <c r="M288" t="e">
        <v>#N/A</v>
      </c>
      <c r="N288" t="e">
        <v>#N/A</v>
      </c>
      <c r="O288" t="e">
        <v>#N/A</v>
      </c>
      <c r="R288" t="e">
        <v>#N/A</v>
      </c>
      <c r="T288" t="e">
        <v>#N/A</v>
      </c>
      <c r="U288" t="e">
        <v>#N/A</v>
      </c>
      <c r="Y288" t="str">
        <v/>
      </c>
      <c r="AM288" t="str">
        <v/>
      </c>
      <c r="AN288" t="str">
        <v/>
      </c>
      <c r="AO288" t="str">
        <v/>
      </c>
      <c r="AQ288" t="str">
        <v/>
      </c>
      <c r="AR288" t="str">
        <v/>
      </c>
      <c r="AS288" t="e">
        <v>#N/A</v>
      </c>
      <c r="AU288" t="str">
        <v/>
      </c>
      <c r="AW288" t="e">
        <v>#N/A</v>
      </c>
    </row>
    <row r="289" spans="1:49" x14ac:dyDescent="0.25">
      <c r="A289" t="str">
        <v/>
      </c>
      <c r="B289" t="str">
        <v/>
      </c>
      <c r="C289" t="e">
        <v>#N/A</v>
      </c>
      <c r="D289" t="e">
        <v>#N/A</v>
      </c>
      <c r="J289" t="str">
        <v/>
      </c>
      <c r="K289" t="e">
        <f ca="1"/>
        <v>#N/A</v>
      </c>
      <c r="L289" t="str">
        <v/>
      </c>
      <c r="M289" t="e">
        <v>#N/A</v>
      </c>
      <c r="N289" t="e">
        <v>#N/A</v>
      </c>
      <c r="O289" t="e">
        <v>#N/A</v>
      </c>
      <c r="R289" t="e">
        <v>#N/A</v>
      </c>
      <c r="T289" t="e">
        <v>#N/A</v>
      </c>
      <c r="U289" t="e">
        <v>#N/A</v>
      </c>
      <c r="Y289" t="str">
        <v/>
      </c>
      <c r="AM289" t="str">
        <v/>
      </c>
      <c r="AN289" t="str">
        <v/>
      </c>
      <c r="AO289" t="str">
        <v/>
      </c>
      <c r="AQ289" t="str">
        <v/>
      </c>
      <c r="AR289" t="str">
        <v/>
      </c>
      <c r="AS289" t="e">
        <v>#N/A</v>
      </c>
      <c r="AU289" t="str">
        <v/>
      </c>
      <c r="AW289" t="e">
        <v>#N/A</v>
      </c>
    </row>
    <row r="290" spans="1:49" x14ac:dyDescent="0.25">
      <c r="A290" t="str">
        <v/>
      </c>
      <c r="B290" t="str">
        <v/>
      </c>
      <c r="C290" t="e">
        <v>#N/A</v>
      </c>
      <c r="D290" t="e">
        <v>#N/A</v>
      </c>
      <c r="J290" t="str">
        <v/>
      </c>
      <c r="K290" t="e">
        <f ca="1"/>
        <v>#N/A</v>
      </c>
      <c r="L290" t="str">
        <v/>
      </c>
      <c r="M290" t="e">
        <v>#N/A</v>
      </c>
      <c r="N290" t="e">
        <v>#N/A</v>
      </c>
      <c r="O290" t="e">
        <v>#N/A</v>
      </c>
      <c r="R290" t="e">
        <v>#N/A</v>
      </c>
      <c r="T290" t="e">
        <v>#N/A</v>
      </c>
      <c r="U290" t="e">
        <v>#N/A</v>
      </c>
      <c r="Y290" t="str">
        <v/>
      </c>
      <c r="AM290" t="str">
        <v/>
      </c>
      <c r="AN290" t="str">
        <v/>
      </c>
      <c r="AO290" t="str">
        <v/>
      </c>
      <c r="AQ290" t="str">
        <v/>
      </c>
      <c r="AR290" t="str">
        <v/>
      </c>
      <c r="AS290" t="e">
        <v>#N/A</v>
      </c>
      <c r="AU290" t="str">
        <v/>
      </c>
      <c r="AW290" t="e">
        <v>#N/A</v>
      </c>
    </row>
    <row r="291" spans="1:49" x14ac:dyDescent="0.25">
      <c r="A291" t="str">
        <v/>
      </c>
      <c r="B291" t="str">
        <v/>
      </c>
      <c r="C291" t="e">
        <v>#N/A</v>
      </c>
      <c r="D291" t="e">
        <v>#N/A</v>
      </c>
      <c r="J291" t="str">
        <v/>
      </c>
      <c r="K291" t="e">
        <f ca="1"/>
        <v>#N/A</v>
      </c>
      <c r="L291" t="str">
        <v/>
      </c>
      <c r="M291" t="e">
        <v>#N/A</v>
      </c>
      <c r="N291" t="e">
        <v>#N/A</v>
      </c>
      <c r="O291" t="e">
        <v>#N/A</v>
      </c>
      <c r="R291" t="e">
        <v>#N/A</v>
      </c>
      <c r="T291" t="e">
        <v>#N/A</v>
      </c>
      <c r="U291" t="e">
        <v>#N/A</v>
      </c>
      <c r="Y291" t="str">
        <v/>
      </c>
      <c r="AM291" t="str">
        <v/>
      </c>
      <c r="AN291" t="str">
        <v/>
      </c>
      <c r="AO291" t="str">
        <v/>
      </c>
      <c r="AQ291" t="str">
        <v/>
      </c>
      <c r="AR291" t="str">
        <v/>
      </c>
      <c r="AS291" t="e">
        <v>#N/A</v>
      </c>
      <c r="AU291" t="str">
        <v/>
      </c>
      <c r="AW291" t="e">
        <v>#N/A</v>
      </c>
    </row>
    <row r="292" spans="1:49" x14ac:dyDescent="0.25">
      <c r="A292" t="str">
        <v/>
      </c>
      <c r="B292" t="str">
        <v/>
      </c>
      <c r="C292" t="e">
        <v>#N/A</v>
      </c>
      <c r="D292" t="e">
        <v>#N/A</v>
      </c>
      <c r="J292" t="str">
        <v/>
      </c>
      <c r="K292" t="e">
        <f ca="1"/>
        <v>#N/A</v>
      </c>
      <c r="L292" t="str">
        <v/>
      </c>
      <c r="M292" t="e">
        <v>#N/A</v>
      </c>
      <c r="N292" t="e">
        <v>#N/A</v>
      </c>
      <c r="O292" t="e">
        <v>#N/A</v>
      </c>
      <c r="R292" t="e">
        <v>#N/A</v>
      </c>
      <c r="T292" t="e">
        <v>#N/A</v>
      </c>
      <c r="U292" t="e">
        <v>#N/A</v>
      </c>
      <c r="Y292" t="str">
        <v/>
      </c>
      <c r="AM292" t="str">
        <v/>
      </c>
      <c r="AN292" t="str">
        <v/>
      </c>
      <c r="AO292" t="str">
        <v/>
      </c>
      <c r="AQ292" t="str">
        <v/>
      </c>
      <c r="AR292" t="str">
        <v/>
      </c>
      <c r="AS292" t="e">
        <v>#N/A</v>
      </c>
      <c r="AU292" t="str">
        <v/>
      </c>
      <c r="AW292" t="e">
        <v>#N/A</v>
      </c>
    </row>
    <row r="293" spans="1:49" x14ac:dyDescent="0.25">
      <c r="A293" t="str">
        <v/>
      </c>
      <c r="B293" t="str">
        <v/>
      </c>
      <c r="C293" t="e">
        <v>#N/A</v>
      </c>
      <c r="D293" t="e">
        <v>#N/A</v>
      </c>
      <c r="J293" t="str">
        <v/>
      </c>
      <c r="K293" t="e">
        <f ca="1"/>
        <v>#N/A</v>
      </c>
      <c r="L293" t="str">
        <v/>
      </c>
      <c r="M293" t="e">
        <v>#N/A</v>
      </c>
      <c r="N293" t="e">
        <v>#N/A</v>
      </c>
      <c r="O293" t="e">
        <v>#N/A</v>
      </c>
      <c r="R293" t="e">
        <v>#N/A</v>
      </c>
      <c r="T293" t="e">
        <v>#N/A</v>
      </c>
      <c r="U293" t="e">
        <v>#N/A</v>
      </c>
      <c r="Y293" t="str">
        <v/>
      </c>
      <c r="AM293" t="str">
        <v/>
      </c>
      <c r="AN293" t="str">
        <v/>
      </c>
      <c r="AO293" t="str">
        <v/>
      </c>
      <c r="AQ293" t="str">
        <v/>
      </c>
      <c r="AR293" t="str">
        <v/>
      </c>
      <c r="AS293" t="e">
        <v>#N/A</v>
      </c>
      <c r="AU293" t="str">
        <v/>
      </c>
      <c r="AW293" t="e">
        <v>#N/A</v>
      </c>
    </row>
    <row r="294" spans="1:49" x14ac:dyDescent="0.25">
      <c r="A294" t="str">
        <v/>
      </c>
      <c r="B294" t="str">
        <v/>
      </c>
      <c r="C294" t="e">
        <v>#N/A</v>
      </c>
      <c r="D294" t="e">
        <v>#N/A</v>
      </c>
      <c r="J294" t="str">
        <v/>
      </c>
      <c r="K294" t="e">
        <f ca="1"/>
        <v>#N/A</v>
      </c>
      <c r="L294" t="str">
        <v/>
      </c>
      <c r="M294" t="e">
        <v>#N/A</v>
      </c>
      <c r="N294" t="e">
        <v>#N/A</v>
      </c>
      <c r="O294" t="e">
        <v>#N/A</v>
      </c>
      <c r="R294" t="e">
        <v>#N/A</v>
      </c>
      <c r="T294" t="e">
        <v>#N/A</v>
      </c>
      <c r="U294" t="e">
        <v>#N/A</v>
      </c>
      <c r="Y294" t="str">
        <v/>
      </c>
      <c r="AM294" t="str">
        <v/>
      </c>
      <c r="AN294" t="str">
        <v/>
      </c>
      <c r="AO294" t="str">
        <v/>
      </c>
      <c r="AQ294" t="str">
        <v/>
      </c>
      <c r="AR294" t="str">
        <v/>
      </c>
      <c r="AS294" t="e">
        <v>#N/A</v>
      </c>
      <c r="AU294" t="str">
        <v/>
      </c>
      <c r="AW294" t="e">
        <v>#N/A</v>
      </c>
    </row>
    <row r="295" spans="1:49" x14ac:dyDescent="0.25">
      <c r="A295" t="str">
        <v/>
      </c>
      <c r="B295" t="str">
        <v/>
      </c>
      <c r="C295" t="e">
        <v>#N/A</v>
      </c>
      <c r="D295" t="e">
        <v>#N/A</v>
      </c>
      <c r="J295" t="str">
        <v/>
      </c>
      <c r="K295" t="e">
        <f ca="1"/>
        <v>#N/A</v>
      </c>
      <c r="L295" t="str">
        <v/>
      </c>
      <c r="M295" t="e">
        <v>#N/A</v>
      </c>
      <c r="N295" t="e">
        <v>#N/A</v>
      </c>
      <c r="O295" t="e">
        <v>#N/A</v>
      </c>
      <c r="R295" t="e">
        <v>#N/A</v>
      </c>
      <c r="T295" t="e">
        <v>#N/A</v>
      </c>
      <c r="U295" t="e">
        <v>#N/A</v>
      </c>
      <c r="Y295" t="str">
        <v/>
      </c>
      <c r="AM295" t="str">
        <v/>
      </c>
      <c r="AN295" t="str">
        <v/>
      </c>
      <c r="AO295" t="str">
        <v/>
      </c>
      <c r="AQ295" t="str">
        <v/>
      </c>
      <c r="AR295" t="str">
        <v/>
      </c>
      <c r="AS295" t="e">
        <v>#N/A</v>
      </c>
      <c r="AU295" t="str">
        <v/>
      </c>
      <c r="AW295" t="e">
        <v>#N/A</v>
      </c>
    </row>
    <row r="296" spans="1:49" x14ac:dyDescent="0.25">
      <c r="A296" t="str">
        <v/>
      </c>
      <c r="B296" t="str">
        <v/>
      </c>
      <c r="C296" t="e">
        <v>#N/A</v>
      </c>
      <c r="D296" t="e">
        <v>#N/A</v>
      </c>
      <c r="J296" t="str">
        <v/>
      </c>
      <c r="K296" t="e">
        <f ca="1"/>
        <v>#N/A</v>
      </c>
      <c r="L296" t="str">
        <v/>
      </c>
      <c r="M296" t="e">
        <v>#N/A</v>
      </c>
      <c r="N296" t="e">
        <v>#N/A</v>
      </c>
      <c r="O296" t="e">
        <v>#N/A</v>
      </c>
      <c r="R296" t="e">
        <v>#N/A</v>
      </c>
      <c r="T296" t="e">
        <v>#N/A</v>
      </c>
      <c r="U296" t="e">
        <v>#N/A</v>
      </c>
      <c r="Y296" t="str">
        <v/>
      </c>
      <c r="AM296" t="str">
        <v/>
      </c>
      <c r="AN296" t="str">
        <v/>
      </c>
      <c r="AO296" t="str">
        <v/>
      </c>
      <c r="AQ296" t="str">
        <v/>
      </c>
      <c r="AR296" t="str">
        <v/>
      </c>
      <c r="AS296" t="e">
        <v>#N/A</v>
      </c>
      <c r="AU296" t="str">
        <v/>
      </c>
      <c r="AW296" t="e">
        <v>#N/A</v>
      </c>
    </row>
    <row r="297" spans="1:49" x14ac:dyDescent="0.25">
      <c r="A297" t="str">
        <v/>
      </c>
      <c r="B297" t="str">
        <v/>
      </c>
      <c r="C297" t="e">
        <v>#N/A</v>
      </c>
      <c r="D297" t="e">
        <v>#N/A</v>
      </c>
      <c r="J297" t="str">
        <v/>
      </c>
      <c r="K297" t="e">
        <f ca="1"/>
        <v>#N/A</v>
      </c>
      <c r="L297" t="str">
        <v/>
      </c>
      <c r="M297" t="e">
        <v>#N/A</v>
      </c>
      <c r="N297" t="e">
        <v>#N/A</v>
      </c>
      <c r="O297" t="e">
        <v>#N/A</v>
      </c>
      <c r="R297" t="e">
        <v>#N/A</v>
      </c>
      <c r="T297" t="e">
        <v>#N/A</v>
      </c>
      <c r="U297" t="e">
        <v>#N/A</v>
      </c>
      <c r="Y297" t="str">
        <v/>
      </c>
      <c r="AM297" t="str">
        <v/>
      </c>
      <c r="AN297" t="str">
        <v/>
      </c>
      <c r="AO297" t="str">
        <v/>
      </c>
      <c r="AQ297" t="str">
        <v/>
      </c>
      <c r="AR297" t="str">
        <v/>
      </c>
      <c r="AS297" t="e">
        <v>#N/A</v>
      </c>
      <c r="AU297" t="str">
        <v/>
      </c>
      <c r="AW297" t="e">
        <v>#N/A</v>
      </c>
    </row>
    <row r="298" spans="1:49" x14ac:dyDescent="0.25">
      <c r="A298" t="str">
        <v/>
      </c>
      <c r="B298" t="str">
        <v/>
      </c>
      <c r="C298" t="e">
        <v>#N/A</v>
      </c>
      <c r="D298" t="e">
        <v>#N/A</v>
      </c>
      <c r="J298" t="str">
        <v/>
      </c>
      <c r="K298" t="e">
        <f ca="1"/>
        <v>#N/A</v>
      </c>
      <c r="L298" t="str">
        <v/>
      </c>
      <c r="M298" t="e">
        <v>#N/A</v>
      </c>
      <c r="N298" t="e">
        <v>#N/A</v>
      </c>
      <c r="O298" t="e">
        <v>#N/A</v>
      </c>
      <c r="R298" t="e">
        <v>#N/A</v>
      </c>
      <c r="T298" t="e">
        <v>#N/A</v>
      </c>
      <c r="U298" t="e">
        <v>#N/A</v>
      </c>
      <c r="Y298" t="str">
        <v/>
      </c>
      <c r="AM298" t="str">
        <v/>
      </c>
      <c r="AN298" t="str">
        <v/>
      </c>
      <c r="AO298" t="str">
        <v/>
      </c>
      <c r="AQ298" t="str">
        <v/>
      </c>
      <c r="AR298" t="str">
        <v/>
      </c>
      <c r="AS298" t="e">
        <v>#N/A</v>
      </c>
      <c r="AU298" t="str">
        <v/>
      </c>
      <c r="AW298" t="e">
        <v>#N/A</v>
      </c>
    </row>
    <row r="299" spans="1:49" x14ac:dyDescent="0.25">
      <c r="A299" t="str">
        <v/>
      </c>
      <c r="B299" t="str">
        <v/>
      </c>
      <c r="C299" t="e">
        <v>#N/A</v>
      </c>
      <c r="D299" t="e">
        <v>#N/A</v>
      </c>
      <c r="J299" t="str">
        <v/>
      </c>
      <c r="K299" t="e">
        <f ca="1"/>
        <v>#N/A</v>
      </c>
      <c r="L299" t="str">
        <v/>
      </c>
      <c r="M299" t="e">
        <v>#N/A</v>
      </c>
      <c r="N299" t="e">
        <v>#N/A</v>
      </c>
      <c r="O299" t="e">
        <v>#N/A</v>
      </c>
      <c r="R299" t="e">
        <v>#N/A</v>
      </c>
      <c r="T299" t="e">
        <v>#N/A</v>
      </c>
      <c r="U299" t="e">
        <v>#N/A</v>
      </c>
      <c r="Y299" t="str">
        <v/>
      </c>
      <c r="AM299" t="str">
        <v/>
      </c>
      <c r="AN299" t="str">
        <v/>
      </c>
      <c r="AO299" t="str">
        <v/>
      </c>
      <c r="AQ299" t="str">
        <v/>
      </c>
      <c r="AR299" t="str">
        <v/>
      </c>
      <c r="AS299" t="e">
        <v>#N/A</v>
      </c>
      <c r="AU299" t="str">
        <v/>
      </c>
      <c r="AW299" t="e">
        <v>#N/A</v>
      </c>
    </row>
    <row r="300" spans="1:49" x14ac:dyDescent="0.25">
      <c r="A300" t="str">
        <v/>
      </c>
      <c r="B300" t="str">
        <v/>
      </c>
      <c r="C300" t="e">
        <v>#N/A</v>
      </c>
      <c r="D300" t="e">
        <v>#N/A</v>
      </c>
      <c r="J300" t="str">
        <v/>
      </c>
      <c r="K300" t="e">
        <f ca="1"/>
        <v>#N/A</v>
      </c>
      <c r="L300" t="str">
        <v/>
      </c>
      <c r="M300" t="e">
        <v>#N/A</v>
      </c>
      <c r="N300" t="e">
        <v>#N/A</v>
      </c>
      <c r="O300" t="e">
        <v>#N/A</v>
      </c>
      <c r="R300" t="e">
        <v>#N/A</v>
      </c>
      <c r="T300" t="e">
        <v>#N/A</v>
      </c>
      <c r="U300" t="e">
        <v>#N/A</v>
      </c>
      <c r="Y300" t="str">
        <v/>
      </c>
      <c r="AM300" t="str">
        <v/>
      </c>
      <c r="AN300" t="str">
        <v/>
      </c>
      <c r="AO300" t="str">
        <v/>
      </c>
      <c r="AQ300" t="str">
        <v/>
      </c>
      <c r="AR300" t="str">
        <v/>
      </c>
      <c r="AS300" t="e">
        <v>#N/A</v>
      </c>
      <c r="AU300" t="str">
        <v/>
      </c>
      <c r="AW300" t="e">
        <v>#N/A</v>
      </c>
    </row>
    <row r="301" spans="1:49" x14ac:dyDescent="0.25">
      <c r="A301" t="str">
        <v/>
      </c>
      <c r="B301" t="str">
        <v/>
      </c>
      <c r="C301" t="e">
        <v>#N/A</v>
      </c>
      <c r="D301" t="e">
        <v>#N/A</v>
      </c>
      <c r="J301" t="str">
        <v/>
      </c>
      <c r="K301" t="e">
        <f ca="1"/>
        <v>#N/A</v>
      </c>
      <c r="L301" t="str">
        <v/>
      </c>
      <c r="M301" t="e">
        <v>#N/A</v>
      </c>
      <c r="N301" t="e">
        <v>#N/A</v>
      </c>
      <c r="O301" t="e">
        <v>#N/A</v>
      </c>
      <c r="R301" t="e">
        <v>#N/A</v>
      </c>
      <c r="T301" t="e">
        <v>#N/A</v>
      </c>
      <c r="U301" t="e">
        <v>#N/A</v>
      </c>
      <c r="Y301" t="str">
        <v/>
      </c>
      <c r="AM301" t="str">
        <v/>
      </c>
      <c r="AN301" t="str">
        <v/>
      </c>
      <c r="AO301" t="str">
        <v/>
      </c>
      <c r="AQ301" t="str">
        <v/>
      </c>
      <c r="AR301" t="str">
        <v/>
      </c>
      <c r="AS301" t="e">
        <v>#N/A</v>
      </c>
      <c r="AU301" t="str">
        <v/>
      </c>
      <c r="AW301" t="e">
        <v>#N/A</v>
      </c>
    </row>
    <row r="302" spans="1:49" x14ac:dyDescent="0.25">
      <c r="A302" t="str">
        <v/>
      </c>
      <c r="B302" t="str">
        <v/>
      </c>
      <c r="C302" t="e">
        <v>#N/A</v>
      </c>
      <c r="D302" t="e">
        <v>#N/A</v>
      </c>
      <c r="J302" t="str">
        <v/>
      </c>
      <c r="K302" t="e">
        <f ca="1"/>
        <v>#N/A</v>
      </c>
      <c r="L302" t="str">
        <v/>
      </c>
      <c r="M302" t="e">
        <v>#N/A</v>
      </c>
      <c r="N302" t="e">
        <v>#N/A</v>
      </c>
      <c r="O302" t="e">
        <v>#N/A</v>
      </c>
      <c r="R302" t="e">
        <v>#N/A</v>
      </c>
      <c r="T302" t="e">
        <v>#N/A</v>
      </c>
      <c r="U302" t="e">
        <v>#N/A</v>
      </c>
      <c r="Y302" t="str">
        <v/>
      </c>
      <c r="AM302" t="str">
        <v/>
      </c>
      <c r="AN302" t="str">
        <v/>
      </c>
      <c r="AO302" t="str">
        <v/>
      </c>
      <c r="AQ302" t="str">
        <v/>
      </c>
      <c r="AR302" t="str">
        <v/>
      </c>
      <c r="AS302" t="e">
        <v>#N/A</v>
      </c>
      <c r="AU302" t="str">
        <v/>
      </c>
      <c r="AW302" t="e">
        <v>#N/A</v>
      </c>
    </row>
    <row r="303" spans="1:49" x14ac:dyDescent="0.25">
      <c r="A303" t="str">
        <v/>
      </c>
      <c r="B303" t="str">
        <v/>
      </c>
      <c r="C303" t="e">
        <v>#N/A</v>
      </c>
      <c r="D303" t="e">
        <v>#N/A</v>
      </c>
      <c r="J303" t="str">
        <v/>
      </c>
      <c r="K303" t="e">
        <f ca="1"/>
        <v>#N/A</v>
      </c>
      <c r="L303" t="str">
        <v/>
      </c>
      <c r="M303" t="e">
        <v>#N/A</v>
      </c>
      <c r="N303" t="e">
        <v>#N/A</v>
      </c>
      <c r="O303" t="e">
        <v>#N/A</v>
      </c>
      <c r="R303" t="e">
        <v>#N/A</v>
      </c>
      <c r="T303" t="e">
        <v>#N/A</v>
      </c>
      <c r="U303" t="e">
        <v>#N/A</v>
      </c>
      <c r="Y303" t="str">
        <v/>
      </c>
      <c r="AM303" t="str">
        <v/>
      </c>
      <c r="AN303" t="str">
        <v/>
      </c>
      <c r="AO303" t="str">
        <v/>
      </c>
      <c r="AQ303" t="str">
        <v/>
      </c>
      <c r="AR303" t="str">
        <v/>
      </c>
      <c r="AS303" t="e">
        <v>#N/A</v>
      </c>
      <c r="AU303" t="str">
        <v/>
      </c>
      <c r="AW303" t="e">
        <v>#N/A</v>
      </c>
    </row>
    <row r="304" spans="1:49" x14ac:dyDescent="0.25">
      <c r="A304" t="str">
        <v/>
      </c>
      <c r="B304" t="str">
        <v/>
      </c>
      <c r="C304" t="e">
        <v>#N/A</v>
      </c>
      <c r="D304" t="e">
        <v>#N/A</v>
      </c>
      <c r="J304" t="str">
        <v/>
      </c>
      <c r="K304" t="e">
        <f ca="1"/>
        <v>#N/A</v>
      </c>
      <c r="L304" t="str">
        <v/>
      </c>
      <c r="M304" t="e">
        <v>#N/A</v>
      </c>
      <c r="N304" t="e">
        <v>#N/A</v>
      </c>
      <c r="O304" t="e">
        <v>#N/A</v>
      </c>
      <c r="R304" t="e">
        <v>#N/A</v>
      </c>
      <c r="T304" t="e">
        <v>#N/A</v>
      </c>
      <c r="U304" t="e">
        <v>#N/A</v>
      </c>
      <c r="Y304" t="str">
        <v/>
      </c>
      <c r="AM304" t="str">
        <v/>
      </c>
      <c r="AN304" t="str">
        <v/>
      </c>
      <c r="AO304" t="str">
        <v/>
      </c>
      <c r="AQ304" t="str">
        <v/>
      </c>
      <c r="AR304" t="str">
        <v/>
      </c>
      <c r="AS304" t="e">
        <v>#N/A</v>
      </c>
      <c r="AU304" t="str">
        <v/>
      </c>
      <c r="AW304" t="e">
        <v>#N/A</v>
      </c>
    </row>
    <row r="305" spans="1:49" x14ac:dyDescent="0.25">
      <c r="A305" t="str">
        <v/>
      </c>
      <c r="B305" t="str">
        <v/>
      </c>
      <c r="C305" t="e">
        <v>#N/A</v>
      </c>
      <c r="D305" t="e">
        <v>#N/A</v>
      </c>
      <c r="J305" t="str">
        <v/>
      </c>
      <c r="K305" t="e">
        <f ca="1"/>
        <v>#N/A</v>
      </c>
      <c r="L305" t="str">
        <v/>
      </c>
      <c r="M305" t="e">
        <v>#N/A</v>
      </c>
      <c r="N305" t="e">
        <v>#N/A</v>
      </c>
      <c r="O305" t="e">
        <v>#N/A</v>
      </c>
      <c r="R305" t="e">
        <v>#N/A</v>
      </c>
      <c r="T305" t="e">
        <v>#N/A</v>
      </c>
      <c r="U305" t="e">
        <v>#N/A</v>
      </c>
      <c r="Y305" t="str">
        <v/>
      </c>
      <c r="AM305" t="str">
        <v/>
      </c>
      <c r="AN305" t="str">
        <v/>
      </c>
      <c r="AO305" t="str">
        <v/>
      </c>
      <c r="AQ305" t="str">
        <v/>
      </c>
      <c r="AR305" t="str">
        <v/>
      </c>
      <c r="AS305" t="e">
        <v>#N/A</v>
      </c>
      <c r="AU305" t="str">
        <v/>
      </c>
      <c r="AW305" t="e">
        <v>#N/A</v>
      </c>
    </row>
    <row r="306" spans="1:49" x14ac:dyDescent="0.25">
      <c r="A306" t="str">
        <v/>
      </c>
      <c r="B306" t="str">
        <v/>
      </c>
      <c r="C306" t="e">
        <v>#N/A</v>
      </c>
      <c r="D306" t="e">
        <v>#N/A</v>
      </c>
      <c r="J306" t="str">
        <v/>
      </c>
      <c r="K306" t="e">
        <f ca="1"/>
        <v>#N/A</v>
      </c>
      <c r="L306" t="str">
        <v/>
      </c>
      <c r="M306" t="e">
        <v>#N/A</v>
      </c>
      <c r="N306" t="e">
        <v>#N/A</v>
      </c>
      <c r="O306" t="e">
        <v>#N/A</v>
      </c>
      <c r="R306" t="e">
        <v>#N/A</v>
      </c>
      <c r="T306" t="e">
        <v>#N/A</v>
      </c>
      <c r="U306" t="e">
        <v>#N/A</v>
      </c>
      <c r="Y306" t="str">
        <v/>
      </c>
      <c r="AM306" t="str">
        <v/>
      </c>
      <c r="AN306" t="str">
        <v/>
      </c>
      <c r="AO306" t="str">
        <v/>
      </c>
      <c r="AQ306" t="str">
        <v/>
      </c>
      <c r="AR306" t="str">
        <v/>
      </c>
      <c r="AS306" t="e">
        <v>#N/A</v>
      </c>
      <c r="AU306" t="str">
        <v/>
      </c>
      <c r="AW306" t="e">
        <v>#N/A</v>
      </c>
    </row>
    <row r="307" spans="1:49" x14ac:dyDescent="0.25">
      <c r="A307" t="str">
        <v/>
      </c>
      <c r="B307" t="str">
        <v/>
      </c>
      <c r="C307" t="e">
        <v>#N/A</v>
      </c>
      <c r="D307" t="e">
        <v>#N/A</v>
      </c>
      <c r="J307" t="str">
        <v/>
      </c>
      <c r="K307" t="e">
        <f ca="1"/>
        <v>#N/A</v>
      </c>
      <c r="L307" t="str">
        <v/>
      </c>
      <c r="M307" t="e">
        <v>#N/A</v>
      </c>
      <c r="N307" t="e">
        <v>#N/A</v>
      </c>
      <c r="O307" t="e">
        <v>#N/A</v>
      </c>
      <c r="R307" t="e">
        <v>#N/A</v>
      </c>
      <c r="T307" t="e">
        <v>#N/A</v>
      </c>
      <c r="U307" t="e">
        <v>#N/A</v>
      </c>
      <c r="Y307" t="str">
        <v/>
      </c>
      <c r="AM307" t="str">
        <v/>
      </c>
      <c r="AN307" t="str">
        <v/>
      </c>
      <c r="AO307" t="str">
        <v/>
      </c>
      <c r="AQ307" t="str">
        <v/>
      </c>
      <c r="AR307" t="str">
        <v/>
      </c>
      <c r="AS307" t="e">
        <v>#N/A</v>
      </c>
      <c r="AU307" t="str">
        <v/>
      </c>
      <c r="AW307" t="e">
        <v>#N/A</v>
      </c>
    </row>
    <row r="308" spans="1:49" x14ac:dyDescent="0.25">
      <c r="A308" t="str">
        <v/>
      </c>
      <c r="B308" t="str">
        <v/>
      </c>
      <c r="C308" t="e">
        <v>#N/A</v>
      </c>
      <c r="D308" t="e">
        <v>#N/A</v>
      </c>
      <c r="J308" t="str">
        <v/>
      </c>
      <c r="K308" t="e">
        <f ca="1"/>
        <v>#N/A</v>
      </c>
      <c r="L308" t="str">
        <v/>
      </c>
      <c r="M308" t="e">
        <v>#N/A</v>
      </c>
      <c r="N308" t="e">
        <v>#N/A</v>
      </c>
      <c r="O308" t="e">
        <v>#N/A</v>
      </c>
      <c r="R308" t="e">
        <v>#N/A</v>
      </c>
      <c r="T308" t="e">
        <v>#N/A</v>
      </c>
      <c r="U308" t="e">
        <v>#N/A</v>
      </c>
      <c r="Y308" t="str">
        <v/>
      </c>
      <c r="AM308" t="str">
        <v/>
      </c>
      <c r="AN308" t="str">
        <v/>
      </c>
      <c r="AO308" t="str">
        <v/>
      </c>
      <c r="AQ308" t="str">
        <v/>
      </c>
      <c r="AR308" t="str">
        <v/>
      </c>
      <c r="AS308" t="e">
        <v>#N/A</v>
      </c>
      <c r="AU308" t="str">
        <v/>
      </c>
      <c r="AW308" t="e">
        <v>#N/A</v>
      </c>
    </row>
    <row r="309" spans="1:49" x14ac:dyDescent="0.25">
      <c r="A309" t="str">
        <v/>
      </c>
      <c r="B309" t="str">
        <v/>
      </c>
      <c r="C309" t="e">
        <v>#N/A</v>
      </c>
      <c r="D309" t="e">
        <v>#N/A</v>
      </c>
      <c r="J309" t="str">
        <v/>
      </c>
      <c r="K309" t="e">
        <f ca="1"/>
        <v>#N/A</v>
      </c>
      <c r="L309" t="str">
        <v/>
      </c>
      <c r="M309" t="e">
        <v>#N/A</v>
      </c>
      <c r="N309" t="e">
        <v>#N/A</v>
      </c>
      <c r="O309" t="e">
        <v>#N/A</v>
      </c>
      <c r="R309" t="e">
        <v>#N/A</v>
      </c>
      <c r="T309" t="e">
        <v>#N/A</v>
      </c>
      <c r="U309" t="e">
        <v>#N/A</v>
      </c>
      <c r="Y309" t="str">
        <v/>
      </c>
      <c r="AM309" t="str">
        <v/>
      </c>
      <c r="AN309" t="str">
        <v/>
      </c>
      <c r="AO309" t="str">
        <v/>
      </c>
      <c r="AQ309" t="str">
        <v/>
      </c>
      <c r="AR309" t="str">
        <v/>
      </c>
      <c r="AS309" t="e">
        <v>#N/A</v>
      </c>
      <c r="AU309" t="str">
        <v/>
      </c>
      <c r="AW309" t="e">
        <v>#N/A</v>
      </c>
    </row>
    <row r="310" spans="1:49" x14ac:dyDescent="0.25">
      <c r="A310" t="str">
        <v/>
      </c>
      <c r="B310" t="str">
        <v/>
      </c>
      <c r="C310" t="e">
        <v>#N/A</v>
      </c>
      <c r="D310" t="e">
        <v>#N/A</v>
      </c>
      <c r="J310" t="str">
        <v/>
      </c>
      <c r="K310" t="e">
        <f ca="1"/>
        <v>#N/A</v>
      </c>
      <c r="L310" t="str">
        <v/>
      </c>
      <c r="M310" t="e">
        <v>#N/A</v>
      </c>
      <c r="N310" t="e">
        <v>#N/A</v>
      </c>
      <c r="O310" t="e">
        <v>#N/A</v>
      </c>
      <c r="R310" t="e">
        <v>#N/A</v>
      </c>
      <c r="T310" t="e">
        <v>#N/A</v>
      </c>
      <c r="U310" t="e">
        <v>#N/A</v>
      </c>
      <c r="Y310" t="str">
        <v/>
      </c>
      <c r="AM310" t="str">
        <v/>
      </c>
      <c r="AN310" t="str">
        <v/>
      </c>
      <c r="AO310" t="str">
        <v/>
      </c>
      <c r="AQ310" t="str">
        <v/>
      </c>
      <c r="AR310" t="str">
        <v/>
      </c>
      <c r="AS310" t="e">
        <v>#N/A</v>
      </c>
      <c r="AU310" t="str">
        <v/>
      </c>
      <c r="AW310" t="e">
        <v>#N/A</v>
      </c>
    </row>
    <row r="311" spans="1:49" x14ac:dyDescent="0.25">
      <c r="A311" t="str">
        <v/>
      </c>
      <c r="B311" t="str">
        <v/>
      </c>
      <c r="C311" t="e">
        <v>#N/A</v>
      </c>
      <c r="D311" t="e">
        <v>#N/A</v>
      </c>
      <c r="J311" t="str">
        <v/>
      </c>
      <c r="K311" t="e">
        <f ca="1"/>
        <v>#N/A</v>
      </c>
      <c r="L311" t="str">
        <v/>
      </c>
      <c r="M311" t="e">
        <v>#N/A</v>
      </c>
      <c r="N311" t="e">
        <v>#N/A</v>
      </c>
      <c r="O311" t="e">
        <v>#N/A</v>
      </c>
      <c r="R311" t="e">
        <v>#N/A</v>
      </c>
      <c r="T311" t="e">
        <v>#N/A</v>
      </c>
      <c r="U311" t="e">
        <v>#N/A</v>
      </c>
      <c r="Y311" t="str">
        <v/>
      </c>
      <c r="AM311" t="str">
        <v/>
      </c>
      <c r="AN311" t="str">
        <v/>
      </c>
      <c r="AO311" t="str">
        <v/>
      </c>
      <c r="AQ311" t="str">
        <v/>
      </c>
      <c r="AR311" t="str">
        <v/>
      </c>
      <c r="AS311" t="e">
        <v>#N/A</v>
      </c>
      <c r="AU311" t="str">
        <v/>
      </c>
      <c r="AW311" t="e">
        <v>#N/A</v>
      </c>
    </row>
    <row r="312" spans="1:49" x14ac:dyDescent="0.25">
      <c r="A312" t="str">
        <v/>
      </c>
      <c r="B312" t="str">
        <v/>
      </c>
      <c r="C312" t="e">
        <v>#N/A</v>
      </c>
      <c r="D312" t="e">
        <v>#N/A</v>
      </c>
      <c r="J312" t="str">
        <v/>
      </c>
      <c r="K312" t="e">
        <f ca="1"/>
        <v>#N/A</v>
      </c>
      <c r="L312" t="str">
        <v/>
      </c>
      <c r="M312" t="e">
        <v>#N/A</v>
      </c>
      <c r="N312" t="e">
        <v>#N/A</v>
      </c>
      <c r="O312" t="e">
        <v>#N/A</v>
      </c>
      <c r="R312" t="e">
        <v>#N/A</v>
      </c>
      <c r="T312" t="e">
        <v>#N/A</v>
      </c>
      <c r="U312" t="e">
        <v>#N/A</v>
      </c>
      <c r="Y312" t="str">
        <v/>
      </c>
      <c r="AM312" t="str">
        <v/>
      </c>
      <c r="AN312" t="str">
        <v/>
      </c>
      <c r="AO312" t="str">
        <v/>
      </c>
      <c r="AQ312" t="str">
        <v/>
      </c>
      <c r="AR312" t="str">
        <v/>
      </c>
      <c r="AS312" t="e">
        <v>#N/A</v>
      </c>
      <c r="AU312" t="str">
        <v/>
      </c>
      <c r="AW312" t="e">
        <v>#N/A</v>
      </c>
    </row>
    <row r="313" spans="1:49" x14ac:dyDescent="0.25">
      <c r="A313" t="str">
        <v/>
      </c>
      <c r="B313" t="str">
        <v/>
      </c>
      <c r="C313" t="e">
        <v>#N/A</v>
      </c>
      <c r="D313" t="e">
        <v>#N/A</v>
      </c>
      <c r="J313" t="str">
        <v/>
      </c>
      <c r="K313" t="e">
        <f ca="1"/>
        <v>#N/A</v>
      </c>
      <c r="L313" t="str">
        <v/>
      </c>
      <c r="M313" t="e">
        <v>#N/A</v>
      </c>
      <c r="N313" t="e">
        <v>#N/A</v>
      </c>
      <c r="O313" t="e">
        <v>#N/A</v>
      </c>
      <c r="R313" t="e">
        <v>#N/A</v>
      </c>
      <c r="T313" t="e">
        <v>#N/A</v>
      </c>
      <c r="U313" t="e">
        <v>#N/A</v>
      </c>
      <c r="Y313" t="str">
        <v/>
      </c>
      <c r="AM313" t="str">
        <v/>
      </c>
      <c r="AN313" t="str">
        <v/>
      </c>
      <c r="AO313" t="str">
        <v/>
      </c>
      <c r="AQ313" t="str">
        <v/>
      </c>
      <c r="AR313" t="str">
        <v/>
      </c>
      <c r="AS313" t="e">
        <v>#N/A</v>
      </c>
      <c r="AU313" t="str">
        <v/>
      </c>
      <c r="AW313" t="e">
        <v>#N/A</v>
      </c>
    </row>
    <row r="314" spans="1:49" x14ac:dyDescent="0.25">
      <c r="A314" t="str">
        <v/>
      </c>
      <c r="B314" t="str">
        <v/>
      </c>
      <c r="C314" t="e">
        <v>#N/A</v>
      </c>
      <c r="D314" t="e">
        <v>#N/A</v>
      </c>
      <c r="J314" t="str">
        <v/>
      </c>
      <c r="K314" t="e">
        <f ca="1"/>
        <v>#N/A</v>
      </c>
      <c r="L314" t="str">
        <v/>
      </c>
      <c r="M314" t="e">
        <v>#N/A</v>
      </c>
      <c r="N314" t="e">
        <v>#N/A</v>
      </c>
      <c r="O314" t="e">
        <v>#N/A</v>
      </c>
      <c r="R314" t="e">
        <v>#N/A</v>
      </c>
      <c r="T314" t="e">
        <v>#N/A</v>
      </c>
      <c r="U314" t="e">
        <v>#N/A</v>
      </c>
      <c r="Y314" t="str">
        <v/>
      </c>
      <c r="AM314" t="str">
        <v/>
      </c>
      <c r="AN314" t="str">
        <v/>
      </c>
      <c r="AO314" t="str">
        <v/>
      </c>
      <c r="AQ314" t="str">
        <v/>
      </c>
      <c r="AR314" t="str">
        <v/>
      </c>
      <c r="AS314" t="e">
        <v>#N/A</v>
      </c>
      <c r="AU314" t="str">
        <v/>
      </c>
      <c r="AW314" t="e">
        <v>#N/A</v>
      </c>
    </row>
    <row r="315" spans="1:49" x14ac:dyDescent="0.25">
      <c r="A315" t="str">
        <v/>
      </c>
      <c r="B315" t="str">
        <v/>
      </c>
      <c r="C315" t="e">
        <v>#N/A</v>
      </c>
      <c r="D315" t="e">
        <v>#N/A</v>
      </c>
      <c r="J315" t="str">
        <v/>
      </c>
      <c r="K315" t="e">
        <f ca="1"/>
        <v>#N/A</v>
      </c>
      <c r="L315" t="str">
        <v/>
      </c>
      <c r="M315" t="e">
        <v>#N/A</v>
      </c>
      <c r="N315" t="e">
        <v>#N/A</v>
      </c>
      <c r="O315" t="e">
        <v>#N/A</v>
      </c>
      <c r="R315" t="e">
        <v>#N/A</v>
      </c>
      <c r="T315" t="e">
        <v>#N/A</v>
      </c>
      <c r="U315" t="e">
        <v>#N/A</v>
      </c>
      <c r="Y315" t="str">
        <v/>
      </c>
      <c r="AM315" t="str">
        <v/>
      </c>
      <c r="AN315" t="str">
        <v/>
      </c>
      <c r="AO315" t="str">
        <v/>
      </c>
      <c r="AQ315" t="str">
        <v/>
      </c>
      <c r="AR315" t="str">
        <v/>
      </c>
      <c r="AS315" t="e">
        <v>#N/A</v>
      </c>
      <c r="AU315" t="str">
        <v/>
      </c>
      <c r="AW315" t="e">
        <v>#N/A</v>
      </c>
    </row>
    <row r="316" spans="1:49" x14ac:dyDescent="0.25">
      <c r="A316" t="str">
        <v/>
      </c>
      <c r="B316" t="str">
        <v/>
      </c>
      <c r="C316" t="e">
        <v>#N/A</v>
      </c>
      <c r="D316" t="e">
        <v>#N/A</v>
      </c>
      <c r="J316" t="str">
        <v/>
      </c>
      <c r="K316" t="e">
        <f ca="1"/>
        <v>#N/A</v>
      </c>
      <c r="L316" t="str">
        <v/>
      </c>
      <c r="M316" t="e">
        <v>#N/A</v>
      </c>
      <c r="N316" t="e">
        <v>#N/A</v>
      </c>
      <c r="O316" t="e">
        <v>#N/A</v>
      </c>
      <c r="R316" t="e">
        <v>#N/A</v>
      </c>
      <c r="T316" t="e">
        <v>#N/A</v>
      </c>
      <c r="U316" t="e">
        <v>#N/A</v>
      </c>
      <c r="Y316" t="str">
        <v/>
      </c>
      <c r="AM316" t="str">
        <v/>
      </c>
      <c r="AN316" t="str">
        <v/>
      </c>
      <c r="AO316" t="str">
        <v/>
      </c>
      <c r="AQ316" t="str">
        <v/>
      </c>
      <c r="AR316" t="str">
        <v/>
      </c>
      <c r="AS316" t="e">
        <v>#N/A</v>
      </c>
      <c r="AU316" t="str">
        <v/>
      </c>
      <c r="AW316" t="e">
        <v>#N/A</v>
      </c>
    </row>
    <row r="317" spans="1:49" x14ac:dyDescent="0.25">
      <c r="A317" t="str">
        <v/>
      </c>
      <c r="B317" t="str">
        <v/>
      </c>
      <c r="C317" t="e">
        <v>#N/A</v>
      </c>
      <c r="D317" t="e">
        <v>#N/A</v>
      </c>
      <c r="J317" t="str">
        <v/>
      </c>
      <c r="K317" t="e">
        <f ca="1"/>
        <v>#N/A</v>
      </c>
      <c r="L317" t="str">
        <v/>
      </c>
      <c r="M317" t="e">
        <v>#N/A</v>
      </c>
      <c r="N317" t="e">
        <v>#N/A</v>
      </c>
      <c r="O317" t="e">
        <v>#N/A</v>
      </c>
      <c r="R317" t="e">
        <v>#N/A</v>
      </c>
      <c r="T317" t="e">
        <v>#N/A</v>
      </c>
      <c r="U317" t="e">
        <v>#N/A</v>
      </c>
      <c r="Y317" t="str">
        <v/>
      </c>
      <c r="AM317" t="str">
        <v/>
      </c>
      <c r="AN317" t="str">
        <v/>
      </c>
      <c r="AO317" t="str">
        <v/>
      </c>
      <c r="AQ317" t="str">
        <v/>
      </c>
      <c r="AR317" t="str">
        <v/>
      </c>
      <c r="AS317" t="e">
        <v>#N/A</v>
      </c>
      <c r="AU317" t="str">
        <v/>
      </c>
      <c r="AW317" t="e">
        <v>#N/A</v>
      </c>
    </row>
    <row r="318" spans="1:49" x14ac:dyDescent="0.25">
      <c r="A318" t="str">
        <v/>
      </c>
      <c r="B318" t="str">
        <v/>
      </c>
      <c r="C318" t="e">
        <v>#N/A</v>
      </c>
      <c r="D318" t="e">
        <v>#N/A</v>
      </c>
      <c r="J318" t="str">
        <v/>
      </c>
      <c r="K318" t="e">
        <f ca="1"/>
        <v>#N/A</v>
      </c>
      <c r="L318" t="str">
        <v/>
      </c>
      <c r="M318" t="e">
        <v>#N/A</v>
      </c>
      <c r="N318" t="e">
        <v>#N/A</v>
      </c>
      <c r="O318" t="e">
        <v>#N/A</v>
      </c>
      <c r="R318" t="e">
        <v>#N/A</v>
      </c>
      <c r="T318" t="e">
        <v>#N/A</v>
      </c>
      <c r="U318" t="e">
        <v>#N/A</v>
      </c>
      <c r="Y318" t="str">
        <v/>
      </c>
      <c r="AM318" t="str">
        <v/>
      </c>
      <c r="AN318" t="str">
        <v/>
      </c>
      <c r="AO318" t="str">
        <v/>
      </c>
      <c r="AQ318" t="str">
        <v/>
      </c>
      <c r="AR318" t="str">
        <v/>
      </c>
      <c r="AS318" t="e">
        <v>#N/A</v>
      </c>
      <c r="AU318" t="str">
        <v/>
      </c>
      <c r="AW318" t="e">
        <v>#N/A</v>
      </c>
    </row>
    <row r="319" spans="1:49" x14ac:dyDescent="0.25">
      <c r="A319" t="str">
        <v/>
      </c>
      <c r="B319" t="str">
        <v/>
      </c>
      <c r="C319" t="e">
        <v>#N/A</v>
      </c>
      <c r="D319" t="e">
        <v>#N/A</v>
      </c>
      <c r="J319" t="str">
        <v/>
      </c>
      <c r="K319" t="e">
        <f ca="1"/>
        <v>#N/A</v>
      </c>
      <c r="L319" t="str">
        <v/>
      </c>
      <c r="M319" t="e">
        <v>#N/A</v>
      </c>
      <c r="N319" t="e">
        <v>#N/A</v>
      </c>
      <c r="O319" t="e">
        <v>#N/A</v>
      </c>
      <c r="R319" t="e">
        <v>#N/A</v>
      </c>
      <c r="T319" t="e">
        <v>#N/A</v>
      </c>
      <c r="U319" t="e">
        <v>#N/A</v>
      </c>
      <c r="Y319" t="str">
        <v/>
      </c>
      <c r="AM319" t="str">
        <v/>
      </c>
      <c r="AN319" t="str">
        <v/>
      </c>
      <c r="AO319" t="str">
        <v/>
      </c>
      <c r="AQ319" t="str">
        <v/>
      </c>
      <c r="AR319" t="str">
        <v/>
      </c>
      <c r="AS319" t="e">
        <v>#N/A</v>
      </c>
      <c r="AU319" t="str">
        <v/>
      </c>
      <c r="AW319" t="e">
        <v>#N/A</v>
      </c>
    </row>
    <row r="320" spans="1:49" x14ac:dyDescent="0.25">
      <c r="A320" t="str">
        <v/>
      </c>
      <c r="B320" t="str">
        <v/>
      </c>
      <c r="C320" t="e">
        <v>#N/A</v>
      </c>
      <c r="D320" t="e">
        <v>#N/A</v>
      </c>
      <c r="J320" t="str">
        <v/>
      </c>
      <c r="K320" t="e">
        <f ca="1"/>
        <v>#N/A</v>
      </c>
      <c r="L320" t="str">
        <v/>
      </c>
      <c r="M320" t="e">
        <v>#N/A</v>
      </c>
      <c r="N320" t="e">
        <v>#N/A</v>
      </c>
      <c r="O320" t="e">
        <v>#N/A</v>
      </c>
      <c r="R320" t="e">
        <v>#N/A</v>
      </c>
      <c r="T320" t="e">
        <v>#N/A</v>
      </c>
      <c r="U320" t="e">
        <v>#N/A</v>
      </c>
      <c r="Y320" t="str">
        <v/>
      </c>
      <c r="AM320" t="str">
        <v/>
      </c>
      <c r="AN320" t="str">
        <v/>
      </c>
      <c r="AO320" t="str">
        <v/>
      </c>
      <c r="AQ320" t="str">
        <v/>
      </c>
      <c r="AR320" t="str">
        <v/>
      </c>
      <c r="AS320" t="e">
        <v>#N/A</v>
      </c>
      <c r="AU320" t="str">
        <v/>
      </c>
      <c r="AW320" t="e">
        <v>#N/A</v>
      </c>
    </row>
    <row r="321" spans="1:49" x14ac:dyDescent="0.25">
      <c r="A321" t="str">
        <v/>
      </c>
      <c r="B321" t="str">
        <v/>
      </c>
      <c r="C321" t="e">
        <v>#N/A</v>
      </c>
      <c r="D321" t="e">
        <v>#N/A</v>
      </c>
      <c r="J321" t="str">
        <v/>
      </c>
      <c r="K321" t="e">
        <f ca="1"/>
        <v>#N/A</v>
      </c>
      <c r="L321" t="str">
        <v/>
      </c>
      <c r="M321" t="e">
        <v>#N/A</v>
      </c>
      <c r="N321" t="e">
        <v>#N/A</v>
      </c>
      <c r="O321" t="e">
        <v>#N/A</v>
      </c>
      <c r="R321" t="e">
        <v>#N/A</v>
      </c>
      <c r="T321" t="e">
        <v>#N/A</v>
      </c>
      <c r="U321" t="e">
        <v>#N/A</v>
      </c>
      <c r="Y321" t="str">
        <v/>
      </c>
      <c r="AM321" t="str">
        <v/>
      </c>
      <c r="AN321" t="str">
        <v/>
      </c>
      <c r="AO321" t="str">
        <v/>
      </c>
      <c r="AQ321" t="str">
        <v/>
      </c>
      <c r="AR321" t="str">
        <v/>
      </c>
      <c r="AS321" t="e">
        <v>#N/A</v>
      </c>
      <c r="AU321" t="str">
        <v/>
      </c>
      <c r="AW321" t="e">
        <v>#N/A</v>
      </c>
    </row>
    <row r="322" spans="1:49" x14ac:dyDescent="0.25">
      <c r="A322" t="str">
        <v/>
      </c>
      <c r="B322" t="str">
        <v/>
      </c>
      <c r="C322" t="e">
        <v>#N/A</v>
      </c>
      <c r="D322" t="e">
        <v>#N/A</v>
      </c>
      <c r="J322" t="str">
        <v/>
      </c>
      <c r="K322" t="e">
        <f ca="1"/>
        <v>#N/A</v>
      </c>
      <c r="L322" t="str">
        <v/>
      </c>
      <c r="M322" t="e">
        <v>#N/A</v>
      </c>
      <c r="N322" t="e">
        <v>#N/A</v>
      </c>
      <c r="O322" t="e">
        <v>#N/A</v>
      </c>
      <c r="R322" t="e">
        <v>#N/A</v>
      </c>
      <c r="T322" t="e">
        <v>#N/A</v>
      </c>
      <c r="U322" t="e">
        <v>#N/A</v>
      </c>
      <c r="Y322" t="str">
        <v/>
      </c>
      <c r="AM322" t="str">
        <v/>
      </c>
      <c r="AN322" t="str">
        <v/>
      </c>
      <c r="AO322" t="str">
        <v/>
      </c>
      <c r="AQ322" t="str">
        <v/>
      </c>
      <c r="AR322" t="str">
        <v/>
      </c>
      <c r="AS322" t="e">
        <v>#N/A</v>
      </c>
      <c r="AU322" t="str">
        <v/>
      </c>
      <c r="AW322" t="e">
        <v>#N/A</v>
      </c>
    </row>
    <row r="323" spans="1:49" x14ac:dyDescent="0.25">
      <c r="A323" t="str">
        <v/>
      </c>
      <c r="B323" t="str">
        <v/>
      </c>
      <c r="C323" t="e">
        <v>#N/A</v>
      </c>
      <c r="D323" t="e">
        <v>#N/A</v>
      </c>
      <c r="J323" t="str">
        <v/>
      </c>
      <c r="K323" t="e">
        <f ca="1"/>
        <v>#N/A</v>
      </c>
      <c r="L323" t="str">
        <v/>
      </c>
      <c r="M323" t="e">
        <v>#N/A</v>
      </c>
      <c r="N323" t="e">
        <v>#N/A</v>
      </c>
      <c r="O323" t="e">
        <v>#N/A</v>
      </c>
      <c r="R323" t="e">
        <v>#N/A</v>
      </c>
      <c r="T323" t="e">
        <v>#N/A</v>
      </c>
      <c r="U323" t="e">
        <v>#N/A</v>
      </c>
      <c r="Y323" t="str">
        <v/>
      </c>
      <c r="AM323" t="str">
        <v/>
      </c>
      <c r="AN323" t="str">
        <v/>
      </c>
      <c r="AO323" t="str">
        <v/>
      </c>
      <c r="AQ323" t="str">
        <v/>
      </c>
      <c r="AR323" t="str">
        <v/>
      </c>
      <c r="AS323" t="e">
        <v>#N/A</v>
      </c>
      <c r="AU323" t="str">
        <v/>
      </c>
      <c r="AW323" t="e">
        <v>#N/A</v>
      </c>
    </row>
    <row r="324" spans="1:49" x14ac:dyDescent="0.25">
      <c r="A324" t="str">
        <v/>
      </c>
      <c r="B324" t="str">
        <v/>
      </c>
      <c r="C324" t="e">
        <v>#N/A</v>
      </c>
      <c r="D324" t="e">
        <v>#N/A</v>
      </c>
      <c r="J324" t="str">
        <v/>
      </c>
      <c r="K324" t="e">
        <f ca="1"/>
        <v>#N/A</v>
      </c>
      <c r="L324" t="str">
        <v/>
      </c>
      <c r="M324" t="e">
        <v>#N/A</v>
      </c>
      <c r="N324" t="e">
        <v>#N/A</v>
      </c>
      <c r="O324" t="e">
        <v>#N/A</v>
      </c>
      <c r="R324" t="e">
        <v>#N/A</v>
      </c>
      <c r="T324" t="e">
        <v>#N/A</v>
      </c>
      <c r="U324" t="e">
        <v>#N/A</v>
      </c>
      <c r="Y324" t="str">
        <v/>
      </c>
      <c r="AM324" t="str">
        <v/>
      </c>
      <c r="AN324" t="str">
        <v/>
      </c>
      <c r="AO324" t="str">
        <v/>
      </c>
      <c r="AQ324" t="str">
        <v/>
      </c>
      <c r="AR324" t="str">
        <v/>
      </c>
      <c r="AS324" t="e">
        <v>#N/A</v>
      </c>
      <c r="AU324" t="str">
        <v/>
      </c>
      <c r="AW324" t="e">
        <v>#N/A</v>
      </c>
    </row>
    <row r="325" spans="1:49" x14ac:dyDescent="0.25">
      <c r="A325" t="str">
        <v/>
      </c>
      <c r="B325" t="str">
        <v/>
      </c>
      <c r="C325" t="e">
        <v>#N/A</v>
      </c>
      <c r="D325" t="e">
        <v>#N/A</v>
      </c>
      <c r="J325" t="str">
        <v/>
      </c>
      <c r="K325" t="e">
        <f ca="1"/>
        <v>#N/A</v>
      </c>
      <c r="L325" t="str">
        <v/>
      </c>
      <c r="M325" t="e">
        <v>#N/A</v>
      </c>
      <c r="N325" t="e">
        <v>#N/A</v>
      </c>
      <c r="O325" t="e">
        <v>#N/A</v>
      </c>
      <c r="R325" t="e">
        <v>#N/A</v>
      </c>
      <c r="T325" t="e">
        <v>#N/A</v>
      </c>
      <c r="U325" t="e">
        <v>#N/A</v>
      </c>
      <c r="Y325" t="str">
        <v/>
      </c>
      <c r="AM325" t="str">
        <v/>
      </c>
      <c r="AN325" t="str">
        <v/>
      </c>
      <c r="AO325" t="str">
        <v/>
      </c>
      <c r="AQ325" t="str">
        <v/>
      </c>
      <c r="AR325" t="str">
        <v/>
      </c>
      <c r="AS325" t="e">
        <v>#N/A</v>
      </c>
      <c r="AU325" t="str">
        <v/>
      </c>
      <c r="AW325" t="e">
        <v>#N/A</v>
      </c>
    </row>
    <row r="326" spans="1:49" x14ac:dyDescent="0.25">
      <c r="A326" t="str">
        <v/>
      </c>
      <c r="B326" t="str">
        <v/>
      </c>
      <c r="C326" t="e">
        <v>#N/A</v>
      </c>
      <c r="D326" t="e">
        <v>#N/A</v>
      </c>
      <c r="J326" t="str">
        <v/>
      </c>
      <c r="K326" t="e">
        <f ca="1"/>
        <v>#N/A</v>
      </c>
      <c r="L326" t="str">
        <v/>
      </c>
      <c r="M326" t="e">
        <v>#N/A</v>
      </c>
      <c r="N326" t="e">
        <v>#N/A</v>
      </c>
      <c r="O326" t="e">
        <v>#N/A</v>
      </c>
      <c r="R326" t="e">
        <v>#N/A</v>
      </c>
      <c r="T326" t="e">
        <v>#N/A</v>
      </c>
      <c r="U326" t="e">
        <v>#N/A</v>
      </c>
      <c r="Y326" t="str">
        <v/>
      </c>
      <c r="AM326" t="str">
        <v/>
      </c>
      <c r="AN326" t="str">
        <v/>
      </c>
      <c r="AO326" t="str">
        <v/>
      </c>
      <c r="AQ326" t="str">
        <v/>
      </c>
      <c r="AR326" t="str">
        <v/>
      </c>
      <c r="AS326" t="e">
        <v>#N/A</v>
      </c>
      <c r="AU326" t="str">
        <v/>
      </c>
      <c r="AW326" t="e">
        <v>#N/A</v>
      </c>
    </row>
    <row r="327" spans="1:49" x14ac:dyDescent="0.25">
      <c r="A327" t="str">
        <v/>
      </c>
      <c r="B327" t="str">
        <v/>
      </c>
      <c r="C327" t="e">
        <v>#N/A</v>
      </c>
      <c r="D327" t="e">
        <v>#N/A</v>
      </c>
      <c r="J327" t="str">
        <v/>
      </c>
      <c r="K327" t="e">
        <f ca="1"/>
        <v>#N/A</v>
      </c>
      <c r="L327" t="str">
        <v/>
      </c>
      <c r="M327" t="e">
        <v>#N/A</v>
      </c>
      <c r="N327" t="e">
        <v>#N/A</v>
      </c>
      <c r="O327" t="e">
        <v>#N/A</v>
      </c>
      <c r="R327" t="e">
        <v>#N/A</v>
      </c>
      <c r="T327" t="e">
        <v>#N/A</v>
      </c>
      <c r="U327" t="e">
        <v>#N/A</v>
      </c>
      <c r="Y327" t="str">
        <v/>
      </c>
      <c r="AM327" t="str">
        <v/>
      </c>
      <c r="AN327" t="str">
        <v/>
      </c>
      <c r="AO327" t="str">
        <v/>
      </c>
      <c r="AQ327" t="str">
        <v/>
      </c>
      <c r="AR327" t="str">
        <v/>
      </c>
      <c r="AS327" t="e">
        <v>#N/A</v>
      </c>
      <c r="AU327" t="str">
        <v/>
      </c>
      <c r="AW327" t="e">
        <v>#N/A</v>
      </c>
    </row>
    <row r="328" spans="1:49" x14ac:dyDescent="0.25">
      <c r="A328" t="str">
        <v/>
      </c>
      <c r="B328" t="str">
        <v/>
      </c>
      <c r="C328" t="e">
        <v>#N/A</v>
      </c>
      <c r="D328" t="e">
        <v>#N/A</v>
      </c>
      <c r="J328" t="str">
        <v/>
      </c>
      <c r="K328" t="e">
        <f ca="1"/>
        <v>#N/A</v>
      </c>
      <c r="L328" t="str">
        <v/>
      </c>
      <c r="M328" t="e">
        <v>#N/A</v>
      </c>
      <c r="N328" t="e">
        <v>#N/A</v>
      </c>
      <c r="O328" t="e">
        <v>#N/A</v>
      </c>
      <c r="R328" t="e">
        <v>#N/A</v>
      </c>
      <c r="T328" t="e">
        <v>#N/A</v>
      </c>
      <c r="U328" t="e">
        <v>#N/A</v>
      </c>
      <c r="Y328" t="str">
        <v/>
      </c>
      <c r="AM328" t="str">
        <v/>
      </c>
      <c r="AN328" t="str">
        <v/>
      </c>
      <c r="AO328" t="str">
        <v/>
      </c>
      <c r="AQ328" t="str">
        <v/>
      </c>
      <c r="AR328" t="str">
        <v/>
      </c>
      <c r="AS328" t="e">
        <v>#N/A</v>
      </c>
      <c r="AU328" t="str">
        <v/>
      </c>
      <c r="AW328" t="e">
        <v>#N/A</v>
      </c>
    </row>
    <row r="329" spans="1:49" x14ac:dyDescent="0.25">
      <c r="A329" t="str">
        <v/>
      </c>
      <c r="B329" t="str">
        <v/>
      </c>
      <c r="C329" t="e">
        <v>#N/A</v>
      </c>
      <c r="D329" t="e">
        <v>#N/A</v>
      </c>
      <c r="J329" t="str">
        <v/>
      </c>
      <c r="K329" t="e">
        <f ca="1"/>
        <v>#N/A</v>
      </c>
      <c r="L329" t="str">
        <v/>
      </c>
      <c r="M329" t="e">
        <v>#N/A</v>
      </c>
      <c r="N329" t="e">
        <v>#N/A</v>
      </c>
      <c r="O329" t="e">
        <v>#N/A</v>
      </c>
      <c r="R329" t="e">
        <v>#N/A</v>
      </c>
      <c r="T329" t="e">
        <v>#N/A</v>
      </c>
      <c r="U329" t="e">
        <v>#N/A</v>
      </c>
      <c r="Y329" t="str">
        <v/>
      </c>
      <c r="AM329" t="str">
        <v/>
      </c>
      <c r="AN329" t="str">
        <v/>
      </c>
      <c r="AO329" t="str">
        <v/>
      </c>
      <c r="AQ329" t="str">
        <v/>
      </c>
      <c r="AR329" t="str">
        <v/>
      </c>
      <c r="AS329" t="e">
        <v>#N/A</v>
      </c>
      <c r="AU329" t="str">
        <v/>
      </c>
      <c r="AW329" t="e">
        <v>#N/A</v>
      </c>
    </row>
    <row r="330" spans="1:49" x14ac:dyDescent="0.25">
      <c r="A330" t="str">
        <v/>
      </c>
      <c r="B330" t="str">
        <v/>
      </c>
      <c r="C330" t="e">
        <v>#N/A</v>
      </c>
      <c r="D330" t="e">
        <v>#N/A</v>
      </c>
      <c r="J330" t="str">
        <v/>
      </c>
      <c r="K330" t="e">
        <f ca="1"/>
        <v>#N/A</v>
      </c>
      <c r="L330" t="str">
        <v/>
      </c>
      <c r="M330" t="e">
        <v>#N/A</v>
      </c>
      <c r="N330" t="e">
        <v>#N/A</v>
      </c>
      <c r="O330" t="e">
        <v>#N/A</v>
      </c>
      <c r="R330" t="e">
        <v>#N/A</v>
      </c>
      <c r="T330" t="e">
        <v>#N/A</v>
      </c>
      <c r="U330" t="e">
        <v>#N/A</v>
      </c>
      <c r="Y330" t="str">
        <v/>
      </c>
      <c r="AM330" t="str">
        <v/>
      </c>
      <c r="AN330" t="str">
        <v/>
      </c>
      <c r="AO330" t="str">
        <v/>
      </c>
      <c r="AQ330" t="str">
        <v/>
      </c>
      <c r="AR330" t="str">
        <v/>
      </c>
      <c r="AS330" t="e">
        <v>#N/A</v>
      </c>
      <c r="AU330" t="str">
        <v/>
      </c>
      <c r="AW330" t="e">
        <v>#N/A</v>
      </c>
    </row>
    <row r="331" spans="1:49" x14ac:dyDescent="0.25">
      <c r="A331" t="str">
        <v/>
      </c>
      <c r="B331" t="str">
        <v/>
      </c>
      <c r="C331" t="e">
        <v>#N/A</v>
      </c>
      <c r="D331" t="e">
        <v>#N/A</v>
      </c>
      <c r="J331" t="str">
        <v/>
      </c>
      <c r="K331" t="e">
        <f ca="1"/>
        <v>#N/A</v>
      </c>
      <c r="L331" t="str">
        <v/>
      </c>
      <c r="M331" t="e">
        <v>#N/A</v>
      </c>
      <c r="N331" t="e">
        <v>#N/A</v>
      </c>
      <c r="O331" t="e">
        <v>#N/A</v>
      </c>
      <c r="R331" t="e">
        <v>#N/A</v>
      </c>
      <c r="T331" t="e">
        <v>#N/A</v>
      </c>
      <c r="U331" t="e">
        <v>#N/A</v>
      </c>
      <c r="Y331" t="str">
        <v/>
      </c>
      <c r="AM331" t="str">
        <v/>
      </c>
      <c r="AN331" t="str">
        <v/>
      </c>
      <c r="AO331" t="str">
        <v/>
      </c>
      <c r="AQ331" t="str">
        <v/>
      </c>
      <c r="AR331" t="str">
        <v/>
      </c>
      <c r="AS331" t="e">
        <v>#N/A</v>
      </c>
      <c r="AU331" t="str">
        <v/>
      </c>
      <c r="AW331" t="e">
        <v>#N/A</v>
      </c>
    </row>
    <row r="332" spans="1:49" x14ac:dyDescent="0.25">
      <c r="A332" t="str">
        <v/>
      </c>
      <c r="B332" t="str">
        <v/>
      </c>
      <c r="C332" t="e">
        <v>#N/A</v>
      </c>
      <c r="D332" t="e">
        <v>#N/A</v>
      </c>
      <c r="J332" t="str">
        <v/>
      </c>
      <c r="K332" t="e">
        <f ca="1"/>
        <v>#N/A</v>
      </c>
      <c r="L332" t="str">
        <v/>
      </c>
      <c r="M332" t="e">
        <v>#N/A</v>
      </c>
      <c r="N332" t="e">
        <v>#N/A</v>
      </c>
      <c r="O332" t="e">
        <v>#N/A</v>
      </c>
      <c r="R332" t="e">
        <v>#N/A</v>
      </c>
      <c r="T332" t="e">
        <v>#N/A</v>
      </c>
      <c r="U332" t="e">
        <v>#N/A</v>
      </c>
      <c r="Y332" t="str">
        <v/>
      </c>
      <c r="AM332" t="str">
        <v/>
      </c>
      <c r="AN332" t="str">
        <v/>
      </c>
      <c r="AO332" t="str">
        <v/>
      </c>
      <c r="AQ332" t="str">
        <v/>
      </c>
      <c r="AR332" t="str">
        <v/>
      </c>
      <c r="AS332" t="e">
        <v>#N/A</v>
      </c>
      <c r="AU332" t="str">
        <v/>
      </c>
      <c r="AW332" t="e">
        <v>#N/A</v>
      </c>
    </row>
    <row r="333" spans="1:49" x14ac:dyDescent="0.25">
      <c r="A333" t="str">
        <v/>
      </c>
      <c r="B333" t="str">
        <v/>
      </c>
      <c r="C333" t="e">
        <v>#N/A</v>
      </c>
      <c r="D333" t="e">
        <v>#N/A</v>
      </c>
      <c r="J333" t="str">
        <v/>
      </c>
      <c r="K333" t="e">
        <f ca="1"/>
        <v>#N/A</v>
      </c>
      <c r="L333" t="str">
        <v/>
      </c>
      <c r="M333" t="e">
        <v>#N/A</v>
      </c>
      <c r="N333" t="e">
        <v>#N/A</v>
      </c>
      <c r="O333" t="e">
        <v>#N/A</v>
      </c>
      <c r="R333" t="e">
        <v>#N/A</v>
      </c>
      <c r="T333" t="e">
        <v>#N/A</v>
      </c>
      <c r="U333" t="e">
        <v>#N/A</v>
      </c>
      <c r="Y333" t="str">
        <v/>
      </c>
      <c r="AM333" t="str">
        <v/>
      </c>
      <c r="AN333" t="str">
        <v/>
      </c>
      <c r="AO333" t="str">
        <v/>
      </c>
      <c r="AQ333" t="str">
        <v/>
      </c>
      <c r="AR333" t="str">
        <v/>
      </c>
      <c r="AS333" t="e">
        <v>#N/A</v>
      </c>
      <c r="AU333" t="str">
        <v/>
      </c>
      <c r="AW333" t="e">
        <v>#N/A</v>
      </c>
    </row>
    <row r="334" spans="1:49" x14ac:dyDescent="0.25">
      <c r="A334" t="str">
        <v/>
      </c>
      <c r="B334" t="str">
        <v/>
      </c>
      <c r="C334" t="e">
        <v>#N/A</v>
      </c>
      <c r="D334" t="e">
        <v>#N/A</v>
      </c>
      <c r="J334" t="str">
        <v/>
      </c>
      <c r="K334" t="e">
        <f ca="1"/>
        <v>#N/A</v>
      </c>
      <c r="L334" t="str">
        <v/>
      </c>
      <c r="M334" t="e">
        <v>#N/A</v>
      </c>
      <c r="N334" t="e">
        <v>#N/A</v>
      </c>
      <c r="O334" t="e">
        <v>#N/A</v>
      </c>
      <c r="R334" t="e">
        <v>#N/A</v>
      </c>
      <c r="T334" t="e">
        <v>#N/A</v>
      </c>
      <c r="U334" t="e">
        <v>#N/A</v>
      </c>
      <c r="Y334" t="str">
        <v/>
      </c>
      <c r="AM334" t="str">
        <v/>
      </c>
      <c r="AN334" t="str">
        <v/>
      </c>
      <c r="AO334" t="str">
        <v/>
      </c>
      <c r="AQ334" t="str">
        <v/>
      </c>
      <c r="AR334" t="str">
        <v/>
      </c>
      <c r="AS334" t="e">
        <v>#N/A</v>
      </c>
      <c r="AU334" t="str">
        <v/>
      </c>
      <c r="AW334" t="e">
        <v>#N/A</v>
      </c>
    </row>
    <row r="335" spans="1:49" x14ac:dyDescent="0.25">
      <c r="A335" t="str">
        <v/>
      </c>
      <c r="B335" t="str">
        <v/>
      </c>
      <c r="C335" t="e">
        <v>#N/A</v>
      </c>
      <c r="D335" t="e">
        <v>#N/A</v>
      </c>
      <c r="J335" t="str">
        <v/>
      </c>
      <c r="K335" t="e">
        <f ca="1"/>
        <v>#N/A</v>
      </c>
      <c r="L335" t="str">
        <v/>
      </c>
      <c r="M335" t="e">
        <v>#N/A</v>
      </c>
      <c r="N335" t="e">
        <v>#N/A</v>
      </c>
      <c r="O335" t="e">
        <v>#N/A</v>
      </c>
      <c r="R335" t="e">
        <v>#N/A</v>
      </c>
      <c r="T335" t="e">
        <v>#N/A</v>
      </c>
      <c r="U335" t="e">
        <v>#N/A</v>
      </c>
      <c r="Y335" t="str">
        <v/>
      </c>
      <c r="AM335" t="str">
        <v/>
      </c>
      <c r="AN335" t="str">
        <v/>
      </c>
      <c r="AO335" t="str">
        <v/>
      </c>
      <c r="AQ335" t="str">
        <v/>
      </c>
      <c r="AR335" t="str">
        <v/>
      </c>
      <c r="AS335" t="e">
        <v>#N/A</v>
      </c>
      <c r="AU335" t="str">
        <v/>
      </c>
      <c r="AW335" t="e">
        <v>#N/A</v>
      </c>
    </row>
    <row r="336" spans="1:49" x14ac:dyDescent="0.25">
      <c r="A336" t="str">
        <v/>
      </c>
      <c r="B336" t="str">
        <v/>
      </c>
      <c r="C336" t="e">
        <v>#N/A</v>
      </c>
      <c r="D336" t="e">
        <v>#N/A</v>
      </c>
      <c r="J336" t="str">
        <v/>
      </c>
      <c r="K336" t="e">
        <f ca="1"/>
        <v>#N/A</v>
      </c>
      <c r="L336" t="str">
        <v/>
      </c>
      <c r="M336" t="e">
        <v>#N/A</v>
      </c>
      <c r="N336" t="e">
        <v>#N/A</v>
      </c>
      <c r="O336" t="e">
        <v>#N/A</v>
      </c>
      <c r="R336" t="e">
        <v>#N/A</v>
      </c>
      <c r="T336" t="e">
        <v>#N/A</v>
      </c>
      <c r="U336" t="e">
        <v>#N/A</v>
      </c>
      <c r="Y336" t="str">
        <v/>
      </c>
      <c r="AM336" t="str">
        <v/>
      </c>
      <c r="AN336" t="str">
        <v/>
      </c>
      <c r="AO336" t="str">
        <v/>
      </c>
      <c r="AQ336" t="str">
        <v/>
      </c>
      <c r="AR336" t="str">
        <v/>
      </c>
      <c r="AS336" t="e">
        <v>#N/A</v>
      </c>
      <c r="AU336" t="str">
        <v/>
      </c>
      <c r="AW336" t="e">
        <v>#N/A</v>
      </c>
    </row>
    <row r="337" spans="1:49" x14ac:dyDescent="0.25">
      <c r="A337" t="str">
        <v/>
      </c>
      <c r="B337" t="str">
        <v/>
      </c>
      <c r="C337" t="e">
        <v>#N/A</v>
      </c>
      <c r="D337" t="e">
        <v>#N/A</v>
      </c>
      <c r="J337" t="str">
        <v/>
      </c>
      <c r="K337" t="e">
        <f ca="1"/>
        <v>#N/A</v>
      </c>
      <c r="L337" t="str">
        <v/>
      </c>
      <c r="M337" t="e">
        <v>#N/A</v>
      </c>
      <c r="N337" t="e">
        <v>#N/A</v>
      </c>
      <c r="O337" t="e">
        <v>#N/A</v>
      </c>
      <c r="R337" t="e">
        <v>#N/A</v>
      </c>
      <c r="T337" t="e">
        <v>#N/A</v>
      </c>
      <c r="U337" t="e">
        <v>#N/A</v>
      </c>
      <c r="Y337" t="str">
        <v/>
      </c>
      <c r="AM337" t="str">
        <v/>
      </c>
      <c r="AN337" t="str">
        <v/>
      </c>
      <c r="AO337" t="str">
        <v/>
      </c>
      <c r="AQ337" t="str">
        <v/>
      </c>
      <c r="AR337" t="str">
        <v/>
      </c>
      <c r="AS337" t="e">
        <v>#N/A</v>
      </c>
      <c r="AU337" t="str">
        <v/>
      </c>
      <c r="AW337" t="e">
        <v>#N/A</v>
      </c>
    </row>
    <row r="338" spans="1:49" x14ac:dyDescent="0.25">
      <c r="A338" t="str">
        <v/>
      </c>
      <c r="B338" t="str">
        <v/>
      </c>
      <c r="C338" t="e">
        <v>#N/A</v>
      </c>
      <c r="D338" t="e">
        <v>#N/A</v>
      </c>
      <c r="J338" t="str">
        <v/>
      </c>
      <c r="K338" t="e">
        <f ca="1"/>
        <v>#N/A</v>
      </c>
      <c r="L338" t="str">
        <v/>
      </c>
      <c r="M338" t="e">
        <v>#N/A</v>
      </c>
      <c r="N338" t="e">
        <v>#N/A</v>
      </c>
      <c r="O338" t="e">
        <v>#N/A</v>
      </c>
      <c r="R338" t="e">
        <v>#N/A</v>
      </c>
      <c r="T338" t="e">
        <v>#N/A</v>
      </c>
      <c r="U338" t="e">
        <v>#N/A</v>
      </c>
      <c r="Y338" t="str">
        <v/>
      </c>
      <c r="AM338" t="str">
        <v/>
      </c>
      <c r="AN338" t="str">
        <v/>
      </c>
      <c r="AO338" t="str">
        <v/>
      </c>
      <c r="AQ338" t="str">
        <v/>
      </c>
      <c r="AR338" t="str">
        <v/>
      </c>
      <c r="AS338" t="e">
        <v>#N/A</v>
      </c>
      <c r="AU338" t="str">
        <v/>
      </c>
      <c r="AW338" t="e">
        <v>#N/A</v>
      </c>
    </row>
    <row r="339" spans="1:49" x14ac:dyDescent="0.25">
      <c r="A339" t="str">
        <v/>
      </c>
      <c r="B339" t="str">
        <v/>
      </c>
      <c r="C339" t="e">
        <v>#N/A</v>
      </c>
      <c r="D339" t="e">
        <v>#N/A</v>
      </c>
      <c r="J339" t="str">
        <v/>
      </c>
      <c r="K339" t="e">
        <f ca="1"/>
        <v>#N/A</v>
      </c>
      <c r="L339" t="str">
        <v/>
      </c>
      <c r="M339" t="e">
        <v>#N/A</v>
      </c>
      <c r="N339" t="e">
        <v>#N/A</v>
      </c>
      <c r="O339" t="e">
        <v>#N/A</v>
      </c>
      <c r="R339" t="e">
        <v>#N/A</v>
      </c>
      <c r="T339" t="e">
        <v>#N/A</v>
      </c>
      <c r="U339" t="e">
        <v>#N/A</v>
      </c>
      <c r="Y339" t="str">
        <v/>
      </c>
      <c r="AM339" t="str">
        <v/>
      </c>
      <c r="AN339" t="str">
        <v/>
      </c>
      <c r="AO339" t="str">
        <v/>
      </c>
      <c r="AQ339" t="str">
        <v/>
      </c>
      <c r="AR339" t="str">
        <v/>
      </c>
      <c r="AS339" t="e">
        <v>#N/A</v>
      </c>
      <c r="AU339" t="str">
        <v/>
      </c>
      <c r="AW339" t="e">
        <v>#N/A</v>
      </c>
    </row>
    <row r="340" spans="1:49" x14ac:dyDescent="0.25">
      <c r="A340" t="str">
        <v/>
      </c>
      <c r="B340" t="str">
        <v/>
      </c>
      <c r="C340" t="e">
        <v>#N/A</v>
      </c>
      <c r="D340" t="e">
        <v>#N/A</v>
      </c>
      <c r="J340" t="str">
        <v/>
      </c>
      <c r="K340" t="e">
        <f ca="1"/>
        <v>#N/A</v>
      </c>
      <c r="L340" t="str">
        <v/>
      </c>
      <c r="M340" t="e">
        <v>#N/A</v>
      </c>
      <c r="N340" t="e">
        <v>#N/A</v>
      </c>
      <c r="O340" t="e">
        <v>#N/A</v>
      </c>
      <c r="R340" t="e">
        <v>#N/A</v>
      </c>
      <c r="T340" t="e">
        <v>#N/A</v>
      </c>
      <c r="U340" t="e">
        <v>#N/A</v>
      </c>
      <c r="Y340" t="str">
        <v/>
      </c>
      <c r="AM340" t="str">
        <v/>
      </c>
      <c r="AN340" t="str">
        <v/>
      </c>
      <c r="AO340" t="str">
        <v/>
      </c>
      <c r="AQ340" t="str">
        <v/>
      </c>
      <c r="AR340" t="str">
        <v/>
      </c>
      <c r="AS340" t="e">
        <v>#N/A</v>
      </c>
      <c r="AU340" t="str">
        <v/>
      </c>
      <c r="AW340" t="e">
        <v>#N/A</v>
      </c>
    </row>
    <row r="341" spans="1:49" x14ac:dyDescent="0.25">
      <c r="A341" t="str">
        <v/>
      </c>
      <c r="B341" t="str">
        <v/>
      </c>
      <c r="C341" t="e">
        <v>#N/A</v>
      </c>
      <c r="D341" t="e">
        <v>#N/A</v>
      </c>
      <c r="J341" t="str">
        <v/>
      </c>
      <c r="K341" t="e">
        <f ca="1"/>
        <v>#N/A</v>
      </c>
      <c r="L341" t="str">
        <v/>
      </c>
      <c r="M341" t="e">
        <v>#N/A</v>
      </c>
      <c r="N341" t="e">
        <v>#N/A</v>
      </c>
      <c r="O341" t="e">
        <v>#N/A</v>
      </c>
      <c r="R341" t="e">
        <v>#N/A</v>
      </c>
      <c r="T341" t="e">
        <v>#N/A</v>
      </c>
      <c r="U341" t="e">
        <v>#N/A</v>
      </c>
      <c r="Y341" t="str">
        <v/>
      </c>
      <c r="AM341" t="str">
        <v/>
      </c>
      <c r="AN341" t="str">
        <v/>
      </c>
      <c r="AO341" t="str">
        <v/>
      </c>
      <c r="AQ341" t="str">
        <v/>
      </c>
      <c r="AR341" t="str">
        <v/>
      </c>
      <c r="AS341" t="e">
        <v>#N/A</v>
      </c>
      <c r="AU341" t="str">
        <v/>
      </c>
      <c r="AW341" t="e">
        <v>#N/A</v>
      </c>
    </row>
    <row r="342" spans="1:49" x14ac:dyDescent="0.25">
      <c r="A342" t="str">
        <v/>
      </c>
      <c r="B342" t="str">
        <v/>
      </c>
      <c r="C342" t="e">
        <v>#N/A</v>
      </c>
      <c r="D342" t="e">
        <v>#N/A</v>
      </c>
      <c r="J342" t="str">
        <v/>
      </c>
      <c r="K342" t="e">
        <f ca="1"/>
        <v>#N/A</v>
      </c>
      <c r="L342" t="str">
        <v/>
      </c>
      <c r="M342" t="e">
        <v>#N/A</v>
      </c>
      <c r="N342" t="e">
        <v>#N/A</v>
      </c>
      <c r="O342" t="e">
        <v>#N/A</v>
      </c>
      <c r="R342" t="e">
        <v>#N/A</v>
      </c>
      <c r="T342" t="e">
        <v>#N/A</v>
      </c>
      <c r="U342" t="e">
        <v>#N/A</v>
      </c>
      <c r="Y342" t="str">
        <v/>
      </c>
      <c r="AM342" t="str">
        <v/>
      </c>
      <c r="AN342" t="str">
        <v/>
      </c>
      <c r="AO342" t="str">
        <v/>
      </c>
      <c r="AQ342" t="str">
        <v/>
      </c>
      <c r="AR342" t="str">
        <v/>
      </c>
      <c r="AS342" t="e">
        <v>#N/A</v>
      </c>
      <c r="AU342" t="str">
        <v/>
      </c>
      <c r="AW342" t="e">
        <v>#N/A</v>
      </c>
    </row>
    <row r="343" spans="1:49" x14ac:dyDescent="0.25">
      <c r="A343" t="str">
        <v/>
      </c>
      <c r="B343" t="str">
        <v/>
      </c>
      <c r="C343" t="e">
        <v>#N/A</v>
      </c>
      <c r="D343" t="e">
        <v>#N/A</v>
      </c>
      <c r="J343" t="str">
        <v/>
      </c>
      <c r="K343" t="e">
        <f ca="1"/>
        <v>#N/A</v>
      </c>
      <c r="L343" t="str">
        <v/>
      </c>
      <c r="M343" t="e">
        <v>#N/A</v>
      </c>
      <c r="N343" t="e">
        <v>#N/A</v>
      </c>
      <c r="O343" t="e">
        <v>#N/A</v>
      </c>
      <c r="R343" t="e">
        <v>#N/A</v>
      </c>
      <c r="T343" t="e">
        <v>#N/A</v>
      </c>
      <c r="U343" t="e">
        <v>#N/A</v>
      </c>
      <c r="Y343" t="str">
        <v/>
      </c>
      <c r="AM343" t="str">
        <v/>
      </c>
      <c r="AN343" t="str">
        <v/>
      </c>
      <c r="AO343" t="str">
        <v/>
      </c>
      <c r="AQ343" t="str">
        <v/>
      </c>
      <c r="AR343" t="str">
        <v/>
      </c>
      <c r="AS343" t="e">
        <v>#N/A</v>
      </c>
      <c r="AU343" t="str">
        <v/>
      </c>
      <c r="AW343" t="e">
        <v>#N/A</v>
      </c>
    </row>
    <row r="344" spans="1:49" x14ac:dyDescent="0.25">
      <c r="A344" t="str">
        <v/>
      </c>
      <c r="B344" t="str">
        <v/>
      </c>
      <c r="C344" t="e">
        <v>#N/A</v>
      </c>
      <c r="D344" t="e">
        <v>#N/A</v>
      </c>
      <c r="J344" t="str">
        <v/>
      </c>
      <c r="K344" t="e">
        <f ca="1"/>
        <v>#N/A</v>
      </c>
      <c r="L344" t="str">
        <v/>
      </c>
      <c r="M344" t="e">
        <v>#N/A</v>
      </c>
      <c r="N344" t="e">
        <v>#N/A</v>
      </c>
      <c r="O344" t="e">
        <v>#N/A</v>
      </c>
      <c r="R344" t="e">
        <v>#N/A</v>
      </c>
      <c r="T344" t="e">
        <v>#N/A</v>
      </c>
      <c r="U344" t="e">
        <v>#N/A</v>
      </c>
      <c r="Y344" t="str">
        <v/>
      </c>
      <c r="AM344" t="str">
        <v/>
      </c>
      <c r="AN344" t="str">
        <v/>
      </c>
      <c r="AO344" t="str">
        <v/>
      </c>
      <c r="AQ344" t="str">
        <v/>
      </c>
      <c r="AR344" t="str">
        <v/>
      </c>
      <c r="AS344" t="e">
        <v>#N/A</v>
      </c>
      <c r="AU344" t="str">
        <v/>
      </c>
      <c r="AW344" t="e">
        <v>#N/A</v>
      </c>
    </row>
    <row r="345" spans="1:49" x14ac:dyDescent="0.25">
      <c r="A345" t="str">
        <v/>
      </c>
      <c r="B345" t="str">
        <v/>
      </c>
      <c r="C345" t="e">
        <v>#N/A</v>
      </c>
      <c r="D345" t="e">
        <v>#N/A</v>
      </c>
      <c r="J345" t="str">
        <v/>
      </c>
      <c r="K345" t="e">
        <f ca="1"/>
        <v>#N/A</v>
      </c>
      <c r="L345" t="str">
        <v/>
      </c>
      <c r="M345" t="e">
        <v>#N/A</v>
      </c>
      <c r="N345" t="e">
        <v>#N/A</v>
      </c>
      <c r="O345" t="e">
        <v>#N/A</v>
      </c>
      <c r="R345" t="e">
        <v>#N/A</v>
      </c>
      <c r="T345" t="e">
        <v>#N/A</v>
      </c>
      <c r="U345" t="e">
        <v>#N/A</v>
      </c>
      <c r="Y345" t="str">
        <v/>
      </c>
      <c r="AM345" t="str">
        <v/>
      </c>
      <c r="AN345" t="str">
        <v/>
      </c>
      <c r="AO345" t="str">
        <v/>
      </c>
      <c r="AQ345" t="str">
        <v/>
      </c>
      <c r="AR345" t="str">
        <v/>
      </c>
      <c r="AS345" t="e">
        <v>#N/A</v>
      </c>
      <c r="AU345" t="str">
        <v/>
      </c>
      <c r="AW345" t="e">
        <v>#N/A</v>
      </c>
    </row>
    <row r="346" spans="1:49" x14ac:dyDescent="0.25">
      <c r="A346" t="str">
        <v/>
      </c>
      <c r="B346" t="str">
        <v/>
      </c>
      <c r="C346" t="e">
        <v>#N/A</v>
      </c>
      <c r="D346" t="e">
        <v>#N/A</v>
      </c>
      <c r="J346" t="str">
        <v/>
      </c>
      <c r="K346" t="e">
        <f ca="1"/>
        <v>#N/A</v>
      </c>
      <c r="L346" t="str">
        <v/>
      </c>
      <c r="M346" t="e">
        <v>#N/A</v>
      </c>
      <c r="N346" t="e">
        <v>#N/A</v>
      </c>
      <c r="O346" t="e">
        <v>#N/A</v>
      </c>
      <c r="R346" t="e">
        <v>#N/A</v>
      </c>
      <c r="T346" t="e">
        <v>#N/A</v>
      </c>
      <c r="U346" t="e">
        <v>#N/A</v>
      </c>
      <c r="Y346" t="str">
        <v/>
      </c>
      <c r="AM346" t="str">
        <v/>
      </c>
      <c r="AN346" t="str">
        <v/>
      </c>
      <c r="AO346" t="str">
        <v/>
      </c>
      <c r="AQ346" t="str">
        <v/>
      </c>
      <c r="AR346" t="str">
        <v/>
      </c>
      <c r="AS346" t="e">
        <v>#N/A</v>
      </c>
      <c r="AU346" t="str">
        <v/>
      </c>
      <c r="AW346" t="e">
        <v>#N/A</v>
      </c>
    </row>
    <row r="347" spans="1:49" x14ac:dyDescent="0.25">
      <c r="A347" t="str">
        <v/>
      </c>
      <c r="B347" t="str">
        <v/>
      </c>
      <c r="C347" t="e">
        <v>#N/A</v>
      </c>
      <c r="D347" t="e">
        <v>#N/A</v>
      </c>
      <c r="J347" t="str">
        <v/>
      </c>
      <c r="K347" t="e">
        <f ca="1"/>
        <v>#N/A</v>
      </c>
      <c r="L347" t="str">
        <v/>
      </c>
      <c r="M347" t="e">
        <v>#N/A</v>
      </c>
      <c r="N347" t="e">
        <v>#N/A</v>
      </c>
      <c r="O347" t="e">
        <v>#N/A</v>
      </c>
      <c r="R347" t="e">
        <v>#N/A</v>
      </c>
      <c r="T347" t="e">
        <v>#N/A</v>
      </c>
      <c r="U347" t="e">
        <v>#N/A</v>
      </c>
      <c r="Y347" t="str">
        <v/>
      </c>
      <c r="AM347" t="str">
        <v/>
      </c>
      <c r="AN347" t="str">
        <v/>
      </c>
      <c r="AO347" t="str">
        <v/>
      </c>
      <c r="AQ347" t="str">
        <v/>
      </c>
      <c r="AR347" t="str">
        <v/>
      </c>
      <c r="AS347" t="e">
        <v>#N/A</v>
      </c>
      <c r="AU347" t="str">
        <v/>
      </c>
      <c r="AW347" t="e">
        <v>#N/A</v>
      </c>
    </row>
    <row r="348" spans="1:49" x14ac:dyDescent="0.25">
      <c r="A348" t="str">
        <v/>
      </c>
      <c r="B348" t="str">
        <v/>
      </c>
      <c r="C348" t="e">
        <v>#N/A</v>
      </c>
      <c r="D348" t="e">
        <v>#N/A</v>
      </c>
      <c r="J348" t="str">
        <v/>
      </c>
      <c r="K348" t="e">
        <f ca="1"/>
        <v>#N/A</v>
      </c>
      <c r="L348" t="str">
        <v/>
      </c>
      <c r="M348" t="e">
        <v>#N/A</v>
      </c>
      <c r="N348" t="e">
        <v>#N/A</v>
      </c>
      <c r="O348" t="e">
        <v>#N/A</v>
      </c>
      <c r="R348" t="e">
        <v>#N/A</v>
      </c>
      <c r="T348" t="e">
        <v>#N/A</v>
      </c>
      <c r="U348" t="e">
        <v>#N/A</v>
      </c>
      <c r="Y348" t="str">
        <v/>
      </c>
      <c r="AM348" t="str">
        <v/>
      </c>
      <c r="AN348" t="str">
        <v/>
      </c>
      <c r="AO348" t="str">
        <v/>
      </c>
      <c r="AQ348" t="str">
        <v/>
      </c>
      <c r="AR348" t="str">
        <v/>
      </c>
      <c r="AS348" t="e">
        <v>#N/A</v>
      </c>
      <c r="AU348" t="str">
        <v/>
      </c>
      <c r="AW348" t="e">
        <v>#N/A</v>
      </c>
    </row>
    <row r="349" spans="1:49" x14ac:dyDescent="0.25">
      <c r="A349" t="str">
        <v/>
      </c>
      <c r="B349" t="str">
        <v/>
      </c>
      <c r="C349" t="e">
        <v>#N/A</v>
      </c>
      <c r="D349" t="e">
        <v>#N/A</v>
      </c>
      <c r="J349" t="str">
        <v/>
      </c>
      <c r="K349" t="e">
        <f ca="1"/>
        <v>#N/A</v>
      </c>
      <c r="L349" t="str">
        <v/>
      </c>
      <c r="M349" t="e">
        <v>#N/A</v>
      </c>
      <c r="N349" t="e">
        <v>#N/A</v>
      </c>
      <c r="O349" t="e">
        <v>#N/A</v>
      </c>
      <c r="R349" t="e">
        <v>#N/A</v>
      </c>
      <c r="T349" t="e">
        <v>#N/A</v>
      </c>
      <c r="U349" t="e">
        <v>#N/A</v>
      </c>
      <c r="Y349" t="str">
        <v/>
      </c>
      <c r="AM349" t="str">
        <v/>
      </c>
      <c r="AN349" t="str">
        <v/>
      </c>
      <c r="AO349" t="str">
        <v/>
      </c>
      <c r="AQ349" t="str">
        <v/>
      </c>
      <c r="AR349" t="str">
        <v/>
      </c>
      <c r="AS349" t="e">
        <v>#N/A</v>
      </c>
      <c r="AU349" t="str">
        <v/>
      </c>
      <c r="AW349" t="e">
        <v>#N/A</v>
      </c>
    </row>
    <row r="350" spans="1:49" x14ac:dyDescent="0.25">
      <c r="A350" t="str">
        <v/>
      </c>
      <c r="B350" t="str">
        <v/>
      </c>
      <c r="C350" t="e">
        <v>#N/A</v>
      </c>
      <c r="D350" t="e">
        <v>#N/A</v>
      </c>
      <c r="J350" t="str">
        <v/>
      </c>
      <c r="K350" t="e">
        <f ca="1"/>
        <v>#N/A</v>
      </c>
      <c r="L350" t="str">
        <v/>
      </c>
      <c r="M350" t="e">
        <v>#N/A</v>
      </c>
      <c r="N350" t="e">
        <v>#N/A</v>
      </c>
      <c r="O350" t="e">
        <v>#N/A</v>
      </c>
      <c r="R350" t="e">
        <v>#N/A</v>
      </c>
      <c r="T350" t="e">
        <v>#N/A</v>
      </c>
      <c r="U350" t="e">
        <v>#N/A</v>
      </c>
      <c r="Y350" t="str">
        <v/>
      </c>
      <c r="AM350" t="str">
        <v/>
      </c>
      <c r="AN350" t="str">
        <v/>
      </c>
      <c r="AO350" t="str">
        <v/>
      </c>
      <c r="AQ350" t="str">
        <v/>
      </c>
      <c r="AR350" t="str">
        <v/>
      </c>
      <c r="AS350" t="e">
        <v>#N/A</v>
      </c>
      <c r="AU350" t="str">
        <v/>
      </c>
      <c r="AW350" t="e">
        <v>#N/A</v>
      </c>
    </row>
    <row r="351" spans="1:49" x14ac:dyDescent="0.25">
      <c r="A351" t="str">
        <v/>
      </c>
      <c r="B351" t="str">
        <v/>
      </c>
      <c r="C351" t="e">
        <v>#N/A</v>
      </c>
      <c r="D351" t="e">
        <v>#N/A</v>
      </c>
      <c r="J351" t="str">
        <v/>
      </c>
      <c r="K351" t="e">
        <f ca="1"/>
        <v>#N/A</v>
      </c>
      <c r="L351" t="str">
        <v/>
      </c>
      <c r="M351" t="e">
        <v>#N/A</v>
      </c>
      <c r="N351" t="e">
        <v>#N/A</v>
      </c>
      <c r="O351" t="e">
        <v>#N/A</v>
      </c>
      <c r="R351" t="e">
        <v>#N/A</v>
      </c>
      <c r="T351" t="e">
        <v>#N/A</v>
      </c>
      <c r="U351" t="e">
        <v>#N/A</v>
      </c>
      <c r="Y351" t="str">
        <v/>
      </c>
      <c r="AM351" t="str">
        <v/>
      </c>
      <c r="AN351" t="str">
        <v/>
      </c>
      <c r="AO351" t="str">
        <v/>
      </c>
      <c r="AQ351" t="str">
        <v/>
      </c>
      <c r="AR351" t="str">
        <v/>
      </c>
      <c r="AS351" t="e">
        <v>#N/A</v>
      </c>
      <c r="AU351" t="str">
        <v/>
      </c>
      <c r="AW351" t="e">
        <v>#N/A</v>
      </c>
    </row>
    <row r="352" spans="1:49" x14ac:dyDescent="0.25">
      <c r="A352" t="str">
        <v/>
      </c>
      <c r="B352" t="str">
        <v/>
      </c>
      <c r="C352" t="e">
        <v>#N/A</v>
      </c>
      <c r="D352" t="e">
        <v>#N/A</v>
      </c>
      <c r="J352" t="str">
        <v/>
      </c>
      <c r="K352" t="e">
        <f ca="1"/>
        <v>#N/A</v>
      </c>
      <c r="L352" t="str">
        <v/>
      </c>
      <c r="M352" t="e">
        <v>#N/A</v>
      </c>
      <c r="N352" t="e">
        <v>#N/A</v>
      </c>
      <c r="O352" t="e">
        <v>#N/A</v>
      </c>
      <c r="R352" t="e">
        <v>#N/A</v>
      </c>
      <c r="T352" t="e">
        <v>#N/A</v>
      </c>
      <c r="U352" t="e">
        <v>#N/A</v>
      </c>
      <c r="Y352" t="str">
        <v/>
      </c>
      <c r="AM352" t="str">
        <v/>
      </c>
      <c r="AN352" t="str">
        <v/>
      </c>
      <c r="AO352" t="str">
        <v/>
      </c>
      <c r="AQ352" t="str">
        <v/>
      </c>
      <c r="AR352" t="str">
        <v/>
      </c>
      <c r="AS352" t="e">
        <v>#N/A</v>
      </c>
      <c r="AU352" t="str">
        <v/>
      </c>
      <c r="AW352" t="e">
        <v>#N/A</v>
      </c>
    </row>
    <row r="353" spans="1:49" x14ac:dyDescent="0.25">
      <c r="A353" t="str">
        <v/>
      </c>
      <c r="B353" t="str">
        <v/>
      </c>
      <c r="C353" t="e">
        <v>#N/A</v>
      </c>
      <c r="D353" t="e">
        <v>#N/A</v>
      </c>
      <c r="J353" t="str">
        <v/>
      </c>
      <c r="K353" t="e">
        <f ca="1"/>
        <v>#N/A</v>
      </c>
      <c r="L353" t="str">
        <v/>
      </c>
      <c r="M353" t="e">
        <v>#N/A</v>
      </c>
      <c r="N353" t="e">
        <v>#N/A</v>
      </c>
      <c r="O353" t="e">
        <v>#N/A</v>
      </c>
      <c r="R353" t="e">
        <v>#N/A</v>
      </c>
      <c r="T353" t="e">
        <v>#N/A</v>
      </c>
      <c r="U353" t="e">
        <v>#N/A</v>
      </c>
      <c r="Y353" t="str">
        <v/>
      </c>
      <c r="AM353" t="str">
        <v/>
      </c>
      <c r="AN353" t="str">
        <v/>
      </c>
      <c r="AO353" t="str">
        <v/>
      </c>
      <c r="AQ353" t="str">
        <v/>
      </c>
      <c r="AR353" t="str">
        <v/>
      </c>
      <c r="AS353" t="e">
        <v>#N/A</v>
      </c>
      <c r="AU353" t="str">
        <v/>
      </c>
      <c r="AW353" t="e">
        <v>#N/A</v>
      </c>
    </row>
    <row r="354" spans="1:49" x14ac:dyDescent="0.25">
      <c r="A354" t="str">
        <v/>
      </c>
      <c r="B354" t="str">
        <v/>
      </c>
      <c r="C354" t="e">
        <v>#N/A</v>
      </c>
      <c r="D354" t="e">
        <v>#N/A</v>
      </c>
      <c r="J354" t="str">
        <v/>
      </c>
      <c r="K354" t="e">
        <f ca="1"/>
        <v>#N/A</v>
      </c>
      <c r="L354" t="str">
        <v/>
      </c>
      <c r="M354" t="e">
        <v>#N/A</v>
      </c>
      <c r="N354" t="e">
        <v>#N/A</v>
      </c>
      <c r="O354" t="e">
        <v>#N/A</v>
      </c>
      <c r="R354" t="e">
        <v>#N/A</v>
      </c>
      <c r="T354" t="e">
        <v>#N/A</v>
      </c>
      <c r="U354" t="e">
        <v>#N/A</v>
      </c>
      <c r="Y354" t="str">
        <v/>
      </c>
      <c r="AM354" t="str">
        <v/>
      </c>
      <c r="AN354" t="str">
        <v/>
      </c>
      <c r="AO354" t="str">
        <v/>
      </c>
      <c r="AQ354" t="str">
        <v/>
      </c>
      <c r="AR354" t="str">
        <v/>
      </c>
      <c r="AS354" t="e">
        <v>#N/A</v>
      </c>
      <c r="AU354" t="str">
        <v/>
      </c>
      <c r="AW354" t="e">
        <v>#N/A</v>
      </c>
    </row>
    <row r="355" spans="1:49" x14ac:dyDescent="0.25">
      <c r="A355" t="str">
        <v/>
      </c>
      <c r="B355" t="str">
        <v/>
      </c>
      <c r="C355" t="e">
        <v>#N/A</v>
      </c>
      <c r="D355" t="e">
        <v>#N/A</v>
      </c>
      <c r="J355" t="str">
        <v/>
      </c>
      <c r="K355" t="e">
        <f ca="1"/>
        <v>#N/A</v>
      </c>
      <c r="L355" t="str">
        <v/>
      </c>
      <c r="M355" t="e">
        <v>#N/A</v>
      </c>
      <c r="N355" t="e">
        <v>#N/A</v>
      </c>
      <c r="O355" t="e">
        <v>#N/A</v>
      </c>
      <c r="R355" t="e">
        <v>#N/A</v>
      </c>
      <c r="T355" t="e">
        <v>#N/A</v>
      </c>
      <c r="U355" t="e">
        <v>#N/A</v>
      </c>
      <c r="Y355" t="str">
        <v/>
      </c>
      <c r="AM355" t="str">
        <v/>
      </c>
      <c r="AN355" t="str">
        <v/>
      </c>
      <c r="AO355" t="str">
        <v/>
      </c>
      <c r="AQ355" t="str">
        <v/>
      </c>
      <c r="AR355" t="str">
        <v/>
      </c>
      <c r="AS355" t="e">
        <v>#N/A</v>
      </c>
      <c r="AU355" t="str">
        <v/>
      </c>
      <c r="AW355" t="e">
        <v>#N/A</v>
      </c>
    </row>
    <row r="356" spans="1:49" x14ac:dyDescent="0.25">
      <c r="A356" t="str">
        <v/>
      </c>
      <c r="B356" t="str">
        <v/>
      </c>
      <c r="C356" t="e">
        <v>#N/A</v>
      </c>
      <c r="D356" t="e">
        <v>#N/A</v>
      </c>
      <c r="J356" t="str">
        <v/>
      </c>
      <c r="K356" t="e">
        <f ca="1"/>
        <v>#N/A</v>
      </c>
      <c r="L356" t="str">
        <v/>
      </c>
      <c r="M356" t="e">
        <v>#N/A</v>
      </c>
      <c r="N356" t="e">
        <v>#N/A</v>
      </c>
      <c r="O356" t="e">
        <v>#N/A</v>
      </c>
      <c r="R356" t="e">
        <v>#N/A</v>
      </c>
      <c r="T356" t="e">
        <v>#N/A</v>
      </c>
      <c r="U356" t="e">
        <v>#N/A</v>
      </c>
      <c r="Y356" t="str">
        <v/>
      </c>
      <c r="AM356" t="str">
        <v/>
      </c>
      <c r="AN356" t="str">
        <v/>
      </c>
      <c r="AO356" t="str">
        <v/>
      </c>
      <c r="AQ356" t="str">
        <v/>
      </c>
      <c r="AR356" t="str">
        <v/>
      </c>
      <c r="AS356" t="e">
        <v>#N/A</v>
      </c>
      <c r="AU356" t="str">
        <v/>
      </c>
      <c r="AW356" t="e">
        <v>#N/A</v>
      </c>
    </row>
    <row r="357" spans="1:49" x14ac:dyDescent="0.25">
      <c r="A357" t="str">
        <v/>
      </c>
      <c r="B357" t="str">
        <v/>
      </c>
      <c r="C357" t="e">
        <v>#N/A</v>
      </c>
      <c r="D357" t="e">
        <v>#N/A</v>
      </c>
      <c r="J357" t="str">
        <v/>
      </c>
      <c r="K357" t="e">
        <f ca="1"/>
        <v>#N/A</v>
      </c>
      <c r="L357" t="str">
        <v/>
      </c>
      <c r="M357" t="e">
        <v>#N/A</v>
      </c>
      <c r="N357" t="e">
        <v>#N/A</v>
      </c>
      <c r="O357" t="e">
        <v>#N/A</v>
      </c>
      <c r="R357" t="e">
        <v>#N/A</v>
      </c>
      <c r="T357" t="e">
        <v>#N/A</v>
      </c>
      <c r="U357" t="e">
        <v>#N/A</v>
      </c>
      <c r="Y357" t="str">
        <v/>
      </c>
      <c r="AM357" t="str">
        <v/>
      </c>
      <c r="AN357" t="str">
        <v/>
      </c>
      <c r="AO357" t="str">
        <v/>
      </c>
      <c r="AQ357" t="str">
        <v/>
      </c>
      <c r="AR357" t="str">
        <v/>
      </c>
      <c r="AS357" t="e">
        <v>#N/A</v>
      </c>
      <c r="AU357" t="str">
        <v/>
      </c>
      <c r="AW357" t="e">
        <v>#N/A</v>
      </c>
    </row>
    <row r="358" spans="1:49" x14ac:dyDescent="0.25">
      <c r="A358" t="str">
        <v/>
      </c>
      <c r="B358" t="str">
        <v/>
      </c>
      <c r="C358" t="e">
        <v>#N/A</v>
      </c>
      <c r="D358" t="e">
        <v>#N/A</v>
      </c>
      <c r="J358" t="str">
        <v/>
      </c>
      <c r="K358" t="e">
        <f ca="1"/>
        <v>#N/A</v>
      </c>
      <c r="L358" t="str">
        <v/>
      </c>
      <c r="M358" t="e">
        <v>#N/A</v>
      </c>
      <c r="N358" t="e">
        <v>#N/A</v>
      </c>
      <c r="O358" t="e">
        <v>#N/A</v>
      </c>
      <c r="R358" t="e">
        <v>#N/A</v>
      </c>
      <c r="T358" t="e">
        <v>#N/A</v>
      </c>
      <c r="U358" t="e">
        <v>#N/A</v>
      </c>
      <c r="Y358" t="str">
        <v/>
      </c>
      <c r="AM358" t="str">
        <v/>
      </c>
      <c r="AN358" t="str">
        <v/>
      </c>
      <c r="AO358" t="str">
        <v/>
      </c>
      <c r="AQ358" t="str">
        <v/>
      </c>
      <c r="AR358" t="str">
        <v/>
      </c>
      <c r="AS358" t="e">
        <v>#N/A</v>
      </c>
      <c r="AU358" t="str">
        <v/>
      </c>
      <c r="AW358" t="e">
        <v>#N/A</v>
      </c>
    </row>
    <row r="359" spans="1:49" x14ac:dyDescent="0.25">
      <c r="A359" t="str">
        <v/>
      </c>
      <c r="B359" t="str">
        <v/>
      </c>
      <c r="C359" t="e">
        <v>#N/A</v>
      </c>
      <c r="D359" t="e">
        <v>#N/A</v>
      </c>
      <c r="J359" t="str">
        <v/>
      </c>
      <c r="K359" t="e">
        <f ca="1"/>
        <v>#N/A</v>
      </c>
      <c r="L359" t="str">
        <v/>
      </c>
      <c r="M359" t="e">
        <v>#N/A</v>
      </c>
      <c r="N359" t="e">
        <v>#N/A</v>
      </c>
      <c r="O359" t="e">
        <v>#N/A</v>
      </c>
      <c r="R359" t="e">
        <v>#N/A</v>
      </c>
      <c r="T359" t="e">
        <v>#N/A</v>
      </c>
      <c r="U359" t="e">
        <v>#N/A</v>
      </c>
      <c r="Y359" t="str">
        <v/>
      </c>
      <c r="AM359" t="str">
        <v/>
      </c>
      <c r="AN359" t="str">
        <v/>
      </c>
      <c r="AO359" t="str">
        <v/>
      </c>
      <c r="AQ359" t="str">
        <v/>
      </c>
      <c r="AR359" t="str">
        <v/>
      </c>
      <c r="AS359" t="e">
        <v>#N/A</v>
      </c>
      <c r="AU359" t="str">
        <v/>
      </c>
      <c r="AW359" t="e">
        <v>#N/A</v>
      </c>
    </row>
    <row r="360" spans="1:49" x14ac:dyDescent="0.25">
      <c r="A360" t="str">
        <v/>
      </c>
      <c r="B360" t="str">
        <v/>
      </c>
      <c r="C360" t="e">
        <v>#N/A</v>
      </c>
      <c r="D360" t="e">
        <v>#N/A</v>
      </c>
      <c r="J360" t="str">
        <v/>
      </c>
      <c r="K360" t="e">
        <f ca="1"/>
        <v>#N/A</v>
      </c>
      <c r="L360" t="str">
        <v/>
      </c>
      <c r="M360" t="e">
        <v>#N/A</v>
      </c>
      <c r="N360" t="e">
        <v>#N/A</v>
      </c>
      <c r="O360" t="e">
        <v>#N/A</v>
      </c>
      <c r="R360" t="e">
        <v>#N/A</v>
      </c>
      <c r="T360" t="e">
        <v>#N/A</v>
      </c>
      <c r="U360" t="e">
        <v>#N/A</v>
      </c>
      <c r="Y360" t="str">
        <v/>
      </c>
      <c r="AM360" t="str">
        <v/>
      </c>
      <c r="AN360" t="str">
        <v/>
      </c>
      <c r="AO360" t="str">
        <v/>
      </c>
      <c r="AQ360" t="str">
        <v/>
      </c>
      <c r="AR360" t="str">
        <v/>
      </c>
      <c r="AS360" t="e">
        <v>#N/A</v>
      </c>
      <c r="AU360" t="str">
        <v/>
      </c>
      <c r="AW360" t="e">
        <v>#N/A</v>
      </c>
    </row>
    <row r="361" spans="1:49" x14ac:dyDescent="0.25">
      <c r="A361" t="str">
        <v/>
      </c>
      <c r="B361" t="str">
        <v/>
      </c>
      <c r="C361" t="e">
        <v>#N/A</v>
      </c>
      <c r="D361" t="e">
        <v>#N/A</v>
      </c>
      <c r="J361" t="str">
        <v/>
      </c>
      <c r="K361" t="e">
        <f ca="1"/>
        <v>#N/A</v>
      </c>
      <c r="L361" t="str">
        <v/>
      </c>
      <c r="M361" t="e">
        <v>#N/A</v>
      </c>
      <c r="N361" t="e">
        <v>#N/A</v>
      </c>
      <c r="O361" t="e">
        <v>#N/A</v>
      </c>
      <c r="R361" t="e">
        <v>#N/A</v>
      </c>
      <c r="T361" t="e">
        <v>#N/A</v>
      </c>
      <c r="U361" t="e">
        <v>#N/A</v>
      </c>
      <c r="Y361" t="str">
        <v/>
      </c>
      <c r="AM361" t="str">
        <v/>
      </c>
      <c r="AN361" t="str">
        <v/>
      </c>
      <c r="AO361" t="str">
        <v/>
      </c>
      <c r="AQ361" t="str">
        <v/>
      </c>
      <c r="AR361" t="str">
        <v/>
      </c>
      <c r="AS361" t="e">
        <v>#N/A</v>
      </c>
      <c r="AU361" t="str">
        <v/>
      </c>
      <c r="AW361" t="e">
        <v>#N/A</v>
      </c>
    </row>
    <row r="362" spans="1:49" x14ac:dyDescent="0.25">
      <c r="A362" t="str">
        <v/>
      </c>
      <c r="B362" t="str">
        <v/>
      </c>
      <c r="C362" t="e">
        <v>#N/A</v>
      </c>
      <c r="D362" t="e">
        <v>#N/A</v>
      </c>
      <c r="J362" t="str">
        <v/>
      </c>
      <c r="K362" t="e">
        <f ca="1"/>
        <v>#N/A</v>
      </c>
      <c r="L362" t="str">
        <v/>
      </c>
      <c r="M362" t="e">
        <v>#N/A</v>
      </c>
      <c r="N362" t="e">
        <v>#N/A</v>
      </c>
      <c r="O362" t="e">
        <v>#N/A</v>
      </c>
      <c r="R362" t="e">
        <v>#N/A</v>
      </c>
      <c r="T362" t="e">
        <v>#N/A</v>
      </c>
      <c r="U362" t="e">
        <v>#N/A</v>
      </c>
      <c r="Y362" t="str">
        <v/>
      </c>
      <c r="AM362" t="str">
        <v/>
      </c>
      <c r="AN362" t="str">
        <v/>
      </c>
      <c r="AO362" t="str">
        <v/>
      </c>
      <c r="AQ362" t="str">
        <v/>
      </c>
      <c r="AR362" t="str">
        <v/>
      </c>
      <c r="AS362" t="e">
        <v>#N/A</v>
      </c>
      <c r="AU362" t="str">
        <v/>
      </c>
      <c r="AW362" t="e">
        <v>#N/A</v>
      </c>
    </row>
    <row r="363" spans="1:49" x14ac:dyDescent="0.25">
      <c r="A363" t="str">
        <v/>
      </c>
      <c r="B363" t="str">
        <v/>
      </c>
      <c r="C363" t="e">
        <v>#N/A</v>
      </c>
      <c r="D363" t="e">
        <v>#N/A</v>
      </c>
      <c r="J363" t="str">
        <v/>
      </c>
      <c r="K363" t="e">
        <f ca="1"/>
        <v>#N/A</v>
      </c>
      <c r="L363" t="str">
        <v/>
      </c>
      <c r="M363" t="e">
        <v>#N/A</v>
      </c>
      <c r="N363" t="e">
        <v>#N/A</v>
      </c>
      <c r="O363" t="e">
        <v>#N/A</v>
      </c>
      <c r="R363" t="e">
        <v>#N/A</v>
      </c>
      <c r="T363" t="e">
        <v>#N/A</v>
      </c>
      <c r="U363" t="e">
        <v>#N/A</v>
      </c>
      <c r="Y363" t="str">
        <v/>
      </c>
      <c r="AM363" t="str">
        <v/>
      </c>
      <c r="AN363" t="str">
        <v/>
      </c>
      <c r="AO363" t="str">
        <v/>
      </c>
      <c r="AQ363" t="str">
        <v/>
      </c>
      <c r="AR363" t="str">
        <v/>
      </c>
      <c r="AS363" t="e">
        <v>#N/A</v>
      </c>
      <c r="AU363" t="str">
        <v/>
      </c>
      <c r="AW363" t="e">
        <v>#N/A</v>
      </c>
    </row>
    <row r="364" spans="1:49" x14ac:dyDescent="0.25">
      <c r="A364" t="str">
        <v/>
      </c>
      <c r="B364" t="str">
        <v/>
      </c>
      <c r="C364" t="e">
        <v>#N/A</v>
      </c>
      <c r="D364" t="e">
        <v>#N/A</v>
      </c>
      <c r="J364" t="str">
        <v/>
      </c>
      <c r="K364" t="e">
        <f ca="1"/>
        <v>#N/A</v>
      </c>
      <c r="L364" t="str">
        <v/>
      </c>
      <c r="M364" t="e">
        <v>#N/A</v>
      </c>
      <c r="N364" t="e">
        <v>#N/A</v>
      </c>
      <c r="O364" t="e">
        <v>#N/A</v>
      </c>
      <c r="R364" t="e">
        <v>#N/A</v>
      </c>
      <c r="T364" t="e">
        <v>#N/A</v>
      </c>
      <c r="U364" t="e">
        <v>#N/A</v>
      </c>
      <c r="Y364" t="str">
        <v/>
      </c>
      <c r="AM364" t="str">
        <v/>
      </c>
      <c r="AN364" t="str">
        <v/>
      </c>
      <c r="AO364" t="str">
        <v/>
      </c>
      <c r="AQ364" t="str">
        <v/>
      </c>
      <c r="AR364" t="str">
        <v/>
      </c>
      <c r="AS364" t="e">
        <v>#N/A</v>
      </c>
      <c r="AU364" t="str">
        <v/>
      </c>
      <c r="AW364" t="e">
        <v>#N/A</v>
      </c>
    </row>
    <row r="365" spans="1:49" x14ac:dyDescent="0.25">
      <c r="A365" t="str">
        <v/>
      </c>
      <c r="B365" t="str">
        <v/>
      </c>
      <c r="C365" t="e">
        <v>#N/A</v>
      </c>
      <c r="D365" t="e">
        <v>#N/A</v>
      </c>
      <c r="J365" t="str">
        <v/>
      </c>
      <c r="K365" t="e">
        <f ca="1"/>
        <v>#N/A</v>
      </c>
      <c r="L365" t="str">
        <v/>
      </c>
      <c r="M365" t="e">
        <v>#N/A</v>
      </c>
      <c r="N365" t="e">
        <v>#N/A</v>
      </c>
      <c r="O365" t="e">
        <v>#N/A</v>
      </c>
      <c r="R365" t="e">
        <v>#N/A</v>
      </c>
      <c r="T365" t="e">
        <v>#N/A</v>
      </c>
      <c r="U365" t="e">
        <v>#N/A</v>
      </c>
      <c r="Y365" t="str">
        <v/>
      </c>
      <c r="AM365" t="str">
        <v/>
      </c>
      <c r="AN365" t="str">
        <v/>
      </c>
      <c r="AO365" t="str">
        <v/>
      </c>
      <c r="AQ365" t="str">
        <v/>
      </c>
      <c r="AR365" t="str">
        <v/>
      </c>
      <c r="AS365" t="e">
        <v>#N/A</v>
      </c>
      <c r="AU365" t="str">
        <v/>
      </c>
      <c r="AW365" t="e">
        <v>#N/A</v>
      </c>
    </row>
    <row r="366" spans="1:49" x14ac:dyDescent="0.25">
      <c r="A366" t="str">
        <v/>
      </c>
      <c r="B366" t="str">
        <v/>
      </c>
      <c r="C366" t="e">
        <v>#N/A</v>
      </c>
      <c r="D366" t="e">
        <v>#N/A</v>
      </c>
      <c r="J366" t="str">
        <v/>
      </c>
      <c r="K366" t="e">
        <f ca="1"/>
        <v>#N/A</v>
      </c>
      <c r="L366" t="str">
        <v/>
      </c>
      <c r="M366" t="e">
        <v>#N/A</v>
      </c>
      <c r="N366" t="e">
        <v>#N/A</v>
      </c>
      <c r="O366" t="e">
        <v>#N/A</v>
      </c>
      <c r="R366" t="e">
        <v>#N/A</v>
      </c>
      <c r="T366" t="e">
        <v>#N/A</v>
      </c>
      <c r="U366" t="e">
        <v>#N/A</v>
      </c>
      <c r="Y366" t="str">
        <v/>
      </c>
      <c r="AM366" t="str">
        <v/>
      </c>
      <c r="AN366" t="str">
        <v/>
      </c>
      <c r="AO366" t="str">
        <v/>
      </c>
      <c r="AQ366" t="str">
        <v/>
      </c>
      <c r="AR366" t="str">
        <v/>
      </c>
      <c r="AS366" t="e">
        <v>#N/A</v>
      </c>
      <c r="AU366" t="str">
        <v/>
      </c>
      <c r="AW366" t="e">
        <v>#N/A</v>
      </c>
    </row>
    <row r="367" spans="1:49" x14ac:dyDescent="0.25">
      <c r="A367" t="str">
        <v/>
      </c>
      <c r="B367" t="str">
        <v/>
      </c>
      <c r="C367" t="e">
        <v>#N/A</v>
      </c>
      <c r="D367" t="e">
        <v>#N/A</v>
      </c>
      <c r="J367" t="str">
        <v/>
      </c>
      <c r="K367" t="e">
        <f ca="1"/>
        <v>#N/A</v>
      </c>
      <c r="L367" t="str">
        <v/>
      </c>
      <c r="M367" t="e">
        <v>#N/A</v>
      </c>
      <c r="N367" t="e">
        <v>#N/A</v>
      </c>
      <c r="O367" t="e">
        <v>#N/A</v>
      </c>
      <c r="R367" t="e">
        <v>#N/A</v>
      </c>
      <c r="T367" t="e">
        <v>#N/A</v>
      </c>
      <c r="U367" t="e">
        <v>#N/A</v>
      </c>
      <c r="Y367" t="str">
        <v/>
      </c>
      <c r="AM367" t="str">
        <v/>
      </c>
      <c r="AN367" t="str">
        <v/>
      </c>
      <c r="AO367" t="str">
        <v/>
      </c>
      <c r="AQ367" t="str">
        <v/>
      </c>
      <c r="AR367" t="str">
        <v/>
      </c>
      <c r="AS367" t="e">
        <v>#N/A</v>
      </c>
      <c r="AU367" t="str">
        <v/>
      </c>
      <c r="AW367" t="e">
        <v>#N/A</v>
      </c>
    </row>
    <row r="368" spans="1:49" x14ac:dyDescent="0.25">
      <c r="A368" t="str">
        <v/>
      </c>
      <c r="B368" t="str">
        <v/>
      </c>
      <c r="C368" t="e">
        <v>#N/A</v>
      </c>
      <c r="D368" t="e">
        <v>#N/A</v>
      </c>
      <c r="J368" t="str">
        <v/>
      </c>
      <c r="K368" t="e">
        <f ca="1"/>
        <v>#N/A</v>
      </c>
      <c r="L368" t="str">
        <v/>
      </c>
      <c r="M368" t="e">
        <v>#N/A</v>
      </c>
      <c r="N368" t="e">
        <v>#N/A</v>
      </c>
      <c r="O368" t="e">
        <v>#N/A</v>
      </c>
      <c r="R368" t="e">
        <v>#N/A</v>
      </c>
      <c r="T368" t="e">
        <v>#N/A</v>
      </c>
      <c r="U368" t="e">
        <v>#N/A</v>
      </c>
      <c r="Y368" t="str">
        <v/>
      </c>
      <c r="AM368" t="str">
        <v/>
      </c>
      <c r="AN368" t="str">
        <v/>
      </c>
      <c r="AO368" t="str">
        <v/>
      </c>
      <c r="AQ368" t="str">
        <v/>
      </c>
      <c r="AR368" t="str">
        <v/>
      </c>
      <c r="AS368" t="e">
        <v>#N/A</v>
      </c>
      <c r="AU368" t="str">
        <v/>
      </c>
      <c r="AW368" t="e">
        <v>#N/A</v>
      </c>
    </row>
    <row r="369" spans="1:49" x14ac:dyDescent="0.25">
      <c r="A369" t="str">
        <v/>
      </c>
      <c r="B369" t="str">
        <v/>
      </c>
      <c r="C369" t="e">
        <v>#N/A</v>
      </c>
      <c r="D369" t="e">
        <v>#N/A</v>
      </c>
      <c r="J369" t="str">
        <v/>
      </c>
      <c r="K369" t="e">
        <f ca="1"/>
        <v>#N/A</v>
      </c>
      <c r="L369" t="str">
        <v/>
      </c>
      <c r="M369" t="e">
        <v>#N/A</v>
      </c>
      <c r="N369" t="e">
        <v>#N/A</v>
      </c>
      <c r="O369" t="e">
        <v>#N/A</v>
      </c>
      <c r="R369" t="e">
        <v>#N/A</v>
      </c>
      <c r="T369" t="e">
        <v>#N/A</v>
      </c>
      <c r="U369" t="e">
        <v>#N/A</v>
      </c>
      <c r="Y369" t="str">
        <v/>
      </c>
      <c r="AM369" t="str">
        <v/>
      </c>
      <c r="AN369" t="str">
        <v/>
      </c>
      <c r="AO369" t="str">
        <v/>
      </c>
      <c r="AQ369" t="str">
        <v/>
      </c>
      <c r="AR369" t="str">
        <v/>
      </c>
      <c r="AS369" t="e">
        <v>#N/A</v>
      </c>
      <c r="AU369" t="str">
        <v/>
      </c>
      <c r="AW369" t="e">
        <v>#N/A</v>
      </c>
    </row>
    <row r="370" spans="1:49" x14ac:dyDescent="0.25">
      <c r="A370" t="str">
        <v/>
      </c>
      <c r="B370" t="str">
        <v/>
      </c>
      <c r="C370" t="e">
        <v>#N/A</v>
      </c>
      <c r="D370" t="e">
        <v>#N/A</v>
      </c>
      <c r="J370" t="str">
        <v/>
      </c>
      <c r="K370" t="e">
        <f ca="1"/>
        <v>#N/A</v>
      </c>
      <c r="L370" t="str">
        <v/>
      </c>
      <c r="M370" t="e">
        <v>#N/A</v>
      </c>
      <c r="N370" t="e">
        <v>#N/A</v>
      </c>
      <c r="O370" t="e">
        <v>#N/A</v>
      </c>
      <c r="R370" t="e">
        <v>#N/A</v>
      </c>
      <c r="T370" t="e">
        <v>#N/A</v>
      </c>
      <c r="U370" t="e">
        <v>#N/A</v>
      </c>
      <c r="Y370" t="str">
        <v/>
      </c>
      <c r="AM370" t="str">
        <v/>
      </c>
      <c r="AN370" t="str">
        <v/>
      </c>
      <c r="AO370" t="str">
        <v/>
      </c>
      <c r="AQ370" t="str">
        <v/>
      </c>
      <c r="AR370" t="str">
        <v/>
      </c>
      <c r="AS370" t="e">
        <v>#N/A</v>
      </c>
      <c r="AU370" t="str">
        <v/>
      </c>
      <c r="AW370" t="e">
        <v>#N/A</v>
      </c>
    </row>
    <row r="371" spans="1:49" x14ac:dyDescent="0.25">
      <c r="A371" t="str">
        <v/>
      </c>
      <c r="B371" t="str">
        <v/>
      </c>
      <c r="C371" t="e">
        <v>#N/A</v>
      </c>
      <c r="D371" t="e">
        <v>#N/A</v>
      </c>
      <c r="J371" t="str">
        <v/>
      </c>
      <c r="K371" t="e">
        <f ca="1"/>
        <v>#N/A</v>
      </c>
      <c r="L371" t="str">
        <v/>
      </c>
      <c r="M371" t="e">
        <v>#N/A</v>
      </c>
      <c r="N371" t="e">
        <v>#N/A</v>
      </c>
      <c r="O371" t="e">
        <v>#N/A</v>
      </c>
      <c r="R371" t="e">
        <v>#N/A</v>
      </c>
      <c r="T371" t="e">
        <v>#N/A</v>
      </c>
      <c r="U371" t="e">
        <v>#N/A</v>
      </c>
      <c r="Y371" t="str">
        <v/>
      </c>
      <c r="AM371" t="str">
        <v/>
      </c>
      <c r="AN371" t="str">
        <v/>
      </c>
      <c r="AO371" t="str">
        <v/>
      </c>
      <c r="AQ371" t="str">
        <v/>
      </c>
      <c r="AR371" t="str">
        <v/>
      </c>
      <c r="AS371" t="e">
        <v>#N/A</v>
      </c>
      <c r="AU371" t="str">
        <v/>
      </c>
      <c r="AW371" t="e">
        <v>#N/A</v>
      </c>
    </row>
    <row r="372" spans="1:49" x14ac:dyDescent="0.25">
      <c r="A372" t="str">
        <v/>
      </c>
      <c r="B372" t="str">
        <v/>
      </c>
      <c r="C372" t="e">
        <v>#N/A</v>
      </c>
      <c r="D372" t="e">
        <v>#N/A</v>
      </c>
      <c r="J372" t="str">
        <v/>
      </c>
      <c r="K372" t="e">
        <f ca="1"/>
        <v>#N/A</v>
      </c>
      <c r="L372" t="str">
        <v/>
      </c>
      <c r="M372" t="e">
        <v>#N/A</v>
      </c>
      <c r="N372" t="e">
        <v>#N/A</v>
      </c>
      <c r="O372" t="e">
        <v>#N/A</v>
      </c>
      <c r="R372" t="e">
        <v>#N/A</v>
      </c>
      <c r="T372" t="e">
        <v>#N/A</v>
      </c>
      <c r="U372" t="e">
        <v>#N/A</v>
      </c>
      <c r="Y372" t="str">
        <v/>
      </c>
      <c r="AM372" t="str">
        <v/>
      </c>
      <c r="AN372" t="str">
        <v/>
      </c>
      <c r="AO372" t="str">
        <v/>
      </c>
      <c r="AQ372" t="str">
        <v/>
      </c>
      <c r="AR372" t="str">
        <v/>
      </c>
      <c r="AS372" t="e">
        <v>#N/A</v>
      </c>
      <c r="AU372" t="str">
        <v/>
      </c>
      <c r="AW372" t="e">
        <v>#N/A</v>
      </c>
    </row>
    <row r="373" spans="1:49" x14ac:dyDescent="0.25">
      <c r="A373" t="str">
        <v/>
      </c>
      <c r="B373" t="str">
        <v/>
      </c>
      <c r="C373" t="e">
        <v>#N/A</v>
      </c>
      <c r="D373" t="e">
        <v>#N/A</v>
      </c>
      <c r="J373" t="str">
        <v/>
      </c>
      <c r="K373" t="e">
        <f ca="1"/>
        <v>#N/A</v>
      </c>
      <c r="L373" t="str">
        <v/>
      </c>
      <c r="M373" t="e">
        <v>#N/A</v>
      </c>
      <c r="N373" t="e">
        <v>#N/A</v>
      </c>
      <c r="O373" t="e">
        <v>#N/A</v>
      </c>
      <c r="R373" t="e">
        <v>#N/A</v>
      </c>
      <c r="T373" t="e">
        <v>#N/A</v>
      </c>
      <c r="U373" t="e">
        <v>#N/A</v>
      </c>
      <c r="Y373" t="str">
        <v/>
      </c>
      <c r="AM373" t="str">
        <v/>
      </c>
      <c r="AN373" t="str">
        <v/>
      </c>
      <c r="AO373" t="str">
        <v/>
      </c>
      <c r="AQ373" t="str">
        <v/>
      </c>
      <c r="AR373" t="str">
        <v/>
      </c>
      <c r="AS373" t="e">
        <v>#N/A</v>
      </c>
      <c r="AU373" t="str">
        <v/>
      </c>
      <c r="AW373" t="e">
        <v>#N/A</v>
      </c>
    </row>
    <row r="374" spans="1:49" x14ac:dyDescent="0.25">
      <c r="A374" t="str">
        <v/>
      </c>
      <c r="B374" t="str">
        <v/>
      </c>
      <c r="C374" t="e">
        <v>#N/A</v>
      </c>
      <c r="D374" t="e">
        <v>#N/A</v>
      </c>
      <c r="J374" t="str">
        <v/>
      </c>
      <c r="K374" t="e">
        <f ca="1"/>
        <v>#N/A</v>
      </c>
      <c r="L374" t="str">
        <v/>
      </c>
      <c r="M374" t="e">
        <v>#N/A</v>
      </c>
      <c r="N374" t="e">
        <v>#N/A</v>
      </c>
      <c r="O374" t="e">
        <v>#N/A</v>
      </c>
      <c r="R374" t="e">
        <v>#N/A</v>
      </c>
      <c r="T374" t="e">
        <v>#N/A</v>
      </c>
      <c r="U374" t="e">
        <v>#N/A</v>
      </c>
      <c r="Y374" t="str">
        <v/>
      </c>
      <c r="AM374" t="str">
        <v/>
      </c>
      <c r="AN374" t="str">
        <v/>
      </c>
      <c r="AO374" t="str">
        <v/>
      </c>
      <c r="AQ374" t="str">
        <v/>
      </c>
      <c r="AR374" t="str">
        <v/>
      </c>
      <c r="AS374" t="e">
        <v>#N/A</v>
      </c>
      <c r="AU374" t="str">
        <v/>
      </c>
      <c r="AW374" t="e">
        <v>#N/A</v>
      </c>
    </row>
    <row r="375" spans="1:49" x14ac:dyDescent="0.25">
      <c r="A375" t="str">
        <v/>
      </c>
      <c r="B375" t="str">
        <v/>
      </c>
      <c r="C375" t="e">
        <v>#N/A</v>
      </c>
      <c r="D375" t="e">
        <v>#N/A</v>
      </c>
      <c r="J375" t="str">
        <v/>
      </c>
      <c r="K375" t="e">
        <f ca="1"/>
        <v>#N/A</v>
      </c>
      <c r="L375" t="str">
        <v/>
      </c>
      <c r="M375" t="e">
        <v>#N/A</v>
      </c>
      <c r="N375" t="e">
        <v>#N/A</v>
      </c>
      <c r="O375" t="e">
        <v>#N/A</v>
      </c>
      <c r="R375" t="e">
        <v>#N/A</v>
      </c>
      <c r="T375" t="e">
        <v>#N/A</v>
      </c>
      <c r="U375" t="e">
        <v>#N/A</v>
      </c>
      <c r="Y375" t="str">
        <v/>
      </c>
      <c r="AM375" t="str">
        <v/>
      </c>
      <c r="AN375" t="str">
        <v/>
      </c>
      <c r="AO375" t="str">
        <v/>
      </c>
      <c r="AQ375" t="str">
        <v/>
      </c>
      <c r="AR375" t="str">
        <v/>
      </c>
      <c r="AS375" t="e">
        <v>#N/A</v>
      </c>
      <c r="AU375" t="str">
        <v/>
      </c>
      <c r="AW375" t="e">
        <v>#N/A</v>
      </c>
    </row>
    <row r="376" spans="1:49" x14ac:dyDescent="0.25">
      <c r="A376" t="str">
        <v/>
      </c>
      <c r="B376" t="str">
        <v/>
      </c>
      <c r="C376" t="e">
        <v>#N/A</v>
      </c>
      <c r="D376" t="e">
        <v>#N/A</v>
      </c>
      <c r="J376" t="str">
        <v/>
      </c>
      <c r="K376" t="e">
        <f ca="1"/>
        <v>#N/A</v>
      </c>
      <c r="L376" t="str">
        <v/>
      </c>
      <c r="M376" t="e">
        <v>#N/A</v>
      </c>
      <c r="N376" t="e">
        <v>#N/A</v>
      </c>
      <c r="O376" t="e">
        <v>#N/A</v>
      </c>
      <c r="R376" t="e">
        <v>#N/A</v>
      </c>
      <c r="T376" t="e">
        <v>#N/A</v>
      </c>
      <c r="U376" t="e">
        <v>#N/A</v>
      </c>
      <c r="Y376" t="str">
        <v/>
      </c>
      <c r="AM376" t="str">
        <v/>
      </c>
      <c r="AN376" t="str">
        <v/>
      </c>
      <c r="AO376" t="str">
        <v/>
      </c>
      <c r="AQ376" t="str">
        <v/>
      </c>
      <c r="AR376" t="str">
        <v/>
      </c>
      <c r="AS376" t="e">
        <v>#N/A</v>
      </c>
      <c r="AU376" t="str">
        <v/>
      </c>
      <c r="AW376" t="e">
        <v>#N/A</v>
      </c>
    </row>
    <row r="377" spans="1:49" x14ac:dyDescent="0.25">
      <c r="A377" t="str">
        <v/>
      </c>
      <c r="B377" t="str">
        <v/>
      </c>
      <c r="C377" t="e">
        <v>#N/A</v>
      </c>
      <c r="D377" t="e">
        <v>#N/A</v>
      </c>
      <c r="J377" t="str">
        <v/>
      </c>
      <c r="K377" t="e">
        <f ca="1"/>
        <v>#N/A</v>
      </c>
      <c r="L377" t="str">
        <v/>
      </c>
      <c r="M377" t="e">
        <v>#N/A</v>
      </c>
      <c r="N377" t="e">
        <v>#N/A</v>
      </c>
      <c r="O377" t="e">
        <v>#N/A</v>
      </c>
      <c r="R377" t="e">
        <v>#N/A</v>
      </c>
      <c r="T377" t="e">
        <v>#N/A</v>
      </c>
      <c r="U377" t="e">
        <v>#N/A</v>
      </c>
      <c r="Y377" t="str">
        <v/>
      </c>
      <c r="AM377" t="str">
        <v/>
      </c>
      <c r="AN377" t="str">
        <v/>
      </c>
      <c r="AO377" t="str">
        <v/>
      </c>
      <c r="AQ377" t="str">
        <v/>
      </c>
      <c r="AR377" t="str">
        <v/>
      </c>
      <c r="AS377" t="e">
        <v>#N/A</v>
      </c>
      <c r="AU377" t="str">
        <v/>
      </c>
      <c r="AW377" t="e">
        <v>#N/A</v>
      </c>
    </row>
    <row r="378" spans="1:49" x14ac:dyDescent="0.25">
      <c r="A378" t="str">
        <v/>
      </c>
      <c r="B378" t="str">
        <v/>
      </c>
      <c r="C378" t="e">
        <v>#N/A</v>
      </c>
      <c r="D378" t="e">
        <v>#N/A</v>
      </c>
      <c r="J378" t="str">
        <v/>
      </c>
      <c r="K378" t="e">
        <f ca="1"/>
        <v>#N/A</v>
      </c>
      <c r="L378" t="str">
        <v/>
      </c>
      <c r="M378" t="e">
        <v>#N/A</v>
      </c>
      <c r="N378" t="e">
        <v>#N/A</v>
      </c>
      <c r="O378" t="e">
        <v>#N/A</v>
      </c>
      <c r="R378" t="e">
        <v>#N/A</v>
      </c>
      <c r="T378" t="e">
        <v>#N/A</v>
      </c>
      <c r="U378" t="e">
        <v>#N/A</v>
      </c>
      <c r="Y378" t="str">
        <v/>
      </c>
      <c r="AM378" t="str">
        <v/>
      </c>
      <c r="AN378" t="str">
        <v/>
      </c>
      <c r="AO378" t="str">
        <v/>
      </c>
      <c r="AQ378" t="str">
        <v/>
      </c>
      <c r="AR378" t="str">
        <v/>
      </c>
      <c r="AS378" t="e">
        <v>#N/A</v>
      </c>
      <c r="AU378" t="str">
        <v/>
      </c>
      <c r="AW378" t="e">
        <v>#N/A</v>
      </c>
    </row>
    <row r="379" spans="1:49" x14ac:dyDescent="0.25">
      <c r="A379" t="str">
        <v/>
      </c>
      <c r="B379" t="str">
        <v/>
      </c>
      <c r="C379" t="e">
        <v>#N/A</v>
      </c>
      <c r="D379" t="e">
        <v>#N/A</v>
      </c>
      <c r="J379" t="str">
        <v/>
      </c>
      <c r="K379" t="e">
        <f ca="1"/>
        <v>#N/A</v>
      </c>
      <c r="L379" t="str">
        <v/>
      </c>
      <c r="M379" t="e">
        <v>#N/A</v>
      </c>
      <c r="N379" t="e">
        <v>#N/A</v>
      </c>
      <c r="O379" t="e">
        <v>#N/A</v>
      </c>
      <c r="R379" t="e">
        <v>#N/A</v>
      </c>
      <c r="T379" t="e">
        <v>#N/A</v>
      </c>
      <c r="U379" t="e">
        <v>#N/A</v>
      </c>
      <c r="Y379" t="str">
        <v/>
      </c>
      <c r="AM379" t="str">
        <v/>
      </c>
      <c r="AN379" t="str">
        <v/>
      </c>
      <c r="AO379" t="str">
        <v/>
      </c>
      <c r="AQ379" t="str">
        <v/>
      </c>
      <c r="AR379" t="str">
        <v/>
      </c>
      <c r="AS379" t="e">
        <v>#N/A</v>
      </c>
      <c r="AU379" t="str">
        <v/>
      </c>
      <c r="AW379" t="e">
        <v>#N/A</v>
      </c>
    </row>
    <row r="380" spans="1:49" x14ac:dyDescent="0.25">
      <c r="A380" t="str">
        <v/>
      </c>
      <c r="B380" t="str">
        <v/>
      </c>
      <c r="C380" t="e">
        <v>#N/A</v>
      </c>
      <c r="D380" t="e">
        <v>#N/A</v>
      </c>
      <c r="J380" t="str">
        <v/>
      </c>
      <c r="K380" t="e">
        <f ca="1"/>
        <v>#N/A</v>
      </c>
      <c r="L380" t="str">
        <v/>
      </c>
      <c r="M380" t="e">
        <v>#N/A</v>
      </c>
      <c r="N380" t="e">
        <v>#N/A</v>
      </c>
      <c r="O380" t="e">
        <v>#N/A</v>
      </c>
      <c r="R380" t="e">
        <v>#N/A</v>
      </c>
      <c r="T380" t="e">
        <v>#N/A</v>
      </c>
      <c r="U380" t="e">
        <v>#N/A</v>
      </c>
      <c r="Y380" t="str">
        <v/>
      </c>
      <c r="AM380" t="str">
        <v/>
      </c>
      <c r="AN380" t="str">
        <v/>
      </c>
      <c r="AO380" t="str">
        <v/>
      </c>
      <c r="AQ380" t="str">
        <v/>
      </c>
      <c r="AR380" t="str">
        <v/>
      </c>
      <c r="AS380" t="e">
        <v>#N/A</v>
      </c>
      <c r="AU380" t="str">
        <v/>
      </c>
      <c r="AW380" t="e">
        <v>#N/A</v>
      </c>
    </row>
    <row r="381" spans="1:49" x14ac:dyDescent="0.25">
      <c r="A381" t="str">
        <v/>
      </c>
      <c r="B381" t="str">
        <v/>
      </c>
      <c r="C381" t="e">
        <v>#N/A</v>
      </c>
      <c r="D381" t="e">
        <v>#N/A</v>
      </c>
      <c r="J381" t="str">
        <v/>
      </c>
      <c r="K381" t="e">
        <f ca="1"/>
        <v>#N/A</v>
      </c>
      <c r="L381" t="str">
        <v/>
      </c>
      <c r="M381" t="e">
        <v>#N/A</v>
      </c>
      <c r="N381" t="e">
        <v>#N/A</v>
      </c>
      <c r="O381" t="e">
        <v>#N/A</v>
      </c>
      <c r="R381" t="e">
        <v>#N/A</v>
      </c>
      <c r="T381" t="e">
        <v>#N/A</v>
      </c>
      <c r="U381" t="e">
        <v>#N/A</v>
      </c>
      <c r="Y381" t="str">
        <v/>
      </c>
      <c r="AM381" t="str">
        <v/>
      </c>
      <c r="AN381" t="str">
        <v/>
      </c>
      <c r="AO381" t="str">
        <v/>
      </c>
      <c r="AQ381" t="str">
        <v/>
      </c>
      <c r="AR381" t="str">
        <v/>
      </c>
      <c r="AS381" t="e">
        <v>#N/A</v>
      </c>
      <c r="AU381" t="str">
        <v/>
      </c>
      <c r="AW381" t="e">
        <v>#N/A</v>
      </c>
    </row>
    <row r="382" spans="1:49" x14ac:dyDescent="0.25">
      <c r="A382" t="str">
        <v/>
      </c>
      <c r="B382" t="str">
        <v/>
      </c>
      <c r="C382" t="e">
        <v>#N/A</v>
      </c>
      <c r="D382" t="e">
        <v>#N/A</v>
      </c>
      <c r="J382" t="str">
        <v/>
      </c>
      <c r="K382" t="e">
        <f ca="1"/>
        <v>#N/A</v>
      </c>
      <c r="L382" t="str">
        <v/>
      </c>
      <c r="M382" t="e">
        <v>#N/A</v>
      </c>
      <c r="N382" t="e">
        <v>#N/A</v>
      </c>
      <c r="O382" t="e">
        <v>#N/A</v>
      </c>
      <c r="R382" t="e">
        <v>#N/A</v>
      </c>
      <c r="T382" t="e">
        <v>#N/A</v>
      </c>
      <c r="U382" t="e">
        <v>#N/A</v>
      </c>
      <c r="Y382" t="str">
        <v/>
      </c>
      <c r="AM382" t="str">
        <v/>
      </c>
      <c r="AN382" t="str">
        <v/>
      </c>
      <c r="AO382" t="str">
        <v/>
      </c>
      <c r="AQ382" t="str">
        <v/>
      </c>
      <c r="AR382" t="str">
        <v/>
      </c>
      <c r="AS382" t="e">
        <v>#N/A</v>
      </c>
      <c r="AU382" t="str">
        <v/>
      </c>
      <c r="AW382" t="e">
        <v>#N/A</v>
      </c>
    </row>
    <row r="383" spans="1:49" x14ac:dyDescent="0.25">
      <c r="A383" t="str">
        <v/>
      </c>
      <c r="B383" t="str">
        <v/>
      </c>
      <c r="C383" t="e">
        <v>#N/A</v>
      </c>
      <c r="D383" t="e">
        <v>#N/A</v>
      </c>
      <c r="J383" t="str">
        <v/>
      </c>
      <c r="K383" t="e">
        <f ca="1"/>
        <v>#N/A</v>
      </c>
      <c r="L383" t="str">
        <v/>
      </c>
      <c r="M383" t="e">
        <v>#N/A</v>
      </c>
      <c r="N383" t="e">
        <v>#N/A</v>
      </c>
      <c r="O383" t="e">
        <v>#N/A</v>
      </c>
      <c r="R383" t="e">
        <v>#N/A</v>
      </c>
      <c r="T383" t="e">
        <v>#N/A</v>
      </c>
      <c r="U383" t="e">
        <v>#N/A</v>
      </c>
      <c r="Y383" t="str">
        <v/>
      </c>
      <c r="AM383" t="str">
        <v/>
      </c>
      <c r="AN383" t="str">
        <v/>
      </c>
      <c r="AO383" t="str">
        <v/>
      </c>
      <c r="AQ383" t="str">
        <v/>
      </c>
      <c r="AR383" t="str">
        <v/>
      </c>
      <c r="AS383" t="e">
        <v>#N/A</v>
      </c>
      <c r="AU383" t="str">
        <v/>
      </c>
      <c r="AW383" t="e">
        <v>#N/A</v>
      </c>
    </row>
    <row r="384" spans="1:49" x14ac:dyDescent="0.25">
      <c r="A384" t="str">
        <v/>
      </c>
      <c r="B384" t="str">
        <v/>
      </c>
      <c r="C384" t="e">
        <v>#N/A</v>
      </c>
      <c r="D384" t="e">
        <v>#N/A</v>
      </c>
      <c r="J384" t="str">
        <v/>
      </c>
      <c r="K384" t="e">
        <f ca="1"/>
        <v>#N/A</v>
      </c>
      <c r="L384" t="str">
        <v/>
      </c>
      <c r="M384" t="e">
        <v>#N/A</v>
      </c>
      <c r="N384" t="e">
        <v>#N/A</v>
      </c>
      <c r="O384" t="e">
        <v>#N/A</v>
      </c>
      <c r="R384" t="e">
        <v>#N/A</v>
      </c>
      <c r="T384" t="e">
        <v>#N/A</v>
      </c>
      <c r="U384" t="e">
        <v>#N/A</v>
      </c>
      <c r="Y384" t="str">
        <v/>
      </c>
      <c r="AM384" t="str">
        <v/>
      </c>
      <c r="AN384" t="str">
        <v/>
      </c>
      <c r="AO384" t="str">
        <v/>
      </c>
      <c r="AQ384" t="str">
        <v/>
      </c>
      <c r="AR384" t="str">
        <v/>
      </c>
      <c r="AS384" t="e">
        <v>#N/A</v>
      </c>
      <c r="AU384" t="str">
        <v/>
      </c>
      <c r="AW384" t="e">
        <v>#N/A</v>
      </c>
    </row>
    <row r="385" spans="1:49" x14ac:dyDescent="0.25">
      <c r="A385" t="str">
        <v/>
      </c>
      <c r="B385" t="str">
        <v/>
      </c>
      <c r="C385" t="e">
        <v>#N/A</v>
      </c>
      <c r="D385" t="e">
        <v>#N/A</v>
      </c>
      <c r="J385" t="str">
        <v/>
      </c>
      <c r="K385" t="e">
        <f ca="1"/>
        <v>#N/A</v>
      </c>
      <c r="L385" t="str">
        <v/>
      </c>
      <c r="M385" t="e">
        <v>#N/A</v>
      </c>
      <c r="N385" t="e">
        <v>#N/A</v>
      </c>
      <c r="O385" t="e">
        <v>#N/A</v>
      </c>
      <c r="R385" t="e">
        <v>#N/A</v>
      </c>
      <c r="T385" t="e">
        <v>#N/A</v>
      </c>
      <c r="U385" t="e">
        <v>#N/A</v>
      </c>
      <c r="Y385" t="str">
        <v/>
      </c>
      <c r="AM385" t="str">
        <v/>
      </c>
      <c r="AN385" t="str">
        <v/>
      </c>
      <c r="AO385" t="str">
        <v/>
      </c>
      <c r="AQ385" t="str">
        <v/>
      </c>
      <c r="AR385" t="str">
        <v/>
      </c>
      <c r="AS385" t="e">
        <v>#N/A</v>
      </c>
      <c r="AU385" t="str">
        <v/>
      </c>
      <c r="AW385" t="e">
        <v>#N/A</v>
      </c>
    </row>
    <row r="386" spans="1:49" x14ac:dyDescent="0.25">
      <c r="A386" t="str">
        <v/>
      </c>
      <c r="B386" t="str">
        <v/>
      </c>
      <c r="C386" t="e">
        <v>#N/A</v>
      </c>
      <c r="D386" t="e">
        <v>#N/A</v>
      </c>
      <c r="J386" t="str">
        <v/>
      </c>
      <c r="K386" t="e">
        <f ca="1"/>
        <v>#N/A</v>
      </c>
      <c r="L386" t="str">
        <v/>
      </c>
      <c r="M386" t="e">
        <v>#N/A</v>
      </c>
      <c r="N386" t="e">
        <v>#N/A</v>
      </c>
      <c r="O386" t="e">
        <v>#N/A</v>
      </c>
      <c r="R386" t="e">
        <v>#N/A</v>
      </c>
      <c r="T386" t="e">
        <v>#N/A</v>
      </c>
      <c r="U386" t="e">
        <v>#N/A</v>
      </c>
      <c r="Y386" t="str">
        <v/>
      </c>
      <c r="AM386" t="str">
        <v/>
      </c>
      <c r="AN386" t="str">
        <v/>
      </c>
      <c r="AO386" t="str">
        <v/>
      </c>
      <c r="AQ386" t="str">
        <v/>
      </c>
      <c r="AR386" t="str">
        <v/>
      </c>
      <c r="AS386" t="e">
        <v>#N/A</v>
      </c>
      <c r="AU386" t="str">
        <v/>
      </c>
      <c r="AW386" t="e">
        <v>#N/A</v>
      </c>
    </row>
    <row r="387" spans="1:49" x14ac:dyDescent="0.25">
      <c r="A387" t="str">
        <v/>
      </c>
      <c r="B387" t="str">
        <v/>
      </c>
      <c r="C387" t="e">
        <v>#N/A</v>
      </c>
      <c r="D387" t="e">
        <v>#N/A</v>
      </c>
      <c r="J387" t="str">
        <v/>
      </c>
      <c r="K387" t="e">
        <f ca="1"/>
        <v>#N/A</v>
      </c>
      <c r="L387" t="str">
        <v/>
      </c>
      <c r="M387" t="e">
        <v>#N/A</v>
      </c>
      <c r="N387" t="e">
        <v>#N/A</v>
      </c>
      <c r="O387" t="e">
        <v>#N/A</v>
      </c>
      <c r="R387" t="e">
        <v>#N/A</v>
      </c>
      <c r="T387" t="e">
        <v>#N/A</v>
      </c>
      <c r="U387" t="e">
        <v>#N/A</v>
      </c>
      <c r="Y387" t="str">
        <v/>
      </c>
      <c r="AM387" t="str">
        <v/>
      </c>
      <c r="AN387" t="str">
        <v/>
      </c>
      <c r="AO387" t="str">
        <v/>
      </c>
      <c r="AQ387" t="str">
        <v/>
      </c>
      <c r="AR387" t="str">
        <v/>
      </c>
      <c r="AS387" t="e">
        <v>#N/A</v>
      </c>
      <c r="AU387" t="str">
        <v/>
      </c>
      <c r="AW387" t="e">
        <v>#N/A</v>
      </c>
    </row>
    <row r="388" spans="1:49" x14ac:dyDescent="0.25">
      <c r="A388" t="str">
        <v/>
      </c>
      <c r="B388" t="str">
        <v/>
      </c>
      <c r="C388" t="e">
        <v>#N/A</v>
      </c>
      <c r="D388" t="e">
        <v>#N/A</v>
      </c>
      <c r="J388" t="str">
        <v/>
      </c>
      <c r="K388" t="e">
        <f ca="1"/>
        <v>#N/A</v>
      </c>
      <c r="L388" t="str">
        <v/>
      </c>
      <c r="M388" t="e">
        <v>#N/A</v>
      </c>
      <c r="N388" t="e">
        <v>#N/A</v>
      </c>
      <c r="O388" t="e">
        <v>#N/A</v>
      </c>
      <c r="R388" t="e">
        <v>#N/A</v>
      </c>
      <c r="T388" t="e">
        <v>#N/A</v>
      </c>
      <c r="U388" t="e">
        <v>#N/A</v>
      </c>
      <c r="Y388" t="str">
        <v/>
      </c>
      <c r="AM388" t="str">
        <v/>
      </c>
      <c r="AN388" t="str">
        <v/>
      </c>
      <c r="AO388" t="str">
        <v/>
      </c>
      <c r="AQ388" t="str">
        <v/>
      </c>
      <c r="AR388" t="str">
        <v/>
      </c>
      <c r="AS388" t="e">
        <v>#N/A</v>
      </c>
      <c r="AU388" t="str">
        <v/>
      </c>
      <c r="AW388" t="e">
        <v>#N/A</v>
      </c>
    </row>
    <row r="389" spans="1:49" x14ac:dyDescent="0.25">
      <c r="A389" t="str">
        <v/>
      </c>
      <c r="B389" t="str">
        <v/>
      </c>
      <c r="C389" t="e">
        <v>#N/A</v>
      </c>
      <c r="D389" t="e">
        <v>#N/A</v>
      </c>
      <c r="J389" t="str">
        <v/>
      </c>
      <c r="K389" t="e">
        <f ca="1"/>
        <v>#N/A</v>
      </c>
      <c r="L389" t="str">
        <v/>
      </c>
      <c r="M389" t="e">
        <v>#N/A</v>
      </c>
      <c r="N389" t="e">
        <v>#N/A</v>
      </c>
      <c r="O389" t="e">
        <v>#N/A</v>
      </c>
      <c r="R389" t="e">
        <v>#N/A</v>
      </c>
      <c r="T389" t="e">
        <v>#N/A</v>
      </c>
      <c r="U389" t="e">
        <v>#N/A</v>
      </c>
      <c r="Y389" t="str">
        <v/>
      </c>
      <c r="AM389" t="str">
        <v/>
      </c>
      <c r="AN389" t="str">
        <v/>
      </c>
      <c r="AO389" t="str">
        <v/>
      </c>
      <c r="AQ389" t="str">
        <v/>
      </c>
      <c r="AR389" t="str">
        <v/>
      </c>
      <c r="AS389" t="e">
        <v>#N/A</v>
      </c>
      <c r="AU389" t="str">
        <v/>
      </c>
      <c r="AW389" t="e">
        <v>#N/A</v>
      </c>
    </row>
    <row r="390" spans="1:49" x14ac:dyDescent="0.25">
      <c r="A390" t="str">
        <v/>
      </c>
      <c r="B390" t="str">
        <v/>
      </c>
      <c r="C390" t="e">
        <v>#N/A</v>
      </c>
      <c r="D390" t="e">
        <v>#N/A</v>
      </c>
      <c r="J390" t="str">
        <v/>
      </c>
      <c r="K390" t="e">
        <f ca="1"/>
        <v>#N/A</v>
      </c>
      <c r="L390" t="str">
        <v/>
      </c>
      <c r="M390" t="e">
        <v>#N/A</v>
      </c>
      <c r="N390" t="e">
        <v>#N/A</v>
      </c>
      <c r="O390" t="e">
        <v>#N/A</v>
      </c>
      <c r="R390" t="e">
        <v>#N/A</v>
      </c>
      <c r="T390" t="e">
        <v>#N/A</v>
      </c>
      <c r="U390" t="e">
        <v>#N/A</v>
      </c>
      <c r="Y390" t="str">
        <v/>
      </c>
      <c r="AM390" t="str">
        <v/>
      </c>
      <c r="AN390" t="str">
        <v/>
      </c>
      <c r="AO390" t="str">
        <v/>
      </c>
      <c r="AQ390" t="str">
        <v/>
      </c>
      <c r="AR390" t="str">
        <v/>
      </c>
      <c r="AS390" t="e">
        <v>#N/A</v>
      </c>
      <c r="AU390" t="str">
        <v/>
      </c>
      <c r="AW390" t="e">
        <v>#N/A</v>
      </c>
    </row>
    <row r="391" spans="1:49" x14ac:dyDescent="0.25">
      <c r="A391" t="str">
        <v/>
      </c>
      <c r="B391" t="str">
        <v/>
      </c>
      <c r="C391" t="e">
        <v>#N/A</v>
      </c>
      <c r="D391" t="e">
        <v>#N/A</v>
      </c>
      <c r="J391" t="str">
        <v/>
      </c>
      <c r="K391" t="e">
        <f ca="1"/>
        <v>#N/A</v>
      </c>
      <c r="L391" t="str">
        <v/>
      </c>
      <c r="M391" t="e">
        <v>#N/A</v>
      </c>
      <c r="N391" t="e">
        <v>#N/A</v>
      </c>
      <c r="O391" t="e">
        <v>#N/A</v>
      </c>
      <c r="R391" t="e">
        <v>#N/A</v>
      </c>
      <c r="T391" t="e">
        <v>#N/A</v>
      </c>
      <c r="U391" t="e">
        <v>#N/A</v>
      </c>
      <c r="Y391" t="str">
        <v/>
      </c>
      <c r="AM391" t="str">
        <v/>
      </c>
      <c r="AN391" t="str">
        <v/>
      </c>
      <c r="AO391" t="str">
        <v/>
      </c>
      <c r="AQ391" t="str">
        <v/>
      </c>
      <c r="AR391" t="str">
        <v/>
      </c>
      <c r="AS391" t="e">
        <v>#N/A</v>
      </c>
      <c r="AU391" t="str">
        <v/>
      </c>
      <c r="AW391" t="e">
        <v>#N/A</v>
      </c>
    </row>
    <row r="392" spans="1:49" x14ac:dyDescent="0.25">
      <c r="A392" t="str">
        <v/>
      </c>
      <c r="B392" t="str">
        <v/>
      </c>
      <c r="C392" t="e">
        <v>#N/A</v>
      </c>
      <c r="D392" t="e">
        <v>#N/A</v>
      </c>
      <c r="J392" t="str">
        <v/>
      </c>
      <c r="K392" t="e">
        <f ca="1"/>
        <v>#N/A</v>
      </c>
      <c r="L392" t="str">
        <v/>
      </c>
      <c r="M392" t="e">
        <v>#N/A</v>
      </c>
      <c r="N392" t="e">
        <v>#N/A</v>
      </c>
      <c r="O392" t="e">
        <v>#N/A</v>
      </c>
      <c r="R392" t="e">
        <v>#N/A</v>
      </c>
      <c r="T392" t="e">
        <v>#N/A</v>
      </c>
      <c r="U392" t="e">
        <v>#N/A</v>
      </c>
      <c r="Y392" t="str">
        <v/>
      </c>
      <c r="AM392" t="str">
        <v/>
      </c>
      <c r="AN392" t="str">
        <v/>
      </c>
      <c r="AO392" t="str">
        <v/>
      </c>
      <c r="AQ392" t="str">
        <v/>
      </c>
      <c r="AR392" t="str">
        <v/>
      </c>
      <c r="AS392" t="e">
        <v>#N/A</v>
      </c>
      <c r="AU392" t="str">
        <v/>
      </c>
      <c r="AW392" t="e">
        <v>#N/A</v>
      </c>
    </row>
    <row r="393" spans="1:49" x14ac:dyDescent="0.25">
      <c r="A393" t="str">
        <v/>
      </c>
      <c r="B393" t="str">
        <v/>
      </c>
      <c r="C393" t="e">
        <v>#N/A</v>
      </c>
      <c r="D393" t="e">
        <v>#N/A</v>
      </c>
      <c r="J393" t="str">
        <v/>
      </c>
      <c r="K393" t="e">
        <f ca="1"/>
        <v>#N/A</v>
      </c>
      <c r="L393" t="str">
        <v/>
      </c>
      <c r="M393" t="e">
        <v>#N/A</v>
      </c>
      <c r="N393" t="e">
        <v>#N/A</v>
      </c>
      <c r="O393" t="e">
        <v>#N/A</v>
      </c>
      <c r="R393" t="e">
        <v>#N/A</v>
      </c>
      <c r="T393" t="e">
        <v>#N/A</v>
      </c>
      <c r="U393" t="e">
        <v>#N/A</v>
      </c>
      <c r="Y393" t="str">
        <v/>
      </c>
      <c r="AM393" t="str">
        <v/>
      </c>
      <c r="AN393" t="str">
        <v/>
      </c>
      <c r="AO393" t="str">
        <v/>
      </c>
      <c r="AQ393" t="str">
        <v/>
      </c>
      <c r="AR393" t="str">
        <v/>
      </c>
      <c r="AS393" t="e">
        <v>#N/A</v>
      </c>
      <c r="AU393" t="str">
        <v/>
      </c>
      <c r="AW393" t="e">
        <v>#N/A</v>
      </c>
    </row>
    <row r="394" spans="1:49" x14ac:dyDescent="0.25">
      <c r="A394" t="str">
        <v/>
      </c>
      <c r="B394" t="str">
        <v/>
      </c>
      <c r="C394" t="e">
        <v>#N/A</v>
      </c>
      <c r="D394" t="e">
        <v>#N/A</v>
      </c>
      <c r="J394" t="str">
        <v/>
      </c>
      <c r="K394" t="e">
        <f ca="1"/>
        <v>#N/A</v>
      </c>
      <c r="L394" t="str">
        <v/>
      </c>
      <c r="M394" t="e">
        <v>#N/A</v>
      </c>
      <c r="N394" t="e">
        <v>#N/A</v>
      </c>
      <c r="O394" t="e">
        <v>#N/A</v>
      </c>
      <c r="R394" t="e">
        <v>#N/A</v>
      </c>
      <c r="T394" t="e">
        <v>#N/A</v>
      </c>
      <c r="U394" t="e">
        <v>#N/A</v>
      </c>
      <c r="Y394" t="str">
        <v/>
      </c>
      <c r="AM394" t="str">
        <v/>
      </c>
      <c r="AN394" t="str">
        <v/>
      </c>
      <c r="AO394" t="str">
        <v/>
      </c>
      <c r="AQ394" t="str">
        <v/>
      </c>
      <c r="AR394" t="str">
        <v/>
      </c>
      <c r="AS394" t="e">
        <v>#N/A</v>
      </c>
      <c r="AU394" t="str">
        <v/>
      </c>
      <c r="AW394" t="e">
        <v>#N/A</v>
      </c>
    </row>
    <row r="395" spans="1:49" x14ac:dyDescent="0.25">
      <c r="A395" t="str">
        <v/>
      </c>
      <c r="B395" t="str">
        <v/>
      </c>
      <c r="C395" t="e">
        <v>#N/A</v>
      </c>
      <c r="D395" t="e">
        <v>#N/A</v>
      </c>
      <c r="J395" t="str">
        <v/>
      </c>
      <c r="K395" t="e">
        <f ca="1"/>
        <v>#N/A</v>
      </c>
      <c r="L395" t="str">
        <v/>
      </c>
      <c r="M395" t="e">
        <v>#N/A</v>
      </c>
      <c r="N395" t="e">
        <v>#N/A</v>
      </c>
      <c r="O395" t="e">
        <v>#N/A</v>
      </c>
      <c r="R395" t="e">
        <v>#N/A</v>
      </c>
      <c r="T395" t="e">
        <v>#N/A</v>
      </c>
      <c r="U395" t="e">
        <v>#N/A</v>
      </c>
      <c r="Y395" t="str">
        <v/>
      </c>
      <c r="AM395" t="str">
        <v/>
      </c>
      <c r="AN395" t="str">
        <v/>
      </c>
      <c r="AO395" t="str">
        <v/>
      </c>
      <c r="AQ395" t="str">
        <v/>
      </c>
      <c r="AR395" t="str">
        <v/>
      </c>
      <c r="AS395" t="e">
        <v>#N/A</v>
      </c>
      <c r="AU395" t="str">
        <v/>
      </c>
      <c r="AW395" t="e">
        <v>#N/A</v>
      </c>
    </row>
    <row r="396" spans="1:49" x14ac:dyDescent="0.25">
      <c r="A396" t="str">
        <v/>
      </c>
      <c r="B396" t="str">
        <v/>
      </c>
      <c r="C396" t="e">
        <v>#N/A</v>
      </c>
      <c r="D396" t="e">
        <v>#N/A</v>
      </c>
      <c r="J396" t="str">
        <v/>
      </c>
      <c r="K396" t="e">
        <f ca="1"/>
        <v>#N/A</v>
      </c>
      <c r="L396" t="str">
        <v/>
      </c>
      <c r="M396" t="e">
        <v>#N/A</v>
      </c>
      <c r="N396" t="e">
        <v>#N/A</v>
      </c>
      <c r="O396" t="e">
        <v>#N/A</v>
      </c>
      <c r="R396" t="e">
        <v>#N/A</v>
      </c>
      <c r="T396" t="e">
        <v>#N/A</v>
      </c>
      <c r="U396" t="e">
        <v>#N/A</v>
      </c>
      <c r="Y396" t="str">
        <v/>
      </c>
      <c r="AM396" t="str">
        <v/>
      </c>
      <c r="AN396" t="str">
        <v/>
      </c>
      <c r="AO396" t="str">
        <v/>
      </c>
      <c r="AQ396" t="str">
        <v/>
      </c>
      <c r="AR396" t="str">
        <v/>
      </c>
      <c r="AS396" t="e">
        <v>#N/A</v>
      </c>
      <c r="AU396" t="str">
        <v/>
      </c>
      <c r="AW396" t="e">
        <v>#N/A</v>
      </c>
    </row>
    <row r="397" spans="1:49" x14ac:dyDescent="0.25">
      <c r="A397" t="str">
        <v/>
      </c>
      <c r="B397" t="str">
        <v/>
      </c>
      <c r="C397" t="e">
        <v>#N/A</v>
      </c>
      <c r="D397" t="e">
        <v>#N/A</v>
      </c>
      <c r="J397" t="str">
        <v/>
      </c>
      <c r="K397" t="e">
        <f ca="1"/>
        <v>#N/A</v>
      </c>
      <c r="L397" t="str">
        <v/>
      </c>
      <c r="M397" t="e">
        <v>#N/A</v>
      </c>
      <c r="N397" t="e">
        <v>#N/A</v>
      </c>
      <c r="O397" t="e">
        <v>#N/A</v>
      </c>
      <c r="R397" t="e">
        <v>#N/A</v>
      </c>
      <c r="T397" t="e">
        <v>#N/A</v>
      </c>
      <c r="U397" t="e">
        <v>#N/A</v>
      </c>
      <c r="Y397" t="str">
        <v/>
      </c>
      <c r="AM397" t="str">
        <v/>
      </c>
      <c r="AN397" t="str">
        <v/>
      </c>
      <c r="AO397" t="str">
        <v/>
      </c>
      <c r="AQ397" t="str">
        <v/>
      </c>
      <c r="AR397" t="str">
        <v/>
      </c>
      <c r="AS397" t="e">
        <v>#N/A</v>
      </c>
      <c r="AU397" t="str">
        <v/>
      </c>
      <c r="AW397" t="e">
        <v>#N/A</v>
      </c>
    </row>
    <row r="398" spans="1:49" x14ac:dyDescent="0.25">
      <c r="A398" t="str">
        <v/>
      </c>
      <c r="B398" t="str">
        <v/>
      </c>
      <c r="C398" t="e">
        <v>#N/A</v>
      </c>
      <c r="D398" t="e">
        <v>#N/A</v>
      </c>
      <c r="J398" t="str">
        <v/>
      </c>
      <c r="K398" t="e">
        <f ca="1"/>
        <v>#N/A</v>
      </c>
      <c r="L398" t="str">
        <v/>
      </c>
      <c r="M398" t="e">
        <v>#N/A</v>
      </c>
      <c r="N398" t="e">
        <v>#N/A</v>
      </c>
      <c r="O398" t="e">
        <v>#N/A</v>
      </c>
      <c r="R398" t="e">
        <v>#N/A</v>
      </c>
      <c r="T398" t="e">
        <v>#N/A</v>
      </c>
      <c r="U398" t="e">
        <v>#N/A</v>
      </c>
      <c r="Y398" t="str">
        <v/>
      </c>
      <c r="AM398" t="str">
        <v/>
      </c>
      <c r="AN398" t="str">
        <v/>
      </c>
      <c r="AO398" t="str">
        <v/>
      </c>
      <c r="AQ398" t="str">
        <v/>
      </c>
      <c r="AR398" t="str">
        <v/>
      </c>
      <c r="AS398" t="e">
        <v>#N/A</v>
      </c>
      <c r="AU398" t="str">
        <v/>
      </c>
      <c r="AW398" t="e">
        <v>#N/A</v>
      </c>
    </row>
    <row r="399" spans="1:49" x14ac:dyDescent="0.25">
      <c r="A399" t="str">
        <v/>
      </c>
      <c r="B399" t="str">
        <v/>
      </c>
      <c r="C399" t="e">
        <v>#N/A</v>
      </c>
      <c r="D399" t="e">
        <v>#N/A</v>
      </c>
      <c r="J399" t="str">
        <v/>
      </c>
      <c r="K399" t="e">
        <f ca="1"/>
        <v>#N/A</v>
      </c>
      <c r="L399" t="str">
        <v/>
      </c>
      <c r="M399" t="e">
        <v>#N/A</v>
      </c>
      <c r="N399" t="e">
        <v>#N/A</v>
      </c>
      <c r="O399" t="e">
        <v>#N/A</v>
      </c>
      <c r="R399" t="e">
        <v>#N/A</v>
      </c>
      <c r="T399" t="e">
        <v>#N/A</v>
      </c>
      <c r="U399" t="e">
        <v>#N/A</v>
      </c>
      <c r="Y399" t="str">
        <v/>
      </c>
      <c r="AM399" t="str">
        <v/>
      </c>
      <c r="AN399" t="str">
        <v/>
      </c>
      <c r="AO399" t="str">
        <v/>
      </c>
      <c r="AQ399" t="str">
        <v/>
      </c>
      <c r="AR399" t="str">
        <v/>
      </c>
      <c r="AS399" t="e">
        <v>#N/A</v>
      </c>
      <c r="AU399" t="str">
        <v/>
      </c>
      <c r="AW399" t="e">
        <v>#N/A</v>
      </c>
    </row>
    <row r="400" spans="1:49" x14ac:dyDescent="0.25">
      <c r="A400" t="str">
        <v/>
      </c>
      <c r="B400" t="str">
        <v/>
      </c>
      <c r="C400" t="e">
        <v>#N/A</v>
      </c>
      <c r="D400" t="e">
        <v>#N/A</v>
      </c>
      <c r="J400" t="str">
        <v/>
      </c>
      <c r="K400" t="e">
        <f ca="1"/>
        <v>#N/A</v>
      </c>
      <c r="L400" t="str">
        <v/>
      </c>
      <c r="M400" t="e">
        <v>#N/A</v>
      </c>
      <c r="N400" t="e">
        <v>#N/A</v>
      </c>
      <c r="O400" t="e">
        <v>#N/A</v>
      </c>
      <c r="R400" t="e">
        <v>#N/A</v>
      </c>
      <c r="T400" t="e">
        <v>#N/A</v>
      </c>
      <c r="U400" t="e">
        <v>#N/A</v>
      </c>
      <c r="Y400" t="str">
        <v/>
      </c>
      <c r="AM400" t="str">
        <v/>
      </c>
      <c r="AN400" t="str">
        <v/>
      </c>
      <c r="AO400" t="str">
        <v/>
      </c>
      <c r="AQ400" t="str">
        <v/>
      </c>
      <c r="AR400" t="str">
        <v/>
      </c>
      <c r="AS400" t="e">
        <v>#N/A</v>
      </c>
      <c r="AU400" t="str">
        <v/>
      </c>
      <c r="AW400" t="e">
        <v>#N/A</v>
      </c>
    </row>
    <row r="401" spans="1:49" x14ac:dyDescent="0.25">
      <c r="A401" t="str">
        <v/>
      </c>
      <c r="B401" t="str">
        <v/>
      </c>
      <c r="C401" t="e">
        <v>#N/A</v>
      </c>
      <c r="D401" t="e">
        <v>#N/A</v>
      </c>
      <c r="J401" t="str">
        <v/>
      </c>
      <c r="K401" t="e">
        <f ca="1"/>
        <v>#N/A</v>
      </c>
      <c r="L401" t="str">
        <v/>
      </c>
      <c r="M401" t="e">
        <v>#N/A</v>
      </c>
      <c r="N401" t="e">
        <v>#N/A</v>
      </c>
      <c r="O401" t="e">
        <v>#N/A</v>
      </c>
      <c r="R401" t="e">
        <v>#N/A</v>
      </c>
      <c r="T401" t="e">
        <v>#N/A</v>
      </c>
      <c r="U401" t="e">
        <v>#N/A</v>
      </c>
      <c r="Y401" t="str">
        <v/>
      </c>
      <c r="AM401" t="str">
        <v/>
      </c>
      <c r="AN401" t="str">
        <v/>
      </c>
      <c r="AO401" t="str">
        <v/>
      </c>
      <c r="AQ401" t="str">
        <v/>
      </c>
      <c r="AR401" t="str">
        <v/>
      </c>
      <c r="AS401" t="e">
        <v>#N/A</v>
      </c>
      <c r="AU401" t="str">
        <v/>
      </c>
      <c r="AW401" t="e">
        <v>#N/A</v>
      </c>
    </row>
    <row r="402" spans="1:49" x14ac:dyDescent="0.25">
      <c r="A402" t="str">
        <v/>
      </c>
      <c r="B402" t="str">
        <v/>
      </c>
      <c r="C402" t="e">
        <v>#N/A</v>
      </c>
      <c r="D402" t="e">
        <v>#N/A</v>
      </c>
      <c r="J402" t="str">
        <v/>
      </c>
      <c r="K402" t="e">
        <f ca="1"/>
        <v>#N/A</v>
      </c>
      <c r="L402" t="str">
        <v/>
      </c>
      <c r="M402" t="e">
        <v>#N/A</v>
      </c>
      <c r="N402" t="e">
        <v>#N/A</v>
      </c>
      <c r="O402" t="e">
        <v>#N/A</v>
      </c>
      <c r="R402" t="e">
        <v>#N/A</v>
      </c>
      <c r="T402" t="e">
        <v>#N/A</v>
      </c>
      <c r="U402" t="e">
        <v>#N/A</v>
      </c>
      <c r="Y402" t="str">
        <v/>
      </c>
      <c r="AM402" t="str">
        <v/>
      </c>
      <c r="AN402" t="str">
        <v/>
      </c>
      <c r="AO402" t="str">
        <v/>
      </c>
      <c r="AQ402" t="str">
        <v/>
      </c>
      <c r="AR402" t="str">
        <v/>
      </c>
      <c r="AS402" t="e">
        <v>#N/A</v>
      </c>
      <c r="AU402" t="str">
        <v/>
      </c>
      <c r="AW402" t="e">
        <v>#N/A</v>
      </c>
    </row>
    <row r="403" spans="1:49" x14ac:dyDescent="0.25">
      <c r="A403" t="str">
        <v/>
      </c>
      <c r="B403" t="str">
        <v/>
      </c>
      <c r="C403" t="e">
        <v>#N/A</v>
      </c>
      <c r="D403" t="e">
        <v>#N/A</v>
      </c>
      <c r="J403" t="str">
        <v/>
      </c>
      <c r="K403" t="e">
        <f ca="1"/>
        <v>#N/A</v>
      </c>
      <c r="L403" t="str">
        <v/>
      </c>
      <c r="M403" t="e">
        <v>#N/A</v>
      </c>
      <c r="N403" t="e">
        <v>#N/A</v>
      </c>
      <c r="O403" t="e">
        <v>#N/A</v>
      </c>
      <c r="R403" t="e">
        <v>#N/A</v>
      </c>
      <c r="T403" t="e">
        <v>#N/A</v>
      </c>
      <c r="U403" t="e">
        <v>#N/A</v>
      </c>
      <c r="Y403" t="str">
        <v/>
      </c>
      <c r="AM403" t="str">
        <v/>
      </c>
      <c r="AN403" t="str">
        <v/>
      </c>
      <c r="AO403" t="str">
        <v/>
      </c>
      <c r="AQ403" t="str">
        <v/>
      </c>
      <c r="AR403" t="str">
        <v/>
      </c>
      <c r="AS403" t="e">
        <v>#N/A</v>
      </c>
      <c r="AU403" t="str">
        <v/>
      </c>
      <c r="AW403" t="e">
        <v>#N/A</v>
      </c>
    </row>
    <row r="404" spans="1:49" x14ac:dyDescent="0.25">
      <c r="A404" t="str">
        <v/>
      </c>
      <c r="B404" t="str">
        <v/>
      </c>
      <c r="C404" t="e">
        <v>#N/A</v>
      </c>
      <c r="D404" t="e">
        <v>#N/A</v>
      </c>
      <c r="J404" t="str">
        <v/>
      </c>
      <c r="K404" t="e">
        <f ca="1"/>
        <v>#N/A</v>
      </c>
      <c r="L404" t="str">
        <v/>
      </c>
      <c r="M404" t="e">
        <v>#N/A</v>
      </c>
      <c r="N404" t="e">
        <v>#N/A</v>
      </c>
      <c r="O404" t="e">
        <v>#N/A</v>
      </c>
      <c r="R404" t="e">
        <v>#N/A</v>
      </c>
      <c r="T404" t="e">
        <v>#N/A</v>
      </c>
      <c r="U404" t="e">
        <v>#N/A</v>
      </c>
      <c r="Y404" t="str">
        <v/>
      </c>
      <c r="AM404" t="str">
        <v/>
      </c>
      <c r="AN404" t="str">
        <v/>
      </c>
      <c r="AO404" t="str">
        <v/>
      </c>
      <c r="AQ404" t="str">
        <v/>
      </c>
      <c r="AR404" t="str">
        <v/>
      </c>
      <c r="AS404" t="e">
        <v>#N/A</v>
      </c>
      <c r="AU404" t="str">
        <v/>
      </c>
      <c r="AW404" t="e">
        <v>#N/A</v>
      </c>
    </row>
    <row r="405" spans="1:49" x14ac:dyDescent="0.25">
      <c r="A405" t="str">
        <v/>
      </c>
      <c r="B405" t="str">
        <v/>
      </c>
      <c r="C405" t="e">
        <v>#N/A</v>
      </c>
      <c r="D405" t="e">
        <v>#N/A</v>
      </c>
      <c r="J405" t="str">
        <v/>
      </c>
      <c r="K405" t="e">
        <f ca="1"/>
        <v>#N/A</v>
      </c>
      <c r="L405" t="str">
        <v/>
      </c>
      <c r="M405" t="e">
        <v>#N/A</v>
      </c>
      <c r="N405" t="e">
        <v>#N/A</v>
      </c>
      <c r="O405" t="e">
        <v>#N/A</v>
      </c>
      <c r="R405" t="e">
        <v>#N/A</v>
      </c>
      <c r="T405" t="e">
        <v>#N/A</v>
      </c>
      <c r="U405" t="e">
        <v>#N/A</v>
      </c>
      <c r="Y405" t="str">
        <v/>
      </c>
      <c r="AM405" t="str">
        <v/>
      </c>
      <c r="AN405" t="str">
        <v/>
      </c>
      <c r="AO405" t="str">
        <v/>
      </c>
      <c r="AQ405" t="str">
        <v/>
      </c>
      <c r="AR405" t="str">
        <v/>
      </c>
      <c r="AS405" t="e">
        <v>#N/A</v>
      </c>
      <c r="AU405" t="str">
        <v/>
      </c>
      <c r="AW405" t="e">
        <v>#N/A</v>
      </c>
    </row>
    <row r="406" spans="1:49" x14ac:dyDescent="0.25">
      <c r="A406" t="str">
        <v/>
      </c>
      <c r="B406" t="str">
        <v/>
      </c>
      <c r="C406" t="e">
        <v>#N/A</v>
      </c>
      <c r="D406" t="e">
        <v>#N/A</v>
      </c>
      <c r="J406" t="str">
        <v/>
      </c>
      <c r="K406" t="e">
        <f ca="1"/>
        <v>#N/A</v>
      </c>
      <c r="L406" t="str">
        <v/>
      </c>
      <c r="M406" t="e">
        <v>#N/A</v>
      </c>
      <c r="N406" t="e">
        <v>#N/A</v>
      </c>
      <c r="O406" t="e">
        <v>#N/A</v>
      </c>
      <c r="R406" t="e">
        <v>#N/A</v>
      </c>
      <c r="T406" t="e">
        <v>#N/A</v>
      </c>
      <c r="U406" t="e">
        <v>#N/A</v>
      </c>
      <c r="Y406" t="str">
        <v/>
      </c>
      <c r="AM406" t="str">
        <v/>
      </c>
      <c r="AN406" t="str">
        <v/>
      </c>
      <c r="AO406" t="str">
        <v/>
      </c>
      <c r="AQ406" t="str">
        <v/>
      </c>
      <c r="AR406" t="str">
        <v/>
      </c>
      <c r="AS406" t="e">
        <v>#N/A</v>
      </c>
      <c r="AU406" t="str">
        <v/>
      </c>
      <c r="AW406" t="e">
        <v>#N/A</v>
      </c>
    </row>
    <row r="407" spans="1:49" x14ac:dyDescent="0.25">
      <c r="A407" t="str">
        <v/>
      </c>
      <c r="B407" t="str">
        <v/>
      </c>
      <c r="C407" t="e">
        <v>#N/A</v>
      </c>
      <c r="D407" t="e">
        <v>#N/A</v>
      </c>
      <c r="J407" t="str">
        <v/>
      </c>
      <c r="K407" t="e">
        <f ca="1"/>
        <v>#N/A</v>
      </c>
      <c r="L407" t="str">
        <v/>
      </c>
      <c r="M407" t="e">
        <v>#N/A</v>
      </c>
      <c r="N407" t="e">
        <v>#N/A</v>
      </c>
      <c r="O407" t="e">
        <v>#N/A</v>
      </c>
      <c r="R407" t="e">
        <v>#N/A</v>
      </c>
      <c r="T407" t="e">
        <v>#N/A</v>
      </c>
      <c r="U407" t="e">
        <v>#N/A</v>
      </c>
      <c r="Y407" t="str">
        <v/>
      </c>
      <c r="AM407" t="str">
        <v/>
      </c>
      <c r="AN407" t="str">
        <v/>
      </c>
      <c r="AO407" t="str">
        <v/>
      </c>
      <c r="AQ407" t="str">
        <v/>
      </c>
      <c r="AR407" t="str">
        <v/>
      </c>
      <c r="AS407" t="e">
        <v>#N/A</v>
      </c>
      <c r="AU407" t="str">
        <v/>
      </c>
      <c r="AW407" t="e">
        <v>#N/A</v>
      </c>
    </row>
    <row r="408" spans="1:49" x14ac:dyDescent="0.25">
      <c r="A408" t="str">
        <v/>
      </c>
      <c r="B408" t="str">
        <v/>
      </c>
      <c r="C408" t="e">
        <v>#N/A</v>
      </c>
      <c r="D408" t="e">
        <v>#N/A</v>
      </c>
      <c r="J408" t="str">
        <v/>
      </c>
      <c r="K408" t="e">
        <f ca="1"/>
        <v>#N/A</v>
      </c>
      <c r="L408" t="str">
        <v/>
      </c>
      <c r="M408" t="e">
        <v>#N/A</v>
      </c>
      <c r="N408" t="e">
        <v>#N/A</v>
      </c>
      <c r="O408" t="e">
        <v>#N/A</v>
      </c>
      <c r="R408" t="e">
        <v>#N/A</v>
      </c>
      <c r="T408" t="e">
        <v>#N/A</v>
      </c>
      <c r="U408" t="e">
        <v>#N/A</v>
      </c>
      <c r="Y408" t="str">
        <v/>
      </c>
      <c r="AM408" t="str">
        <v/>
      </c>
      <c r="AN408" t="str">
        <v/>
      </c>
      <c r="AO408" t="str">
        <v/>
      </c>
      <c r="AQ408" t="str">
        <v/>
      </c>
      <c r="AR408" t="str">
        <v/>
      </c>
      <c r="AS408" t="e">
        <v>#N/A</v>
      </c>
      <c r="AU408" t="str">
        <v/>
      </c>
      <c r="AW408" t="e">
        <v>#N/A</v>
      </c>
    </row>
    <row r="409" spans="1:49" x14ac:dyDescent="0.25">
      <c r="A409" t="str">
        <v/>
      </c>
      <c r="B409" t="str">
        <v/>
      </c>
      <c r="C409" t="e">
        <v>#N/A</v>
      </c>
      <c r="D409" t="e">
        <v>#N/A</v>
      </c>
      <c r="J409" t="str">
        <v/>
      </c>
      <c r="K409" t="e">
        <f ca="1"/>
        <v>#N/A</v>
      </c>
      <c r="L409" t="str">
        <v/>
      </c>
      <c r="M409" t="e">
        <v>#N/A</v>
      </c>
      <c r="N409" t="e">
        <v>#N/A</v>
      </c>
      <c r="O409" t="e">
        <v>#N/A</v>
      </c>
      <c r="R409" t="e">
        <v>#N/A</v>
      </c>
      <c r="T409" t="e">
        <v>#N/A</v>
      </c>
      <c r="U409" t="e">
        <v>#N/A</v>
      </c>
      <c r="Y409" t="str">
        <v/>
      </c>
      <c r="AM409" t="str">
        <v/>
      </c>
      <c r="AN409" t="str">
        <v/>
      </c>
      <c r="AO409" t="str">
        <v/>
      </c>
      <c r="AQ409" t="str">
        <v/>
      </c>
      <c r="AR409" t="str">
        <v/>
      </c>
      <c r="AS409" t="e">
        <v>#N/A</v>
      </c>
      <c r="AU409" t="str">
        <v/>
      </c>
      <c r="AW409" t="e">
        <v>#N/A</v>
      </c>
    </row>
    <row r="410" spans="1:49" x14ac:dyDescent="0.25">
      <c r="A410" t="str">
        <v/>
      </c>
      <c r="B410" t="str">
        <v/>
      </c>
      <c r="C410" t="e">
        <v>#N/A</v>
      </c>
      <c r="D410" t="e">
        <v>#N/A</v>
      </c>
      <c r="J410" t="str">
        <v/>
      </c>
      <c r="K410" t="e">
        <f ca="1"/>
        <v>#N/A</v>
      </c>
      <c r="L410" t="str">
        <v/>
      </c>
      <c r="M410" t="e">
        <v>#N/A</v>
      </c>
      <c r="N410" t="e">
        <v>#N/A</v>
      </c>
      <c r="O410" t="e">
        <v>#N/A</v>
      </c>
      <c r="R410" t="e">
        <v>#N/A</v>
      </c>
      <c r="T410" t="e">
        <v>#N/A</v>
      </c>
      <c r="U410" t="e">
        <v>#N/A</v>
      </c>
      <c r="Y410" t="str">
        <v/>
      </c>
      <c r="AM410" t="str">
        <v/>
      </c>
      <c r="AN410" t="str">
        <v/>
      </c>
      <c r="AO410" t="str">
        <v/>
      </c>
      <c r="AQ410" t="str">
        <v/>
      </c>
      <c r="AR410" t="str">
        <v/>
      </c>
      <c r="AS410" t="e">
        <v>#N/A</v>
      </c>
      <c r="AU410" t="str">
        <v/>
      </c>
      <c r="AW410" t="e">
        <v>#N/A</v>
      </c>
    </row>
    <row r="411" spans="1:49" x14ac:dyDescent="0.25">
      <c r="A411" t="str">
        <v/>
      </c>
      <c r="B411" t="str">
        <v/>
      </c>
      <c r="C411" t="e">
        <v>#N/A</v>
      </c>
      <c r="D411" t="e">
        <v>#N/A</v>
      </c>
      <c r="J411" t="str">
        <v/>
      </c>
      <c r="K411" t="e">
        <f ca="1"/>
        <v>#N/A</v>
      </c>
      <c r="L411" t="str">
        <v/>
      </c>
      <c r="M411" t="e">
        <v>#N/A</v>
      </c>
      <c r="N411" t="e">
        <v>#N/A</v>
      </c>
      <c r="O411" t="e">
        <v>#N/A</v>
      </c>
      <c r="R411" t="e">
        <v>#N/A</v>
      </c>
      <c r="T411" t="e">
        <v>#N/A</v>
      </c>
      <c r="U411" t="e">
        <v>#N/A</v>
      </c>
      <c r="Y411" t="str">
        <v/>
      </c>
      <c r="AM411" t="str">
        <v/>
      </c>
      <c r="AN411" t="str">
        <v/>
      </c>
      <c r="AO411" t="str">
        <v/>
      </c>
      <c r="AQ411" t="str">
        <v/>
      </c>
      <c r="AR411" t="str">
        <v/>
      </c>
      <c r="AS411" t="e">
        <v>#N/A</v>
      </c>
      <c r="AU411" t="str">
        <v/>
      </c>
      <c r="AW411" t="e">
        <v>#N/A</v>
      </c>
    </row>
    <row r="412" spans="1:49" x14ac:dyDescent="0.25">
      <c r="A412" t="str">
        <v/>
      </c>
      <c r="B412" t="str">
        <v/>
      </c>
      <c r="C412" t="e">
        <v>#N/A</v>
      </c>
      <c r="D412" t="e">
        <v>#N/A</v>
      </c>
      <c r="J412" t="str">
        <v/>
      </c>
      <c r="K412" t="e">
        <f ca="1"/>
        <v>#N/A</v>
      </c>
      <c r="L412" t="str">
        <v/>
      </c>
      <c r="M412" t="e">
        <v>#N/A</v>
      </c>
      <c r="N412" t="e">
        <v>#N/A</v>
      </c>
      <c r="O412" t="e">
        <v>#N/A</v>
      </c>
      <c r="R412" t="e">
        <v>#N/A</v>
      </c>
      <c r="T412" t="e">
        <v>#N/A</v>
      </c>
      <c r="U412" t="e">
        <v>#N/A</v>
      </c>
      <c r="Y412" t="str">
        <v/>
      </c>
      <c r="AM412" t="str">
        <v/>
      </c>
      <c r="AN412" t="str">
        <v/>
      </c>
      <c r="AO412" t="str">
        <v/>
      </c>
      <c r="AQ412" t="str">
        <v/>
      </c>
      <c r="AR412" t="str">
        <v/>
      </c>
      <c r="AS412" t="e">
        <v>#N/A</v>
      </c>
      <c r="AU412" t="str">
        <v/>
      </c>
      <c r="AW412" t="e">
        <v>#N/A</v>
      </c>
    </row>
    <row r="413" spans="1:49" x14ac:dyDescent="0.25">
      <c r="A413" t="str">
        <v/>
      </c>
      <c r="B413" t="str">
        <v/>
      </c>
      <c r="C413" t="e">
        <v>#N/A</v>
      </c>
      <c r="D413" t="e">
        <v>#N/A</v>
      </c>
      <c r="J413" t="str">
        <v/>
      </c>
      <c r="K413" t="e">
        <f ca="1"/>
        <v>#N/A</v>
      </c>
      <c r="L413" t="str">
        <v/>
      </c>
      <c r="M413" t="e">
        <v>#N/A</v>
      </c>
      <c r="N413" t="e">
        <v>#N/A</v>
      </c>
      <c r="O413" t="e">
        <v>#N/A</v>
      </c>
      <c r="R413" t="e">
        <v>#N/A</v>
      </c>
      <c r="T413" t="e">
        <v>#N/A</v>
      </c>
      <c r="U413" t="e">
        <v>#N/A</v>
      </c>
      <c r="Y413" t="str">
        <v/>
      </c>
      <c r="AM413" t="str">
        <v/>
      </c>
      <c r="AN413" t="str">
        <v/>
      </c>
      <c r="AO413" t="str">
        <v/>
      </c>
      <c r="AQ413" t="str">
        <v/>
      </c>
      <c r="AR413" t="str">
        <v/>
      </c>
      <c r="AS413" t="e">
        <v>#N/A</v>
      </c>
      <c r="AU413" t="str">
        <v/>
      </c>
      <c r="AW413" t="e">
        <v>#N/A</v>
      </c>
    </row>
    <row r="414" spans="1:49" x14ac:dyDescent="0.25">
      <c r="A414" t="str">
        <v/>
      </c>
      <c r="B414" t="str">
        <v/>
      </c>
      <c r="C414" t="e">
        <v>#N/A</v>
      </c>
      <c r="D414" t="e">
        <v>#N/A</v>
      </c>
      <c r="J414" t="str">
        <v/>
      </c>
      <c r="K414" t="e">
        <f ca="1"/>
        <v>#N/A</v>
      </c>
      <c r="L414" t="str">
        <v/>
      </c>
      <c r="M414" t="e">
        <v>#N/A</v>
      </c>
      <c r="N414" t="e">
        <v>#N/A</v>
      </c>
      <c r="O414" t="e">
        <v>#N/A</v>
      </c>
      <c r="R414" t="e">
        <v>#N/A</v>
      </c>
      <c r="T414" t="e">
        <v>#N/A</v>
      </c>
      <c r="U414" t="e">
        <v>#N/A</v>
      </c>
      <c r="Y414" t="str">
        <v/>
      </c>
      <c r="AM414" t="str">
        <v/>
      </c>
      <c r="AN414" t="str">
        <v/>
      </c>
      <c r="AO414" t="str">
        <v/>
      </c>
      <c r="AQ414" t="str">
        <v/>
      </c>
      <c r="AR414" t="str">
        <v/>
      </c>
      <c r="AS414" t="e">
        <v>#N/A</v>
      </c>
      <c r="AU414" t="str">
        <v/>
      </c>
      <c r="AW414" t="e">
        <v>#N/A</v>
      </c>
    </row>
    <row r="415" spans="1:49" x14ac:dyDescent="0.25">
      <c r="A415" t="str">
        <v/>
      </c>
      <c r="B415" t="str">
        <v/>
      </c>
      <c r="C415" t="e">
        <v>#N/A</v>
      </c>
      <c r="D415" t="e">
        <v>#N/A</v>
      </c>
      <c r="J415" t="str">
        <v/>
      </c>
      <c r="K415" t="e">
        <f ca="1"/>
        <v>#N/A</v>
      </c>
      <c r="L415" t="str">
        <v/>
      </c>
      <c r="M415" t="e">
        <v>#N/A</v>
      </c>
      <c r="N415" t="e">
        <v>#N/A</v>
      </c>
      <c r="O415" t="e">
        <v>#N/A</v>
      </c>
      <c r="R415" t="e">
        <v>#N/A</v>
      </c>
      <c r="T415" t="e">
        <v>#N/A</v>
      </c>
      <c r="U415" t="e">
        <v>#N/A</v>
      </c>
      <c r="Y415" t="str">
        <v/>
      </c>
      <c r="AM415" t="str">
        <v/>
      </c>
      <c r="AN415" t="str">
        <v/>
      </c>
      <c r="AO415" t="str">
        <v/>
      </c>
      <c r="AQ415" t="str">
        <v/>
      </c>
      <c r="AR415" t="str">
        <v/>
      </c>
      <c r="AS415" t="e">
        <v>#N/A</v>
      </c>
      <c r="AU415" t="str">
        <v/>
      </c>
      <c r="AW415" t="e">
        <v>#N/A</v>
      </c>
    </row>
    <row r="416" spans="1:49" x14ac:dyDescent="0.25">
      <c r="A416" t="str">
        <v/>
      </c>
      <c r="B416" t="str">
        <v/>
      </c>
      <c r="C416" t="e">
        <v>#N/A</v>
      </c>
      <c r="D416" t="e">
        <v>#N/A</v>
      </c>
      <c r="J416" t="str">
        <v/>
      </c>
      <c r="K416" t="e">
        <f ca="1"/>
        <v>#N/A</v>
      </c>
      <c r="L416" t="str">
        <v/>
      </c>
      <c r="M416" t="e">
        <v>#N/A</v>
      </c>
      <c r="N416" t="e">
        <v>#N/A</v>
      </c>
      <c r="O416" t="e">
        <v>#N/A</v>
      </c>
      <c r="R416" t="e">
        <v>#N/A</v>
      </c>
      <c r="T416" t="e">
        <v>#N/A</v>
      </c>
      <c r="U416" t="e">
        <v>#N/A</v>
      </c>
      <c r="Y416" t="str">
        <v/>
      </c>
      <c r="AM416" t="str">
        <v/>
      </c>
      <c r="AN416" t="str">
        <v/>
      </c>
      <c r="AO416" t="str">
        <v/>
      </c>
      <c r="AQ416" t="str">
        <v/>
      </c>
      <c r="AR416" t="str">
        <v/>
      </c>
      <c r="AS416" t="e">
        <v>#N/A</v>
      </c>
      <c r="AU416" t="str">
        <v/>
      </c>
      <c r="AW416" t="e">
        <v>#N/A</v>
      </c>
    </row>
    <row r="417" spans="1:49" x14ac:dyDescent="0.25">
      <c r="A417" t="str">
        <v/>
      </c>
      <c r="B417" t="str">
        <v/>
      </c>
      <c r="C417" t="e">
        <v>#N/A</v>
      </c>
      <c r="D417" t="e">
        <v>#N/A</v>
      </c>
      <c r="J417" t="str">
        <v/>
      </c>
      <c r="K417" t="e">
        <f ca="1"/>
        <v>#N/A</v>
      </c>
      <c r="L417" t="str">
        <v/>
      </c>
      <c r="M417" t="e">
        <v>#N/A</v>
      </c>
      <c r="N417" t="e">
        <v>#N/A</v>
      </c>
      <c r="O417" t="e">
        <v>#N/A</v>
      </c>
      <c r="R417" t="e">
        <v>#N/A</v>
      </c>
      <c r="T417" t="e">
        <v>#N/A</v>
      </c>
      <c r="U417" t="e">
        <v>#N/A</v>
      </c>
      <c r="Y417" t="str">
        <v/>
      </c>
      <c r="AM417" t="str">
        <v/>
      </c>
      <c r="AN417" t="str">
        <v/>
      </c>
      <c r="AO417" t="str">
        <v/>
      </c>
      <c r="AQ417" t="str">
        <v/>
      </c>
      <c r="AR417" t="str">
        <v/>
      </c>
      <c r="AS417" t="e">
        <v>#N/A</v>
      </c>
      <c r="AU417" t="str">
        <v/>
      </c>
      <c r="AW417" t="e">
        <v>#N/A</v>
      </c>
    </row>
    <row r="418" spans="1:49" x14ac:dyDescent="0.25">
      <c r="A418" t="str">
        <v/>
      </c>
      <c r="B418" t="str">
        <v/>
      </c>
      <c r="C418" t="e">
        <v>#N/A</v>
      </c>
      <c r="D418" t="e">
        <v>#N/A</v>
      </c>
      <c r="J418" t="str">
        <v/>
      </c>
      <c r="K418" t="e">
        <f ca="1"/>
        <v>#N/A</v>
      </c>
      <c r="L418" t="str">
        <v/>
      </c>
      <c r="M418" t="e">
        <v>#N/A</v>
      </c>
      <c r="N418" t="e">
        <v>#N/A</v>
      </c>
      <c r="O418" t="e">
        <v>#N/A</v>
      </c>
      <c r="R418" t="e">
        <v>#N/A</v>
      </c>
      <c r="T418" t="e">
        <v>#N/A</v>
      </c>
      <c r="U418" t="e">
        <v>#N/A</v>
      </c>
      <c r="Y418" t="str">
        <v/>
      </c>
      <c r="AM418" t="str">
        <v/>
      </c>
      <c r="AN418" t="str">
        <v/>
      </c>
      <c r="AO418" t="str">
        <v/>
      </c>
      <c r="AQ418" t="str">
        <v/>
      </c>
      <c r="AR418" t="str">
        <v/>
      </c>
      <c r="AS418" t="e">
        <v>#N/A</v>
      </c>
      <c r="AU418" t="str">
        <v/>
      </c>
      <c r="AW418" t="e">
        <v>#N/A</v>
      </c>
    </row>
    <row r="419" spans="1:49" x14ac:dyDescent="0.25">
      <c r="A419" t="str">
        <v/>
      </c>
      <c r="B419" t="str">
        <v/>
      </c>
      <c r="C419" t="e">
        <v>#N/A</v>
      </c>
      <c r="D419" t="e">
        <v>#N/A</v>
      </c>
      <c r="J419" t="str">
        <v/>
      </c>
      <c r="K419" t="e">
        <f ca="1"/>
        <v>#N/A</v>
      </c>
      <c r="L419" t="str">
        <v/>
      </c>
      <c r="M419" t="e">
        <v>#N/A</v>
      </c>
      <c r="N419" t="e">
        <v>#N/A</v>
      </c>
      <c r="O419" t="e">
        <v>#N/A</v>
      </c>
      <c r="R419" t="e">
        <v>#N/A</v>
      </c>
      <c r="T419" t="e">
        <v>#N/A</v>
      </c>
      <c r="U419" t="e">
        <v>#N/A</v>
      </c>
      <c r="Y419" t="str">
        <v/>
      </c>
      <c r="AM419" t="str">
        <v/>
      </c>
      <c r="AN419" t="str">
        <v/>
      </c>
      <c r="AO419" t="str">
        <v/>
      </c>
      <c r="AQ419" t="str">
        <v/>
      </c>
      <c r="AR419" t="str">
        <v/>
      </c>
      <c r="AS419" t="e">
        <v>#N/A</v>
      </c>
      <c r="AU419" t="str">
        <v/>
      </c>
      <c r="AW419" t="e">
        <v>#N/A</v>
      </c>
    </row>
    <row r="420" spans="1:49" x14ac:dyDescent="0.25">
      <c r="A420" t="str">
        <v/>
      </c>
      <c r="B420" t="str">
        <v/>
      </c>
      <c r="C420" t="e">
        <v>#N/A</v>
      </c>
      <c r="D420" t="e">
        <v>#N/A</v>
      </c>
      <c r="J420" t="str">
        <v/>
      </c>
      <c r="K420" t="e">
        <f ca="1"/>
        <v>#N/A</v>
      </c>
      <c r="L420" t="str">
        <v/>
      </c>
      <c r="M420" t="e">
        <v>#N/A</v>
      </c>
      <c r="N420" t="e">
        <v>#N/A</v>
      </c>
      <c r="O420" t="e">
        <v>#N/A</v>
      </c>
      <c r="R420" t="e">
        <v>#N/A</v>
      </c>
      <c r="T420" t="e">
        <v>#N/A</v>
      </c>
      <c r="U420" t="e">
        <v>#N/A</v>
      </c>
      <c r="Y420" t="str">
        <v/>
      </c>
      <c r="AM420" t="str">
        <v/>
      </c>
      <c r="AN420" t="str">
        <v/>
      </c>
      <c r="AO420" t="str">
        <v/>
      </c>
      <c r="AQ420" t="str">
        <v/>
      </c>
      <c r="AR420" t="str">
        <v/>
      </c>
      <c r="AS420" t="e">
        <v>#N/A</v>
      </c>
      <c r="AU420" t="str">
        <v/>
      </c>
      <c r="AW420" t="e">
        <v>#N/A</v>
      </c>
    </row>
    <row r="421" spans="1:49" x14ac:dyDescent="0.25">
      <c r="A421" t="str">
        <v/>
      </c>
      <c r="B421" t="str">
        <v/>
      </c>
      <c r="C421" t="e">
        <v>#N/A</v>
      </c>
      <c r="D421" t="e">
        <v>#N/A</v>
      </c>
      <c r="J421" t="str">
        <v/>
      </c>
      <c r="K421" t="e">
        <f ca="1"/>
        <v>#N/A</v>
      </c>
      <c r="L421" t="str">
        <v/>
      </c>
      <c r="M421" t="e">
        <v>#N/A</v>
      </c>
      <c r="N421" t="e">
        <v>#N/A</v>
      </c>
      <c r="O421" t="e">
        <v>#N/A</v>
      </c>
      <c r="R421" t="e">
        <v>#N/A</v>
      </c>
      <c r="T421" t="e">
        <v>#N/A</v>
      </c>
      <c r="U421" t="e">
        <v>#N/A</v>
      </c>
      <c r="Y421" t="str">
        <v/>
      </c>
      <c r="AM421" t="str">
        <v/>
      </c>
      <c r="AN421" t="str">
        <v/>
      </c>
      <c r="AO421" t="str">
        <v/>
      </c>
      <c r="AQ421" t="str">
        <v/>
      </c>
      <c r="AR421" t="str">
        <v/>
      </c>
      <c r="AS421" t="e">
        <v>#N/A</v>
      </c>
      <c r="AU421" t="str">
        <v/>
      </c>
      <c r="AW421" t="e">
        <v>#N/A</v>
      </c>
    </row>
    <row r="422" spans="1:49" x14ac:dyDescent="0.25">
      <c r="A422" t="str">
        <v/>
      </c>
      <c r="B422" t="str">
        <v/>
      </c>
      <c r="C422" t="e">
        <v>#N/A</v>
      </c>
      <c r="D422" t="e">
        <v>#N/A</v>
      </c>
      <c r="J422" t="str">
        <v/>
      </c>
      <c r="K422" t="e">
        <f ca="1"/>
        <v>#N/A</v>
      </c>
      <c r="L422" t="str">
        <v/>
      </c>
      <c r="M422" t="e">
        <v>#N/A</v>
      </c>
      <c r="N422" t="e">
        <v>#N/A</v>
      </c>
      <c r="O422" t="e">
        <v>#N/A</v>
      </c>
      <c r="R422" t="e">
        <v>#N/A</v>
      </c>
      <c r="T422" t="e">
        <v>#N/A</v>
      </c>
      <c r="U422" t="e">
        <v>#N/A</v>
      </c>
      <c r="Y422" t="str">
        <v/>
      </c>
      <c r="AM422" t="str">
        <v/>
      </c>
      <c r="AN422" t="str">
        <v/>
      </c>
      <c r="AO422" t="str">
        <v/>
      </c>
      <c r="AQ422" t="str">
        <v/>
      </c>
      <c r="AR422" t="str">
        <v/>
      </c>
      <c r="AS422" t="e">
        <v>#N/A</v>
      </c>
      <c r="AU422" t="str">
        <v/>
      </c>
      <c r="AW422" t="e">
        <v>#N/A</v>
      </c>
    </row>
    <row r="423" spans="1:49" x14ac:dyDescent="0.25">
      <c r="A423" t="str">
        <v/>
      </c>
      <c r="B423" t="str">
        <v/>
      </c>
      <c r="C423" t="e">
        <v>#N/A</v>
      </c>
      <c r="D423" t="e">
        <v>#N/A</v>
      </c>
      <c r="J423" t="str">
        <v/>
      </c>
      <c r="K423" t="e">
        <f ca="1"/>
        <v>#N/A</v>
      </c>
      <c r="L423" t="str">
        <v/>
      </c>
      <c r="M423" t="e">
        <v>#N/A</v>
      </c>
      <c r="N423" t="e">
        <v>#N/A</v>
      </c>
      <c r="O423" t="e">
        <v>#N/A</v>
      </c>
      <c r="R423" t="e">
        <v>#N/A</v>
      </c>
      <c r="T423" t="e">
        <v>#N/A</v>
      </c>
      <c r="U423" t="e">
        <v>#N/A</v>
      </c>
      <c r="Y423" t="str">
        <v/>
      </c>
      <c r="AM423" t="str">
        <v/>
      </c>
      <c r="AN423" t="str">
        <v/>
      </c>
      <c r="AO423" t="str">
        <v/>
      </c>
      <c r="AQ423" t="str">
        <v/>
      </c>
      <c r="AR423" t="str">
        <v/>
      </c>
      <c r="AS423" t="e">
        <v>#N/A</v>
      </c>
      <c r="AU423" t="str">
        <v/>
      </c>
      <c r="AW423" t="e">
        <v>#N/A</v>
      </c>
    </row>
    <row r="424" spans="1:49" x14ac:dyDescent="0.25">
      <c r="A424" t="str">
        <v/>
      </c>
      <c r="B424" t="str">
        <v/>
      </c>
      <c r="C424" t="e">
        <v>#N/A</v>
      </c>
      <c r="D424" t="e">
        <v>#N/A</v>
      </c>
      <c r="J424" t="str">
        <v/>
      </c>
      <c r="K424" t="e">
        <f ca="1"/>
        <v>#N/A</v>
      </c>
      <c r="L424" t="str">
        <v/>
      </c>
      <c r="M424" t="e">
        <v>#N/A</v>
      </c>
      <c r="N424" t="e">
        <v>#N/A</v>
      </c>
      <c r="O424" t="e">
        <v>#N/A</v>
      </c>
      <c r="R424" t="e">
        <v>#N/A</v>
      </c>
      <c r="T424" t="e">
        <v>#N/A</v>
      </c>
      <c r="U424" t="e">
        <v>#N/A</v>
      </c>
      <c r="Y424" t="str">
        <v/>
      </c>
      <c r="AM424" t="str">
        <v/>
      </c>
      <c r="AN424" t="str">
        <v/>
      </c>
      <c r="AO424" t="str">
        <v/>
      </c>
      <c r="AQ424" t="str">
        <v/>
      </c>
      <c r="AR424" t="str">
        <v/>
      </c>
      <c r="AS424" t="e">
        <v>#N/A</v>
      </c>
      <c r="AU424" t="str">
        <v/>
      </c>
      <c r="AW424" t="e">
        <v>#N/A</v>
      </c>
    </row>
    <row r="425" spans="1:49" x14ac:dyDescent="0.25">
      <c r="A425" t="str">
        <v/>
      </c>
      <c r="B425" t="str">
        <v/>
      </c>
      <c r="C425" t="e">
        <v>#N/A</v>
      </c>
      <c r="D425" t="e">
        <v>#N/A</v>
      </c>
      <c r="J425" t="str">
        <v/>
      </c>
      <c r="K425" t="e">
        <f ca="1"/>
        <v>#N/A</v>
      </c>
      <c r="L425" t="str">
        <v/>
      </c>
      <c r="M425" t="e">
        <v>#N/A</v>
      </c>
      <c r="N425" t="e">
        <v>#N/A</v>
      </c>
      <c r="O425" t="e">
        <v>#N/A</v>
      </c>
      <c r="R425" t="e">
        <v>#N/A</v>
      </c>
      <c r="T425" t="e">
        <v>#N/A</v>
      </c>
      <c r="U425" t="e">
        <v>#N/A</v>
      </c>
      <c r="Y425" t="str">
        <v/>
      </c>
      <c r="AM425" t="str">
        <v/>
      </c>
      <c r="AN425" t="str">
        <v/>
      </c>
      <c r="AO425" t="str">
        <v/>
      </c>
      <c r="AQ425" t="str">
        <v/>
      </c>
      <c r="AR425" t="str">
        <v/>
      </c>
      <c r="AS425" t="e">
        <v>#N/A</v>
      </c>
      <c r="AU425" t="str">
        <v/>
      </c>
      <c r="AW425" t="e">
        <v>#N/A</v>
      </c>
    </row>
    <row r="426" spans="1:49" x14ac:dyDescent="0.25">
      <c r="A426" t="str">
        <v/>
      </c>
      <c r="B426" t="str">
        <v/>
      </c>
      <c r="C426" t="e">
        <v>#N/A</v>
      </c>
      <c r="D426" t="e">
        <v>#N/A</v>
      </c>
      <c r="J426" t="str">
        <v/>
      </c>
      <c r="K426" t="e">
        <f ca="1"/>
        <v>#N/A</v>
      </c>
      <c r="L426" t="str">
        <v/>
      </c>
      <c r="M426" t="e">
        <v>#N/A</v>
      </c>
      <c r="N426" t="e">
        <v>#N/A</v>
      </c>
      <c r="O426" t="e">
        <v>#N/A</v>
      </c>
      <c r="R426" t="e">
        <v>#N/A</v>
      </c>
      <c r="T426" t="e">
        <v>#N/A</v>
      </c>
      <c r="U426" t="e">
        <v>#N/A</v>
      </c>
      <c r="Y426" t="str">
        <v/>
      </c>
      <c r="AM426" t="str">
        <v/>
      </c>
      <c r="AN426" t="str">
        <v/>
      </c>
      <c r="AO426" t="str">
        <v/>
      </c>
      <c r="AQ426" t="str">
        <v/>
      </c>
      <c r="AR426" t="str">
        <v/>
      </c>
      <c r="AS426" t="e">
        <v>#N/A</v>
      </c>
      <c r="AU426" t="str">
        <v/>
      </c>
      <c r="AW426" t="e">
        <v>#N/A</v>
      </c>
    </row>
    <row r="427" spans="1:49" x14ac:dyDescent="0.25">
      <c r="A427" t="str">
        <v/>
      </c>
      <c r="B427" t="str">
        <v/>
      </c>
      <c r="C427" t="e">
        <v>#N/A</v>
      </c>
      <c r="D427" t="e">
        <v>#N/A</v>
      </c>
      <c r="J427" t="str">
        <v/>
      </c>
      <c r="K427" t="e">
        <f ca="1"/>
        <v>#N/A</v>
      </c>
      <c r="L427" t="str">
        <v/>
      </c>
      <c r="M427" t="e">
        <v>#N/A</v>
      </c>
      <c r="N427" t="e">
        <v>#N/A</v>
      </c>
      <c r="O427" t="e">
        <v>#N/A</v>
      </c>
      <c r="R427" t="e">
        <v>#N/A</v>
      </c>
      <c r="T427" t="e">
        <v>#N/A</v>
      </c>
      <c r="U427" t="e">
        <v>#N/A</v>
      </c>
      <c r="Y427" t="str">
        <v/>
      </c>
      <c r="AM427" t="str">
        <v/>
      </c>
      <c r="AN427" t="str">
        <v/>
      </c>
      <c r="AO427" t="str">
        <v/>
      </c>
      <c r="AQ427" t="str">
        <v/>
      </c>
      <c r="AR427" t="str">
        <v/>
      </c>
      <c r="AS427" t="e">
        <v>#N/A</v>
      </c>
      <c r="AU427" t="str">
        <v/>
      </c>
      <c r="AW427" t="e">
        <v>#N/A</v>
      </c>
    </row>
    <row r="428" spans="1:49" x14ac:dyDescent="0.25">
      <c r="A428" t="str">
        <v/>
      </c>
      <c r="B428" t="str">
        <v/>
      </c>
      <c r="C428" t="e">
        <v>#N/A</v>
      </c>
      <c r="D428" t="e">
        <v>#N/A</v>
      </c>
      <c r="J428" t="str">
        <v/>
      </c>
      <c r="K428" t="e">
        <f ca="1"/>
        <v>#N/A</v>
      </c>
      <c r="L428" t="str">
        <v/>
      </c>
      <c r="M428" t="e">
        <v>#N/A</v>
      </c>
      <c r="N428" t="e">
        <v>#N/A</v>
      </c>
      <c r="O428" t="e">
        <v>#N/A</v>
      </c>
      <c r="R428" t="e">
        <v>#N/A</v>
      </c>
      <c r="T428" t="e">
        <v>#N/A</v>
      </c>
      <c r="U428" t="e">
        <v>#N/A</v>
      </c>
      <c r="Y428" t="str">
        <v/>
      </c>
      <c r="AM428" t="str">
        <v/>
      </c>
      <c r="AN428" t="str">
        <v/>
      </c>
      <c r="AO428" t="str">
        <v/>
      </c>
      <c r="AQ428" t="str">
        <v/>
      </c>
      <c r="AR428" t="str">
        <v/>
      </c>
      <c r="AS428" t="e">
        <v>#N/A</v>
      </c>
      <c r="AU428" t="str">
        <v/>
      </c>
      <c r="AW428" t="e">
        <v>#N/A</v>
      </c>
    </row>
    <row r="429" spans="1:49" x14ac:dyDescent="0.25">
      <c r="A429" t="str">
        <v/>
      </c>
      <c r="B429" t="str">
        <v/>
      </c>
      <c r="C429" t="e">
        <v>#N/A</v>
      </c>
      <c r="D429" t="e">
        <v>#N/A</v>
      </c>
      <c r="J429" t="str">
        <v/>
      </c>
      <c r="K429" t="e">
        <f ca="1"/>
        <v>#N/A</v>
      </c>
      <c r="L429" t="str">
        <v/>
      </c>
      <c r="M429" t="e">
        <v>#N/A</v>
      </c>
      <c r="N429" t="e">
        <v>#N/A</v>
      </c>
      <c r="O429" t="e">
        <v>#N/A</v>
      </c>
      <c r="R429" t="e">
        <v>#N/A</v>
      </c>
      <c r="T429" t="e">
        <v>#N/A</v>
      </c>
      <c r="U429" t="e">
        <v>#N/A</v>
      </c>
      <c r="Y429" t="str">
        <v/>
      </c>
      <c r="AM429" t="str">
        <v/>
      </c>
      <c r="AN429" t="str">
        <v/>
      </c>
      <c r="AO429" t="str">
        <v/>
      </c>
      <c r="AQ429" t="str">
        <v/>
      </c>
      <c r="AR429" t="str">
        <v/>
      </c>
      <c r="AS429" t="e">
        <v>#N/A</v>
      </c>
      <c r="AU429" t="str">
        <v/>
      </c>
      <c r="AW429" t="e">
        <v>#N/A</v>
      </c>
    </row>
    <row r="430" spans="1:49" x14ac:dyDescent="0.25">
      <c r="A430" t="str">
        <v/>
      </c>
      <c r="B430" t="str">
        <v/>
      </c>
      <c r="C430" t="e">
        <v>#N/A</v>
      </c>
      <c r="D430" t="e">
        <v>#N/A</v>
      </c>
      <c r="J430" t="str">
        <v/>
      </c>
      <c r="K430" t="e">
        <f ca="1"/>
        <v>#N/A</v>
      </c>
      <c r="L430" t="str">
        <v/>
      </c>
      <c r="M430" t="e">
        <v>#N/A</v>
      </c>
      <c r="N430" t="e">
        <v>#N/A</v>
      </c>
      <c r="O430" t="e">
        <v>#N/A</v>
      </c>
      <c r="R430" t="e">
        <v>#N/A</v>
      </c>
      <c r="T430" t="e">
        <v>#N/A</v>
      </c>
      <c r="U430" t="e">
        <v>#N/A</v>
      </c>
      <c r="Y430" t="str">
        <v/>
      </c>
      <c r="AM430" t="str">
        <v/>
      </c>
      <c r="AN430" t="str">
        <v/>
      </c>
      <c r="AO430" t="str">
        <v/>
      </c>
      <c r="AQ430" t="str">
        <v/>
      </c>
      <c r="AR430" t="str">
        <v/>
      </c>
      <c r="AS430" t="e">
        <v>#N/A</v>
      </c>
      <c r="AU430" t="str">
        <v/>
      </c>
      <c r="AW430" t="e">
        <v>#N/A</v>
      </c>
    </row>
    <row r="431" spans="1:49" x14ac:dyDescent="0.25">
      <c r="A431" t="str">
        <v/>
      </c>
      <c r="B431" t="str">
        <v/>
      </c>
      <c r="C431" t="e">
        <v>#N/A</v>
      </c>
      <c r="D431" t="e">
        <v>#N/A</v>
      </c>
      <c r="J431" t="str">
        <v/>
      </c>
      <c r="K431" t="e">
        <f ca="1"/>
        <v>#N/A</v>
      </c>
      <c r="L431" t="str">
        <v/>
      </c>
      <c r="M431" t="e">
        <v>#N/A</v>
      </c>
      <c r="N431" t="e">
        <v>#N/A</v>
      </c>
      <c r="O431" t="e">
        <v>#N/A</v>
      </c>
      <c r="R431" t="e">
        <v>#N/A</v>
      </c>
      <c r="T431" t="e">
        <v>#N/A</v>
      </c>
      <c r="U431" t="e">
        <v>#N/A</v>
      </c>
      <c r="Y431" t="str">
        <v/>
      </c>
      <c r="AM431" t="str">
        <v/>
      </c>
      <c r="AN431" t="str">
        <v/>
      </c>
      <c r="AO431" t="str">
        <v/>
      </c>
      <c r="AQ431" t="str">
        <v/>
      </c>
      <c r="AR431" t="str">
        <v/>
      </c>
      <c r="AS431" t="e">
        <v>#N/A</v>
      </c>
      <c r="AU431" t="str">
        <v/>
      </c>
      <c r="AW431" t="e">
        <v>#N/A</v>
      </c>
    </row>
    <row r="432" spans="1:49" x14ac:dyDescent="0.25">
      <c r="A432" t="str">
        <v/>
      </c>
      <c r="B432" t="str">
        <v/>
      </c>
      <c r="C432" t="e">
        <v>#N/A</v>
      </c>
      <c r="D432" t="e">
        <v>#N/A</v>
      </c>
      <c r="J432" t="str">
        <v/>
      </c>
      <c r="K432" t="e">
        <f ca="1"/>
        <v>#N/A</v>
      </c>
      <c r="L432" t="str">
        <v/>
      </c>
      <c r="M432" t="e">
        <v>#N/A</v>
      </c>
      <c r="N432" t="e">
        <v>#N/A</v>
      </c>
      <c r="O432" t="e">
        <v>#N/A</v>
      </c>
      <c r="R432" t="e">
        <v>#N/A</v>
      </c>
      <c r="T432" t="e">
        <v>#N/A</v>
      </c>
      <c r="U432" t="e">
        <v>#N/A</v>
      </c>
      <c r="Y432" t="str">
        <v/>
      </c>
      <c r="AM432" t="str">
        <v/>
      </c>
      <c r="AN432" t="str">
        <v/>
      </c>
      <c r="AO432" t="str">
        <v/>
      </c>
      <c r="AQ432" t="str">
        <v/>
      </c>
      <c r="AR432" t="str">
        <v/>
      </c>
      <c r="AS432" t="e">
        <v>#N/A</v>
      </c>
      <c r="AU432" t="str">
        <v/>
      </c>
      <c r="AW432" t="e">
        <v>#N/A</v>
      </c>
    </row>
    <row r="433" spans="1:49" x14ac:dyDescent="0.25">
      <c r="A433" t="str">
        <v/>
      </c>
      <c r="B433" t="str">
        <v/>
      </c>
      <c r="C433" t="e">
        <v>#N/A</v>
      </c>
      <c r="D433" t="e">
        <v>#N/A</v>
      </c>
      <c r="J433" t="str">
        <v/>
      </c>
      <c r="K433" t="e">
        <f ca="1"/>
        <v>#N/A</v>
      </c>
      <c r="L433" t="str">
        <v/>
      </c>
      <c r="M433" t="e">
        <v>#N/A</v>
      </c>
      <c r="N433" t="e">
        <v>#N/A</v>
      </c>
      <c r="O433" t="e">
        <v>#N/A</v>
      </c>
      <c r="R433" t="e">
        <v>#N/A</v>
      </c>
      <c r="T433" t="e">
        <v>#N/A</v>
      </c>
      <c r="U433" t="e">
        <v>#N/A</v>
      </c>
      <c r="Y433" t="str">
        <v/>
      </c>
      <c r="AM433" t="str">
        <v/>
      </c>
      <c r="AN433" t="str">
        <v/>
      </c>
      <c r="AO433" t="str">
        <v/>
      </c>
      <c r="AQ433" t="str">
        <v/>
      </c>
      <c r="AR433" t="str">
        <v/>
      </c>
      <c r="AS433" t="e">
        <v>#N/A</v>
      </c>
      <c r="AU433" t="str">
        <v/>
      </c>
      <c r="AW433" t="e">
        <v>#N/A</v>
      </c>
    </row>
    <row r="434" spans="1:49" x14ac:dyDescent="0.25">
      <c r="A434" t="str">
        <v/>
      </c>
      <c r="B434" t="str">
        <v/>
      </c>
      <c r="C434" t="e">
        <v>#N/A</v>
      </c>
      <c r="D434" t="e">
        <v>#N/A</v>
      </c>
      <c r="J434" t="str">
        <v/>
      </c>
      <c r="K434" t="e">
        <f ca="1"/>
        <v>#N/A</v>
      </c>
      <c r="L434" t="str">
        <v/>
      </c>
      <c r="M434" t="e">
        <v>#N/A</v>
      </c>
      <c r="N434" t="e">
        <v>#N/A</v>
      </c>
      <c r="O434" t="e">
        <v>#N/A</v>
      </c>
      <c r="R434" t="e">
        <v>#N/A</v>
      </c>
      <c r="T434" t="e">
        <v>#N/A</v>
      </c>
      <c r="U434" t="e">
        <v>#N/A</v>
      </c>
      <c r="Y434" t="str">
        <v/>
      </c>
      <c r="AM434" t="str">
        <v/>
      </c>
      <c r="AN434" t="str">
        <v/>
      </c>
      <c r="AO434" t="str">
        <v/>
      </c>
      <c r="AQ434" t="str">
        <v/>
      </c>
      <c r="AR434" t="str">
        <v/>
      </c>
      <c r="AS434" t="e">
        <v>#N/A</v>
      </c>
      <c r="AU434" t="str">
        <v/>
      </c>
      <c r="AW434" t="e">
        <v>#N/A</v>
      </c>
    </row>
    <row r="435" spans="1:49" x14ac:dyDescent="0.25">
      <c r="A435" t="str">
        <v/>
      </c>
      <c r="B435" t="str">
        <v/>
      </c>
      <c r="C435" t="e">
        <v>#N/A</v>
      </c>
      <c r="D435" t="e">
        <v>#N/A</v>
      </c>
      <c r="J435" t="str">
        <v/>
      </c>
      <c r="K435" t="e">
        <f ca="1"/>
        <v>#N/A</v>
      </c>
      <c r="L435" t="str">
        <v/>
      </c>
      <c r="M435" t="e">
        <v>#N/A</v>
      </c>
      <c r="N435" t="e">
        <v>#N/A</v>
      </c>
      <c r="O435" t="e">
        <v>#N/A</v>
      </c>
      <c r="R435" t="e">
        <v>#N/A</v>
      </c>
      <c r="T435" t="e">
        <v>#N/A</v>
      </c>
      <c r="U435" t="e">
        <v>#N/A</v>
      </c>
      <c r="Y435" t="str">
        <v/>
      </c>
      <c r="AM435" t="str">
        <v/>
      </c>
      <c r="AN435" t="str">
        <v/>
      </c>
      <c r="AO435" t="str">
        <v/>
      </c>
      <c r="AQ435" t="str">
        <v/>
      </c>
      <c r="AR435" t="str">
        <v/>
      </c>
      <c r="AS435" t="e">
        <v>#N/A</v>
      </c>
      <c r="AU435" t="str">
        <v/>
      </c>
      <c r="AW435" t="e">
        <v>#N/A</v>
      </c>
    </row>
    <row r="436" spans="1:49" x14ac:dyDescent="0.25">
      <c r="A436" t="str">
        <v/>
      </c>
      <c r="B436" t="str">
        <v/>
      </c>
      <c r="C436" t="e">
        <v>#N/A</v>
      </c>
      <c r="D436" t="e">
        <v>#N/A</v>
      </c>
      <c r="J436" t="str">
        <v/>
      </c>
      <c r="K436" t="e">
        <f ca="1"/>
        <v>#N/A</v>
      </c>
      <c r="L436" t="str">
        <v/>
      </c>
      <c r="M436" t="e">
        <v>#N/A</v>
      </c>
      <c r="N436" t="e">
        <v>#N/A</v>
      </c>
      <c r="O436" t="e">
        <v>#N/A</v>
      </c>
      <c r="R436" t="e">
        <v>#N/A</v>
      </c>
      <c r="T436" t="e">
        <v>#N/A</v>
      </c>
      <c r="U436" t="e">
        <v>#N/A</v>
      </c>
      <c r="Y436" t="str">
        <v/>
      </c>
      <c r="AM436" t="str">
        <v/>
      </c>
      <c r="AN436" t="str">
        <v/>
      </c>
      <c r="AO436" t="str">
        <v/>
      </c>
      <c r="AQ436" t="str">
        <v/>
      </c>
      <c r="AR436" t="str">
        <v/>
      </c>
      <c r="AS436" t="e">
        <v>#N/A</v>
      </c>
      <c r="AU436" t="str">
        <v/>
      </c>
      <c r="AW436" t="e">
        <v>#N/A</v>
      </c>
    </row>
    <row r="437" spans="1:49" x14ac:dyDescent="0.25">
      <c r="A437" t="str">
        <v/>
      </c>
      <c r="B437" t="str">
        <v/>
      </c>
      <c r="C437" t="e">
        <v>#N/A</v>
      </c>
      <c r="D437" t="e">
        <v>#N/A</v>
      </c>
      <c r="J437" t="str">
        <v/>
      </c>
      <c r="K437" t="e">
        <f ca="1"/>
        <v>#N/A</v>
      </c>
      <c r="L437" t="str">
        <v/>
      </c>
      <c r="M437" t="e">
        <v>#N/A</v>
      </c>
      <c r="N437" t="e">
        <v>#N/A</v>
      </c>
      <c r="O437" t="e">
        <v>#N/A</v>
      </c>
      <c r="R437" t="e">
        <v>#N/A</v>
      </c>
      <c r="T437" t="e">
        <v>#N/A</v>
      </c>
      <c r="U437" t="e">
        <v>#N/A</v>
      </c>
      <c r="Y437" t="str">
        <v/>
      </c>
      <c r="AM437" t="str">
        <v/>
      </c>
      <c r="AN437" t="str">
        <v/>
      </c>
      <c r="AO437" t="str">
        <v/>
      </c>
      <c r="AQ437" t="str">
        <v/>
      </c>
      <c r="AR437" t="str">
        <v/>
      </c>
      <c r="AS437" t="e">
        <v>#N/A</v>
      </c>
      <c r="AU437" t="str">
        <v/>
      </c>
      <c r="AW437" t="e">
        <v>#N/A</v>
      </c>
    </row>
    <row r="438" spans="1:49" x14ac:dyDescent="0.25">
      <c r="A438" t="str">
        <v/>
      </c>
      <c r="B438" t="str">
        <v/>
      </c>
      <c r="C438" t="e">
        <v>#N/A</v>
      </c>
      <c r="D438" t="e">
        <v>#N/A</v>
      </c>
      <c r="J438" t="str">
        <v/>
      </c>
      <c r="K438" t="e">
        <f ca="1"/>
        <v>#N/A</v>
      </c>
      <c r="L438" t="str">
        <v/>
      </c>
      <c r="M438" t="e">
        <v>#N/A</v>
      </c>
      <c r="N438" t="e">
        <v>#N/A</v>
      </c>
      <c r="O438" t="e">
        <v>#N/A</v>
      </c>
      <c r="R438" t="e">
        <v>#N/A</v>
      </c>
      <c r="T438" t="e">
        <v>#N/A</v>
      </c>
      <c r="U438" t="e">
        <v>#N/A</v>
      </c>
      <c r="Y438" t="str">
        <v/>
      </c>
      <c r="AM438" t="str">
        <v/>
      </c>
      <c r="AN438" t="str">
        <v/>
      </c>
      <c r="AO438" t="str">
        <v/>
      </c>
      <c r="AQ438" t="str">
        <v/>
      </c>
      <c r="AR438" t="str">
        <v/>
      </c>
      <c r="AS438" t="e">
        <v>#N/A</v>
      </c>
      <c r="AU438" t="str">
        <v/>
      </c>
      <c r="AW438" t="e">
        <v>#N/A</v>
      </c>
    </row>
    <row r="439" spans="1:49" x14ac:dyDescent="0.25">
      <c r="A439" t="str">
        <v/>
      </c>
      <c r="B439" t="str">
        <v/>
      </c>
      <c r="C439" t="e">
        <v>#N/A</v>
      </c>
      <c r="D439" t="e">
        <v>#N/A</v>
      </c>
      <c r="J439" t="str">
        <v/>
      </c>
      <c r="K439" t="e">
        <f ca="1"/>
        <v>#N/A</v>
      </c>
      <c r="L439" t="str">
        <v/>
      </c>
      <c r="M439" t="e">
        <v>#N/A</v>
      </c>
      <c r="N439" t="e">
        <v>#N/A</v>
      </c>
      <c r="O439" t="e">
        <v>#N/A</v>
      </c>
      <c r="R439" t="e">
        <v>#N/A</v>
      </c>
      <c r="T439" t="e">
        <v>#N/A</v>
      </c>
      <c r="U439" t="e">
        <v>#N/A</v>
      </c>
      <c r="Y439" t="str">
        <v/>
      </c>
      <c r="AM439" t="str">
        <v/>
      </c>
      <c r="AN439" t="str">
        <v/>
      </c>
      <c r="AO439" t="str">
        <v/>
      </c>
      <c r="AQ439" t="str">
        <v/>
      </c>
      <c r="AR439" t="str">
        <v/>
      </c>
      <c r="AS439" t="e">
        <v>#N/A</v>
      </c>
      <c r="AU439" t="str">
        <v/>
      </c>
      <c r="AW439" t="e">
        <v>#N/A</v>
      </c>
    </row>
    <row r="440" spans="1:49" x14ac:dyDescent="0.25">
      <c r="A440" t="str">
        <v/>
      </c>
      <c r="B440" t="str">
        <v/>
      </c>
      <c r="C440" t="e">
        <v>#N/A</v>
      </c>
      <c r="D440" t="e">
        <v>#N/A</v>
      </c>
      <c r="J440" t="str">
        <v/>
      </c>
      <c r="K440" t="e">
        <f ca="1"/>
        <v>#N/A</v>
      </c>
      <c r="L440" t="str">
        <v/>
      </c>
      <c r="M440" t="e">
        <v>#N/A</v>
      </c>
      <c r="N440" t="e">
        <v>#N/A</v>
      </c>
      <c r="O440" t="e">
        <v>#N/A</v>
      </c>
      <c r="R440" t="e">
        <v>#N/A</v>
      </c>
      <c r="T440" t="e">
        <v>#N/A</v>
      </c>
      <c r="U440" t="e">
        <v>#N/A</v>
      </c>
      <c r="Y440" t="str">
        <v/>
      </c>
      <c r="AM440" t="str">
        <v/>
      </c>
      <c r="AN440" t="str">
        <v/>
      </c>
      <c r="AO440" t="str">
        <v/>
      </c>
      <c r="AQ440" t="str">
        <v/>
      </c>
      <c r="AR440" t="str">
        <v/>
      </c>
      <c r="AS440" t="e">
        <v>#N/A</v>
      </c>
      <c r="AU440" t="str">
        <v/>
      </c>
      <c r="AW440" t="e">
        <v>#N/A</v>
      </c>
    </row>
    <row r="441" spans="1:49" x14ac:dyDescent="0.25">
      <c r="A441" t="str">
        <v/>
      </c>
      <c r="B441" t="str">
        <v/>
      </c>
      <c r="C441" t="e">
        <v>#N/A</v>
      </c>
      <c r="D441" t="e">
        <v>#N/A</v>
      </c>
      <c r="J441" t="str">
        <v/>
      </c>
      <c r="K441" t="e">
        <f ca="1"/>
        <v>#N/A</v>
      </c>
      <c r="L441" t="str">
        <v/>
      </c>
      <c r="M441" t="e">
        <v>#N/A</v>
      </c>
      <c r="N441" t="e">
        <v>#N/A</v>
      </c>
      <c r="O441" t="e">
        <v>#N/A</v>
      </c>
      <c r="R441" t="e">
        <v>#N/A</v>
      </c>
      <c r="T441" t="e">
        <v>#N/A</v>
      </c>
      <c r="U441" t="e">
        <v>#N/A</v>
      </c>
      <c r="Y441" t="str">
        <v/>
      </c>
      <c r="AM441" t="str">
        <v/>
      </c>
      <c r="AN441" t="str">
        <v/>
      </c>
      <c r="AO441" t="str">
        <v/>
      </c>
      <c r="AQ441" t="str">
        <v/>
      </c>
      <c r="AR441" t="str">
        <v/>
      </c>
      <c r="AS441" t="e">
        <v>#N/A</v>
      </c>
      <c r="AU441" t="str">
        <v/>
      </c>
      <c r="AW441" t="e">
        <v>#N/A</v>
      </c>
    </row>
    <row r="442" spans="1:49" x14ac:dyDescent="0.25">
      <c r="A442" t="str">
        <v/>
      </c>
      <c r="B442" t="str">
        <v/>
      </c>
      <c r="C442" t="e">
        <v>#N/A</v>
      </c>
      <c r="D442" t="e">
        <v>#N/A</v>
      </c>
      <c r="J442" t="str">
        <v/>
      </c>
      <c r="K442" t="e">
        <f ca="1"/>
        <v>#N/A</v>
      </c>
      <c r="L442" t="str">
        <v/>
      </c>
      <c r="M442" t="e">
        <v>#N/A</v>
      </c>
      <c r="N442" t="e">
        <v>#N/A</v>
      </c>
      <c r="O442" t="e">
        <v>#N/A</v>
      </c>
      <c r="R442" t="e">
        <v>#N/A</v>
      </c>
      <c r="T442" t="e">
        <v>#N/A</v>
      </c>
      <c r="U442" t="e">
        <v>#N/A</v>
      </c>
      <c r="Y442" t="str">
        <v/>
      </c>
      <c r="AM442" t="str">
        <v/>
      </c>
      <c r="AN442" t="str">
        <v/>
      </c>
      <c r="AO442" t="str">
        <v/>
      </c>
      <c r="AQ442" t="str">
        <v/>
      </c>
      <c r="AR442" t="str">
        <v/>
      </c>
      <c r="AS442" t="e">
        <v>#N/A</v>
      </c>
      <c r="AU442" t="str">
        <v/>
      </c>
      <c r="AW442" t="e">
        <v>#N/A</v>
      </c>
    </row>
    <row r="443" spans="1:49" x14ac:dyDescent="0.25">
      <c r="A443" t="str">
        <v/>
      </c>
      <c r="B443" t="str">
        <v/>
      </c>
      <c r="C443" t="e">
        <v>#N/A</v>
      </c>
      <c r="D443" t="e">
        <v>#N/A</v>
      </c>
      <c r="J443" t="str">
        <v/>
      </c>
      <c r="K443" t="e">
        <f ca="1"/>
        <v>#N/A</v>
      </c>
      <c r="L443" t="str">
        <v/>
      </c>
      <c r="M443" t="e">
        <v>#N/A</v>
      </c>
      <c r="N443" t="e">
        <v>#N/A</v>
      </c>
      <c r="O443" t="e">
        <v>#N/A</v>
      </c>
      <c r="R443" t="e">
        <v>#N/A</v>
      </c>
      <c r="T443" t="e">
        <v>#N/A</v>
      </c>
      <c r="U443" t="e">
        <v>#N/A</v>
      </c>
      <c r="Y443" t="str">
        <v/>
      </c>
      <c r="AM443" t="str">
        <v/>
      </c>
      <c r="AN443" t="str">
        <v/>
      </c>
      <c r="AO443" t="str">
        <v/>
      </c>
      <c r="AQ443" t="str">
        <v/>
      </c>
      <c r="AR443" t="str">
        <v/>
      </c>
      <c r="AS443" t="e">
        <v>#N/A</v>
      </c>
      <c r="AU443" t="str">
        <v/>
      </c>
      <c r="AW443" t="e">
        <v>#N/A</v>
      </c>
    </row>
    <row r="444" spans="1:49" x14ac:dyDescent="0.25">
      <c r="A444" t="str">
        <v/>
      </c>
      <c r="B444" t="str">
        <v/>
      </c>
      <c r="C444" t="e">
        <v>#N/A</v>
      </c>
      <c r="D444" t="e">
        <v>#N/A</v>
      </c>
      <c r="J444" t="str">
        <v/>
      </c>
      <c r="K444" t="e">
        <f ca="1"/>
        <v>#N/A</v>
      </c>
      <c r="L444" t="str">
        <v/>
      </c>
      <c r="M444" t="e">
        <v>#N/A</v>
      </c>
      <c r="N444" t="e">
        <v>#N/A</v>
      </c>
      <c r="O444" t="e">
        <v>#N/A</v>
      </c>
      <c r="R444" t="e">
        <v>#N/A</v>
      </c>
      <c r="T444" t="e">
        <v>#N/A</v>
      </c>
      <c r="U444" t="e">
        <v>#N/A</v>
      </c>
      <c r="Y444" t="str">
        <v/>
      </c>
      <c r="AM444" t="str">
        <v/>
      </c>
      <c r="AN444" t="str">
        <v/>
      </c>
      <c r="AO444" t="str">
        <v/>
      </c>
      <c r="AQ444" t="str">
        <v/>
      </c>
      <c r="AR444" t="str">
        <v/>
      </c>
      <c r="AS444" t="e">
        <v>#N/A</v>
      </c>
      <c r="AU444" t="str">
        <v/>
      </c>
      <c r="AW444" t="e">
        <v>#N/A</v>
      </c>
    </row>
    <row r="445" spans="1:49" x14ac:dyDescent="0.25">
      <c r="A445" t="str">
        <v/>
      </c>
      <c r="B445" t="str">
        <v/>
      </c>
      <c r="C445" t="e">
        <v>#N/A</v>
      </c>
      <c r="D445" t="e">
        <v>#N/A</v>
      </c>
      <c r="J445" t="str">
        <v/>
      </c>
      <c r="K445" t="e">
        <f ca="1"/>
        <v>#N/A</v>
      </c>
      <c r="L445" t="str">
        <v/>
      </c>
      <c r="M445" t="e">
        <v>#N/A</v>
      </c>
      <c r="N445" t="e">
        <v>#N/A</v>
      </c>
      <c r="O445" t="e">
        <v>#N/A</v>
      </c>
      <c r="R445" t="e">
        <v>#N/A</v>
      </c>
      <c r="T445" t="e">
        <v>#N/A</v>
      </c>
      <c r="U445" t="e">
        <v>#N/A</v>
      </c>
      <c r="Y445" t="str">
        <v/>
      </c>
      <c r="AM445" t="str">
        <v/>
      </c>
      <c r="AN445" t="str">
        <v/>
      </c>
      <c r="AO445" t="str">
        <v/>
      </c>
      <c r="AQ445" t="str">
        <v/>
      </c>
      <c r="AR445" t="str">
        <v/>
      </c>
      <c r="AS445" t="e">
        <v>#N/A</v>
      </c>
      <c r="AU445" t="str">
        <v/>
      </c>
      <c r="AW445" t="e">
        <v>#N/A</v>
      </c>
    </row>
    <row r="446" spans="1:49" x14ac:dyDescent="0.25">
      <c r="A446" t="str">
        <v/>
      </c>
      <c r="B446" t="str">
        <v/>
      </c>
      <c r="C446" t="e">
        <v>#N/A</v>
      </c>
      <c r="D446" t="e">
        <v>#N/A</v>
      </c>
      <c r="J446" t="str">
        <v/>
      </c>
      <c r="K446" t="e">
        <f ca="1"/>
        <v>#N/A</v>
      </c>
      <c r="L446" t="str">
        <v/>
      </c>
      <c r="M446" t="e">
        <v>#N/A</v>
      </c>
      <c r="N446" t="e">
        <v>#N/A</v>
      </c>
      <c r="O446" t="e">
        <v>#N/A</v>
      </c>
      <c r="R446" t="e">
        <v>#N/A</v>
      </c>
      <c r="T446" t="e">
        <v>#N/A</v>
      </c>
      <c r="U446" t="e">
        <v>#N/A</v>
      </c>
      <c r="Y446" t="str">
        <v/>
      </c>
      <c r="AM446" t="str">
        <v/>
      </c>
      <c r="AN446" t="str">
        <v/>
      </c>
      <c r="AO446" t="str">
        <v/>
      </c>
      <c r="AQ446" t="str">
        <v/>
      </c>
      <c r="AR446" t="str">
        <v/>
      </c>
      <c r="AS446" t="e">
        <v>#N/A</v>
      </c>
      <c r="AU446" t="str">
        <v/>
      </c>
      <c r="AW446" t="e">
        <v>#N/A</v>
      </c>
    </row>
    <row r="447" spans="1:49" x14ac:dyDescent="0.25">
      <c r="A447" t="str">
        <v/>
      </c>
      <c r="B447" t="str">
        <v/>
      </c>
      <c r="C447" t="e">
        <v>#N/A</v>
      </c>
      <c r="D447" t="e">
        <v>#N/A</v>
      </c>
      <c r="J447" t="str">
        <v/>
      </c>
      <c r="K447" t="e">
        <f ca="1"/>
        <v>#N/A</v>
      </c>
      <c r="L447" t="str">
        <v/>
      </c>
      <c r="M447" t="e">
        <v>#N/A</v>
      </c>
      <c r="N447" t="e">
        <v>#N/A</v>
      </c>
      <c r="O447" t="e">
        <v>#N/A</v>
      </c>
      <c r="R447" t="e">
        <v>#N/A</v>
      </c>
      <c r="T447" t="e">
        <v>#N/A</v>
      </c>
      <c r="U447" t="e">
        <v>#N/A</v>
      </c>
      <c r="Y447" t="str">
        <v/>
      </c>
      <c r="AM447" t="str">
        <v/>
      </c>
      <c r="AN447" t="str">
        <v/>
      </c>
      <c r="AO447" t="str">
        <v/>
      </c>
      <c r="AQ447" t="str">
        <v/>
      </c>
      <c r="AR447" t="str">
        <v/>
      </c>
      <c r="AS447" t="e">
        <v>#N/A</v>
      </c>
      <c r="AU447" t="str">
        <v/>
      </c>
      <c r="AW447" t="e">
        <v>#N/A</v>
      </c>
    </row>
    <row r="448" spans="1:49" x14ac:dyDescent="0.25">
      <c r="A448" t="str">
        <v/>
      </c>
      <c r="B448" t="str">
        <v/>
      </c>
      <c r="C448" t="e">
        <v>#N/A</v>
      </c>
      <c r="D448" t="e">
        <v>#N/A</v>
      </c>
      <c r="J448" t="str">
        <v/>
      </c>
      <c r="K448" t="e">
        <f ca="1"/>
        <v>#N/A</v>
      </c>
      <c r="L448" t="str">
        <v/>
      </c>
      <c r="M448" t="e">
        <v>#N/A</v>
      </c>
      <c r="N448" t="e">
        <v>#N/A</v>
      </c>
      <c r="O448" t="e">
        <v>#N/A</v>
      </c>
      <c r="R448" t="e">
        <v>#N/A</v>
      </c>
      <c r="T448" t="e">
        <v>#N/A</v>
      </c>
      <c r="U448" t="e">
        <v>#N/A</v>
      </c>
      <c r="Y448" t="str">
        <v/>
      </c>
      <c r="AM448" t="str">
        <v/>
      </c>
      <c r="AN448" t="str">
        <v/>
      </c>
      <c r="AO448" t="str">
        <v/>
      </c>
      <c r="AQ448" t="str">
        <v/>
      </c>
      <c r="AR448" t="str">
        <v/>
      </c>
      <c r="AS448" t="e">
        <v>#N/A</v>
      </c>
      <c r="AU448" t="str">
        <v/>
      </c>
      <c r="AW448" t="e">
        <v>#N/A</v>
      </c>
    </row>
    <row r="449" spans="1:49" x14ac:dyDescent="0.25">
      <c r="A449" t="str">
        <v/>
      </c>
      <c r="B449" t="str">
        <v/>
      </c>
      <c r="C449" t="e">
        <v>#N/A</v>
      </c>
      <c r="D449" t="e">
        <v>#N/A</v>
      </c>
      <c r="J449" t="str">
        <v/>
      </c>
      <c r="K449" t="e">
        <f ca="1"/>
        <v>#N/A</v>
      </c>
      <c r="L449" t="str">
        <v/>
      </c>
      <c r="M449" t="e">
        <v>#N/A</v>
      </c>
      <c r="N449" t="e">
        <v>#N/A</v>
      </c>
      <c r="O449" t="e">
        <v>#N/A</v>
      </c>
      <c r="R449" t="e">
        <v>#N/A</v>
      </c>
      <c r="T449" t="e">
        <v>#N/A</v>
      </c>
      <c r="U449" t="e">
        <v>#N/A</v>
      </c>
      <c r="Y449" t="str">
        <v/>
      </c>
      <c r="AM449" t="str">
        <v/>
      </c>
      <c r="AN449" t="str">
        <v/>
      </c>
      <c r="AO449" t="str">
        <v/>
      </c>
      <c r="AQ449" t="str">
        <v/>
      </c>
      <c r="AR449" t="str">
        <v/>
      </c>
      <c r="AS449" t="e">
        <v>#N/A</v>
      </c>
      <c r="AU449" t="str">
        <v/>
      </c>
      <c r="AW449" t="e">
        <v>#N/A</v>
      </c>
    </row>
    <row r="450" spans="1:49" x14ac:dyDescent="0.25">
      <c r="A450" t="str">
        <v/>
      </c>
      <c r="B450" t="str">
        <v/>
      </c>
      <c r="C450" t="e">
        <v>#N/A</v>
      </c>
      <c r="D450" t="e">
        <v>#N/A</v>
      </c>
      <c r="J450" t="str">
        <v/>
      </c>
      <c r="K450" t="e">
        <f ca="1"/>
        <v>#N/A</v>
      </c>
      <c r="L450" t="str">
        <v/>
      </c>
      <c r="M450" t="e">
        <v>#N/A</v>
      </c>
      <c r="N450" t="e">
        <v>#N/A</v>
      </c>
      <c r="O450" t="e">
        <v>#N/A</v>
      </c>
      <c r="R450" t="e">
        <v>#N/A</v>
      </c>
      <c r="T450" t="e">
        <v>#N/A</v>
      </c>
      <c r="U450" t="e">
        <v>#N/A</v>
      </c>
      <c r="Y450" t="str">
        <v/>
      </c>
      <c r="AM450" t="str">
        <v/>
      </c>
      <c r="AN450" t="str">
        <v/>
      </c>
      <c r="AO450" t="str">
        <v/>
      </c>
      <c r="AQ450" t="str">
        <v/>
      </c>
      <c r="AR450" t="str">
        <v/>
      </c>
      <c r="AS450" t="e">
        <v>#N/A</v>
      </c>
      <c r="AU450" t="str">
        <v/>
      </c>
      <c r="AW450" t="e">
        <v>#N/A</v>
      </c>
    </row>
    <row r="451" spans="1:49" x14ac:dyDescent="0.25">
      <c r="A451" t="str">
        <v/>
      </c>
      <c r="B451" t="str">
        <v/>
      </c>
      <c r="C451" t="e">
        <v>#N/A</v>
      </c>
      <c r="D451" t="e">
        <v>#N/A</v>
      </c>
      <c r="J451" t="str">
        <v/>
      </c>
      <c r="K451" t="e">
        <f ca="1"/>
        <v>#N/A</v>
      </c>
      <c r="L451" t="str">
        <v/>
      </c>
      <c r="M451" t="e">
        <v>#N/A</v>
      </c>
      <c r="N451" t="e">
        <v>#N/A</v>
      </c>
      <c r="O451" t="e">
        <v>#N/A</v>
      </c>
      <c r="R451" t="e">
        <v>#N/A</v>
      </c>
      <c r="T451" t="e">
        <v>#N/A</v>
      </c>
      <c r="U451" t="e">
        <v>#N/A</v>
      </c>
      <c r="Y451" t="str">
        <v/>
      </c>
      <c r="AM451" t="str">
        <v/>
      </c>
      <c r="AN451" t="str">
        <v/>
      </c>
      <c r="AO451" t="str">
        <v/>
      </c>
      <c r="AQ451" t="str">
        <v/>
      </c>
      <c r="AR451" t="str">
        <v/>
      </c>
      <c r="AS451" t="e">
        <v>#N/A</v>
      </c>
      <c r="AU451" t="str">
        <v/>
      </c>
      <c r="AW451" t="e">
        <v>#N/A</v>
      </c>
    </row>
    <row r="452" spans="1:49" x14ac:dyDescent="0.25">
      <c r="A452" t="str">
        <v/>
      </c>
      <c r="B452" t="str">
        <v/>
      </c>
      <c r="C452" t="e">
        <v>#N/A</v>
      </c>
      <c r="D452" t="e">
        <v>#N/A</v>
      </c>
      <c r="J452" t="str">
        <v/>
      </c>
      <c r="K452" t="e">
        <f ca="1"/>
        <v>#N/A</v>
      </c>
      <c r="L452" t="str">
        <v/>
      </c>
      <c r="M452" t="e">
        <v>#N/A</v>
      </c>
      <c r="N452" t="e">
        <v>#N/A</v>
      </c>
      <c r="O452" t="e">
        <v>#N/A</v>
      </c>
      <c r="R452" t="e">
        <v>#N/A</v>
      </c>
      <c r="T452" t="e">
        <v>#N/A</v>
      </c>
      <c r="U452" t="e">
        <v>#N/A</v>
      </c>
      <c r="Y452" t="str">
        <v/>
      </c>
      <c r="AM452" t="str">
        <v/>
      </c>
      <c r="AN452" t="str">
        <v/>
      </c>
      <c r="AO452" t="str">
        <v/>
      </c>
      <c r="AQ452" t="str">
        <v/>
      </c>
      <c r="AR452" t="str">
        <v/>
      </c>
      <c r="AS452" t="e">
        <v>#N/A</v>
      </c>
      <c r="AU452" t="str">
        <v/>
      </c>
      <c r="AW452" t="e">
        <v>#N/A</v>
      </c>
    </row>
    <row r="453" spans="1:49" x14ac:dyDescent="0.25">
      <c r="A453" t="str">
        <v/>
      </c>
      <c r="B453" t="str">
        <v/>
      </c>
      <c r="C453" t="e">
        <v>#N/A</v>
      </c>
      <c r="D453" t="e">
        <v>#N/A</v>
      </c>
      <c r="J453" t="str">
        <v/>
      </c>
      <c r="K453" t="e">
        <f ca="1"/>
        <v>#N/A</v>
      </c>
      <c r="L453" t="str">
        <v/>
      </c>
      <c r="M453" t="e">
        <v>#N/A</v>
      </c>
      <c r="N453" t="e">
        <v>#N/A</v>
      </c>
      <c r="O453" t="e">
        <v>#N/A</v>
      </c>
      <c r="R453" t="e">
        <v>#N/A</v>
      </c>
      <c r="T453" t="e">
        <v>#N/A</v>
      </c>
      <c r="U453" t="e">
        <v>#N/A</v>
      </c>
      <c r="Y453" t="str">
        <v/>
      </c>
      <c r="AM453" t="str">
        <v/>
      </c>
      <c r="AN453" t="str">
        <v/>
      </c>
      <c r="AO453" t="str">
        <v/>
      </c>
      <c r="AQ453" t="str">
        <v/>
      </c>
      <c r="AR453" t="str">
        <v/>
      </c>
      <c r="AS453" t="e">
        <v>#N/A</v>
      </c>
      <c r="AU453" t="str">
        <v/>
      </c>
      <c r="AW453" t="e">
        <v>#N/A</v>
      </c>
    </row>
    <row r="454" spans="1:49" x14ac:dyDescent="0.25">
      <c r="A454" t="str">
        <v/>
      </c>
      <c r="B454" t="str">
        <v/>
      </c>
      <c r="C454" t="e">
        <v>#N/A</v>
      </c>
      <c r="D454" t="e">
        <v>#N/A</v>
      </c>
      <c r="J454" t="str">
        <v/>
      </c>
      <c r="K454" t="e">
        <f ca="1"/>
        <v>#N/A</v>
      </c>
      <c r="L454" t="str">
        <v/>
      </c>
      <c r="M454" t="e">
        <v>#N/A</v>
      </c>
      <c r="N454" t="e">
        <v>#N/A</v>
      </c>
      <c r="O454" t="e">
        <v>#N/A</v>
      </c>
      <c r="R454" t="e">
        <v>#N/A</v>
      </c>
      <c r="T454" t="e">
        <v>#N/A</v>
      </c>
      <c r="U454" t="e">
        <v>#N/A</v>
      </c>
      <c r="Y454" t="str">
        <v/>
      </c>
      <c r="AM454" t="str">
        <v/>
      </c>
      <c r="AN454" t="str">
        <v/>
      </c>
      <c r="AO454" t="str">
        <v/>
      </c>
      <c r="AQ454" t="str">
        <v/>
      </c>
      <c r="AR454" t="str">
        <v/>
      </c>
      <c r="AS454" t="e">
        <v>#N/A</v>
      </c>
      <c r="AU454" t="str">
        <v/>
      </c>
      <c r="AW454" t="e">
        <v>#N/A</v>
      </c>
    </row>
    <row r="455" spans="1:49" x14ac:dyDescent="0.25">
      <c r="A455" t="str">
        <v/>
      </c>
      <c r="B455" t="str">
        <v/>
      </c>
      <c r="C455" t="e">
        <v>#N/A</v>
      </c>
      <c r="D455" t="e">
        <v>#N/A</v>
      </c>
      <c r="J455" t="str">
        <v/>
      </c>
      <c r="K455" t="e">
        <f ca="1"/>
        <v>#N/A</v>
      </c>
      <c r="L455" t="str">
        <v/>
      </c>
      <c r="M455" t="e">
        <v>#N/A</v>
      </c>
      <c r="N455" t="e">
        <v>#N/A</v>
      </c>
      <c r="O455" t="e">
        <v>#N/A</v>
      </c>
      <c r="R455" t="e">
        <v>#N/A</v>
      </c>
      <c r="T455" t="e">
        <v>#N/A</v>
      </c>
      <c r="U455" t="e">
        <v>#N/A</v>
      </c>
      <c r="Y455" t="str">
        <v/>
      </c>
      <c r="AM455" t="str">
        <v/>
      </c>
      <c r="AN455" t="str">
        <v/>
      </c>
      <c r="AO455" t="str">
        <v/>
      </c>
      <c r="AQ455" t="str">
        <v/>
      </c>
      <c r="AR455" t="str">
        <v/>
      </c>
      <c r="AS455" t="e">
        <v>#N/A</v>
      </c>
      <c r="AU455" t="str">
        <v/>
      </c>
      <c r="AW455" t="e">
        <v>#N/A</v>
      </c>
    </row>
    <row r="456" spans="1:49" x14ac:dyDescent="0.25">
      <c r="A456" t="str">
        <v/>
      </c>
      <c r="B456" t="str">
        <v/>
      </c>
      <c r="C456" t="e">
        <v>#N/A</v>
      </c>
      <c r="D456" t="e">
        <v>#N/A</v>
      </c>
      <c r="J456" t="str">
        <v/>
      </c>
      <c r="K456" t="e">
        <f ca="1"/>
        <v>#N/A</v>
      </c>
      <c r="L456" t="str">
        <v/>
      </c>
      <c r="M456" t="e">
        <v>#N/A</v>
      </c>
      <c r="N456" t="e">
        <v>#N/A</v>
      </c>
      <c r="O456" t="e">
        <v>#N/A</v>
      </c>
      <c r="R456" t="e">
        <v>#N/A</v>
      </c>
      <c r="T456" t="e">
        <v>#N/A</v>
      </c>
      <c r="U456" t="e">
        <v>#N/A</v>
      </c>
      <c r="Y456" t="str">
        <v/>
      </c>
      <c r="AM456" t="str">
        <v/>
      </c>
      <c r="AN456" t="str">
        <v/>
      </c>
      <c r="AO456" t="str">
        <v/>
      </c>
      <c r="AQ456" t="str">
        <v/>
      </c>
      <c r="AR456" t="str">
        <v/>
      </c>
      <c r="AS456" t="e">
        <v>#N/A</v>
      </c>
      <c r="AU456" t="str">
        <v/>
      </c>
      <c r="AW456" t="e">
        <v>#N/A</v>
      </c>
    </row>
    <row r="457" spans="1:49" x14ac:dyDescent="0.25">
      <c r="A457" t="str">
        <v/>
      </c>
      <c r="B457" t="str">
        <v/>
      </c>
      <c r="C457" t="e">
        <v>#N/A</v>
      </c>
      <c r="D457" t="e">
        <v>#N/A</v>
      </c>
      <c r="J457" t="str">
        <v/>
      </c>
      <c r="K457" t="e">
        <f ca="1"/>
        <v>#N/A</v>
      </c>
      <c r="L457" t="str">
        <v/>
      </c>
      <c r="M457" t="e">
        <v>#N/A</v>
      </c>
      <c r="N457" t="e">
        <v>#N/A</v>
      </c>
      <c r="O457" t="e">
        <v>#N/A</v>
      </c>
      <c r="R457" t="e">
        <v>#N/A</v>
      </c>
      <c r="T457" t="e">
        <v>#N/A</v>
      </c>
      <c r="U457" t="e">
        <v>#N/A</v>
      </c>
      <c r="Y457" t="str">
        <v/>
      </c>
      <c r="AM457" t="str">
        <v/>
      </c>
      <c r="AN457" t="str">
        <v/>
      </c>
      <c r="AO457" t="str">
        <v/>
      </c>
      <c r="AQ457" t="str">
        <v/>
      </c>
      <c r="AR457" t="str">
        <v/>
      </c>
      <c r="AS457" t="e">
        <v>#N/A</v>
      </c>
      <c r="AU457" t="str">
        <v/>
      </c>
      <c r="AW457" t="e">
        <v>#N/A</v>
      </c>
    </row>
    <row r="458" spans="1:49" x14ac:dyDescent="0.25">
      <c r="A458" t="str">
        <v/>
      </c>
      <c r="B458" t="str">
        <v/>
      </c>
      <c r="C458" t="e">
        <v>#N/A</v>
      </c>
      <c r="D458" t="e">
        <v>#N/A</v>
      </c>
      <c r="J458" t="str">
        <v/>
      </c>
      <c r="K458" t="e">
        <f ca="1"/>
        <v>#N/A</v>
      </c>
      <c r="L458" t="str">
        <v/>
      </c>
      <c r="M458" t="e">
        <v>#N/A</v>
      </c>
      <c r="N458" t="e">
        <v>#N/A</v>
      </c>
      <c r="O458" t="e">
        <v>#N/A</v>
      </c>
      <c r="R458" t="e">
        <v>#N/A</v>
      </c>
      <c r="T458" t="e">
        <v>#N/A</v>
      </c>
      <c r="U458" t="e">
        <v>#N/A</v>
      </c>
      <c r="Y458" t="str">
        <v/>
      </c>
      <c r="AM458" t="str">
        <v/>
      </c>
      <c r="AN458" t="str">
        <v/>
      </c>
      <c r="AO458" t="str">
        <v/>
      </c>
      <c r="AQ458" t="str">
        <v/>
      </c>
      <c r="AR458" t="str">
        <v/>
      </c>
      <c r="AS458" t="e">
        <v>#N/A</v>
      </c>
      <c r="AU458" t="str">
        <v/>
      </c>
      <c r="AW458" t="e">
        <v>#N/A</v>
      </c>
    </row>
    <row r="459" spans="1:49" x14ac:dyDescent="0.25">
      <c r="A459" t="str">
        <v/>
      </c>
      <c r="B459" t="str">
        <v/>
      </c>
      <c r="C459" t="e">
        <v>#N/A</v>
      </c>
      <c r="D459" t="e">
        <v>#N/A</v>
      </c>
      <c r="J459" t="str">
        <v/>
      </c>
      <c r="K459" t="e">
        <f ca="1"/>
        <v>#N/A</v>
      </c>
      <c r="L459" t="str">
        <v/>
      </c>
      <c r="M459" t="e">
        <v>#N/A</v>
      </c>
      <c r="N459" t="e">
        <v>#N/A</v>
      </c>
      <c r="O459" t="e">
        <v>#N/A</v>
      </c>
      <c r="R459" t="e">
        <v>#N/A</v>
      </c>
      <c r="T459" t="e">
        <v>#N/A</v>
      </c>
      <c r="U459" t="e">
        <v>#N/A</v>
      </c>
      <c r="Y459" t="str">
        <v/>
      </c>
      <c r="AM459" t="str">
        <v/>
      </c>
      <c r="AN459" t="str">
        <v/>
      </c>
      <c r="AO459" t="str">
        <v/>
      </c>
      <c r="AQ459" t="str">
        <v/>
      </c>
      <c r="AR459" t="str">
        <v/>
      </c>
      <c r="AS459" t="e">
        <v>#N/A</v>
      </c>
      <c r="AU459" t="str">
        <v/>
      </c>
      <c r="AW459" t="e">
        <v>#N/A</v>
      </c>
    </row>
    <row r="460" spans="1:49" x14ac:dyDescent="0.25">
      <c r="A460" t="str">
        <v/>
      </c>
      <c r="B460" t="str">
        <v/>
      </c>
      <c r="C460" t="e">
        <v>#N/A</v>
      </c>
      <c r="D460" t="e">
        <v>#N/A</v>
      </c>
      <c r="J460" t="str">
        <v/>
      </c>
      <c r="K460" t="e">
        <f ca="1"/>
        <v>#N/A</v>
      </c>
      <c r="L460" t="str">
        <v/>
      </c>
      <c r="M460" t="e">
        <v>#N/A</v>
      </c>
      <c r="N460" t="e">
        <v>#N/A</v>
      </c>
      <c r="O460" t="e">
        <v>#N/A</v>
      </c>
      <c r="R460" t="e">
        <v>#N/A</v>
      </c>
      <c r="T460" t="e">
        <v>#N/A</v>
      </c>
      <c r="U460" t="e">
        <v>#N/A</v>
      </c>
      <c r="Y460" t="str">
        <v/>
      </c>
      <c r="AM460" t="str">
        <v/>
      </c>
      <c r="AN460" t="str">
        <v/>
      </c>
      <c r="AO460" t="str">
        <v/>
      </c>
      <c r="AQ460" t="str">
        <v/>
      </c>
      <c r="AR460" t="str">
        <v/>
      </c>
      <c r="AS460" t="e">
        <v>#N/A</v>
      </c>
      <c r="AU460" t="str">
        <v/>
      </c>
      <c r="AW460" t="e">
        <v>#N/A</v>
      </c>
    </row>
    <row r="461" spans="1:49" x14ac:dyDescent="0.25">
      <c r="A461" t="str">
        <v/>
      </c>
      <c r="B461" t="str">
        <v/>
      </c>
      <c r="C461" t="e">
        <v>#N/A</v>
      </c>
      <c r="D461" t="e">
        <v>#N/A</v>
      </c>
      <c r="J461" t="str">
        <v/>
      </c>
      <c r="K461" t="e">
        <f ca="1"/>
        <v>#N/A</v>
      </c>
      <c r="L461" t="str">
        <v/>
      </c>
      <c r="M461" t="e">
        <v>#N/A</v>
      </c>
      <c r="N461" t="e">
        <v>#N/A</v>
      </c>
      <c r="O461" t="e">
        <v>#N/A</v>
      </c>
      <c r="R461" t="e">
        <v>#N/A</v>
      </c>
      <c r="T461" t="e">
        <v>#N/A</v>
      </c>
      <c r="U461" t="e">
        <v>#N/A</v>
      </c>
      <c r="Y461" t="str">
        <v/>
      </c>
      <c r="AM461" t="str">
        <v/>
      </c>
      <c r="AN461" t="str">
        <v/>
      </c>
      <c r="AO461" t="str">
        <v/>
      </c>
      <c r="AQ461" t="str">
        <v/>
      </c>
      <c r="AR461" t="str">
        <v/>
      </c>
      <c r="AS461" t="e">
        <v>#N/A</v>
      </c>
      <c r="AU461" t="str">
        <v/>
      </c>
      <c r="AW461" t="e">
        <v>#N/A</v>
      </c>
    </row>
    <row r="462" spans="1:49" x14ac:dyDescent="0.25">
      <c r="A462" t="str">
        <v/>
      </c>
      <c r="B462" t="str">
        <v/>
      </c>
      <c r="C462" t="e">
        <v>#N/A</v>
      </c>
      <c r="D462" t="e">
        <v>#N/A</v>
      </c>
      <c r="J462" t="str">
        <v/>
      </c>
      <c r="K462" t="e">
        <f ca="1"/>
        <v>#N/A</v>
      </c>
      <c r="L462" t="str">
        <v/>
      </c>
      <c r="M462" t="e">
        <v>#N/A</v>
      </c>
      <c r="N462" t="e">
        <v>#N/A</v>
      </c>
      <c r="O462" t="e">
        <v>#N/A</v>
      </c>
      <c r="R462" t="e">
        <v>#N/A</v>
      </c>
      <c r="T462" t="e">
        <v>#N/A</v>
      </c>
      <c r="U462" t="e">
        <v>#N/A</v>
      </c>
      <c r="Y462" t="str">
        <v/>
      </c>
      <c r="AM462" t="str">
        <v/>
      </c>
      <c r="AN462" t="str">
        <v/>
      </c>
      <c r="AO462" t="str">
        <v/>
      </c>
      <c r="AQ462" t="str">
        <v/>
      </c>
      <c r="AR462" t="str">
        <v/>
      </c>
      <c r="AS462" t="e">
        <v>#N/A</v>
      </c>
      <c r="AU462" t="str">
        <v/>
      </c>
      <c r="AW462" t="e">
        <v>#N/A</v>
      </c>
    </row>
    <row r="463" spans="1:49" x14ac:dyDescent="0.25">
      <c r="A463" t="str">
        <v/>
      </c>
      <c r="B463" t="str">
        <v/>
      </c>
      <c r="C463" t="e">
        <v>#N/A</v>
      </c>
      <c r="D463" t="e">
        <v>#N/A</v>
      </c>
      <c r="J463" t="str">
        <v/>
      </c>
      <c r="K463" t="e">
        <f ca="1"/>
        <v>#N/A</v>
      </c>
      <c r="L463" t="str">
        <v/>
      </c>
      <c r="M463" t="e">
        <v>#N/A</v>
      </c>
      <c r="N463" t="e">
        <v>#N/A</v>
      </c>
      <c r="O463" t="e">
        <v>#N/A</v>
      </c>
      <c r="R463" t="e">
        <v>#N/A</v>
      </c>
      <c r="T463" t="e">
        <v>#N/A</v>
      </c>
      <c r="U463" t="e">
        <v>#N/A</v>
      </c>
      <c r="Y463" t="str">
        <v/>
      </c>
      <c r="AM463" t="str">
        <v/>
      </c>
      <c r="AN463" t="str">
        <v/>
      </c>
      <c r="AO463" t="str">
        <v/>
      </c>
      <c r="AQ463" t="str">
        <v/>
      </c>
      <c r="AR463" t="str">
        <v/>
      </c>
      <c r="AS463" t="e">
        <v>#N/A</v>
      </c>
      <c r="AU463" t="str">
        <v/>
      </c>
      <c r="AW463" t="e">
        <v>#N/A</v>
      </c>
    </row>
    <row r="464" spans="1:49" x14ac:dyDescent="0.25">
      <c r="A464" t="str">
        <v/>
      </c>
      <c r="B464" t="str">
        <v/>
      </c>
      <c r="C464" t="e">
        <v>#N/A</v>
      </c>
      <c r="D464" t="e">
        <v>#N/A</v>
      </c>
      <c r="J464" t="str">
        <v/>
      </c>
      <c r="K464" t="e">
        <f ca="1"/>
        <v>#N/A</v>
      </c>
      <c r="L464" t="str">
        <v/>
      </c>
      <c r="M464" t="e">
        <v>#N/A</v>
      </c>
      <c r="N464" t="e">
        <v>#N/A</v>
      </c>
      <c r="O464" t="e">
        <v>#N/A</v>
      </c>
      <c r="R464" t="e">
        <v>#N/A</v>
      </c>
      <c r="T464" t="e">
        <v>#N/A</v>
      </c>
      <c r="U464" t="e">
        <v>#N/A</v>
      </c>
      <c r="Y464" t="str">
        <v/>
      </c>
      <c r="AM464" t="str">
        <v/>
      </c>
      <c r="AN464" t="str">
        <v/>
      </c>
      <c r="AO464" t="str">
        <v/>
      </c>
      <c r="AQ464" t="str">
        <v/>
      </c>
      <c r="AR464" t="str">
        <v/>
      </c>
      <c r="AS464" t="e">
        <v>#N/A</v>
      </c>
      <c r="AU464" t="str">
        <v/>
      </c>
      <c r="AW464" t="e">
        <v>#N/A</v>
      </c>
    </row>
    <row r="465" spans="1:49" x14ac:dyDescent="0.25">
      <c r="A465" t="str">
        <v/>
      </c>
      <c r="B465" t="str">
        <v/>
      </c>
      <c r="C465" t="e">
        <v>#N/A</v>
      </c>
      <c r="D465" t="e">
        <v>#N/A</v>
      </c>
      <c r="J465" t="str">
        <v/>
      </c>
      <c r="K465" t="e">
        <f ca="1"/>
        <v>#N/A</v>
      </c>
      <c r="L465" t="str">
        <v/>
      </c>
      <c r="M465" t="e">
        <v>#N/A</v>
      </c>
      <c r="N465" t="e">
        <v>#N/A</v>
      </c>
      <c r="O465" t="e">
        <v>#N/A</v>
      </c>
      <c r="R465" t="e">
        <v>#N/A</v>
      </c>
      <c r="T465" t="e">
        <v>#N/A</v>
      </c>
      <c r="U465" t="e">
        <v>#N/A</v>
      </c>
      <c r="Y465" t="str">
        <v/>
      </c>
      <c r="AM465" t="str">
        <v/>
      </c>
      <c r="AN465" t="str">
        <v/>
      </c>
      <c r="AO465" t="str">
        <v/>
      </c>
      <c r="AQ465" t="str">
        <v/>
      </c>
      <c r="AR465" t="str">
        <v/>
      </c>
      <c r="AS465" t="e">
        <v>#N/A</v>
      </c>
      <c r="AU465" t="str">
        <v/>
      </c>
      <c r="AW465" t="e">
        <v>#N/A</v>
      </c>
    </row>
    <row r="466" spans="1:49" x14ac:dyDescent="0.25">
      <c r="A466" t="str">
        <v/>
      </c>
      <c r="B466" t="str">
        <v/>
      </c>
      <c r="C466" t="e">
        <v>#N/A</v>
      </c>
      <c r="D466" t="e">
        <v>#N/A</v>
      </c>
      <c r="J466" t="str">
        <v/>
      </c>
      <c r="K466" t="e">
        <f ca="1"/>
        <v>#N/A</v>
      </c>
      <c r="L466" t="str">
        <v/>
      </c>
      <c r="M466" t="e">
        <v>#N/A</v>
      </c>
      <c r="N466" t="e">
        <v>#N/A</v>
      </c>
      <c r="O466" t="e">
        <v>#N/A</v>
      </c>
      <c r="R466" t="e">
        <v>#N/A</v>
      </c>
      <c r="T466" t="e">
        <v>#N/A</v>
      </c>
      <c r="U466" t="e">
        <v>#N/A</v>
      </c>
      <c r="Y466" t="str">
        <v/>
      </c>
      <c r="AM466" t="str">
        <v/>
      </c>
      <c r="AN466" t="str">
        <v/>
      </c>
      <c r="AO466" t="str">
        <v/>
      </c>
      <c r="AQ466" t="str">
        <v/>
      </c>
      <c r="AR466" t="str">
        <v/>
      </c>
      <c r="AS466" t="e">
        <v>#N/A</v>
      </c>
      <c r="AU466" t="str">
        <v/>
      </c>
      <c r="AW466" t="e">
        <v>#N/A</v>
      </c>
    </row>
    <row r="467" spans="1:49" x14ac:dyDescent="0.25">
      <c r="A467" t="str">
        <v/>
      </c>
      <c r="B467" t="str">
        <v/>
      </c>
      <c r="C467" t="e">
        <v>#N/A</v>
      </c>
      <c r="D467" t="e">
        <v>#N/A</v>
      </c>
      <c r="J467" t="str">
        <v/>
      </c>
      <c r="K467" t="e">
        <f ca="1"/>
        <v>#N/A</v>
      </c>
      <c r="L467" t="str">
        <v/>
      </c>
      <c r="M467" t="e">
        <v>#N/A</v>
      </c>
      <c r="N467" t="e">
        <v>#N/A</v>
      </c>
      <c r="O467" t="e">
        <v>#N/A</v>
      </c>
      <c r="R467" t="e">
        <v>#N/A</v>
      </c>
      <c r="T467" t="e">
        <v>#N/A</v>
      </c>
      <c r="U467" t="e">
        <v>#N/A</v>
      </c>
      <c r="Y467" t="str">
        <v/>
      </c>
      <c r="AM467" t="str">
        <v/>
      </c>
      <c r="AN467" t="str">
        <v/>
      </c>
      <c r="AO467" t="str">
        <v/>
      </c>
      <c r="AQ467" t="str">
        <v/>
      </c>
      <c r="AR467" t="str">
        <v/>
      </c>
      <c r="AS467" t="e">
        <v>#N/A</v>
      </c>
      <c r="AU467" t="str">
        <v/>
      </c>
      <c r="AW467" t="e">
        <v>#N/A</v>
      </c>
    </row>
    <row r="468" spans="1:49" x14ac:dyDescent="0.25">
      <c r="A468" t="str">
        <v/>
      </c>
      <c r="B468" t="str">
        <v/>
      </c>
      <c r="C468" t="e">
        <v>#N/A</v>
      </c>
      <c r="D468" t="e">
        <v>#N/A</v>
      </c>
      <c r="J468" t="str">
        <v/>
      </c>
      <c r="K468" t="e">
        <f ca="1"/>
        <v>#N/A</v>
      </c>
      <c r="L468" t="str">
        <v/>
      </c>
      <c r="M468" t="e">
        <v>#N/A</v>
      </c>
      <c r="N468" t="e">
        <v>#N/A</v>
      </c>
      <c r="O468" t="e">
        <v>#N/A</v>
      </c>
      <c r="R468" t="e">
        <v>#N/A</v>
      </c>
      <c r="T468" t="e">
        <v>#N/A</v>
      </c>
      <c r="U468" t="e">
        <v>#N/A</v>
      </c>
      <c r="Y468" t="str">
        <v/>
      </c>
      <c r="AM468" t="str">
        <v/>
      </c>
      <c r="AN468" t="str">
        <v/>
      </c>
      <c r="AO468" t="str">
        <v/>
      </c>
      <c r="AQ468" t="str">
        <v/>
      </c>
      <c r="AR468" t="str">
        <v/>
      </c>
      <c r="AS468" t="e">
        <v>#N/A</v>
      </c>
      <c r="AU468" t="str">
        <v/>
      </c>
      <c r="AW468" t="e">
        <v>#N/A</v>
      </c>
    </row>
    <row r="469" spans="1:49" x14ac:dyDescent="0.25">
      <c r="A469" t="str">
        <v/>
      </c>
      <c r="B469" t="str">
        <v/>
      </c>
      <c r="C469" t="e">
        <v>#N/A</v>
      </c>
      <c r="D469" t="e">
        <v>#N/A</v>
      </c>
      <c r="J469" t="str">
        <v/>
      </c>
      <c r="K469" t="e">
        <f ca="1"/>
        <v>#N/A</v>
      </c>
      <c r="L469" t="str">
        <v/>
      </c>
      <c r="M469" t="e">
        <v>#N/A</v>
      </c>
      <c r="N469" t="e">
        <v>#N/A</v>
      </c>
      <c r="O469" t="e">
        <v>#N/A</v>
      </c>
      <c r="R469" t="e">
        <v>#N/A</v>
      </c>
      <c r="T469" t="e">
        <v>#N/A</v>
      </c>
      <c r="U469" t="e">
        <v>#N/A</v>
      </c>
      <c r="Y469" t="str">
        <v/>
      </c>
      <c r="AM469" t="str">
        <v/>
      </c>
      <c r="AN469" t="str">
        <v/>
      </c>
      <c r="AO469" t="str">
        <v/>
      </c>
      <c r="AQ469" t="str">
        <v/>
      </c>
      <c r="AR469" t="str">
        <v/>
      </c>
      <c r="AS469" t="e">
        <v>#N/A</v>
      </c>
      <c r="AU469" t="str">
        <v/>
      </c>
      <c r="AW469" t="e">
        <v>#N/A</v>
      </c>
    </row>
    <row r="470" spans="1:49" x14ac:dyDescent="0.25">
      <c r="A470" t="str">
        <v/>
      </c>
      <c r="B470" t="str">
        <v/>
      </c>
      <c r="C470" t="e">
        <v>#N/A</v>
      </c>
      <c r="D470" t="e">
        <v>#N/A</v>
      </c>
      <c r="J470" t="str">
        <v/>
      </c>
      <c r="K470" t="e">
        <f ca="1"/>
        <v>#N/A</v>
      </c>
      <c r="L470" t="str">
        <v/>
      </c>
      <c r="M470" t="e">
        <v>#N/A</v>
      </c>
      <c r="N470" t="e">
        <v>#N/A</v>
      </c>
      <c r="O470" t="e">
        <v>#N/A</v>
      </c>
      <c r="R470" t="e">
        <v>#N/A</v>
      </c>
      <c r="T470" t="e">
        <v>#N/A</v>
      </c>
      <c r="U470" t="e">
        <v>#N/A</v>
      </c>
      <c r="Y470" t="str">
        <v/>
      </c>
      <c r="AM470" t="str">
        <v/>
      </c>
      <c r="AN470" t="str">
        <v/>
      </c>
      <c r="AO470" t="str">
        <v/>
      </c>
      <c r="AQ470" t="str">
        <v/>
      </c>
      <c r="AR470" t="str">
        <v/>
      </c>
      <c r="AS470" t="e">
        <v>#N/A</v>
      </c>
      <c r="AU470" t="str">
        <v/>
      </c>
      <c r="AW470" t="e">
        <v>#N/A</v>
      </c>
    </row>
    <row r="471" spans="1:49" x14ac:dyDescent="0.25">
      <c r="A471" t="str">
        <v/>
      </c>
      <c r="B471" t="str">
        <v/>
      </c>
      <c r="C471" t="e">
        <v>#N/A</v>
      </c>
      <c r="D471" t="e">
        <v>#N/A</v>
      </c>
      <c r="J471" t="str">
        <v/>
      </c>
      <c r="K471" t="e">
        <f ca="1"/>
        <v>#N/A</v>
      </c>
      <c r="L471" t="str">
        <v/>
      </c>
      <c r="M471" t="e">
        <v>#N/A</v>
      </c>
      <c r="N471" t="e">
        <v>#N/A</v>
      </c>
      <c r="O471" t="e">
        <v>#N/A</v>
      </c>
      <c r="R471" t="e">
        <v>#N/A</v>
      </c>
      <c r="T471" t="e">
        <v>#N/A</v>
      </c>
      <c r="U471" t="e">
        <v>#N/A</v>
      </c>
      <c r="Y471" t="str">
        <v/>
      </c>
      <c r="AM471" t="str">
        <v/>
      </c>
      <c r="AN471" t="str">
        <v/>
      </c>
      <c r="AO471" t="str">
        <v/>
      </c>
      <c r="AQ471" t="str">
        <v/>
      </c>
      <c r="AR471" t="str">
        <v/>
      </c>
      <c r="AS471" t="e">
        <v>#N/A</v>
      </c>
      <c r="AU471" t="str">
        <v/>
      </c>
      <c r="AW471" t="e">
        <v>#N/A</v>
      </c>
    </row>
    <row r="472" spans="1:49" x14ac:dyDescent="0.25">
      <c r="A472" t="str">
        <v/>
      </c>
      <c r="B472" t="str">
        <v/>
      </c>
      <c r="C472" t="e">
        <v>#N/A</v>
      </c>
      <c r="D472" t="e">
        <v>#N/A</v>
      </c>
      <c r="J472" t="str">
        <v/>
      </c>
      <c r="K472" t="e">
        <f ca="1"/>
        <v>#N/A</v>
      </c>
      <c r="L472" t="str">
        <v/>
      </c>
      <c r="M472" t="e">
        <v>#N/A</v>
      </c>
      <c r="N472" t="e">
        <v>#N/A</v>
      </c>
      <c r="O472" t="e">
        <v>#N/A</v>
      </c>
      <c r="R472" t="e">
        <v>#N/A</v>
      </c>
      <c r="T472" t="e">
        <v>#N/A</v>
      </c>
      <c r="U472" t="e">
        <v>#N/A</v>
      </c>
      <c r="Y472" t="str">
        <v/>
      </c>
      <c r="AM472" t="str">
        <v/>
      </c>
      <c r="AN472" t="str">
        <v/>
      </c>
      <c r="AO472" t="str">
        <v/>
      </c>
      <c r="AQ472" t="str">
        <v/>
      </c>
      <c r="AR472" t="str">
        <v/>
      </c>
      <c r="AS472" t="e">
        <v>#N/A</v>
      </c>
      <c r="AU472" t="str">
        <v/>
      </c>
      <c r="AW472" t="e">
        <v>#N/A</v>
      </c>
    </row>
    <row r="473" spans="1:49" x14ac:dyDescent="0.25">
      <c r="A473" t="str">
        <v/>
      </c>
      <c r="B473" t="str">
        <v/>
      </c>
      <c r="C473" t="e">
        <v>#N/A</v>
      </c>
      <c r="D473" t="e">
        <v>#N/A</v>
      </c>
      <c r="J473" t="str">
        <v/>
      </c>
      <c r="K473" t="e">
        <f ca="1"/>
        <v>#N/A</v>
      </c>
      <c r="L473" t="str">
        <v/>
      </c>
      <c r="M473" t="e">
        <v>#N/A</v>
      </c>
      <c r="N473" t="e">
        <v>#N/A</v>
      </c>
      <c r="O473" t="e">
        <v>#N/A</v>
      </c>
      <c r="R473" t="e">
        <v>#N/A</v>
      </c>
      <c r="T473" t="e">
        <v>#N/A</v>
      </c>
      <c r="U473" t="e">
        <v>#N/A</v>
      </c>
      <c r="Y473" t="str">
        <v/>
      </c>
      <c r="AM473" t="str">
        <v/>
      </c>
      <c r="AN473" t="str">
        <v/>
      </c>
      <c r="AO473" t="str">
        <v/>
      </c>
      <c r="AQ473" t="str">
        <v/>
      </c>
      <c r="AR473" t="str">
        <v/>
      </c>
      <c r="AS473" t="e">
        <v>#N/A</v>
      </c>
      <c r="AU473" t="str">
        <v/>
      </c>
      <c r="AW473" t="e">
        <v>#N/A</v>
      </c>
    </row>
    <row r="474" spans="1:49" x14ac:dyDescent="0.25">
      <c r="A474" t="str">
        <v/>
      </c>
      <c r="B474" t="str">
        <v/>
      </c>
      <c r="C474" t="e">
        <v>#N/A</v>
      </c>
      <c r="D474" t="e">
        <v>#N/A</v>
      </c>
      <c r="J474" t="str">
        <v/>
      </c>
      <c r="K474" t="e">
        <f ca="1"/>
        <v>#N/A</v>
      </c>
      <c r="L474" t="str">
        <v/>
      </c>
      <c r="M474" t="e">
        <v>#N/A</v>
      </c>
      <c r="N474" t="e">
        <v>#N/A</v>
      </c>
      <c r="O474" t="e">
        <v>#N/A</v>
      </c>
      <c r="R474" t="e">
        <v>#N/A</v>
      </c>
      <c r="T474" t="e">
        <v>#N/A</v>
      </c>
      <c r="U474" t="e">
        <v>#N/A</v>
      </c>
      <c r="Y474" t="str">
        <v/>
      </c>
      <c r="AM474" t="str">
        <v/>
      </c>
      <c r="AN474" t="str">
        <v/>
      </c>
      <c r="AO474" t="str">
        <v/>
      </c>
      <c r="AQ474" t="str">
        <v/>
      </c>
      <c r="AR474" t="str">
        <v/>
      </c>
      <c r="AS474" t="e">
        <v>#N/A</v>
      </c>
      <c r="AU474" t="str">
        <v/>
      </c>
      <c r="AW474" t="e">
        <v>#N/A</v>
      </c>
    </row>
    <row r="475" spans="1:49" x14ac:dyDescent="0.25">
      <c r="A475" t="str">
        <v/>
      </c>
      <c r="B475" t="str">
        <v/>
      </c>
      <c r="C475" t="e">
        <v>#N/A</v>
      </c>
      <c r="D475" t="e">
        <v>#N/A</v>
      </c>
      <c r="J475" t="str">
        <v/>
      </c>
      <c r="K475" t="e">
        <f ca="1"/>
        <v>#N/A</v>
      </c>
      <c r="L475" t="str">
        <v/>
      </c>
      <c r="M475" t="e">
        <v>#N/A</v>
      </c>
      <c r="N475" t="e">
        <v>#N/A</v>
      </c>
      <c r="O475" t="e">
        <v>#N/A</v>
      </c>
      <c r="R475" t="e">
        <v>#N/A</v>
      </c>
      <c r="T475" t="e">
        <v>#N/A</v>
      </c>
      <c r="U475" t="e">
        <v>#N/A</v>
      </c>
      <c r="Y475" t="str">
        <v/>
      </c>
      <c r="AM475" t="str">
        <v/>
      </c>
      <c r="AN475" t="str">
        <v/>
      </c>
      <c r="AO475" t="str">
        <v/>
      </c>
      <c r="AQ475" t="str">
        <v/>
      </c>
      <c r="AR475" t="str">
        <v/>
      </c>
      <c r="AS475" t="e">
        <v>#N/A</v>
      </c>
      <c r="AU475" t="str">
        <v/>
      </c>
      <c r="AW475" t="e">
        <v>#N/A</v>
      </c>
    </row>
    <row r="476" spans="1:49" x14ac:dyDescent="0.25">
      <c r="A476" t="str">
        <v/>
      </c>
      <c r="B476" t="str">
        <v/>
      </c>
      <c r="C476" t="e">
        <v>#N/A</v>
      </c>
      <c r="D476" t="e">
        <v>#N/A</v>
      </c>
      <c r="J476" t="str">
        <v/>
      </c>
      <c r="K476" t="e">
        <f ca="1"/>
        <v>#N/A</v>
      </c>
      <c r="L476" t="str">
        <v/>
      </c>
      <c r="M476" t="e">
        <v>#N/A</v>
      </c>
      <c r="N476" t="e">
        <v>#N/A</v>
      </c>
      <c r="O476" t="e">
        <v>#N/A</v>
      </c>
      <c r="R476" t="e">
        <v>#N/A</v>
      </c>
      <c r="T476" t="e">
        <v>#N/A</v>
      </c>
      <c r="U476" t="e">
        <v>#N/A</v>
      </c>
      <c r="Y476" t="str">
        <v/>
      </c>
      <c r="AM476" t="str">
        <v/>
      </c>
      <c r="AN476" t="str">
        <v/>
      </c>
      <c r="AO476" t="str">
        <v/>
      </c>
      <c r="AQ476" t="str">
        <v/>
      </c>
      <c r="AR476" t="str">
        <v/>
      </c>
      <c r="AS476" t="e">
        <v>#N/A</v>
      </c>
      <c r="AU476" t="str">
        <v/>
      </c>
      <c r="AW476" t="e">
        <v>#N/A</v>
      </c>
    </row>
    <row r="477" spans="1:49" x14ac:dyDescent="0.25">
      <c r="A477" t="str">
        <v/>
      </c>
      <c r="B477" t="str">
        <v/>
      </c>
      <c r="C477" t="e">
        <v>#N/A</v>
      </c>
      <c r="D477" t="e">
        <v>#N/A</v>
      </c>
      <c r="J477" t="str">
        <v/>
      </c>
      <c r="K477" t="e">
        <f ca="1"/>
        <v>#N/A</v>
      </c>
      <c r="L477" t="str">
        <v/>
      </c>
      <c r="M477" t="e">
        <v>#N/A</v>
      </c>
      <c r="N477" t="e">
        <v>#N/A</v>
      </c>
      <c r="O477" t="e">
        <v>#N/A</v>
      </c>
      <c r="R477" t="e">
        <v>#N/A</v>
      </c>
      <c r="T477" t="e">
        <v>#N/A</v>
      </c>
      <c r="U477" t="e">
        <v>#N/A</v>
      </c>
      <c r="Y477" t="str">
        <v/>
      </c>
      <c r="AM477" t="str">
        <v/>
      </c>
      <c r="AN477" t="str">
        <v/>
      </c>
      <c r="AO477" t="str">
        <v/>
      </c>
      <c r="AQ477" t="str">
        <v/>
      </c>
      <c r="AR477" t="str">
        <v/>
      </c>
      <c r="AS477" t="e">
        <v>#N/A</v>
      </c>
      <c r="AU477" t="str">
        <v/>
      </c>
      <c r="AW477" t="e">
        <v>#N/A</v>
      </c>
    </row>
    <row r="478" spans="1:49" x14ac:dyDescent="0.25">
      <c r="A478" t="str">
        <v/>
      </c>
      <c r="B478" t="str">
        <v/>
      </c>
      <c r="C478" t="e">
        <v>#N/A</v>
      </c>
      <c r="D478" t="e">
        <v>#N/A</v>
      </c>
      <c r="J478" t="str">
        <v/>
      </c>
      <c r="K478" t="e">
        <f ca="1"/>
        <v>#N/A</v>
      </c>
      <c r="L478" t="str">
        <v/>
      </c>
      <c r="M478" t="e">
        <v>#N/A</v>
      </c>
      <c r="N478" t="e">
        <v>#N/A</v>
      </c>
      <c r="O478" t="e">
        <v>#N/A</v>
      </c>
      <c r="R478" t="e">
        <v>#N/A</v>
      </c>
      <c r="T478" t="e">
        <v>#N/A</v>
      </c>
      <c r="U478" t="e">
        <v>#N/A</v>
      </c>
      <c r="Y478" t="str">
        <v/>
      </c>
      <c r="AM478" t="str">
        <v/>
      </c>
      <c r="AN478" t="str">
        <v/>
      </c>
      <c r="AO478" t="str">
        <v/>
      </c>
      <c r="AQ478" t="str">
        <v/>
      </c>
      <c r="AR478" t="str">
        <v/>
      </c>
      <c r="AS478" t="e">
        <v>#N/A</v>
      </c>
      <c r="AU478" t="str">
        <v/>
      </c>
      <c r="AW478" t="e">
        <v>#N/A</v>
      </c>
    </row>
    <row r="479" spans="1:49" x14ac:dyDescent="0.25">
      <c r="A479" t="str">
        <v/>
      </c>
      <c r="B479" t="str">
        <v/>
      </c>
      <c r="C479" t="e">
        <v>#N/A</v>
      </c>
      <c r="D479" t="e">
        <v>#N/A</v>
      </c>
      <c r="J479" t="str">
        <v/>
      </c>
      <c r="K479" t="e">
        <f ca="1"/>
        <v>#N/A</v>
      </c>
      <c r="L479" t="str">
        <v/>
      </c>
      <c r="M479" t="e">
        <v>#N/A</v>
      </c>
      <c r="N479" t="e">
        <v>#N/A</v>
      </c>
      <c r="O479" t="e">
        <v>#N/A</v>
      </c>
      <c r="R479" t="e">
        <v>#N/A</v>
      </c>
      <c r="T479" t="e">
        <v>#N/A</v>
      </c>
      <c r="U479" t="e">
        <v>#N/A</v>
      </c>
      <c r="Y479" t="str">
        <v/>
      </c>
      <c r="AM479" t="str">
        <v/>
      </c>
      <c r="AN479" t="str">
        <v/>
      </c>
      <c r="AO479" t="str">
        <v/>
      </c>
      <c r="AQ479" t="str">
        <v/>
      </c>
      <c r="AR479" t="str">
        <v/>
      </c>
      <c r="AS479" t="e">
        <v>#N/A</v>
      </c>
      <c r="AU479" t="str">
        <v/>
      </c>
      <c r="AW479" t="e">
        <v>#N/A</v>
      </c>
    </row>
    <row r="480" spans="1:49" x14ac:dyDescent="0.25">
      <c r="A480" t="str">
        <v/>
      </c>
      <c r="B480" t="str">
        <v/>
      </c>
      <c r="C480" t="e">
        <v>#N/A</v>
      </c>
      <c r="D480" t="e">
        <v>#N/A</v>
      </c>
      <c r="J480" t="str">
        <v/>
      </c>
      <c r="K480" t="e">
        <f ca="1"/>
        <v>#N/A</v>
      </c>
      <c r="L480" t="str">
        <v/>
      </c>
      <c r="M480" t="e">
        <v>#N/A</v>
      </c>
      <c r="N480" t="e">
        <v>#N/A</v>
      </c>
      <c r="O480" t="e">
        <v>#N/A</v>
      </c>
      <c r="R480" t="e">
        <v>#N/A</v>
      </c>
      <c r="T480" t="e">
        <v>#N/A</v>
      </c>
      <c r="U480" t="e">
        <v>#N/A</v>
      </c>
      <c r="Y480" t="str">
        <v/>
      </c>
      <c r="AM480" t="str">
        <v/>
      </c>
      <c r="AN480" t="str">
        <v/>
      </c>
      <c r="AO480" t="str">
        <v/>
      </c>
      <c r="AQ480" t="str">
        <v/>
      </c>
      <c r="AR480" t="str">
        <v/>
      </c>
      <c r="AS480" t="e">
        <v>#N/A</v>
      </c>
      <c r="AU480" t="str">
        <v/>
      </c>
      <c r="AW480" t="e">
        <v>#N/A</v>
      </c>
    </row>
    <row r="481" spans="1:49" x14ac:dyDescent="0.25">
      <c r="A481" t="str">
        <v/>
      </c>
      <c r="B481" t="str">
        <v/>
      </c>
      <c r="C481" t="e">
        <v>#N/A</v>
      </c>
      <c r="D481" t="e">
        <v>#N/A</v>
      </c>
      <c r="J481" t="str">
        <v/>
      </c>
      <c r="K481" t="e">
        <f ca="1"/>
        <v>#N/A</v>
      </c>
      <c r="L481" t="str">
        <v/>
      </c>
      <c r="M481" t="e">
        <v>#N/A</v>
      </c>
      <c r="N481" t="e">
        <v>#N/A</v>
      </c>
      <c r="O481" t="e">
        <v>#N/A</v>
      </c>
      <c r="R481" t="e">
        <v>#N/A</v>
      </c>
      <c r="T481" t="e">
        <v>#N/A</v>
      </c>
      <c r="U481" t="e">
        <v>#N/A</v>
      </c>
      <c r="Y481" t="str">
        <v/>
      </c>
      <c r="AM481" t="str">
        <v/>
      </c>
      <c r="AN481" t="str">
        <v/>
      </c>
      <c r="AO481" t="str">
        <v/>
      </c>
      <c r="AQ481" t="str">
        <v/>
      </c>
      <c r="AR481" t="str">
        <v/>
      </c>
      <c r="AS481" t="e">
        <v>#N/A</v>
      </c>
      <c r="AU481" t="str">
        <v/>
      </c>
      <c r="AW481" t="e">
        <v>#N/A</v>
      </c>
    </row>
    <row r="482" spans="1:49" x14ac:dyDescent="0.25">
      <c r="A482" t="str">
        <v/>
      </c>
      <c r="B482" t="str">
        <v/>
      </c>
      <c r="C482" t="e">
        <v>#N/A</v>
      </c>
      <c r="D482" t="e">
        <v>#N/A</v>
      </c>
      <c r="J482" t="str">
        <v/>
      </c>
      <c r="K482" t="e">
        <f ca="1"/>
        <v>#N/A</v>
      </c>
      <c r="L482" t="str">
        <v/>
      </c>
      <c r="M482" t="e">
        <v>#N/A</v>
      </c>
      <c r="N482" t="e">
        <v>#N/A</v>
      </c>
      <c r="O482" t="e">
        <v>#N/A</v>
      </c>
      <c r="R482" t="e">
        <v>#N/A</v>
      </c>
      <c r="T482" t="e">
        <v>#N/A</v>
      </c>
      <c r="U482" t="e">
        <v>#N/A</v>
      </c>
      <c r="Y482" t="str">
        <v/>
      </c>
      <c r="AM482" t="str">
        <v/>
      </c>
      <c r="AN482" t="str">
        <v/>
      </c>
      <c r="AO482" t="str">
        <v/>
      </c>
      <c r="AQ482" t="str">
        <v/>
      </c>
      <c r="AR482" t="str">
        <v/>
      </c>
      <c r="AS482" t="e">
        <v>#N/A</v>
      </c>
      <c r="AU482" t="str">
        <v/>
      </c>
      <c r="AW482" t="e">
        <v>#N/A</v>
      </c>
    </row>
    <row r="483" spans="1:49" x14ac:dyDescent="0.25">
      <c r="A483" t="str">
        <v/>
      </c>
      <c r="B483" t="str">
        <v/>
      </c>
      <c r="C483" t="e">
        <v>#N/A</v>
      </c>
      <c r="D483" t="e">
        <v>#N/A</v>
      </c>
      <c r="J483" t="str">
        <v/>
      </c>
      <c r="K483" t="e">
        <f ca="1"/>
        <v>#N/A</v>
      </c>
      <c r="L483" t="str">
        <v/>
      </c>
      <c r="M483" t="e">
        <v>#N/A</v>
      </c>
      <c r="N483" t="e">
        <v>#N/A</v>
      </c>
      <c r="O483" t="e">
        <v>#N/A</v>
      </c>
      <c r="R483" t="e">
        <v>#N/A</v>
      </c>
      <c r="T483" t="e">
        <v>#N/A</v>
      </c>
      <c r="U483" t="e">
        <v>#N/A</v>
      </c>
      <c r="Y483" t="str">
        <v/>
      </c>
      <c r="AM483" t="str">
        <v/>
      </c>
      <c r="AN483" t="str">
        <v/>
      </c>
      <c r="AO483" t="str">
        <v/>
      </c>
      <c r="AQ483" t="str">
        <v/>
      </c>
      <c r="AR483" t="str">
        <v/>
      </c>
      <c r="AS483" t="e">
        <v>#N/A</v>
      </c>
      <c r="AU483" t="str">
        <v/>
      </c>
      <c r="AW483" t="e">
        <v>#N/A</v>
      </c>
    </row>
    <row r="484" spans="1:49" x14ac:dyDescent="0.25">
      <c r="A484" t="str">
        <v/>
      </c>
      <c r="B484" t="str">
        <v/>
      </c>
      <c r="C484" t="e">
        <v>#N/A</v>
      </c>
      <c r="D484" t="e">
        <v>#N/A</v>
      </c>
      <c r="J484" t="str">
        <v/>
      </c>
      <c r="K484" t="e">
        <f ca="1"/>
        <v>#N/A</v>
      </c>
      <c r="L484" t="str">
        <v/>
      </c>
      <c r="M484" t="e">
        <v>#N/A</v>
      </c>
      <c r="N484" t="e">
        <v>#N/A</v>
      </c>
      <c r="O484" t="e">
        <v>#N/A</v>
      </c>
      <c r="R484" t="e">
        <v>#N/A</v>
      </c>
      <c r="T484" t="e">
        <v>#N/A</v>
      </c>
      <c r="U484" t="e">
        <v>#N/A</v>
      </c>
      <c r="Y484" t="str">
        <v/>
      </c>
      <c r="AM484" t="str">
        <v/>
      </c>
      <c r="AN484" t="str">
        <v/>
      </c>
      <c r="AO484" t="str">
        <v/>
      </c>
      <c r="AQ484" t="str">
        <v/>
      </c>
      <c r="AR484" t="str">
        <v/>
      </c>
      <c r="AS484" t="e">
        <v>#N/A</v>
      </c>
      <c r="AU484" t="str">
        <v/>
      </c>
      <c r="AW484" t="e">
        <v>#N/A</v>
      </c>
    </row>
    <row r="485" spans="1:49" x14ac:dyDescent="0.25">
      <c r="A485" t="str">
        <v/>
      </c>
      <c r="B485" t="str">
        <v/>
      </c>
      <c r="C485" t="e">
        <v>#N/A</v>
      </c>
      <c r="D485" t="e">
        <v>#N/A</v>
      </c>
      <c r="J485" t="str">
        <v/>
      </c>
      <c r="K485" t="e">
        <f ca="1"/>
        <v>#N/A</v>
      </c>
      <c r="L485" t="str">
        <v/>
      </c>
      <c r="M485" t="e">
        <v>#N/A</v>
      </c>
      <c r="N485" t="e">
        <v>#N/A</v>
      </c>
      <c r="O485" t="e">
        <v>#N/A</v>
      </c>
      <c r="R485" t="e">
        <v>#N/A</v>
      </c>
      <c r="T485" t="e">
        <v>#N/A</v>
      </c>
      <c r="U485" t="e">
        <v>#N/A</v>
      </c>
      <c r="Y485" t="str">
        <v/>
      </c>
      <c r="AM485" t="str">
        <v/>
      </c>
      <c r="AN485" t="str">
        <v/>
      </c>
      <c r="AO485" t="str">
        <v/>
      </c>
      <c r="AQ485" t="str">
        <v/>
      </c>
      <c r="AR485" t="str">
        <v/>
      </c>
      <c r="AS485" t="e">
        <v>#N/A</v>
      </c>
      <c r="AU485" t="str">
        <v/>
      </c>
      <c r="AW485" t="e">
        <v>#N/A</v>
      </c>
    </row>
    <row r="486" spans="1:49" x14ac:dyDescent="0.25">
      <c r="A486" t="str">
        <v/>
      </c>
      <c r="B486" t="str">
        <v/>
      </c>
      <c r="C486" t="e">
        <v>#N/A</v>
      </c>
      <c r="D486" t="e">
        <v>#N/A</v>
      </c>
      <c r="J486" t="str">
        <v/>
      </c>
      <c r="K486" t="e">
        <f ca="1"/>
        <v>#N/A</v>
      </c>
      <c r="L486" t="str">
        <v/>
      </c>
      <c r="M486" t="e">
        <v>#N/A</v>
      </c>
      <c r="N486" t="e">
        <v>#N/A</v>
      </c>
      <c r="O486" t="e">
        <v>#N/A</v>
      </c>
      <c r="R486" t="e">
        <v>#N/A</v>
      </c>
      <c r="T486" t="e">
        <v>#N/A</v>
      </c>
      <c r="U486" t="e">
        <v>#N/A</v>
      </c>
      <c r="Y486" t="str">
        <v/>
      </c>
      <c r="AM486" t="str">
        <v/>
      </c>
      <c r="AN486" t="str">
        <v/>
      </c>
      <c r="AO486" t="str">
        <v/>
      </c>
      <c r="AQ486" t="str">
        <v/>
      </c>
      <c r="AR486" t="str">
        <v/>
      </c>
      <c r="AS486" t="e">
        <v>#N/A</v>
      </c>
      <c r="AU486" t="str">
        <v/>
      </c>
      <c r="AW486" t="e">
        <v>#N/A</v>
      </c>
    </row>
    <row r="487" spans="1:49" x14ac:dyDescent="0.25">
      <c r="A487" t="str">
        <v/>
      </c>
      <c r="B487" t="str">
        <v/>
      </c>
      <c r="C487" t="e">
        <v>#N/A</v>
      </c>
      <c r="D487" t="e">
        <v>#N/A</v>
      </c>
      <c r="J487" t="str">
        <v/>
      </c>
      <c r="K487" t="e">
        <f ca="1"/>
        <v>#N/A</v>
      </c>
      <c r="L487" t="str">
        <v/>
      </c>
      <c r="M487" t="e">
        <v>#N/A</v>
      </c>
      <c r="N487" t="e">
        <v>#N/A</v>
      </c>
      <c r="O487" t="e">
        <v>#N/A</v>
      </c>
      <c r="R487" t="e">
        <v>#N/A</v>
      </c>
      <c r="T487" t="e">
        <v>#N/A</v>
      </c>
      <c r="U487" t="e">
        <v>#N/A</v>
      </c>
      <c r="Y487" t="str">
        <v/>
      </c>
      <c r="AM487" t="str">
        <v/>
      </c>
      <c r="AN487" t="str">
        <v/>
      </c>
      <c r="AO487" t="str">
        <v/>
      </c>
      <c r="AQ487" t="str">
        <v/>
      </c>
      <c r="AR487" t="str">
        <v/>
      </c>
      <c r="AS487" t="e">
        <v>#N/A</v>
      </c>
      <c r="AU487" t="str">
        <v/>
      </c>
      <c r="AW487" t="e">
        <v>#N/A</v>
      </c>
    </row>
    <row r="488" spans="1:49" x14ac:dyDescent="0.25">
      <c r="A488" t="str">
        <v/>
      </c>
      <c r="B488" t="str">
        <v/>
      </c>
      <c r="C488" t="e">
        <v>#N/A</v>
      </c>
      <c r="D488" t="e">
        <v>#N/A</v>
      </c>
      <c r="J488" t="str">
        <v/>
      </c>
      <c r="K488" t="e">
        <f ca="1"/>
        <v>#N/A</v>
      </c>
      <c r="L488" t="str">
        <v/>
      </c>
      <c r="M488" t="e">
        <v>#N/A</v>
      </c>
      <c r="N488" t="e">
        <v>#N/A</v>
      </c>
      <c r="O488" t="e">
        <v>#N/A</v>
      </c>
      <c r="R488" t="e">
        <v>#N/A</v>
      </c>
      <c r="T488" t="e">
        <v>#N/A</v>
      </c>
      <c r="U488" t="e">
        <v>#N/A</v>
      </c>
      <c r="Y488" t="str">
        <v/>
      </c>
      <c r="AM488" t="str">
        <v/>
      </c>
      <c r="AN488" t="str">
        <v/>
      </c>
      <c r="AO488" t="str">
        <v/>
      </c>
      <c r="AQ488" t="str">
        <v/>
      </c>
      <c r="AR488" t="str">
        <v/>
      </c>
      <c r="AS488" t="e">
        <v>#N/A</v>
      </c>
      <c r="AU488" t="str">
        <v/>
      </c>
      <c r="AW488" t="e">
        <v>#N/A</v>
      </c>
    </row>
    <row r="489" spans="1:49" x14ac:dyDescent="0.25">
      <c r="A489" t="str">
        <v/>
      </c>
      <c r="B489" t="str">
        <v/>
      </c>
      <c r="C489" t="e">
        <v>#N/A</v>
      </c>
      <c r="D489" t="e">
        <v>#N/A</v>
      </c>
      <c r="J489" t="str">
        <v/>
      </c>
      <c r="K489" t="e">
        <f ca="1"/>
        <v>#N/A</v>
      </c>
      <c r="L489" t="str">
        <v/>
      </c>
      <c r="M489" t="e">
        <v>#N/A</v>
      </c>
      <c r="N489" t="e">
        <v>#N/A</v>
      </c>
      <c r="O489" t="e">
        <v>#N/A</v>
      </c>
      <c r="R489" t="e">
        <v>#N/A</v>
      </c>
      <c r="T489" t="e">
        <v>#N/A</v>
      </c>
      <c r="U489" t="e">
        <v>#N/A</v>
      </c>
      <c r="Y489" t="str">
        <v/>
      </c>
      <c r="AM489" t="str">
        <v/>
      </c>
      <c r="AN489" t="str">
        <v/>
      </c>
      <c r="AO489" t="str">
        <v/>
      </c>
      <c r="AQ489" t="str">
        <v/>
      </c>
      <c r="AR489" t="str">
        <v/>
      </c>
      <c r="AS489" t="e">
        <v>#N/A</v>
      </c>
      <c r="AU489" t="str">
        <v/>
      </c>
      <c r="AW489" t="e">
        <v>#N/A</v>
      </c>
    </row>
    <row r="490" spans="1:49" x14ac:dyDescent="0.25">
      <c r="A490" t="str">
        <v/>
      </c>
      <c r="B490" t="str">
        <v/>
      </c>
      <c r="C490" t="e">
        <v>#N/A</v>
      </c>
      <c r="D490" t="e">
        <v>#N/A</v>
      </c>
      <c r="J490" t="str">
        <v/>
      </c>
      <c r="K490" t="e">
        <f ca="1"/>
        <v>#N/A</v>
      </c>
      <c r="L490" t="str">
        <v/>
      </c>
      <c r="M490" t="e">
        <v>#N/A</v>
      </c>
      <c r="N490" t="e">
        <v>#N/A</v>
      </c>
      <c r="O490" t="e">
        <v>#N/A</v>
      </c>
      <c r="R490" t="e">
        <v>#N/A</v>
      </c>
      <c r="T490" t="e">
        <v>#N/A</v>
      </c>
      <c r="U490" t="e">
        <v>#N/A</v>
      </c>
      <c r="Y490" t="str">
        <v/>
      </c>
      <c r="AM490" t="str">
        <v/>
      </c>
      <c r="AN490" t="str">
        <v/>
      </c>
      <c r="AO490" t="str">
        <v/>
      </c>
      <c r="AQ490" t="str">
        <v/>
      </c>
      <c r="AR490" t="str">
        <v/>
      </c>
      <c r="AS490" t="e">
        <v>#N/A</v>
      </c>
      <c r="AU490" t="str">
        <v/>
      </c>
      <c r="AW490" t="e">
        <v>#N/A</v>
      </c>
    </row>
    <row r="491" spans="1:49" x14ac:dyDescent="0.25">
      <c r="A491" t="str">
        <v/>
      </c>
      <c r="B491" t="str">
        <v/>
      </c>
      <c r="C491" t="e">
        <v>#N/A</v>
      </c>
      <c r="D491" t="e">
        <v>#N/A</v>
      </c>
      <c r="J491" t="str">
        <v/>
      </c>
      <c r="K491" t="e">
        <f ca="1"/>
        <v>#N/A</v>
      </c>
      <c r="L491" t="str">
        <v/>
      </c>
      <c r="M491" t="e">
        <v>#N/A</v>
      </c>
      <c r="N491" t="e">
        <v>#N/A</v>
      </c>
      <c r="O491" t="e">
        <v>#N/A</v>
      </c>
      <c r="R491" t="e">
        <v>#N/A</v>
      </c>
      <c r="T491" t="e">
        <v>#N/A</v>
      </c>
      <c r="U491" t="e">
        <v>#N/A</v>
      </c>
      <c r="Y491" t="str">
        <v/>
      </c>
      <c r="AM491" t="str">
        <v/>
      </c>
      <c r="AN491" t="str">
        <v/>
      </c>
      <c r="AO491" t="str">
        <v/>
      </c>
      <c r="AQ491" t="str">
        <v/>
      </c>
      <c r="AR491" t="str">
        <v/>
      </c>
      <c r="AS491" t="e">
        <v>#N/A</v>
      </c>
      <c r="AU491" t="str">
        <v/>
      </c>
      <c r="AW491" t="e">
        <v>#N/A</v>
      </c>
    </row>
    <row r="492" spans="1:49" x14ac:dyDescent="0.25">
      <c r="A492" t="str">
        <v/>
      </c>
      <c r="B492" t="str">
        <v/>
      </c>
      <c r="C492" t="e">
        <v>#N/A</v>
      </c>
      <c r="D492" t="e">
        <v>#N/A</v>
      </c>
      <c r="J492" t="str">
        <v/>
      </c>
      <c r="K492" t="e">
        <f ca="1"/>
        <v>#N/A</v>
      </c>
      <c r="L492" t="str">
        <v/>
      </c>
      <c r="M492" t="e">
        <v>#N/A</v>
      </c>
      <c r="N492" t="e">
        <v>#N/A</v>
      </c>
      <c r="O492" t="e">
        <v>#N/A</v>
      </c>
      <c r="R492" t="e">
        <v>#N/A</v>
      </c>
      <c r="T492" t="e">
        <v>#N/A</v>
      </c>
      <c r="U492" t="e">
        <v>#N/A</v>
      </c>
      <c r="Y492" t="str">
        <v/>
      </c>
      <c r="AM492" t="str">
        <v/>
      </c>
      <c r="AN492" t="str">
        <v/>
      </c>
      <c r="AO492" t="str">
        <v/>
      </c>
      <c r="AQ492" t="str">
        <v/>
      </c>
      <c r="AR492" t="str">
        <v/>
      </c>
      <c r="AS492" t="e">
        <v>#N/A</v>
      </c>
      <c r="AU492" t="str">
        <v/>
      </c>
      <c r="AW492" t="e">
        <v>#N/A</v>
      </c>
    </row>
    <row r="493" spans="1:49" x14ac:dyDescent="0.25">
      <c r="A493" t="str">
        <v/>
      </c>
      <c r="B493" t="str">
        <v/>
      </c>
      <c r="C493" t="e">
        <v>#N/A</v>
      </c>
      <c r="D493" t="e">
        <v>#N/A</v>
      </c>
      <c r="J493" t="str">
        <v/>
      </c>
      <c r="K493" t="e">
        <f ca="1"/>
        <v>#N/A</v>
      </c>
      <c r="L493" t="str">
        <v/>
      </c>
      <c r="M493" t="e">
        <v>#N/A</v>
      </c>
      <c r="N493" t="e">
        <v>#N/A</v>
      </c>
      <c r="O493" t="e">
        <v>#N/A</v>
      </c>
      <c r="R493" t="e">
        <v>#N/A</v>
      </c>
      <c r="T493" t="e">
        <v>#N/A</v>
      </c>
      <c r="U493" t="e">
        <v>#N/A</v>
      </c>
      <c r="Y493" t="str">
        <v/>
      </c>
      <c r="AM493" t="str">
        <v/>
      </c>
      <c r="AN493" t="str">
        <v/>
      </c>
      <c r="AO493" t="str">
        <v/>
      </c>
      <c r="AQ493" t="str">
        <v/>
      </c>
      <c r="AR493" t="str">
        <v/>
      </c>
      <c r="AS493" t="e">
        <v>#N/A</v>
      </c>
      <c r="AU493" t="str">
        <v/>
      </c>
      <c r="AW493" t="e">
        <v>#N/A</v>
      </c>
    </row>
    <row r="494" spans="1:49" x14ac:dyDescent="0.25">
      <c r="A494" t="str">
        <v/>
      </c>
      <c r="B494" t="str">
        <v/>
      </c>
      <c r="C494" t="e">
        <v>#N/A</v>
      </c>
      <c r="D494" t="e">
        <v>#N/A</v>
      </c>
      <c r="J494" t="str">
        <v/>
      </c>
      <c r="K494" t="e">
        <f ca="1"/>
        <v>#N/A</v>
      </c>
      <c r="L494" t="str">
        <v/>
      </c>
      <c r="M494" t="e">
        <v>#N/A</v>
      </c>
      <c r="N494" t="e">
        <v>#N/A</v>
      </c>
      <c r="O494" t="e">
        <v>#N/A</v>
      </c>
      <c r="R494" t="e">
        <v>#N/A</v>
      </c>
      <c r="T494" t="e">
        <v>#N/A</v>
      </c>
      <c r="U494" t="e">
        <v>#N/A</v>
      </c>
      <c r="Y494" t="str">
        <v/>
      </c>
      <c r="AM494" t="str">
        <v/>
      </c>
      <c r="AN494" t="str">
        <v/>
      </c>
      <c r="AO494" t="str">
        <v/>
      </c>
      <c r="AQ494" t="str">
        <v/>
      </c>
      <c r="AR494" t="str">
        <v/>
      </c>
      <c r="AS494" t="e">
        <v>#N/A</v>
      </c>
      <c r="AU494" t="str">
        <v/>
      </c>
      <c r="AW494" t="e">
        <v>#N/A</v>
      </c>
    </row>
    <row r="495" spans="1:49" x14ac:dyDescent="0.25">
      <c r="A495" t="str">
        <v/>
      </c>
      <c r="B495" t="str">
        <v/>
      </c>
      <c r="C495" t="e">
        <v>#N/A</v>
      </c>
      <c r="D495" t="e">
        <v>#N/A</v>
      </c>
      <c r="J495" t="str">
        <v/>
      </c>
      <c r="K495" t="e">
        <f ca="1"/>
        <v>#N/A</v>
      </c>
      <c r="L495" t="str">
        <v/>
      </c>
      <c r="M495" t="e">
        <v>#N/A</v>
      </c>
      <c r="N495" t="e">
        <v>#N/A</v>
      </c>
      <c r="O495" t="e">
        <v>#N/A</v>
      </c>
      <c r="R495" t="e">
        <v>#N/A</v>
      </c>
      <c r="T495" t="e">
        <v>#N/A</v>
      </c>
      <c r="U495" t="e">
        <v>#N/A</v>
      </c>
      <c r="Y495" t="str">
        <v/>
      </c>
      <c r="AM495" t="str">
        <v/>
      </c>
      <c r="AN495" t="str">
        <v/>
      </c>
      <c r="AO495" t="str">
        <v/>
      </c>
      <c r="AQ495" t="str">
        <v/>
      </c>
      <c r="AR495" t="str">
        <v/>
      </c>
      <c r="AS495" t="e">
        <v>#N/A</v>
      </c>
      <c r="AU495" t="str">
        <v/>
      </c>
      <c r="AW495" t="e">
        <v>#N/A</v>
      </c>
    </row>
    <row r="496" spans="1:49" x14ac:dyDescent="0.25">
      <c r="A496" t="str">
        <v/>
      </c>
      <c r="B496" t="str">
        <v/>
      </c>
      <c r="C496" t="e">
        <v>#N/A</v>
      </c>
      <c r="D496" t="e">
        <v>#N/A</v>
      </c>
      <c r="J496" t="str">
        <v/>
      </c>
      <c r="K496" t="e">
        <f ca="1"/>
        <v>#N/A</v>
      </c>
      <c r="L496" t="str">
        <v/>
      </c>
      <c r="M496" t="e">
        <v>#N/A</v>
      </c>
      <c r="N496" t="e">
        <v>#N/A</v>
      </c>
      <c r="O496" t="e">
        <v>#N/A</v>
      </c>
      <c r="R496" t="e">
        <v>#N/A</v>
      </c>
      <c r="T496" t="e">
        <v>#N/A</v>
      </c>
      <c r="U496" t="e">
        <v>#N/A</v>
      </c>
      <c r="Y496" t="str">
        <v/>
      </c>
      <c r="AM496" t="str">
        <v/>
      </c>
      <c r="AN496" t="str">
        <v/>
      </c>
      <c r="AO496" t="str">
        <v/>
      </c>
      <c r="AQ496" t="str">
        <v/>
      </c>
      <c r="AR496" t="str">
        <v/>
      </c>
      <c r="AS496" t="e">
        <v>#N/A</v>
      </c>
      <c r="AU496" t="str">
        <v/>
      </c>
      <c r="AW496" t="e">
        <v>#N/A</v>
      </c>
    </row>
    <row r="497" spans="1:49" x14ac:dyDescent="0.25">
      <c r="A497" t="str">
        <v/>
      </c>
      <c r="B497" t="str">
        <v/>
      </c>
      <c r="C497" t="e">
        <v>#N/A</v>
      </c>
      <c r="D497" t="e">
        <v>#N/A</v>
      </c>
      <c r="J497" t="str">
        <v/>
      </c>
      <c r="K497" t="e">
        <f ca="1"/>
        <v>#N/A</v>
      </c>
      <c r="L497" t="str">
        <v/>
      </c>
      <c r="M497" t="e">
        <v>#N/A</v>
      </c>
      <c r="N497" t="e">
        <v>#N/A</v>
      </c>
      <c r="O497" t="e">
        <v>#N/A</v>
      </c>
      <c r="R497" t="e">
        <v>#N/A</v>
      </c>
      <c r="T497" t="e">
        <v>#N/A</v>
      </c>
      <c r="U497" t="e">
        <v>#N/A</v>
      </c>
      <c r="Y497" t="str">
        <v/>
      </c>
      <c r="AM497" t="str">
        <v/>
      </c>
      <c r="AN497" t="str">
        <v/>
      </c>
      <c r="AO497" t="str">
        <v/>
      </c>
      <c r="AQ497" t="str">
        <v/>
      </c>
      <c r="AR497" t="str">
        <v/>
      </c>
      <c r="AS497" t="e">
        <v>#N/A</v>
      </c>
      <c r="AU497" t="str">
        <v/>
      </c>
      <c r="AW497" t="e">
        <v>#N/A</v>
      </c>
    </row>
    <row r="498" spans="1:49" x14ac:dyDescent="0.25">
      <c r="A498" t="str">
        <v/>
      </c>
      <c r="B498" t="str">
        <v/>
      </c>
      <c r="C498" t="e">
        <v>#N/A</v>
      </c>
      <c r="D498" t="e">
        <v>#N/A</v>
      </c>
      <c r="J498" t="str">
        <v/>
      </c>
      <c r="K498" t="e">
        <f ca="1"/>
        <v>#N/A</v>
      </c>
      <c r="L498" t="str">
        <v/>
      </c>
      <c r="M498" t="e">
        <v>#N/A</v>
      </c>
      <c r="N498" t="e">
        <v>#N/A</v>
      </c>
      <c r="O498" t="e">
        <v>#N/A</v>
      </c>
      <c r="R498" t="e">
        <v>#N/A</v>
      </c>
      <c r="T498" t="e">
        <v>#N/A</v>
      </c>
      <c r="U498" t="e">
        <v>#N/A</v>
      </c>
      <c r="Y498" t="str">
        <v/>
      </c>
      <c r="AM498" t="str">
        <v/>
      </c>
      <c r="AN498" t="str">
        <v/>
      </c>
      <c r="AO498" t="str">
        <v/>
      </c>
      <c r="AQ498" t="str">
        <v/>
      </c>
      <c r="AR498" t="str">
        <v/>
      </c>
      <c r="AS498" t="e">
        <v>#N/A</v>
      </c>
      <c r="AU498" t="str">
        <v/>
      </c>
      <c r="AW498" t="e">
        <v>#N/A</v>
      </c>
    </row>
    <row r="499" spans="1:49" x14ac:dyDescent="0.25">
      <c r="A499" t="str">
        <v/>
      </c>
      <c r="B499" t="str">
        <v/>
      </c>
      <c r="C499" t="e">
        <v>#N/A</v>
      </c>
      <c r="D499" t="e">
        <v>#N/A</v>
      </c>
      <c r="J499" t="str">
        <v/>
      </c>
      <c r="K499" t="e">
        <f ca="1"/>
        <v>#N/A</v>
      </c>
      <c r="L499" t="str">
        <v/>
      </c>
      <c r="M499" t="e">
        <v>#N/A</v>
      </c>
      <c r="N499" t="e">
        <v>#N/A</v>
      </c>
      <c r="O499" t="e">
        <v>#N/A</v>
      </c>
      <c r="R499" t="e">
        <v>#N/A</v>
      </c>
      <c r="T499" t="e">
        <v>#N/A</v>
      </c>
      <c r="U499" t="e">
        <v>#N/A</v>
      </c>
      <c r="Y499" t="str">
        <v/>
      </c>
      <c r="AM499" t="str">
        <v/>
      </c>
      <c r="AN499" t="str">
        <v/>
      </c>
      <c r="AO499" t="str">
        <v/>
      </c>
      <c r="AQ499" t="str">
        <v/>
      </c>
      <c r="AR499" t="str">
        <v/>
      </c>
      <c r="AS499" t="e">
        <v>#N/A</v>
      </c>
      <c r="AU499" t="str">
        <v/>
      </c>
      <c r="AW499" t="e">
        <v>#N/A</v>
      </c>
    </row>
    <row r="500" spans="1:49" x14ac:dyDescent="0.25">
      <c r="A500" t="str">
        <v/>
      </c>
      <c r="B500" t="str">
        <v/>
      </c>
      <c r="C500" t="e">
        <v>#N/A</v>
      </c>
      <c r="D500" t="e">
        <v>#N/A</v>
      </c>
      <c r="J500" t="str">
        <v/>
      </c>
      <c r="K500" t="e">
        <f ca="1"/>
        <v>#N/A</v>
      </c>
      <c r="L500" t="str">
        <v/>
      </c>
      <c r="M500" t="e">
        <v>#N/A</v>
      </c>
      <c r="N500" t="e">
        <v>#N/A</v>
      </c>
      <c r="O500" t="e">
        <v>#N/A</v>
      </c>
      <c r="R500" t="e">
        <v>#N/A</v>
      </c>
      <c r="T500" t="e">
        <v>#N/A</v>
      </c>
      <c r="U500" t="e">
        <v>#N/A</v>
      </c>
      <c r="Y500" t="str">
        <v/>
      </c>
      <c r="AM500" t="str">
        <v/>
      </c>
      <c r="AN500" t="str">
        <v/>
      </c>
      <c r="AO500" t="str">
        <v/>
      </c>
      <c r="AQ500" t="str">
        <v/>
      </c>
      <c r="AR500" t="str">
        <v/>
      </c>
      <c r="AS500" t="e">
        <v>#N/A</v>
      </c>
      <c r="AU500" t="str">
        <v/>
      </c>
      <c r="AW500" t="e">
        <v>#N/A</v>
      </c>
    </row>
    <row r="501" spans="1:49" x14ac:dyDescent="0.25">
      <c r="A501" t="str">
        <v/>
      </c>
      <c r="B501" t="str">
        <v/>
      </c>
      <c r="C501" t="e">
        <v>#N/A</v>
      </c>
      <c r="D501" t="e">
        <v>#N/A</v>
      </c>
      <c r="J501" t="str">
        <v/>
      </c>
      <c r="K501" t="e">
        <f ca="1"/>
        <v>#N/A</v>
      </c>
      <c r="L501" t="str">
        <v/>
      </c>
      <c r="M501" t="e">
        <v>#N/A</v>
      </c>
      <c r="N501" t="e">
        <v>#N/A</v>
      </c>
      <c r="O501" t="e">
        <v>#N/A</v>
      </c>
      <c r="R501" t="e">
        <v>#N/A</v>
      </c>
      <c r="T501" t="e">
        <v>#N/A</v>
      </c>
      <c r="U501" t="e">
        <v>#N/A</v>
      </c>
      <c r="Y501" t="str">
        <v/>
      </c>
      <c r="AM501" t="str">
        <v/>
      </c>
      <c r="AN501" t="str">
        <v/>
      </c>
      <c r="AO501" t="str">
        <v/>
      </c>
      <c r="AQ501" t="str">
        <v/>
      </c>
      <c r="AR501" t="str">
        <v/>
      </c>
      <c r="AS501" t="e">
        <v>#N/A</v>
      </c>
      <c r="AU501" t="str">
        <v/>
      </c>
      <c r="AW501" t="e">
        <v>#N/A</v>
      </c>
    </row>
    <row r="502" spans="1:49" x14ac:dyDescent="0.25">
      <c r="A502" t="str">
        <v/>
      </c>
      <c r="B502" t="str">
        <v/>
      </c>
      <c r="C502" t="e">
        <v>#N/A</v>
      </c>
      <c r="D502" t="e">
        <v>#N/A</v>
      </c>
      <c r="J502" t="str">
        <v/>
      </c>
      <c r="K502" t="e">
        <f ca="1"/>
        <v>#N/A</v>
      </c>
      <c r="L502" t="str">
        <v/>
      </c>
      <c r="M502" t="e">
        <v>#N/A</v>
      </c>
      <c r="N502" t="e">
        <v>#N/A</v>
      </c>
      <c r="O502" t="e">
        <v>#N/A</v>
      </c>
      <c r="R502" t="e">
        <v>#N/A</v>
      </c>
      <c r="T502" t="e">
        <v>#N/A</v>
      </c>
      <c r="U502" t="e">
        <v>#N/A</v>
      </c>
      <c r="Y502" t="str">
        <v/>
      </c>
      <c r="AM502" t="str">
        <v/>
      </c>
      <c r="AN502" t="str">
        <v/>
      </c>
      <c r="AO502" t="str">
        <v/>
      </c>
      <c r="AQ502" t="str">
        <v/>
      </c>
      <c r="AR502" t="str">
        <v/>
      </c>
      <c r="AS502" t="e">
        <v>#N/A</v>
      </c>
      <c r="AU502" t="str">
        <v/>
      </c>
      <c r="AW502" t="e">
        <v>#N/A</v>
      </c>
    </row>
    <row r="503" spans="1:49" x14ac:dyDescent="0.25">
      <c r="A503" t="str">
        <v/>
      </c>
      <c r="B503" t="str">
        <v/>
      </c>
      <c r="C503" t="e">
        <v>#N/A</v>
      </c>
      <c r="D503" t="e">
        <v>#N/A</v>
      </c>
      <c r="J503" t="str">
        <v/>
      </c>
      <c r="K503" t="e">
        <f ca="1"/>
        <v>#N/A</v>
      </c>
      <c r="L503" t="str">
        <v/>
      </c>
      <c r="M503" t="e">
        <v>#N/A</v>
      </c>
      <c r="N503" t="e">
        <v>#N/A</v>
      </c>
      <c r="O503" t="e">
        <v>#N/A</v>
      </c>
      <c r="R503" t="e">
        <v>#N/A</v>
      </c>
      <c r="T503" t="e">
        <v>#N/A</v>
      </c>
      <c r="U503" t="e">
        <v>#N/A</v>
      </c>
      <c r="Y503" t="str">
        <v/>
      </c>
      <c r="AM503" t="str">
        <v/>
      </c>
      <c r="AN503" t="str">
        <v/>
      </c>
      <c r="AO503" t="str">
        <v/>
      </c>
      <c r="AQ503" t="str">
        <v/>
      </c>
      <c r="AR503" t="str">
        <v/>
      </c>
      <c r="AS503" t="e">
        <v>#N/A</v>
      </c>
      <c r="AU503" t="str">
        <v/>
      </c>
      <c r="AW503" t="e">
        <v>#N/A</v>
      </c>
    </row>
    <row r="504" spans="1:49" x14ac:dyDescent="0.25">
      <c r="A504" t="str">
        <v/>
      </c>
      <c r="B504" t="str">
        <v/>
      </c>
      <c r="C504" t="e">
        <v>#N/A</v>
      </c>
      <c r="D504" t="e">
        <v>#N/A</v>
      </c>
      <c r="J504" t="str">
        <v/>
      </c>
      <c r="K504" t="e">
        <f ca="1"/>
        <v>#N/A</v>
      </c>
      <c r="L504" t="str">
        <v/>
      </c>
      <c r="M504" t="e">
        <v>#N/A</v>
      </c>
      <c r="N504" t="e">
        <v>#N/A</v>
      </c>
      <c r="O504" t="e">
        <v>#N/A</v>
      </c>
      <c r="R504" t="e">
        <v>#N/A</v>
      </c>
      <c r="T504" t="e">
        <v>#N/A</v>
      </c>
      <c r="U504" t="e">
        <v>#N/A</v>
      </c>
      <c r="Y504" t="str">
        <v/>
      </c>
      <c r="AM504" t="str">
        <v/>
      </c>
      <c r="AN504" t="str">
        <v/>
      </c>
      <c r="AO504" t="str">
        <v/>
      </c>
      <c r="AQ504" t="str">
        <v/>
      </c>
      <c r="AR504" t="str">
        <v/>
      </c>
      <c r="AS504" t="e">
        <v>#N/A</v>
      </c>
      <c r="AU504" t="str">
        <v/>
      </c>
      <c r="AW504" t="e">
        <v>#N/A</v>
      </c>
    </row>
    <row r="505" spans="1:49" x14ac:dyDescent="0.25">
      <c r="A505" t="str">
        <v/>
      </c>
      <c r="B505" t="str">
        <v/>
      </c>
      <c r="C505" t="e">
        <v>#N/A</v>
      </c>
      <c r="D505" t="e">
        <v>#N/A</v>
      </c>
      <c r="J505" t="str">
        <v/>
      </c>
      <c r="K505" t="e">
        <f ca="1"/>
        <v>#N/A</v>
      </c>
      <c r="L505" t="str">
        <v/>
      </c>
      <c r="M505" t="e">
        <v>#N/A</v>
      </c>
      <c r="N505" t="e">
        <v>#N/A</v>
      </c>
      <c r="O505" t="e">
        <v>#N/A</v>
      </c>
      <c r="R505" t="e">
        <v>#N/A</v>
      </c>
      <c r="T505" t="e">
        <v>#N/A</v>
      </c>
      <c r="U505" t="e">
        <v>#N/A</v>
      </c>
      <c r="Y505" t="str">
        <v/>
      </c>
      <c r="AM505" t="str">
        <v/>
      </c>
      <c r="AN505" t="str">
        <v/>
      </c>
      <c r="AO505" t="str">
        <v/>
      </c>
      <c r="AQ505" t="str">
        <v/>
      </c>
      <c r="AR505" t="str">
        <v/>
      </c>
      <c r="AS505" t="e">
        <v>#N/A</v>
      </c>
      <c r="AU505" t="str">
        <v/>
      </c>
      <c r="AW505" t="e">
        <v>#N/A</v>
      </c>
    </row>
    <row r="506" spans="1:49" x14ac:dyDescent="0.25">
      <c r="A506" t="str">
        <v/>
      </c>
      <c r="B506" t="str">
        <v/>
      </c>
      <c r="C506" t="e">
        <v>#N/A</v>
      </c>
      <c r="D506" t="e">
        <v>#N/A</v>
      </c>
      <c r="J506" t="str">
        <v/>
      </c>
      <c r="K506" t="e">
        <f ca="1"/>
        <v>#N/A</v>
      </c>
      <c r="L506" t="str">
        <v/>
      </c>
      <c r="M506" t="e">
        <v>#N/A</v>
      </c>
      <c r="N506" t="e">
        <v>#N/A</v>
      </c>
      <c r="O506" t="e">
        <v>#N/A</v>
      </c>
      <c r="R506" t="e">
        <v>#N/A</v>
      </c>
      <c r="T506" t="e">
        <v>#N/A</v>
      </c>
      <c r="U506" t="e">
        <v>#N/A</v>
      </c>
      <c r="Y506" t="str">
        <v/>
      </c>
      <c r="AM506" t="str">
        <v/>
      </c>
      <c r="AN506" t="str">
        <v/>
      </c>
      <c r="AO506" t="str">
        <v/>
      </c>
      <c r="AQ506" t="str">
        <v/>
      </c>
      <c r="AR506" t="str">
        <v/>
      </c>
      <c r="AS506" t="e">
        <v>#N/A</v>
      </c>
      <c r="AU506" t="str">
        <v/>
      </c>
      <c r="AW506" t="e">
        <v>#N/A</v>
      </c>
    </row>
    <row r="507" spans="1:49" x14ac:dyDescent="0.25">
      <c r="A507" t="str">
        <v/>
      </c>
      <c r="B507" t="str">
        <v/>
      </c>
      <c r="C507" t="e">
        <v>#N/A</v>
      </c>
      <c r="D507" t="e">
        <v>#N/A</v>
      </c>
      <c r="J507" t="str">
        <v/>
      </c>
      <c r="K507" t="e">
        <f ca="1"/>
        <v>#N/A</v>
      </c>
      <c r="L507" t="str">
        <v/>
      </c>
      <c r="M507" t="e">
        <v>#N/A</v>
      </c>
      <c r="N507" t="e">
        <v>#N/A</v>
      </c>
      <c r="O507" t="e">
        <v>#N/A</v>
      </c>
      <c r="R507" t="e">
        <v>#N/A</v>
      </c>
      <c r="T507" t="e">
        <v>#N/A</v>
      </c>
      <c r="U507" t="e">
        <v>#N/A</v>
      </c>
      <c r="Y507" t="str">
        <v/>
      </c>
      <c r="AM507" t="str">
        <v/>
      </c>
      <c r="AN507" t="str">
        <v/>
      </c>
      <c r="AO507" t="str">
        <v/>
      </c>
      <c r="AQ507" t="str">
        <v/>
      </c>
      <c r="AR507" t="str">
        <v/>
      </c>
      <c r="AS507" t="e">
        <v>#N/A</v>
      </c>
      <c r="AU507" t="str">
        <v/>
      </c>
      <c r="AW507" t="e">
        <v>#N/A</v>
      </c>
    </row>
    <row r="508" spans="1:49" x14ac:dyDescent="0.25">
      <c r="A508" t="str">
        <v/>
      </c>
      <c r="B508" t="str">
        <v/>
      </c>
      <c r="C508" t="e">
        <v>#N/A</v>
      </c>
      <c r="D508" t="e">
        <v>#N/A</v>
      </c>
      <c r="J508" t="str">
        <v/>
      </c>
      <c r="K508" t="e">
        <f ca="1"/>
        <v>#N/A</v>
      </c>
      <c r="L508" t="str">
        <v/>
      </c>
      <c r="M508" t="e">
        <v>#N/A</v>
      </c>
      <c r="N508" t="e">
        <v>#N/A</v>
      </c>
      <c r="O508" t="e">
        <v>#N/A</v>
      </c>
      <c r="R508" t="e">
        <v>#N/A</v>
      </c>
      <c r="T508" t="e">
        <v>#N/A</v>
      </c>
      <c r="U508" t="e">
        <v>#N/A</v>
      </c>
      <c r="Y508" t="str">
        <v/>
      </c>
      <c r="AM508" t="str">
        <v/>
      </c>
      <c r="AN508" t="str">
        <v/>
      </c>
      <c r="AO508" t="str">
        <v/>
      </c>
      <c r="AQ508" t="str">
        <v/>
      </c>
      <c r="AR508" t="str">
        <v/>
      </c>
      <c r="AS508" t="e">
        <v>#N/A</v>
      </c>
      <c r="AU508" t="str">
        <v/>
      </c>
      <c r="AW508" t="e">
        <v>#N/A</v>
      </c>
    </row>
    <row r="509" spans="1:49" x14ac:dyDescent="0.25">
      <c r="A509" t="str">
        <v/>
      </c>
      <c r="B509" t="str">
        <v/>
      </c>
      <c r="C509" t="e">
        <v>#N/A</v>
      </c>
      <c r="D509" t="e">
        <v>#N/A</v>
      </c>
      <c r="J509" t="str">
        <v/>
      </c>
      <c r="K509" t="e">
        <f ca="1"/>
        <v>#N/A</v>
      </c>
      <c r="L509" t="str">
        <v/>
      </c>
      <c r="M509" t="e">
        <v>#N/A</v>
      </c>
      <c r="N509" t="e">
        <v>#N/A</v>
      </c>
      <c r="O509" t="e">
        <v>#N/A</v>
      </c>
      <c r="R509" t="e">
        <v>#N/A</v>
      </c>
      <c r="T509" t="e">
        <v>#N/A</v>
      </c>
      <c r="U509" t="e">
        <v>#N/A</v>
      </c>
      <c r="Y509" t="str">
        <v/>
      </c>
      <c r="AM509" t="str">
        <v/>
      </c>
      <c r="AN509" t="str">
        <v/>
      </c>
      <c r="AO509" t="str">
        <v/>
      </c>
      <c r="AQ509" t="str">
        <v/>
      </c>
      <c r="AR509" t="str">
        <v/>
      </c>
      <c r="AS509" t="e">
        <v>#N/A</v>
      </c>
      <c r="AU509" t="str">
        <v/>
      </c>
      <c r="AW509" t="e">
        <v>#N/A</v>
      </c>
    </row>
    <row r="510" spans="1:49" x14ac:dyDescent="0.25">
      <c r="A510" t="str">
        <v/>
      </c>
      <c r="B510" t="str">
        <v/>
      </c>
      <c r="C510" t="e">
        <v>#N/A</v>
      </c>
      <c r="D510" t="e">
        <v>#N/A</v>
      </c>
      <c r="J510" t="str">
        <v/>
      </c>
      <c r="K510" t="e">
        <f ca="1"/>
        <v>#N/A</v>
      </c>
      <c r="L510" t="str">
        <v/>
      </c>
      <c r="M510" t="e">
        <v>#N/A</v>
      </c>
      <c r="N510" t="e">
        <v>#N/A</v>
      </c>
      <c r="O510" t="e">
        <v>#N/A</v>
      </c>
      <c r="R510" t="e">
        <v>#N/A</v>
      </c>
      <c r="T510" t="e">
        <v>#N/A</v>
      </c>
      <c r="U510" t="e">
        <v>#N/A</v>
      </c>
      <c r="Y510" t="str">
        <v/>
      </c>
      <c r="AM510" t="str">
        <v/>
      </c>
      <c r="AN510" t="str">
        <v/>
      </c>
      <c r="AO510" t="str">
        <v/>
      </c>
      <c r="AQ510" t="str">
        <v/>
      </c>
      <c r="AR510" t="str">
        <v/>
      </c>
      <c r="AS510" t="e">
        <v>#N/A</v>
      </c>
      <c r="AU510" t="str">
        <v/>
      </c>
      <c r="AW510" t="e">
        <v>#N/A</v>
      </c>
    </row>
    <row r="511" spans="1:49" x14ac:dyDescent="0.25">
      <c r="A511" t="str">
        <v/>
      </c>
      <c r="B511" t="str">
        <v/>
      </c>
      <c r="C511" t="e">
        <v>#N/A</v>
      </c>
      <c r="D511" t="e">
        <v>#N/A</v>
      </c>
      <c r="J511" t="str">
        <v/>
      </c>
      <c r="K511" t="e">
        <f ca="1"/>
        <v>#N/A</v>
      </c>
      <c r="L511" t="str">
        <v/>
      </c>
      <c r="M511" t="e">
        <v>#N/A</v>
      </c>
      <c r="N511" t="e">
        <v>#N/A</v>
      </c>
      <c r="O511" t="e">
        <v>#N/A</v>
      </c>
      <c r="R511" t="e">
        <v>#N/A</v>
      </c>
      <c r="T511" t="e">
        <v>#N/A</v>
      </c>
      <c r="U511" t="e">
        <v>#N/A</v>
      </c>
      <c r="Y511" t="str">
        <v/>
      </c>
      <c r="AM511" t="str">
        <v/>
      </c>
      <c r="AN511" t="str">
        <v/>
      </c>
      <c r="AO511" t="str">
        <v/>
      </c>
      <c r="AQ511" t="str">
        <v/>
      </c>
      <c r="AR511" t="str">
        <v/>
      </c>
      <c r="AS511" t="e">
        <v>#N/A</v>
      </c>
      <c r="AU511" t="str">
        <v/>
      </c>
      <c r="AW511" t="e">
        <v>#N/A</v>
      </c>
    </row>
    <row r="512" spans="1:49" x14ac:dyDescent="0.25">
      <c r="A512" t="str">
        <v/>
      </c>
      <c r="B512" t="str">
        <v/>
      </c>
      <c r="C512" t="e">
        <v>#N/A</v>
      </c>
      <c r="D512" t="e">
        <v>#N/A</v>
      </c>
      <c r="J512" t="str">
        <v/>
      </c>
      <c r="K512" t="e">
        <f ca="1"/>
        <v>#N/A</v>
      </c>
      <c r="L512" t="str">
        <v/>
      </c>
      <c r="M512" t="e">
        <v>#N/A</v>
      </c>
      <c r="N512" t="e">
        <v>#N/A</v>
      </c>
      <c r="O512" t="e">
        <v>#N/A</v>
      </c>
      <c r="R512" t="e">
        <v>#N/A</v>
      </c>
      <c r="T512" t="e">
        <v>#N/A</v>
      </c>
      <c r="U512" t="e">
        <v>#N/A</v>
      </c>
      <c r="Y512" t="str">
        <v/>
      </c>
      <c r="AM512" t="str">
        <v/>
      </c>
      <c r="AN512" t="str">
        <v/>
      </c>
      <c r="AO512" t="str">
        <v/>
      </c>
      <c r="AQ512" t="str">
        <v/>
      </c>
      <c r="AR512" t="str">
        <v/>
      </c>
      <c r="AS512" t="e">
        <v>#N/A</v>
      </c>
      <c r="AU512" t="str">
        <v/>
      </c>
      <c r="AW512" t="e">
        <v>#N/A</v>
      </c>
    </row>
    <row r="513" spans="1:49" x14ac:dyDescent="0.25">
      <c r="A513" t="str">
        <v/>
      </c>
      <c r="B513" t="str">
        <v/>
      </c>
      <c r="C513" t="e">
        <v>#N/A</v>
      </c>
      <c r="D513" t="e">
        <v>#N/A</v>
      </c>
      <c r="J513" t="str">
        <v/>
      </c>
      <c r="K513" t="e">
        <f ca="1"/>
        <v>#N/A</v>
      </c>
      <c r="L513" t="str">
        <v/>
      </c>
      <c r="M513" t="e">
        <v>#N/A</v>
      </c>
      <c r="N513" t="e">
        <v>#N/A</v>
      </c>
      <c r="O513" t="e">
        <v>#N/A</v>
      </c>
      <c r="R513" t="e">
        <v>#N/A</v>
      </c>
      <c r="T513" t="e">
        <v>#N/A</v>
      </c>
      <c r="U513" t="e">
        <v>#N/A</v>
      </c>
      <c r="Y513" t="str">
        <v/>
      </c>
      <c r="AM513" t="str">
        <v/>
      </c>
      <c r="AN513" t="str">
        <v/>
      </c>
      <c r="AO513" t="str">
        <v/>
      </c>
      <c r="AQ513" t="str">
        <v/>
      </c>
      <c r="AR513" t="str">
        <v/>
      </c>
      <c r="AS513" t="e">
        <v>#N/A</v>
      </c>
      <c r="AU513" t="str">
        <v/>
      </c>
      <c r="AW513" t="e">
        <v>#N/A</v>
      </c>
    </row>
    <row r="514" spans="1:49" x14ac:dyDescent="0.25">
      <c r="A514" t="str">
        <v/>
      </c>
      <c r="B514" t="str">
        <v/>
      </c>
      <c r="C514" t="e">
        <v>#N/A</v>
      </c>
      <c r="D514" t="e">
        <v>#N/A</v>
      </c>
      <c r="J514" t="str">
        <v/>
      </c>
      <c r="K514" t="e">
        <f ca="1"/>
        <v>#N/A</v>
      </c>
      <c r="L514" t="str">
        <v/>
      </c>
      <c r="M514" t="e">
        <v>#N/A</v>
      </c>
      <c r="N514" t="e">
        <v>#N/A</v>
      </c>
      <c r="O514" t="e">
        <v>#N/A</v>
      </c>
      <c r="R514" t="e">
        <v>#N/A</v>
      </c>
      <c r="T514" t="e">
        <v>#N/A</v>
      </c>
      <c r="U514" t="e">
        <v>#N/A</v>
      </c>
      <c r="Y514" t="str">
        <v/>
      </c>
      <c r="AM514" t="str">
        <v/>
      </c>
      <c r="AN514" t="str">
        <v/>
      </c>
      <c r="AO514" t="str">
        <v/>
      </c>
      <c r="AQ514" t="str">
        <v/>
      </c>
      <c r="AR514" t="str">
        <v/>
      </c>
      <c r="AS514" t="e">
        <v>#N/A</v>
      </c>
      <c r="AU514" t="str">
        <v/>
      </c>
      <c r="AW514" t="e">
        <v>#N/A</v>
      </c>
    </row>
    <row r="515" spans="1:49" x14ac:dyDescent="0.25">
      <c r="A515" t="str">
        <v/>
      </c>
      <c r="B515" t="str">
        <v/>
      </c>
      <c r="C515" t="e">
        <v>#N/A</v>
      </c>
      <c r="D515" t="e">
        <v>#N/A</v>
      </c>
      <c r="J515" t="str">
        <v/>
      </c>
      <c r="K515" t="e">
        <f ca="1"/>
        <v>#N/A</v>
      </c>
      <c r="L515" t="str">
        <v/>
      </c>
      <c r="M515" t="e">
        <v>#N/A</v>
      </c>
      <c r="N515" t="e">
        <v>#N/A</v>
      </c>
      <c r="O515" t="e">
        <v>#N/A</v>
      </c>
      <c r="R515" t="e">
        <v>#N/A</v>
      </c>
      <c r="T515" t="e">
        <v>#N/A</v>
      </c>
      <c r="U515" t="e">
        <v>#N/A</v>
      </c>
      <c r="Y515" t="str">
        <v/>
      </c>
      <c r="AM515" t="str">
        <v/>
      </c>
      <c r="AN515" t="str">
        <v/>
      </c>
      <c r="AO515" t="str">
        <v/>
      </c>
      <c r="AQ515" t="str">
        <v/>
      </c>
      <c r="AR515" t="str">
        <v/>
      </c>
      <c r="AS515" t="e">
        <v>#N/A</v>
      </c>
      <c r="AU515" t="str">
        <v/>
      </c>
      <c r="AW515" t="e">
        <v>#N/A</v>
      </c>
    </row>
    <row r="516" spans="1:49" x14ac:dyDescent="0.25">
      <c r="A516" t="str">
        <v/>
      </c>
      <c r="B516" t="str">
        <v/>
      </c>
      <c r="C516" t="e">
        <v>#N/A</v>
      </c>
      <c r="D516" t="e">
        <v>#N/A</v>
      </c>
      <c r="J516" t="str">
        <v/>
      </c>
      <c r="K516" t="e">
        <f ca="1"/>
        <v>#N/A</v>
      </c>
      <c r="L516" t="str">
        <v/>
      </c>
      <c r="M516" t="e">
        <v>#N/A</v>
      </c>
      <c r="N516" t="e">
        <v>#N/A</v>
      </c>
      <c r="O516" t="e">
        <v>#N/A</v>
      </c>
      <c r="R516" t="e">
        <v>#N/A</v>
      </c>
      <c r="T516" t="e">
        <v>#N/A</v>
      </c>
      <c r="U516" t="e">
        <v>#N/A</v>
      </c>
      <c r="Y516" t="str">
        <v/>
      </c>
      <c r="AM516" t="str">
        <v/>
      </c>
      <c r="AN516" t="str">
        <v/>
      </c>
      <c r="AO516" t="str">
        <v/>
      </c>
      <c r="AQ516" t="str">
        <v/>
      </c>
      <c r="AR516" t="str">
        <v/>
      </c>
      <c r="AS516" t="e">
        <v>#N/A</v>
      </c>
      <c r="AU516" t="str">
        <v/>
      </c>
      <c r="AW516" t="e">
        <v>#N/A</v>
      </c>
    </row>
    <row r="517" spans="1:49" x14ac:dyDescent="0.25">
      <c r="A517" t="str">
        <v/>
      </c>
      <c r="B517" t="str">
        <v/>
      </c>
      <c r="C517" t="e">
        <v>#N/A</v>
      </c>
      <c r="D517" t="e">
        <v>#N/A</v>
      </c>
      <c r="J517" t="str">
        <v/>
      </c>
      <c r="K517" t="e">
        <f ca="1"/>
        <v>#N/A</v>
      </c>
      <c r="L517" t="str">
        <v/>
      </c>
      <c r="M517" t="e">
        <v>#N/A</v>
      </c>
      <c r="N517" t="e">
        <v>#N/A</v>
      </c>
      <c r="O517" t="e">
        <v>#N/A</v>
      </c>
      <c r="R517" t="e">
        <v>#N/A</v>
      </c>
      <c r="T517" t="e">
        <v>#N/A</v>
      </c>
      <c r="U517" t="e">
        <v>#N/A</v>
      </c>
      <c r="Y517" t="str">
        <v/>
      </c>
      <c r="AM517" t="str">
        <v/>
      </c>
      <c r="AN517" t="str">
        <v/>
      </c>
      <c r="AO517" t="str">
        <v/>
      </c>
      <c r="AQ517" t="str">
        <v/>
      </c>
      <c r="AR517" t="str">
        <v/>
      </c>
      <c r="AS517" t="e">
        <v>#N/A</v>
      </c>
      <c r="AU517" t="str">
        <v/>
      </c>
      <c r="AW517" t="e">
        <v>#N/A</v>
      </c>
    </row>
    <row r="518" spans="1:49" x14ac:dyDescent="0.25">
      <c r="A518" t="str">
        <v/>
      </c>
      <c r="B518" t="str">
        <v/>
      </c>
      <c r="C518" t="e">
        <v>#N/A</v>
      </c>
      <c r="D518" t="e">
        <v>#N/A</v>
      </c>
      <c r="J518" t="str">
        <v/>
      </c>
      <c r="K518" t="e">
        <f ca="1"/>
        <v>#N/A</v>
      </c>
      <c r="L518" t="str">
        <v/>
      </c>
      <c r="M518" t="e">
        <v>#N/A</v>
      </c>
      <c r="N518" t="e">
        <v>#N/A</v>
      </c>
      <c r="O518" t="e">
        <v>#N/A</v>
      </c>
      <c r="R518" t="e">
        <v>#N/A</v>
      </c>
      <c r="T518" t="e">
        <v>#N/A</v>
      </c>
      <c r="U518" t="e">
        <v>#N/A</v>
      </c>
      <c r="Y518" t="str">
        <v/>
      </c>
      <c r="AM518" t="str">
        <v/>
      </c>
      <c r="AN518" t="str">
        <v/>
      </c>
      <c r="AO518" t="str">
        <v/>
      </c>
      <c r="AQ518" t="str">
        <v/>
      </c>
      <c r="AR518" t="str">
        <v/>
      </c>
      <c r="AS518" t="e">
        <v>#N/A</v>
      </c>
      <c r="AU518" t="str">
        <v/>
      </c>
      <c r="AW518" t="e">
        <v>#N/A</v>
      </c>
    </row>
    <row r="519" spans="1:49" x14ac:dyDescent="0.25">
      <c r="A519" t="str">
        <v/>
      </c>
      <c r="B519" t="str">
        <v/>
      </c>
      <c r="C519" t="e">
        <v>#N/A</v>
      </c>
      <c r="D519" t="e">
        <v>#N/A</v>
      </c>
      <c r="J519" t="str">
        <v/>
      </c>
      <c r="K519" t="e">
        <f ca="1"/>
        <v>#N/A</v>
      </c>
      <c r="L519" t="str">
        <v/>
      </c>
      <c r="M519" t="e">
        <v>#N/A</v>
      </c>
      <c r="N519" t="e">
        <v>#N/A</v>
      </c>
      <c r="O519" t="e">
        <v>#N/A</v>
      </c>
      <c r="R519" t="e">
        <v>#N/A</v>
      </c>
      <c r="T519" t="e">
        <v>#N/A</v>
      </c>
      <c r="U519" t="e">
        <v>#N/A</v>
      </c>
      <c r="Y519" t="str">
        <v/>
      </c>
      <c r="AM519" t="str">
        <v/>
      </c>
      <c r="AN519" t="str">
        <v/>
      </c>
      <c r="AO519" t="str">
        <v/>
      </c>
      <c r="AQ519" t="str">
        <v/>
      </c>
      <c r="AR519" t="str">
        <v/>
      </c>
      <c r="AS519" t="e">
        <v>#N/A</v>
      </c>
      <c r="AU519" t="str">
        <v/>
      </c>
      <c r="AW519" t="e">
        <v>#N/A</v>
      </c>
    </row>
    <row r="520" spans="1:49" x14ac:dyDescent="0.25">
      <c r="A520" t="str">
        <v/>
      </c>
      <c r="B520" t="str">
        <v/>
      </c>
      <c r="C520" t="e">
        <v>#N/A</v>
      </c>
      <c r="D520" t="e">
        <v>#N/A</v>
      </c>
      <c r="J520" t="str">
        <v/>
      </c>
      <c r="K520" t="e">
        <f ca="1"/>
        <v>#N/A</v>
      </c>
      <c r="L520" t="str">
        <v/>
      </c>
      <c r="M520" t="e">
        <v>#N/A</v>
      </c>
      <c r="N520" t="e">
        <v>#N/A</v>
      </c>
      <c r="O520" t="e">
        <v>#N/A</v>
      </c>
      <c r="R520" t="e">
        <v>#N/A</v>
      </c>
      <c r="T520" t="e">
        <v>#N/A</v>
      </c>
      <c r="U520" t="e">
        <v>#N/A</v>
      </c>
      <c r="Y520" t="str">
        <v/>
      </c>
      <c r="AM520" t="str">
        <v/>
      </c>
      <c r="AN520" t="str">
        <v/>
      </c>
      <c r="AO520" t="str">
        <v/>
      </c>
      <c r="AQ520" t="str">
        <v/>
      </c>
      <c r="AR520" t="str">
        <v/>
      </c>
      <c r="AS520" t="e">
        <v>#N/A</v>
      </c>
      <c r="AU520" t="str">
        <v/>
      </c>
      <c r="AW520" t="e">
        <v>#N/A</v>
      </c>
    </row>
    <row r="521" spans="1:49" x14ac:dyDescent="0.25">
      <c r="A521" t="str">
        <v/>
      </c>
      <c r="B521" t="str">
        <v/>
      </c>
      <c r="C521" t="e">
        <v>#N/A</v>
      </c>
      <c r="D521" t="e">
        <v>#N/A</v>
      </c>
      <c r="J521" t="str">
        <v/>
      </c>
      <c r="K521" t="e">
        <f ca="1"/>
        <v>#N/A</v>
      </c>
      <c r="L521" t="str">
        <v/>
      </c>
      <c r="M521" t="e">
        <v>#N/A</v>
      </c>
      <c r="N521" t="e">
        <v>#N/A</v>
      </c>
      <c r="O521" t="e">
        <v>#N/A</v>
      </c>
      <c r="R521" t="e">
        <v>#N/A</v>
      </c>
      <c r="T521" t="e">
        <v>#N/A</v>
      </c>
      <c r="U521" t="e">
        <v>#N/A</v>
      </c>
      <c r="Y521" t="str">
        <v/>
      </c>
      <c r="AM521" t="str">
        <v/>
      </c>
      <c r="AN521" t="str">
        <v/>
      </c>
      <c r="AO521" t="str">
        <v/>
      </c>
      <c r="AQ521" t="str">
        <v/>
      </c>
      <c r="AR521" t="str">
        <v/>
      </c>
      <c r="AS521" t="e">
        <v>#N/A</v>
      </c>
      <c r="AU521" t="str">
        <v/>
      </c>
      <c r="AW521" t="e">
        <v>#N/A</v>
      </c>
    </row>
    <row r="522" spans="1:49" x14ac:dyDescent="0.25">
      <c r="A522" t="str">
        <v/>
      </c>
      <c r="B522" t="str">
        <v/>
      </c>
      <c r="C522" t="e">
        <v>#N/A</v>
      </c>
      <c r="D522" t="e">
        <v>#N/A</v>
      </c>
      <c r="J522" t="str">
        <v/>
      </c>
      <c r="K522" t="e">
        <f ca="1"/>
        <v>#N/A</v>
      </c>
      <c r="L522" t="str">
        <v/>
      </c>
      <c r="M522" t="e">
        <v>#N/A</v>
      </c>
      <c r="N522" t="e">
        <v>#N/A</v>
      </c>
      <c r="O522" t="e">
        <v>#N/A</v>
      </c>
      <c r="R522" t="e">
        <v>#N/A</v>
      </c>
      <c r="T522" t="e">
        <v>#N/A</v>
      </c>
      <c r="U522" t="e">
        <v>#N/A</v>
      </c>
      <c r="Y522" t="str">
        <v/>
      </c>
      <c r="AM522" t="str">
        <v/>
      </c>
      <c r="AN522" t="str">
        <v/>
      </c>
      <c r="AO522" t="str">
        <v/>
      </c>
      <c r="AQ522" t="str">
        <v/>
      </c>
      <c r="AR522" t="str">
        <v/>
      </c>
      <c r="AS522" t="e">
        <v>#N/A</v>
      </c>
      <c r="AU522" t="str">
        <v/>
      </c>
      <c r="AW522" t="e">
        <v>#N/A</v>
      </c>
    </row>
    <row r="523" spans="1:49" x14ac:dyDescent="0.25">
      <c r="A523" t="str">
        <v/>
      </c>
      <c r="B523" t="str">
        <v/>
      </c>
      <c r="C523" t="e">
        <v>#N/A</v>
      </c>
      <c r="D523" t="e">
        <v>#N/A</v>
      </c>
      <c r="J523" t="str">
        <v/>
      </c>
      <c r="K523" t="e">
        <f ca="1"/>
        <v>#N/A</v>
      </c>
      <c r="L523" t="str">
        <v/>
      </c>
      <c r="M523" t="e">
        <v>#N/A</v>
      </c>
      <c r="N523" t="e">
        <v>#N/A</v>
      </c>
      <c r="O523" t="e">
        <v>#N/A</v>
      </c>
      <c r="R523" t="e">
        <v>#N/A</v>
      </c>
      <c r="T523" t="e">
        <v>#N/A</v>
      </c>
      <c r="U523" t="e">
        <v>#N/A</v>
      </c>
      <c r="Y523" t="str">
        <v/>
      </c>
      <c r="AM523" t="str">
        <v/>
      </c>
      <c r="AN523" t="str">
        <v/>
      </c>
      <c r="AO523" t="str">
        <v/>
      </c>
      <c r="AQ523" t="str">
        <v/>
      </c>
      <c r="AR523" t="str">
        <v/>
      </c>
      <c r="AS523" t="e">
        <v>#N/A</v>
      </c>
      <c r="AU523" t="str">
        <v/>
      </c>
      <c r="AW523" t="e">
        <v>#N/A</v>
      </c>
    </row>
    <row r="524" spans="1:49" x14ac:dyDescent="0.25">
      <c r="A524" t="str">
        <v/>
      </c>
      <c r="B524" t="str">
        <v/>
      </c>
      <c r="C524" t="e">
        <v>#N/A</v>
      </c>
      <c r="D524" t="e">
        <v>#N/A</v>
      </c>
      <c r="J524" t="str">
        <v/>
      </c>
      <c r="K524" t="e">
        <f ca="1"/>
        <v>#N/A</v>
      </c>
      <c r="L524" t="str">
        <v/>
      </c>
      <c r="M524" t="e">
        <v>#N/A</v>
      </c>
      <c r="N524" t="e">
        <v>#N/A</v>
      </c>
      <c r="O524" t="e">
        <v>#N/A</v>
      </c>
      <c r="R524" t="e">
        <v>#N/A</v>
      </c>
      <c r="T524" t="e">
        <v>#N/A</v>
      </c>
      <c r="U524" t="e">
        <v>#N/A</v>
      </c>
      <c r="Y524" t="str">
        <v/>
      </c>
      <c r="AM524" t="str">
        <v/>
      </c>
      <c r="AN524" t="str">
        <v/>
      </c>
      <c r="AO524" t="str">
        <v/>
      </c>
      <c r="AQ524" t="str">
        <v/>
      </c>
      <c r="AR524" t="str">
        <v/>
      </c>
      <c r="AS524" t="e">
        <v>#N/A</v>
      </c>
      <c r="AU524" t="str">
        <v/>
      </c>
      <c r="AW524" t="e">
        <v>#N/A</v>
      </c>
    </row>
    <row r="525" spans="1:49" x14ac:dyDescent="0.25">
      <c r="A525" t="str">
        <v/>
      </c>
      <c r="B525" t="str">
        <v/>
      </c>
      <c r="C525" t="e">
        <v>#N/A</v>
      </c>
      <c r="D525" t="e">
        <v>#N/A</v>
      </c>
      <c r="J525" t="str">
        <v/>
      </c>
      <c r="K525" t="e">
        <f ca="1"/>
        <v>#N/A</v>
      </c>
      <c r="L525" t="str">
        <v/>
      </c>
      <c r="M525" t="e">
        <v>#N/A</v>
      </c>
      <c r="N525" t="e">
        <v>#N/A</v>
      </c>
      <c r="O525" t="e">
        <v>#N/A</v>
      </c>
      <c r="R525" t="e">
        <v>#N/A</v>
      </c>
      <c r="T525" t="e">
        <v>#N/A</v>
      </c>
      <c r="U525" t="e">
        <v>#N/A</v>
      </c>
      <c r="Y525" t="str">
        <v/>
      </c>
      <c r="AM525" t="str">
        <v/>
      </c>
      <c r="AN525" t="str">
        <v/>
      </c>
      <c r="AO525" t="str">
        <v/>
      </c>
      <c r="AQ525" t="str">
        <v/>
      </c>
      <c r="AR525" t="str">
        <v/>
      </c>
      <c r="AS525" t="e">
        <v>#N/A</v>
      </c>
      <c r="AU525" t="str">
        <v/>
      </c>
      <c r="AW525" t="e">
        <v>#N/A</v>
      </c>
    </row>
    <row r="526" spans="1:49" x14ac:dyDescent="0.25">
      <c r="A526" t="str">
        <v/>
      </c>
      <c r="B526" t="str">
        <v/>
      </c>
      <c r="C526" t="e">
        <v>#N/A</v>
      </c>
      <c r="D526" t="e">
        <v>#N/A</v>
      </c>
      <c r="J526" t="str">
        <v/>
      </c>
      <c r="K526" t="e">
        <f ca="1"/>
        <v>#N/A</v>
      </c>
      <c r="L526" t="str">
        <v/>
      </c>
      <c r="M526" t="e">
        <v>#N/A</v>
      </c>
      <c r="N526" t="e">
        <v>#N/A</v>
      </c>
      <c r="O526" t="e">
        <v>#N/A</v>
      </c>
      <c r="R526" t="e">
        <v>#N/A</v>
      </c>
      <c r="T526" t="e">
        <v>#N/A</v>
      </c>
      <c r="U526" t="e">
        <v>#N/A</v>
      </c>
      <c r="Y526" t="str">
        <v/>
      </c>
      <c r="AM526" t="str">
        <v/>
      </c>
      <c r="AN526" t="str">
        <v/>
      </c>
      <c r="AO526" t="str">
        <v/>
      </c>
      <c r="AQ526" t="str">
        <v/>
      </c>
      <c r="AR526" t="str">
        <v/>
      </c>
      <c r="AS526" t="e">
        <v>#N/A</v>
      </c>
      <c r="AU526" t="str">
        <v/>
      </c>
      <c r="AW526" t="e">
        <v>#N/A</v>
      </c>
    </row>
    <row r="527" spans="1:49" x14ac:dyDescent="0.25">
      <c r="A527" t="str">
        <v/>
      </c>
      <c r="B527" t="str">
        <v/>
      </c>
      <c r="C527" t="e">
        <v>#N/A</v>
      </c>
      <c r="D527" t="e">
        <v>#N/A</v>
      </c>
      <c r="J527" t="str">
        <v/>
      </c>
      <c r="K527" t="e">
        <f ca="1"/>
        <v>#N/A</v>
      </c>
      <c r="L527" t="str">
        <v/>
      </c>
      <c r="M527" t="e">
        <v>#N/A</v>
      </c>
      <c r="N527" t="e">
        <v>#N/A</v>
      </c>
      <c r="O527" t="e">
        <v>#N/A</v>
      </c>
      <c r="R527" t="e">
        <v>#N/A</v>
      </c>
      <c r="T527" t="e">
        <v>#N/A</v>
      </c>
      <c r="U527" t="e">
        <v>#N/A</v>
      </c>
      <c r="Y527" t="str">
        <v/>
      </c>
      <c r="AM527" t="str">
        <v/>
      </c>
      <c r="AN527" t="str">
        <v/>
      </c>
      <c r="AO527" t="str">
        <v/>
      </c>
      <c r="AQ527" t="str">
        <v/>
      </c>
      <c r="AR527" t="str">
        <v/>
      </c>
      <c r="AS527" t="e">
        <v>#N/A</v>
      </c>
      <c r="AU527" t="str">
        <v/>
      </c>
      <c r="AW527" t="e">
        <v>#N/A</v>
      </c>
    </row>
    <row r="528" spans="1:49" x14ac:dyDescent="0.25">
      <c r="A528" t="str">
        <v/>
      </c>
      <c r="B528" t="str">
        <v/>
      </c>
      <c r="C528" t="e">
        <v>#N/A</v>
      </c>
      <c r="D528" t="e">
        <v>#N/A</v>
      </c>
      <c r="J528" t="str">
        <v/>
      </c>
      <c r="K528" t="e">
        <f ca="1"/>
        <v>#N/A</v>
      </c>
      <c r="L528" t="str">
        <v/>
      </c>
      <c r="M528" t="e">
        <v>#N/A</v>
      </c>
      <c r="N528" t="e">
        <v>#N/A</v>
      </c>
      <c r="O528" t="e">
        <v>#N/A</v>
      </c>
      <c r="R528" t="e">
        <v>#N/A</v>
      </c>
      <c r="T528" t="e">
        <v>#N/A</v>
      </c>
      <c r="U528" t="e">
        <v>#N/A</v>
      </c>
      <c r="Y528" t="str">
        <v/>
      </c>
      <c r="AM528" t="str">
        <v/>
      </c>
      <c r="AN528" t="str">
        <v/>
      </c>
      <c r="AO528" t="str">
        <v/>
      </c>
      <c r="AQ528" t="str">
        <v/>
      </c>
      <c r="AR528" t="str">
        <v/>
      </c>
      <c r="AS528" t="e">
        <v>#N/A</v>
      </c>
      <c r="AU528" t="str">
        <v/>
      </c>
      <c r="AW528" t="e">
        <v>#N/A</v>
      </c>
    </row>
    <row r="529" spans="1:49" x14ac:dyDescent="0.25">
      <c r="A529" t="str">
        <v/>
      </c>
      <c r="B529" t="str">
        <v/>
      </c>
      <c r="C529" t="e">
        <v>#N/A</v>
      </c>
      <c r="D529" t="e">
        <v>#N/A</v>
      </c>
      <c r="J529" t="str">
        <v/>
      </c>
      <c r="K529" t="e">
        <f ca="1"/>
        <v>#N/A</v>
      </c>
      <c r="L529" t="str">
        <v/>
      </c>
      <c r="M529" t="e">
        <v>#N/A</v>
      </c>
      <c r="N529" t="e">
        <v>#N/A</v>
      </c>
      <c r="O529" t="e">
        <v>#N/A</v>
      </c>
      <c r="R529" t="e">
        <v>#N/A</v>
      </c>
      <c r="T529" t="e">
        <v>#N/A</v>
      </c>
      <c r="U529" t="e">
        <v>#N/A</v>
      </c>
      <c r="Y529" t="str">
        <v/>
      </c>
      <c r="AM529" t="str">
        <v/>
      </c>
      <c r="AN529" t="str">
        <v/>
      </c>
      <c r="AO529" t="str">
        <v/>
      </c>
      <c r="AQ529" t="str">
        <v/>
      </c>
      <c r="AR529" t="str">
        <v/>
      </c>
      <c r="AS529" t="e">
        <v>#N/A</v>
      </c>
      <c r="AU529" t="str">
        <v/>
      </c>
      <c r="AW529" t="e">
        <v>#N/A</v>
      </c>
    </row>
    <row r="530" spans="1:49" x14ac:dyDescent="0.25">
      <c r="A530" t="str">
        <v/>
      </c>
      <c r="B530" t="str">
        <v/>
      </c>
      <c r="C530" t="e">
        <v>#N/A</v>
      </c>
      <c r="D530" t="e">
        <v>#N/A</v>
      </c>
      <c r="J530" t="str">
        <v/>
      </c>
      <c r="K530" t="e">
        <f ca="1"/>
        <v>#N/A</v>
      </c>
      <c r="L530" t="str">
        <v/>
      </c>
      <c r="M530" t="e">
        <v>#N/A</v>
      </c>
      <c r="N530" t="e">
        <v>#N/A</v>
      </c>
      <c r="O530" t="e">
        <v>#N/A</v>
      </c>
      <c r="R530" t="e">
        <v>#N/A</v>
      </c>
      <c r="T530" t="e">
        <v>#N/A</v>
      </c>
      <c r="U530" t="e">
        <v>#N/A</v>
      </c>
      <c r="Y530" t="str">
        <v/>
      </c>
      <c r="AM530" t="str">
        <v/>
      </c>
      <c r="AN530" t="str">
        <v/>
      </c>
      <c r="AO530" t="str">
        <v/>
      </c>
      <c r="AQ530" t="str">
        <v/>
      </c>
      <c r="AR530" t="str">
        <v/>
      </c>
      <c r="AS530" t="e">
        <v>#N/A</v>
      </c>
      <c r="AU530" t="str">
        <v/>
      </c>
      <c r="AW530" t="e">
        <v>#N/A</v>
      </c>
    </row>
    <row r="531" spans="1:49" x14ac:dyDescent="0.25">
      <c r="A531" t="str">
        <v/>
      </c>
      <c r="B531" t="str">
        <v/>
      </c>
      <c r="C531" t="e">
        <v>#N/A</v>
      </c>
      <c r="D531" t="e">
        <v>#N/A</v>
      </c>
      <c r="J531" t="str">
        <v/>
      </c>
      <c r="K531" t="e">
        <f ca="1"/>
        <v>#N/A</v>
      </c>
      <c r="L531" t="str">
        <v/>
      </c>
      <c r="M531" t="e">
        <v>#N/A</v>
      </c>
      <c r="N531" t="e">
        <v>#N/A</v>
      </c>
      <c r="O531" t="e">
        <v>#N/A</v>
      </c>
      <c r="R531" t="e">
        <v>#N/A</v>
      </c>
      <c r="T531" t="e">
        <v>#N/A</v>
      </c>
      <c r="U531" t="e">
        <v>#N/A</v>
      </c>
      <c r="Y531" t="str">
        <v/>
      </c>
      <c r="AM531" t="str">
        <v/>
      </c>
      <c r="AN531" t="str">
        <v/>
      </c>
      <c r="AO531" t="str">
        <v/>
      </c>
      <c r="AQ531" t="str">
        <v/>
      </c>
      <c r="AR531" t="str">
        <v/>
      </c>
      <c r="AS531" t="e">
        <v>#N/A</v>
      </c>
      <c r="AU531" t="str">
        <v/>
      </c>
      <c r="AW531" t="e">
        <v>#N/A</v>
      </c>
    </row>
    <row r="532" spans="1:49" x14ac:dyDescent="0.25">
      <c r="A532" t="str">
        <v/>
      </c>
      <c r="B532" t="str">
        <v/>
      </c>
      <c r="C532" t="e">
        <v>#N/A</v>
      </c>
      <c r="D532" t="e">
        <v>#N/A</v>
      </c>
      <c r="J532" t="str">
        <v/>
      </c>
      <c r="K532" t="e">
        <f ca="1"/>
        <v>#N/A</v>
      </c>
      <c r="L532" t="str">
        <v/>
      </c>
      <c r="M532" t="e">
        <v>#N/A</v>
      </c>
      <c r="N532" t="e">
        <v>#N/A</v>
      </c>
      <c r="O532" t="e">
        <v>#N/A</v>
      </c>
      <c r="R532" t="e">
        <v>#N/A</v>
      </c>
      <c r="T532" t="e">
        <v>#N/A</v>
      </c>
      <c r="U532" t="e">
        <v>#N/A</v>
      </c>
      <c r="Y532" t="str">
        <v/>
      </c>
      <c r="AM532" t="str">
        <v/>
      </c>
      <c r="AN532" t="str">
        <v/>
      </c>
      <c r="AO532" t="str">
        <v/>
      </c>
      <c r="AQ532" t="str">
        <v/>
      </c>
      <c r="AR532" t="str">
        <v/>
      </c>
      <c r="AS532" t="e">
        <v>#N/A</v>
      </c>
      <c r="AU532" t="str">
        <v/>
      </c>
      <c r="AW532" t="e">
        <v>#N/A</v>
      </c>
    </row>
    <row r="533" spans="1:49" x14ac:dyDescent="0.25">
      <c r="A533" t="str">
        <v/>
      </c>
      <c r="B533" t="str">
        <v/>
      </c>
      <c r="C533" t="e">
        <v>#N/A</v>
      </c>
      <c r="D533" t="e">
        <v>#N/A</v>
      </c>
      <c r="J533" t="str">
        <v/>
      </c>
      <c r="K533" t="e">
        <f ca="1"/>
        <v>#N/A</v>
      </c>
      <c r="L533" t="str">
        <v/>
      </c>
      <c r="M533" t="e">
        <v>#N/A</v>
      </c>
      <c r="N533" t="e">
        <v>#N/A</v>
      </c>
      <c r="O533" t="e">
        <v>#N/A</v>
      </c>
      <c r="R533" t="e">
        <v>#N/A</v>
      </c>
      <c r="T533" t="e">
        <v>#N/A</v>
      </c>
      <c r="U533" t="e">
        <v>#N/A</v>
      </c>
      <c r="Y533" t="str">
        <v/>
      </c>
      <c r="AM533" t="str">
        <v/>
      </c>
      <c r="AN533" t="str">
        <v/>
      </c>
      <c r="AO533" t="str">
        <v/>
      </c>
      <c r="AQ533" t="str">
        <v/>
      </c>
      <c r="AR533" t="str">
        <v/>
      </c>
      <c r="AS533" t="e">
        <v>#N/A</v>
      </c>
      <c r="AU533" t="str">
        <v/>
      </c>
      <c r="AW533" t="e">
        <v>#N/A</v>
      </c>
    </row>
    <row r="534" spans="1:49" x14ac:dyDescent="0.25">
      <c r="A534" t="str">
        <v/>
      </c>
      <c r="B534" t="str">
        <v/>
      </c>
      <c r="C534" t="e">
        <v>#N/A</v>
      </c>
      <c r="D534" t="e">
        <v>#N/A</v>
      </c>
      <c r="J534" t="str">
        <v/>
      </c>
      <c r="K534" t="e">
        <f ca="1"/>
        <v>#N/A</v>
      </c>
      <c r="L534" t="str">
        <v/>
      </c>
      <c r="M534" t="e">
        <v>#N/A</v>
      </c>
      <c r="N534" t="e">
        <v>#N/A</v>
      </c>
      <c r="O534" t="e">
        <v>#N/A</v>
      </c>
      <c r="R534" t="e">
        <v>#N/A</v>
      </c>
      <c r="T534" t="e">
        <v>#N/A</v>
      </c>
      <c r="U534" t="e">
        <v>#N/A</v>
      </c>
      <c r="Y534" t="str">
        <v/>
      </c>
      <c r="AM534" t="str">
        <v/>
      </c>
      <c r="AN534" t="str">
        <v/>
      </c>
      <c r="AO534" t="str">
        <v/>
      </c>
      <c r="AQ534" t="str">
        <v/>
      </c>
      <c r="AR534" t="str">
        <v/>
      </c>
      <c r="AS534" t="e">
        <v>#N/A</v>
      </c>
      <c r="AU534" t="str">
        <v/>
      </c>
      <c r="AW534" t="e">
        <v>#N/A</v>
      </c>
    </row>
    <row r="535" spans="1:49" x14ac:dyDescent="0.25">
      <c r="A535" t="str">
        <v/>
      </c>
      <c r="B535" t="str">
        <v/>
      </c>
      <c r="C535" t="e">
        <v>#N/A</v>
      </c>
      <c r="D535" t="e">
        <v>#N/A</v>
      </c>
      <c r="J535" t="str">
        <v/>
      </c>
      <c r="K535" t="e">
        <f ca="1"/>
        <v>#N/A</v>
      </c>
      <c r="L535" t="str">
        <v/>
      </c>
      <c r="M535" t="e">
        <v>#N/A</v>
      </c>
      <c r="N535" t="e">
        <v>#N/A</v>
      </c>
      <c r="O535" t="e">
        <v>#N/A</v>
      </c>
      <c r="R535" t="e">
        <v>#N/A</v>
      </c>
      <c r="T535" t="e">
        <v>#N/A</v>
      </c>
      <c r="U535" t="e">
        <v>#N/A</v>
      </c>
      <c r="Y535" t="str">
        <v/>
      </c>
      <c r="AM535" t="str">
        <v/>
      </c>
      <c r="AN535" t="str">
        <v/>
      </c>
      <c r="AO535" t="str">
        <v/>
      </c>
      <c r="AQ535" t="str">
        <v/>
      </c>
      <c r="AR535" t="str">
        <v/>
      </c>
      <c r="AS535" t="e">
        <v>#N/A</v>
      </c>
      <c r="AU535" t="str">
        <v/>
      </c>
      <c r="AW535" t="e">
        <v>#N/A</v>
      </c>
    </row>
    <row r="536" spans="1:49" x14ac:dyDescent="0.25">
      <c r="A536" t="str">
        <v/>
      </c>
      <c r="B536" t="str">
        <v/>
      </c>
      <c r="C536" t="e">
        <v>#N/A</v>
      </c>
      <c r="D536" t="e">
        <v>#N/A</v>
      </c>
      <c r="J536" t="str">
        <v/>
      </c>
      <c r="K536" t="e">
        <f ca="1"/>
        <v>#N/A</v>
      </c>
      <c r="L536" t="str">
        <v/>
      </c>
      <c r="M536" t="e">
        <v>#N/A</v>
      </c>
      <c r="N536" t="e">
        <v>#N/A</v>
      </c>
      <c r="O536" t="e">
        <v>#N/A</v>
      </c>
      <c r="R536" t="e">
        <v>#N/A</v>
      </c>
      <c r="T536" t="e">
        <v>#N/A</v>
      </c>
      <c r="U536" t="e">
        <v>#N/A</v>
      </c>
      <c r="Y536" t="str">
        <v/>
      </c>
      <c r="AM536" t="str">
        <v/>
      </c>
      <c r="AN536" t="str">
        <v/>
      </c>
      <c r="AO536" t="str">
        <v/>
      </c>
      <c r="AQ536" t="str">
        <v/>
      </c>
      <c r="AR536" t="str">
        <v/>
      </c>
      <c r="AS536" t="e">
        <v>#N/A</v>
      </c>
      <c r="AU536" t="str">
        <v/>
      </c>
      <c r="AW536" t="e">
        <v>#N/A</v>
      </c>
    </row>
    <row r="537" spans="1:49" x14ac:dyDescent="0.25">
      <c r="A537" t="str">
        <v/>
      </c>
      <c r="B537" t="str">
        <v/>
      </c>
      <c r="C537" t="e">
        <v>#N/A</v>
      </c>
      <c r="D537" t="e">
        <v>#N/A</v>
      </c>
      <c r="J537" t="str">
        <v/>
      </c>
      <c r="K537" t="e">
        <f ca="1"/>
        <v>#N/A</v>
      </c>
      <c r="L537" t="str">
        <v/>
      </c>
      <c r="M537" t="e">
        <v>#N/A</v>
      </c>
      <c r="N537" t="e">
        <v>#N/A</v>
      </c>
      <c r="O537" t="e">
        <v>#N/A</v>
      </c>
      <c r="R537" t="e">
        <v>#N/A</v>
      </c>
      <c r="T537" t="e">
        <v>#N/A</v>
      </c>
      <c r="U537" t="e">
        <v>#N/A</v>
      </c>
      <c r="Y537" t="str">
        <v/>
      </c>
      <c r="AM537" t="str">
        <v/>
      </c>
      <c r="AN537" t="str">
        <v/>
      </c>
      <c r="AO537" t="str">
        <v/>
      </c>
      <c r="AQ537" t="str">
        <v/>
      </c>
      <c r="AR537" t="str">
        <v/>
      </c>
      <c r="AS537" t="e">
        <v>#N/A</v>
      </c>
      <c r="AU537" t="str">
        <v/>
      </c>
      <c r="AW537" t="e">
        <v>#N/A</v>
      </c>
    </row>
    <row r="538" spans="1:49" x14ac:dyDescent="0.25">
      <c r="A538" t="str">
        <v/>
      </c>
      <c r="B538" t="str">
        <v/>
      </c>
      <c r="C538" t="e">
        <v>#N/A</v>
      </c>
      <c r="D538" t="e">
        <v>#N/A</v>
      </c>
      <c r="J538" t="str">
        <v/>
      </c>
      <c r="K538" t="e">
        <f ca="1"/>
        <v>#N/A</v>
      </c>
      <c r="L538" t="str">
        <v/>
      </c>
      <c r="M538" t="e">
        <v>#N/A</v>
      </c>
      <c r="N538" t="e">
        <v>#N/A</v>
      </c>
      <c r="O538" t="e">
        <v>#N/A</v>
      </c>
      <c r="R538" t="e">
        <v>#N/A</v>
      </c>
      <c r="T538" t="e">
        <v>#N/A</v>
      </c>
      <c r="U538" t="e">
        <v>#N/A</v>
      </c>
      <c r="Y538" t="str">
        <v/>
      </c>
      <c r="AM538" t="str">
        <v/>
      </c>
      <c r="AN538" t="str">
        <v/>
      </c>
      <c r="AO538" t="str">
        <v/>
      </c>
      <c r="AQ538" t="str">
        <v/>
      </c>
      <c r="AR538" t="str">
        <v/>
      </c>
      <c r="AS538" t="e">
        <v>#N/A</v>
      </c>
      <c r="AU538" t="str">
        <v/>
      </c>
      <c r="AW538" t="e">
        <v>#N/A</v>
      </c>
    </row>
    <row r="539" spans="1:49" x14ac:dyDescent="0.25">
      <c r="A539" t="str">
        <v/>
      </c>
      <c r="B539" t="str">
        <v/>
      </c>
      <c r="C539" t="e">
        <v>#N/A</v>
      </c>
      <c r="D539" t="e">
        <v>#N/A</v>
      </c>
      <c r="J539" t="str">
        <v/>
      </c>
      <c r="K539" t="e">
        <f ca="1"/>
        <v>#N/A</v>
      </c>
      <c r="L539" t="str">
        <v/>
      </c>
      <c r="M539" t="e">
        <v>#N/A</v>
      </c>
      <c r="N539" t="e">
        <v>#N/A</v>
      </c>
      <c r="O539" t="e">
        <v>#N/A</v>
      </c>
      <c r="R539" t="e">
        <v>#N/A</v>
      </c>
      <c r="T539" t="e">
        <v>#N/A</v>
      </c>
      <c r="U539" t="e">
        <v>#N/A</v>
      </c>
      <c r="Y539" t="str">
        <v/>
      </c>
      <c r="AM539" t="str">
        <v/>
      </c>
      <c r="AN539" t="str">
        <v/>
      </c>
      <c r="AO539" t="str">
        <v/>
      </c>
      <c r="AQ539" t="str">
        <v/>
      </c>
      <c r="AR539" t="str">
        <v/>
      </c>
      <c r="AS539" t="e">
        <v>#N/A</v>
      </c>
      <c r="AU539" t="str">
        <v/>
      </c>
      <c r="AW539" t="e">
        <v>#N/A</v>
      </c>
    </row>
    <row r="540" spans="1:49" x14ac:dyDescent="0.25">
      <c r="A540" t="str">
        <v/>
      </c>
      <c r="B540" t="str">
        <v/>
      </c>
      <c r="C540" t="e">
        <v>#N/A</v>
      </c>
      <c r="D540" t="e">
        <v>#N/A</v>
      </c>
      <c r="J540" t="str">
        <v/>
      </c>
      <c r="K540" t="e">
        <f ca="1"/>
        <v>#N/A</v>
      </c>
      <c r="L540" t="str">
        <v/>
      </c>
      <c r="M540" t="e">
        <v>#N/A</v>
      </c>
      <c r="N540" t="e">
        <v>#N/A</v>
      </c>
      <c r="O540" t="e">
        <v>#N/A</v>
      </c>
      <c r="R540" t="e">
        <v>#N/A</v>
      </c>
      <c r="T540" t="e">
        <v>#N/A</v>
      </c>
      <c r="U540" t="e">
        <v>#N/A</v>
      </c>
      <c r="Y540" t="str">
        <v/>
      </c>
      <c r="AM540" t="str">
        <v/>
      </c>
      <c r="AN540" t="str">
        <v/>
      </c>
      <c r="AO540" t="str">
        <v/>
      </c>
      <c r="AQ540" t="str">
        <v/>
      </c>
      <c r="AR540" t="str">
        <v/>
      </c>
      <c r="AS540" t="e">
        <v>#N/A</v>
      </c>
      <c r="AU540" t="str">
        <v/>
      </c>
      <c r="AW540" t="e">
        <v>#N/A</v>
      </c>
    </row>
    <row r="541" spans="1:49" x14ac:dyDescent="0.25">
      <c r="A541" t="str">
        <v/>
      </c>
      <c r="B541" t="str">
        <v/>
      </c>
      <c r="C541" t="e">
        <v>#N/A</v>
      </c>
      <c r="D541" t="e">
        <v>#N/A</v>
      </c>
      <c r="J541" t="str">
        <v/>
      </c>
      <c r="K541" t="e">
        <f ca="1"/>
        <v>#N/A</v>
      </c>
      <c r="L541" t="str">
        <v/>
      </c>
      <c r="M541" t="e">
        <v>#N/A</v>
      </c>
      <c r="N541" t="e">
        <v>#N/A</v>
      </c>
      <c r="O541" t="e">
        <v>#N/A</v>
      </c>
      <c r="R541" t="e">
        <v>#N/A</v>
      </c>
      <c r="T541" t="e">
        <v>#N/A</v>
      </c>
      <c r="U541" t="e">
        <v>#N/A</v>
      </c>
      <c r="Y541" t="str">
        <v/>
      </c>
      <c r="AM541" t="str">
        <v/>
      </c>
      <c r="AN541" t="str">
        <v/>
      </c>
      <c r="AO541" t="str">
        <v/>
      </c>
      <c r="AQ541" t="str">
        <v/>
      </c>
      <c r="AR541" t="str">
        <v/>
      </c>
      <c r="AS541" t="e">
        <v>#N/A</v>
      </c>
      <c r="AU541" t="str">
        <v/>
      </c>
      <c r="AW541" t="e">
        <v>#N/A</v>
      </c>
    </row>
    <row r="542" spans="1:49" x14ac:dyDescent="0.25">
      <c r="A542" t="str">
        <v/>
      </c>
      <c r="B542" t="str">
        <v/>
      </c>
      <c r="C542" t="e">
        <v>#N/A</v>
      </c>
      <c r="D542" t="e">
        <v>#N/A</v>
      </c>
      <c r="J542" t="str">
        <v/>
      </c>
      <c r="K542" t="e">
        <f ca="1"/>
        <v>#N/A</v>
      </c>
      <c r="L542" t="str">
        <v/>
      </c>
      <c r="M542" t="e">
        <v>#N/A</v>
      </c>
      <c r="N542" t="e">
        <v>#N/A</v>
      </c>
      <c r="O542" t="e">
        <v>#N/A</v>
      </c>
      <c r="R542" t="e">
        <v>#N/A</v>
      </c>
      <c r="T542" t="e">
        <v>#N/A</v>
      </c>
      <c r="U542" t="e">
        <v>#N/A</v>
      </c>
      <c r="Y542" t="str">
        <v/>
      </c>
      <c r="AM542" t="str">
        <v/>
      </c>
      <c r="AN542" t="str">
        <v/>
      </c>
      <c r="AO542" t="str">
        <v/>
      </c>
      <c r="AQ542" t="str">
        <v/>
      </c>
      <c r="AR542" t="str">
        <v/>
      </c>
      <c r="AS542" t="e">
        <v>#N/A</v>
      </c>
      <c r="AU542" t="str">
        <v/>
      </c>
      <c r="AW542" t="e">
        <v>#N/A</v>
      </c>
    </row>
    <row r="543" spans="1:49" x14ac:dyDescent="0.25">
      <c r="A543" t="str">
        <v/>
      </c>
      <c r="B543" t="str">
        <v/>
      </c>
      <c r="C543" t="e">
        <v>#N/A</v>
      </c>
      <c r="D543" t="e">
        <v>#N/A</v>
      </c>
      <c r="J543" t="str">
        <v/>
      </c>
      <c r="K543" t="e">
        <f ca="1"/>
        <v>#N/A</v>
      </c>
      <c r="L543" t="str">
        <v/>
      </c>
      <c r="M543" t="e">
        <v>#N/A</v>
      </c>
      <c r="N543" t="e">
        <v>#N/A</v>
      </c>
      <c r="O543" t="e">
        <v>#N/A</v>
      </c>
      <c r="R543" t="e">
        <v>#N/A</v>
      </c>
      <c r="T543" t="e">
        <v>#N/A</v>
      </c>
      <c r="U543" t="e">
        <v>#N/A</v>
      </c>
      <c r="Y543" t="str">
        <v/>
      </c>
      <c r="AM543" t="str">
        <v/>
      </c>
      <c r="AN543" t="str">
        <v/>
      </c>
      <c r="AO543" t="str">
        <v/>
      </c>
      <c r="AQ543" t="str">
        <v/>
      </c>
      <c r="AR543" t="str">
        <v/>
      </c>
      <c r="AS543" t="e">
        <v>#N/A</v>
      </c>
      <c r="AU543" t="str">
        <v/>
      </c>
      <c r="AW543" t="e">
        <v>#N/A</v>
      </c>
    </row>
    <row r="544" spans="1:49" x14ac:dyDescent="0.25">
      <c r="A544" t="str">
        <v/>
      </c>
      <c r="B544" t="str">
        <v/>
      </c>
      <c r="C544" t="e">
        <v>#N/A</v>
      </c>
      <c r="D544" t="e">
        <v>#N/A</v>
      </c>
      <c r="J544" t="str">
        <v/>
      </c>
      <c r="K544" t="e">
        <f ca="1"/>
        <v>#N/A</v>
      </c>
      <c r="L544" t="str">
        <v/>
      </c>
      <c r="M544" t="e">
        <v>#N/A</v>
      </c>
      <c r="N544" t="e">
        <v>#N/A</v>
      </c>
      <c r="O544" t="e">
        <v>#N/A</v>
      </c>
      <c r="R544" t="e">
        <v>#N/A</v>
      </c>
      <c r="T544" t="e">
        <v>#N/A</v>
      </c>
      <c r="U544" t="e">
        <v>#N/A</v>
      </c>
      <c r="Y544" t="str">
        <v/>
      </c>
      <c r="AM544" t="str">
        <v/>
      </c>
      <c r="AN544" t="str">
        <v/>
      </c>
      <c r="AO544" t="str">
        <v/>
      </c>
      <c r="AQ544" t="str">
        <v/>
      </c>
      <c r="AR544" t="str">
        <v/>
      </c>
      <c r="AS544" t="e">
        <v>#N/A</v>
      </c>
      <c r="AU544" t="str">
        <v/>
      </c>
      <c r="AW544" t="e">
        <v>#N/A</v>
      </c>
    </row>
    <row r="545" spans="1:49" x14ac:dyDescent="0.25">
      <c r="A545" t="str">
        <v/>
      </c>
      <c r="B545" t="str">
        <v/>
      </c>
      <c r="C545" t="e">
        <v>#N/A</v>
      </c>
      <c r="D545" t="e">
        <v>#N/A</v>
      </c>
      <c r="J545" t="str">
        <v/>
      </c>
      <c r="K545" t="e">
        <f ca="1"/>
        <v>#N/A</v>
      </c>
      <c r="L545" t="str">
        <v/>
      </c>
      <c r="M545" t="e">
        <v>#N/A</v>
      </c>
      <c r="N545" t="e">
        <v>#N/A</v>
      </c>
      <c r="O545" t="e">
        <v>#N/A</v>
      </c>
      <c r="R545" t="e">
        <v>#N/A</v>
      </c>
      <c r="T545" t="e">
        <v>#N/A</v>
      </c>
      <c r="U545" t="e">
        <v>#N/A</v>
      </c>
      <c r="Y545" t="str">
        <v/>
      </c>
      <c r="AM545" t="str">
        <v/>
      </c>
      <c r="AN545" t="str">
        <v/>
      </c>
      <c r="AO545" t="str">
        <v/>
      </c>
      <c r="AQ545" t="str">
        <v/>
      </c>
      <c r="AR545" t="str">
        <v/>
      </c>
      <c r="AS545" t="e">
        <v>#N/A</v>
      </c>
      <c r="AU545" t="str">
        <v/>
      </c>
      <c r="AW545" t="e">
        <v>#N/A</v>
      </c>
    </row>
    <row r="546" spans="1:49" x14ac:dyDescent="0.25">
      <c r="A546" t="str">
        <v/>
      </c>
      <c r="B546" t="str">
        <v/>
      </c>
      <c r="C546" t="e">
        <v>#N/A</v>
      </c>
      <c r="D546" t="e">
        <v>#N/A</v>
      </c>
      <c r="J546" t="str">
        <v/>
      </c>
      <c r="K546" t="e">
        <f ca="1"/>
        <v>#N/A</v>
      </c>
      <c r="L546" t="str">
        <v/>
      </c>
      <c r="M546" t="e">
        <v>#N/A</v>
      </c>
      <c r="N546" t="e">
        <v>#N/A</v>
      </c>
      <c r="O546" t="e">
        <v>#N/A</v>
      </c>
      <c r="R546" t="e">
        <v>#N/A</v>
      </c>
      <c r="T546" t="e">
        <v>#N/A</v>
      </c>
      <c r="U546" t="e">
        <v>#N/A</v>
      </c>
      <c r="Y546" t="str">
        <v/>
      </c>
      <c r="AM546" t="str">
        <v/>
      </c>
      <c r="AN546" t="str">
        <v/>
      </c>
      <c r="AO546" t="str">
        <v/>
      </c>
      <c r="AQ546" t="str">
        <v/>
      </c>
      <c r="AR546" t="str">
        <v/>
      </c>
      <c r="AS546" t="e">
        <v>#N/A</v>
      </c>
      <c r="AU546" t="str">
        <v/>
      </c>
      <c r="AW546" t="e">
        <v>#N/A</v>
      </c>
    </row>
    <row r="547" spans="1:49" x14ac:dyDescent="0.25">
      <c r="A547" t="str">
        <v/>
      </c>
      <c r="B547" t="str">
        <v/>
      </c>
      <c r="C547" t="e">
        <v>#N/A</v>
      </c>
      <c r="D547" t="e">
        <v>#N/A</v>
      </c>
      <c r="J547" t="str">
        <v/>
      </c>
      <c r="K547" t="e">
        <f ca="1"/>
        <v>#N/A</v>
      </c>
      <c r="L547" t="str">
        <v/>
      </c>
      <c r="M547" t="e">
        <v>#N/A</v>
      </c>
      <c r="N547" t="e">
        <v>#N/A</v>
      </c>
      <c r="O547" t="e">
        <v>#N/A</v>
      </c>
      <c r="R547" t="e">
        <v>#N/A</v>
      </c>
      <c r="T547" t="e">
        <v>#N/A</v>
      </c>
      <c r="U547" t="e">
        <v>#N/A</v>
      </c>
      <c r="Y547" t="str">
        <v/>
      </c>
      <c r="AM547" t="str">
        <v/>
      </c>
      <c r="AN547" t="str">
        <v/>
      </c>
      <c r="AO547" t="str">
        <v/>
      </c>
      <c r="AQ547" t="str">
        <v/>
      </c>
      <c r="AR547" t="str">
        <v/>
      </c>
      <c r="AS547" t="e">
        <v>#N/A</v>
      </c>
      <c r="AU547" t="str">
        <v/>
      </c>
      <c r="AW547" t="e">
        <v>#N/A</v>
      </c>
    </row>
    <row r="548" spans="1:49" x14ac:dyDescent="0.25">
      <c r="A548" t="str">
        <v/>
      </c>
      <c r="B548" t="str">
        <v/>
      </c>
      <c r="C548" t="e">
        <v>#N/A</v>
      </c>
      <c r="D548" t="e">
        <v>#N/A</v>
      </c>
      <c r="J548" t="str">
        <v/>
      </c>
      <c r="K548" t="e">
        <f ca="1"/>
        <v>#N/A</v>
      </c>
      <c r="L548" t="str">
        <v/>
      </c>
      <c r="M548" t="e">
        <v>#N/A</v>
      </c>
      <c r="N548" t="e">
        <v>#N/A</v>
      </c>
      <c r="O548" t="e">
        <v>#N/A</v>
      </c>
      <c r="R548" t="e">
        <v>#N/A</v>
      </c>
      <c r="T548" t="e">
        <v>#N/A</v>
      </c>
      <c r="U548" t="e">
        <v>#N/A</v>
      </c>
      <c r="Y548" t="str">
        <v/>
      </c>
      <c r="AM548" t="str">
        <v/>
      </c>
      <c r="AN548" t="str">
        <v/>
      </c>
      <c r="AO548" t="str">
        <v/>
      </c>
      <c r="AQ548" t="str">
        <v/>
      </c>
      <c r="AR548" t="str">
        <v/>
      </c>
      <c r="AS548" t="e">
        <v>#N/A</v>
      </c>
      <c r="AU548" t="str">
        <v/>
      </c>
      <c r="AW548" t="e">
        <v>#N/A</v>
      </c>
    </row>
    <row r="549" spans="1:49" x14ac:dyDescent="0.25">
      <c r="A549" t="str">
        <v/>
      </c>
      <c r="B549" t="str">
        <v/>
      </c>
      <c r="C549" t="e">
        <v>#N/A</v>
      </c>
      <c r="D549" t="e">
        <v>#N/A</v>
      </c>
      <c r="J549" t="str">
        <v/>
      </c>
      <c r="K549" t="e">
        <f ca="1"/>
        <v>#N/A</v>
      </c>
      <c r="L549" t="str">
        <v/>
      </c>
      <c r="M549" t="e">
        <v>#N/A</v>
      </c>
      <c r="N549" t="e">
        <v>#N/A</v>
      </c>
      <c r="O549" t="e">
        <v>#N/A</v>
      </c>
      <c r="R549" t="e">
        <v>#N/A</v>
      </c>
      <c r="T549" t="e">
        <v>#N/A</v>
      </c>
      <c r="U549" t="e">
        <v>#N/A</v>
      </c>
      <c r="Y549" t="str">
        <v/>
      </c>
      <c r="AM549" t="str">
        <v/>
      </c>
      <c r="AN549" t="str">
        <v/>
      </c>
      <c r="AO549" t="str">
        <v/>
      </c>
      <c r="AQ549" t="str">
        <v/>
      </c>
      <c r="AR549" t="str">
        <v/>
      </c>
      <c r="AS549" t="e">
        <v>#N/A</v>
      </c>
      <c r="AU549" t="str">
        <v/>
      </c>
      <c r="AW549" t="e">
        <v>#N/A</v>
      </c>
    </row>
    <row r="550" spans="1:49" x14ac:dyDescent="0.25">
      <c r="A550" t="str">
        <v/>
      </c>
      <c r="B550" t="str">
        <v/>
      </c>
      <c r="C550" t="e">
        <v>#N/A</v>
      </c>
      <c r="D550" t="e">
        <v>#N/A</v>
      </c>
      <c r="J550" t="str">
        <v/>
      </c>
      <c r="K550" t="e">
        <f ca="1"/>
        <v>#N/A</v>
      </c>
      <c r="L550" t="str">
        <v/>
      </c>
      <c r="M550" t="e">
        <v>#N/A</v>
      </c>
      <c r="N550" t="e">
        <v>#N/A</v>
      </c>
      <c r="O550" t="e">
        <v>#N/A</v>
      </c>
      <c r="R550" t="e">
        <v>#N/A</v>
      </c>
      <c r="T550" t="e">
        <v>#N/A</v>
      </c>
      <c r="U550" t="e">
        <v>#N/A</v>
      </c>
      <c r="Y550" t="str">
        <v/>
      </c>
      <c r="AM550" t="str">
        <v/>
      </c>
      <c r="AN550" t="str">
        <v/>
      </c>
      <c r="AO550" t="str">
        <v/>
      </c>
      <c r="AQ550" t="str">
        <v/>
      </c>
      <c r="AR550" t="str">
        <v/>
      </c>
      <c r="AS550" t="e">
        <v>#N/A</v>
      </c>
      <c r="AU550" t="str">
        <v/>
      </c>
      <c r="AW550" t="e">
        <v>#N/A</v>
      </c>
    </row>
    <row r="551" spans="1:49" x14ac:dyDescent="0.25">
      <c r="A551" t="str">
        <v/>
      </c>
      <c r="B551" t="str">
        <v/>
      </c>
      <c r="C551" t="e">
        <v>#N/A</v>
      </c>
      <c r="D551" t="e">
        <v>#N/A</v>
      </c>
      <c r="J551" t="str">
        <v/>
      </c>
      <c r="K551" t="e">
        <f ca="1"/>
        <v>#N/A</v>
      </c>
      <c r="L551" t="str">
        <v/>
      </c>
      <c r="M551" t="e">
        <v>#N/A</v>
      </c>
      <c r="N551" t="e">
        <v>#N/A</v>
      </c>
      <c r="O551" t="e">
        <v>#N/A</v>
      </c>
      <c r="R551" t="e">
        <v>#N/A</v>
      </c>
      <c r="T551" t="e">
        <v>#N/A</v>
      </c>
      <c r="U551" t="e">
        <v>#N/A</v>
      </c>
      <c r="Y551" t="str">
        <v/>
      </c>
      <c r="AM551" t="str">
        <v/>
      </c>
      <c r="AN551" t="str">
        <v/>
      </c>
      <c r="AO551" t="str">
        <v/>
      </c>
      <c r="AQ551" t="str">
        <v/>
      </c>
      <c r="AR551" t="str">
        <v/>
      </c>
      <c r="AS551" t="e">
        <v>#N/A</v>
      </c>
      <c r="AU551" t="str">
        <v/>
      </c>
      <c r="AW551" t="e">
        <v>#N/A</v>
      </c>
    </row>
    <row r="552" spans="1:49" x14ac:dyDescent="0.25">
      <c r="A552" t="str">
        <v/>
      </c>
      <c r="B552" t="str">
        <v/>
      </c>
      <c r="C552" t="e">
        <v>#N/A</v>
      </c>
      <c r="D552" t="e">
        <v>#N/A</v>
      </c>
      <c r="J552" t="str">
        <v/>
      </c>
      <c r="K552" t="e">
        <f ca="1"/>
        <v>#N/A</v>
      </c>
      <c r="L552" t="str">
        <v/>
      </c>
      <c r="M552" t="e">
        <v>#N/A</v>
      </c>
      <c r="N552" t="e">
        <v>#N/A</v>
      </c>
      <c r="O552" t="e">
        <v>#N/A</v>
      </c>
      <c r="R552" t="e">
        <v>#N/A</v>
      </c>
      <c r="T552" t="e">
        <v>#N/A</v>
      </c>
      <c r="U552" t="e">
        <v>#N/A</v>
      </c>
      <c r="Y552" t="str">
        <v/>
      </c>
      <c r="AM552" t="str">
        <v/>
      </c>
      <c r="AN552" t="str">
        <v/>
      </c>
      <c r="AO552" t="str">
        <v/>
      </c>
      <c r="AQ552" t="str">
        <v/>
      </c>
      <c r="AR552" t="str">
        <v/>
      </c>
      <c r="AS552" t="e">
        <v>#N/A</v>
      </c>
      <c r="AU552" t="str">
        <v/>
      </c>
      <c r="AW552" t="e">
        <v>#N/A</v>
      </c>
    </row>
    <row r="553" spans="1:49" x14ac:dyDescent="0.25">
      <c r="A553" t="str">
        <v/>
      </c>
      <c r="B553" t="str">
        <v/>
      </c>
      <c r="C553" t="e">
        <v>#N/A</v>
      </c>
      <c r="D553" t="e">
        <v>#N/A</v>
      </c>
      <c r="J553" t="str">
        <v/>
      </c>
      <c r="K553" t="e">
        <f ca="1"/>
        <v>#N/A</v>
      </c>
      <c r="L553" t="str">
        <v/>
      </c>
      <c r="M553" t="e">
        <v>#N/A</v>
      </c>
      <c r="N553" t="e">
        <v>#N/A</v>
      </c>
      <c r="O553" t="e">
        <v>#N/A</v>
      </c>
      <c r="R553" t="e">
        <v>#N/A</v>
      </c>
      <c r="T553" t="e">
        <v>#N/A</v>
      </c>
      <c r="U553" t="e">
        <v>#N/A</v>
      </c>
      <c r="Y553" t="str">
        <v/>
      </c>
      <c r="AM553" t="str">
        <v/>
      </c>
      <c r="AN553" t="str">
        <v/>
      </c>
      <c r="AO553" t="str">
        <v/>
      </c>
      <c r="AQ553" t="str">
        <v/>
      </c>
      <c r="AR553" t="str">
        <v/>
      </c>
      <c r="AS553" t="e">
        <v>#N/A</v>
      </c>
      <c r="AU553" t="str">
        <v/>
      </c>
      <c r="AW553" t="e">
        <v>#N/A</v>
      </c>
    </row>
    <row r="554" spans="1:49" x14ac:dyDescent="0.25">
      <c r="A554" t="str">
        <v/>
      </c>
      <c r="B554" t="str">
        <v/>
      </c>
      <c r="C554" t="e">
        <v>#N/A</v>
      </c>
      <c r="D554" t="e">
        <v>#N/A</v>
      </c>
      <c r="J554" t="str">
        <v/>
      </c>
      <c r="K554" t="e">
        <f ca="1"/>
        <v>#N/A</v>
      </c>
      <c r="L554" t="str">
        <v/>
      </c>
      <c r="M554" t="e">
        <v>#N/A</v>
      </c>
      <c r="N554" t="e">
        <v>#N/A</v>
      </c>
      <c r="O554" t="e">
        <v>#N/A</v>
      </c>
      <c r="R554" t="e">
        <v>#N/A</v>
      </c>
      <c r="T554" t="e">
        <v>#N/A</v>
      </c>
      <c r="U554" t="e">
        <v>#N/A</v>
      </c>
      <c r="Y554" t="str">
        <v/>
      </c>
      <c r="AM554" t="str">
        <v/>
      </c>
      <c r="AN554" t="str">
        <v/>
      </c>
      <c r="AO554" t="str">
        <v/>
      </c>
      <c r="AQ554" t="str">
        <v/>
      </c>
      <c r="AR554" t="str">
        <v/>
      </c>
      <c r="AS554" t="e">
        <v>#N/A</v>
      </c>
      <c r="AU554" t="str">
        <v/>
      </c>
      <c r="AW554" t="e">
        <v>#N/A</v>
      </c>
    </row>
    <row r="555" spans="1:49" x14ac:dyDescent="0.25">
      <c r="A555" t="str">
        <v/>
      </c>
      <c r="B555" t="str">
        <v/>
      </c>
      <c r="C555" t="e">
        <v>#N/A</v>
      </c>
      <c r="D555" t="e">
        <v>#N/A</v>
      </c>
      <c r="J555" t="str">
        <v/>
      </c>
      <c r="K555" t="e">
        <f ca="1"/>
        <v>#N/A</v>
      </c>
      <c r="L555" t="str">
        <v/>
      </c>
      <c r="M555" t="e">
        <v>#N/A</v>
      </c>
      <c r="N555" t="e">
        <v>#N/A</v>
      </c>
      <c r="O555" t="e">
        <v>#N/A</v>
      </c>
      <c r="R555" t="e">
        <v>#N/A</v>
      </c>
      <c r="T555" t="e">
        <v>#N/A</v>
      </c>
      <c r="U555" t="e">
        <v>#N/A</v>
      </c>
      <c r="Y555" t="str">
        <v/>
      </c>
      <c r="AM555" t="str">
        <v/>
      </c>
      <c r="AN555" t="str">
        <v/>
      </c>
      <c r="AO555" t="str">
        <v/>
      </c>
      <c r="AQ555" t="str">
        <v/>
      </c>
      <c r="AR555" t="str">
        <v/>
      </c>
      <c r="AS555" t="e">
        <v>#N/A</v>
      </c>
      <c r="AU555" t="str">
        <v/>
      </c>
      <c r="AW555" t="e">
        <v>#N/A</v>
      </c>
    </row>
    <row r="556" spans="1:49" x14ac:dyDescent="0.25">
      <c r="A556" t="str">
        <v/>
      </c>
      <c r="B556" t="str">
        <v/>
      </c>
      <c r="C556" t="e">
        <v>#N/A</v>
      </c>
      <c r="D556" t="e">
        <v>#N/A</v>
      </c>
      <c r="J556" t="str">
        <v/>
      </c>
      <c r="K556" t="e">
        <f ca="1"/>
        <v>#N/A</v>
      </c>
      <c r="L556" t="str">
        <v/>
      </c>
      <c r="M556" t="e">
        <v>#N/A</v>
      </c>
      <c r="N556" t="e">
        <v>#N/A</v>
      </c>
      <c r="O556" t="e">
        <v>#N/A</v>
      </c>
      <c r="R556" t="e">
        <v>#N/A</v>
      </c>
      <c r="T556" t="e">
        <v>#N/A</v>
      </c>
      <c r="U556" t="e">
        <v>#N/A</v>
      </c>
      <c r="Y556" t="str">
        <v/>
      </c>
      <c r="AM556" t="str">
        <v/>
      </c>
      <c r="AN556" t="str">
        <v/>
      </c>
      <c r="AO556" t="str">
        <v/>
      </c>
      <c r="AQ556" t="str">
        <v/>
      </c>
      <c r="AR556" t="str">
        <v/>
      </c>
      <c r="AS556" t="e">
        <v>#N/A</v>
      </c>
      <c r="AU556" t="str">
        <v/>
      </c>
      <c r="AW556" t="e">
        <v>#N/A</v>
      </c>
    </row>
    <row r="557" spans="1:49" x14ac:dyDescent="0.25">
      <c r="A557" t="str">
        <v/>
      </c>
      <c r="B557" t="str">
        <v/>
      </c>
      <c r="C557" t="e">
        <v>#N/A</v>
      </c>
      <c r="D557" t="e">
        <v>#N/A</v>
      </c>
      <c r="J557" t="str">
        <v/>
      </c>
      <c r="K557" t="e">
        <f ca="1"/>
        <v>#N/A</v>
      </c>
      <c r="L557" t="str">
        <v/>
      </c>
      <c r="M557" t="e">
        <v>#N/A</v>
      </c>
      <c r="N557" t="e">
        <v>#N/A</v>
      </c>
      <c r="O557" t="e">
        <v>#N/A</v>
      </c>
      <c r="R557" t="e">
        <v>#N/A</v>
      </c>
      <c r="T557" t="e">
        <v>#N/A</v>
      </c>
      <c r="U557" t="e">
        <v>#N/A</v>
      </c>
      <c r="Y557" t="str">
        <v/>
      </c>
      <c r="AM557" t="str">
        <v/>
      </c>
      <c r="AN557" t="str">
        <v/>
      </c>
      <c r="AO557" t="str">
        <v/>
      </c>
      <c r="AQ557" t="str">
        <v/>
      </c>
      <c r="AR557" t="str">
        <v/>
      </c>
      <c r="AS557" t="e">
        <v>#N/A</v>
      </c>
      <c r="AU557" t="str">
        <v/>
      </c>
      <c r="AW557" t="e">
        <v>#N/A</v>
      </c>
    </row>
    <row r="558" spans="1:49" x14ac:dyDescent="0.25">
      <c r="A558" t="str">
        <v/>
      </c>
      <c r="B558" t="str">
        <v/>
      </c>
      <c r="C558" t="e">
        <v>#N/A</v>
      </c>
      <c r="D558" t="e">
        <v>#N/A</v>
      </c>
      <c r="J558" t="str">
        <v/>
      </c>
      <c r="K558" t="e">
        <f ca="1"/>
        <v>#N/A</v>
      </c>
      <c r="L558" t="str">
        <v/>
      </c>
      <c r="M558" t="e">
        <v>#N/A</v>
      </c>
      <c r="N558" t="e">
        <v>#N/A</v>
      </c>
      <c r="O558" t="e">
        <v>#N/A</v>
      </c>
      <c r="R558" t="e">
        <v>#N/A</v>
      </c>
      <c r="T558" t="e">
        <v>#N/A</v>
      </c>
      <c r="U558" t="e">
        <v>#N/A</v>
      </c>
      <c r="Y558" t="str">
        <v/>
      </c>
      <c r="AM558" t="str">
        <v/>
      </c>
      <c r="AN558" t="str">
        <v/>
      </c>
      <c r="AO558" t="str">
        <v/>
      </c>
      <c r="AQ558" t="str">
        <v/>
      </c>
      <c r="AR558" t="str">
        <v/>
      </c>
      <c r="AS558" t="e">
        <v>#N/A</v>
      </c>
      <c r="AU558" t="str">
        <v/>
      </c>
      <c r="AW558" t="e">
        <v>#N/A</v>
      </c>
    </row>
    <row r="559" spans="1:49" x14ac:dyDescent="0.25">
      <c r="A559" t="str">
        <v/>
      </c>
      <c r="B559" t="str">
        <v/>
      </c>
      <c r="C559" t="e">
        <v>#N/A</v>
      </c>
      <c r="D559" t="e">
        <v>#N/A</v>
      </c>
      <c r="J559" t="str">
        <v/>
      </c>
      <c r="K559" t="e">
        <f ca="1"/>
        <v>#N/A</v>
      </c>
      <c r="L559" t="str">
        <v/>
      </c>
      <c r="M559" t="e">
        <v>#N/A</v>
      </c>
      <c r="N559" t="e">
        <v>#N/A</v>
      </c>
      <c r="O559" t="e">
        <v>#N/A</v>
      </c>
      <c r="R559" t="e">
        <v>#N/A</v>
      </c>
      <c r="T559" t="e">
        <v>#N/A</v>
      </c>
      <c r="U559" t="e">
        <v>#N/A</v>
      </c>
      <c r="Y559" t="str">
        <v/>
      </c>
      <c r="AM559" t="str">
        <v/>
      </c>
      <c r="AN559" t="str">
        <v/>
      </c>
      <c r="AO559" t="str">
        <v/>
      </c>
      <c r="AQ559" t="str">
        <v/>
      </c>
      <c r="AR559" t="str">
        <v/>
      </c>
      <c r="AS559" t="e">
        <v>#N/A</v>
      </c>
      <c r="AU559" t="str">
        <v/>
      </c>
      <c r="AW559" t="e">
        <v>#N/A</v>
      </c>
    </row>
    <row r="560" spans="1:49" x14ac:dyDescent="0.25">
      <c r="A560" t="str">
        <v/>
      </c>
      <c r="B560" t="str">
        <v/>
      </c>
      <c r="C560" t="e">
        <v>#N/A</v>
      </c>
      <c r="D560" t="e">
        <v>#N/A</v>
      </c>
      <c r="J560" t="str">
        <v/>
      </c>
      <c r="K560" t="e">
        <f ca="1"/>
        <v>#N/A</v>
      </c>
      <c r="L560" t="str">
        <v/>
      </c>
      <c r="M560" t="e">
        <v>#N/A</v>
      </c>
      <c r="N560" t="e">
        <v>#N/A</v>
      </c>
      <c r="O560" t="e">
        <v>#N/A</v>
      </c>
      <c r="R560" t="e">
        <v>#N/A</v>
      </c>
      <c r="T560" t="e">
        <v>#N/A</v>
      </c>
      <c r="U560" t="e">
        <v>#N/A</v>
      </c>
      <c r="Y560" t="str">
        <v/>
      </c>
      <c r="AM560" t="str">
        <v/>
      </c>
      <c r="AN560" t="str">
        <v/>
      </c>
      <c r="AO560" t="str">
        <v/>
      </c>
      <c r="AQ560" t="str">
        <v/>
      </c>
      <c r="AR560" t="str">
        <v/>
      </c>
      <c r="AS560" t="e">
        <v>#N/A</v>
      </c>
      <c r="AU560" t="str">
        <v/>
      </c>
      <c r="AW560" t="e">
        <v>#N/A</v>
      </c>
    </row>
    <row r="561" spans="1:49" x14ac:dyDescent="0.25">
      <c r="A561" t="str">
        <v/>
      </c>
      <c r="B561" t="str">
        <v/>
      </c>
      <c r="C561" t="e">
        <v>#N/A</v>
      </c>
      <c r="D561" t="e">
        <v>#N/A</v>
      </c>
      <c r="J561" t="str">
        <v/>
      </c>
      <c r="K561" t="e">
        <f ca="1"/>
        <v>#N/A</v>
      </c>
      <c r="L561" t="str">
        <v/>
      </c>
      <c r="M561" t="e">
        <v>#N/A</v>
      </c>
      <c r="N561" t="e">
        <v>#N/A</v>
      </c>
      <c r="O561" t="e">
        <v>#N/A</v>
      </c>
      <c r="R561" t="e">
        <v>#N/A</v>
      </c>
      <c r="T561" t="e">
        <v>#N/A</v>
      </c>
      <c r="U561" t="e">
        <v>#N/A</v>
      </c>
      <c r="Y561" t="str">
        <v/>
      </c>
      <c r="AM561" t="str">
        <v/>
      </c>
      <c r="AN561" t="str">
        <v/>
      </c>
      <c r="AO561" t="str">
        <v/>
      </c>
      <c r="AQ561" t="str">
        <v/>
      </c>
      <c r="AR561" t="str">
        <v/>
      </c>
      <c r="AS561" t="e">
        <v>#N/A</v>
      </c>
      <c r="AU561" t="str">
        <v/>
      </c>
      <c r="AW561" t="e">
        <v>#N/A</v>
      </c>
    </row>
    <row r="562" spans="1:49" x14ac:dyDescent="0.25">
      <c r="A562" t="str">
        <v/>
      </c>
      <c r="B562" t="str">
        <v/>
      </c>
      <c r="C562" t="e">
        <v>#N/A</v>
      </c>
      <c r="D562" t="e">
        <v>#N/A</v>
      </c>
      <c r="J562" t="str">
        <v/>
      </c>
      <c r="K562" t="e">
        <f ca="1"/>
        <v>#N/A</v>
      </c>
      <c r="L562" t="str">
        <v/>
      </c>
      <c r="M562" t="e">
        <v>#N/A</v>
      </c>
      <c r="N562" t="e">
        <v>#N/A</v>
      </c>
      <c r="O562" t="e">
        <v>#N/A</v>
      </c>
      <c r="R562" t="e">
        <v>#N/A</v>
      </c>
      <c r="T562" t="e">
        <v>#N/A</v>
      </c>
      <c r="U562" t="e">
        <v>#N/A</v>
      </c>
      <c r="Y562" t="str">
        <v/>
      </c>
      <c r="AM562" t="str">
        <v/>
      </c>
      <c r="AN562" t="str">
        <v/>
      </c>
      <c r="AO562" t="str">
        <v/>
      </c>
      <c r="AQ562" t="str">
        <v/>
      </c>
      <c r="AR562" t="str">
        <v/>
      </c>
      <c r="AS562" t="e">
        <v>#N/A</v>
      </c>
      <c r="AU562" t="str">
        <v/>
      </c>
      <c r="AW562" t="e">
        <v>#N/A</v>
      </c>
    </row>
    <row r="563" spans="1:49" x14ac:dyDescent="0.25">
      <c r="A563" t="str">
        <v/>
      </c>
      <c r="B563" t="str">
        <v/>
      </c>
      <c r="C563" t="e">
        <v>#N/A</v>
      </c>
      <c r="D563" t="e">
        <v>#N/A</v>
      </c>
      <c r="J563" t="str">
        <v/>
      </c>
      <c r="K563" t="e">
        <f ca="1"/>
        <v>#N/A</v>
      </c>
      <c r="L563" t="str">
        <v/>
      </c>
      <c r="M563" t="e">
        <v>#N/A</v>
      </c>
      <c r="N563" t="e">
        <v>#N/A</v>
      </c>
      <c r="O563" t="e">
        <v>#N/A</v>
      </c>
      <c r="R563" t="e">
        <v>#N/A</v>
      </c>
      <c r="T563" t="e">
        <v>#N/A</v>
      </c>
      <c r="U563" t="e">
        <v>#N/A</v>
      </c>
      <c r="Y563" t="str">
        <v/>
      </c>
      <c r="AM563" t="str">
        <v/>
      </c>
      <c r="AN563" t="str">
        <v/>
      </c>
      <c r="AO563" t="str">
        <v/>
      </c>
      <c r="AQ563" t="str">
        <v/>
      </c>
      <c r="AR563" t="str">
        <v/>
      </c>
      <c r="AS563" t="e">
        <v>#N/A</v>
      </c>
      <c r="AU563" t="str">
        <v/>
      </c>
      <c r="AW563" t="e">
        <v>#N/A</v>
      </c>
    </row>
    <row r="564" spans="1:49" x14ac:dyDescent="0.25">
      <c r="A564" t="str">
        <v/>
      </c>
      <c r="B564" t="str">
        <v/>
      </c>
      <c r="C564" t="e">
        <v>#N/A</v>
      </c>
      <c r="D564" t="e">
        <v>#N/A</v>
      </c>
      <c r="J564" t="str">
        <v/>
      </c>
      <c r="K564" t="e">
        <f ca="1"/>
        <v>#N/A</v>
      </c>
      <c r="L564" t="str">
        <v/>
      </c>
      <c r="M564" t="e">
        <v>#N/A</v>
      </c>
      <c r="N564" t="e">
        <v>#N/A</v>
      </c>
      <c r="O564" t="e">
        <v>#N/A</v>
      </c>
      <c r="R564" t="e">
        <v>#N/A</v>
      </c>
      <c r="T564" t="e">
        <v>#N/A</v>
      </c>
      <c r="U564" t="e">
        <v>#N/A</v>
      </c>
      <c r="Y564" t="str">
        <v/>
      </c>
      <c r="AM564" t="str">
        <v/>
      </c>
      <c r="AN564" t="str">
        <v/>
      </c>
      <c r="AO564" t="str">
        <v/>
      </c>
      <c r="AQ564" t="str">
        <v/>
      </c>
      <c r="AR564" t="str">
        <v/>
      </c>
      <c r="AS564" t="e">
        <v>#N/A</v>
      </c>
      <c r="AU564" t="str">
        <v/>
      </c>
      <c r="AW564" t="e">
        <v>#N/A</v>
      </c>
    </row>
    <row r="565" spans="1:49" x14ac:dyDescent="0.25">
      <c r="A565" t="str">
        <v/>
      </c>
      <c r="B565" t="str">
        <v/>
      </c>
      <c r="C565" t="e">
        <v>#N/A</v>
      </c>
      <c r="D565" t="e">
        <v>#N/A</v>
      </c>
      <c r="J565" t="str">
        <v/>
      </c>
      <c r="K565" t="e">
        <f ca="1"/>
        <v>#N/A</v>
      </c>
      <c r="L565" t="str">
        <v/>
      </c>
      <c r="M565" t="e">
        <v>#N/A</v>
      </c>
      <c r="N565" t="e">
        <v>#N/A</v>
      </c>
      <c r="O565" t="e">
        <v>#N/A</v>
      </c>
      <c r="R565" t="e">
        <v>#N/A</v>
      </c>
      <c r="T565" t="e">
        <v>#N/A</v>
      </c>
      <c r="U565" t="e">
        <v>#N/A</v>
      </c>
      <c r="Y565" t="str">
        <v/>
      </c>
      <c r="AM565" t="str">
        <v/>
      </c>
      <c r="AN565" t="str">
        <v/>
      </c>
      <c r="AO565" t="str">
        <v/>
      </c>
      <c r="AQ565" t="str">
        <v/>
      </c>
      <c r="AR565" t="str">
        <v/>
      </c>
      <c r="AS565" t="e">
        <v>#N/A</v>
      </c>
      <c r="AU565" t="str">
        <v/>
      </c>
      <c r="AW565" t="e">
        <v>#N/A</v>
      </c>
    </row>
    <row r="566" spans="1:49" x14ac:dyDescent="0.25">
      <c r="A566" t="str">
        <v/>
      </c>
      <c r="B566" t="str">
        <v/>
      </c>
      <c r="C566" t="e">
        <v>#N/A</v>
      </c>
      <c r="D566" t="e">
        <v>#N/A</v>
      </c>
      <c r="J566" t="str">
        <v/>
      </c>
      <c r="K566" t="e">
        <f ca="1"/>
        <v>#N/A</v>
      </c>
      <c r="L566" t="str">
        <v/>
      </c>
      <c r="M566" t="e">
        <v>#N/A</v>
      </c>
      <c r="N566" t="e">
        <v>#N/A</v>
      </c>
      <c r="O566" t="e">
        <v>#N/A</v>
      </c>
      <c r="R566" t="e">
        <v>#N/A</v>
      </c>
      <c r="T566" t="e">
        <v>#N/A</v>
      </c>
      <c r="U566" t="e">
        <v>#N/A</v>
      </c>
      <c r="Y566" t="str">
        <v/>
      </c>
      <c r="AM566" t="str">
        <v/>
      </c>
      <c r="AN566" t="str">
        <v/>
      </c>
      <c r="AO566" t="str">
        <v/>
      </c>
      <c r="AQ566" t="str">
        <v/>
      </c>
      <c r="AR566" t="str">
        <v/>
      </c>
      <c r="AS566" t="e">
        <v>#N/A</v>
      </c>
      <c r="AU566" t="str">
        <v/>
      </c>
      <c r="AW566" t="e">
        <v>#N/A</v>
      </c>
    </row>
    <row r="567" spans="1:49" x14ac:dyDescent="0.25">
      <c r="A567" t="str">
        <v/>
      </c>
      <c r="B567" t="str">
        <v/>
      </c>
      <c r="C567" t="e">
        <v>#N/A</v>
      </c>
      <c r="D567" t="e">
        <v>#N/A</v>
      </c>
      <c r="J567" t="str">
        <v/>
      </c>
      <c r="K567" t="e">
        <f ca="1"/>
        <v>#N/A</v>
      </c>
      <c r="L567" t="str">
        <v/>
      </c>
      <c r="M567" t="e">
        <v>#N/A</v>
      </c>
      <c r="N567" t="e">
        <v>#N/A</v>
      </c>
      <c r="O567" t="e">
        <v>#N/A</v>
      </c>
      <c r="R567" t="e">
        <v>#N/A</v>
      </c>
      <c r="T567" t="e">
        <v>#N/A</v>
      </c>
      <c r="U567" t="e">
        <v>#N/A</v>
      </c>
      <c r="Y567" t="str">
        <v/>
      </c>
      <c r="AM567" t="str">
        <v/>
      </c>
      <c r="AN567" t="str">
        <v/>
      </c>
      <c r="AO567" t="str">
        <v/>
      </c>
      <c r="AQ567" t="str">
        <v/>
      </c>
      <c r="AR567" t="str">
        <v/>
      </c>
      <c r="AS567" t="e">
        <v>#N/A</v>
      </c>
      <c r="AU567" t="str">
        <v/>
      </c>
      <c r="AW567" t="e">
        <v>#N/A</v>
      </c>
    </row>
    <row r="568" spans="1:49" x14ac:dyDescent="0.25">
      <c r="A568" t="str">
        <v/>
      </c>
      <c r="B568" t="str">
        <v/>
      </c>
      <c r="C568" t="e">
        <v>#N/A</v>
      </c>
      <c r="D568" t="e">
        <v>#N/A</v>
      </c>
      <c r="J568" t="str">
        <v/>
      </c>
      <c r="K568" t="e">
        <f ca="1"/>
        <v>#N/A</v>
      </c>
      <c r="L568" t="str">
        <v/>
      </c>
      <c r="M568" t="e">
        <v>#N/A</v>
      </c>
      <c r="N568" t="e">
        <v>#N/A</v>
      </c>
      <c r="O568" t="e">
        <v>#N/A</v>
      </c>
      <c r="R568" t="e">
        <v>#N/A</v>
      </c>
      <c r="T568" t="e">
        <v>#N/A</v>
      </c>
      <c r="U568" t="e">
        <v>#N/A</v>
      </c>
      <c r="Y568" t="str">
        <v/>
      </c>
      <c r="AM568" t="str">
        <v/>
      </c>
      <c r="AN568" t="str">
        <v/>
      </c>
      <c r="AO568" t="str">
        <v/>
      </c>
      <c r="AQ568" t="str">
        <v/>
      </c>
      <c r="AR568" t="str">
        <v/>
      </c>
      <c r="AS568" t="e">
        <v>#N/A</v>
      </c>
      <c r="AU568" t="str">
        <v/>
      </c>
      <c r="AW568" t="e">
        <v>#N/A</v>
      </c>
    </row>
    <row r="569" spans="1:49" x14ac:dyDescent="0.25">
      <c r="A569" t="str">
        <v/>
      </c>
      <c r="B569" t="str">
        <v/>
      </c>
      <c r="C569" t="e">
        <v>#N/A</v>
      </c>
      <c r="D569" t="e">
        <v>#N/A</v>
      </c>
      <c r="J569" t="str">
        <v/>
      </c>
      <c r="K569" t="e">
        <f ca="1"/>
        <v>#N/A</v>
      </c>
      <c r="L569" t="str">
        <v/>
      </c>
      <c r="M569" t="e">
        <v>#N/A</v>
      </c>
      <c r="N569" t="e">
        <v>#N/A</v>
      </c>
      <c r="O569" t="e">
        <v>#N/A</v>
      </c>
      <c r="R569" t="e">
        <v>#N/A</v>
      </c>
      <c r="T569" t="e">
        <v>#N/A</v>
      </c>
      <c r="U569" t="e">
        <v>#N/A</v>
      </c>
      <c r="Y569" t="str">
        <v/>
      </c>
      <c r="AM569" t="str">
        <v/>
      </c>
      <c r="AN569" t="str">
        <v/>
      </c>
      <c r="AO569" t="str">
        <v/>
      </c>
      <c r="AQ569" t="str">
        <v/>
      </c>
      <c r="AR569" t="str">
        <v/>
      </c>
      <c r="AS569" t="e">
        <v>#N/A</v>
      </c>
      <c r="AU569" t="str">
        <v/>
      </c>
      <c r="AW569" t="e">
        <v>#N/A</v>
      </c>
    </row>
    <row r="570" spans="1:49" x14ac:dyDescent="0.25">
      <c r="A570" t="str">
        <v/>
      </c>
      <c r="B570" t="str">
        <v/>
      </c>
      <c r="C570" t="e">
        <v>#N/A</v>
      </c>
      <c r="D570" t="e">
        <v>#N/A</v>
      </c>
      <c r="J570" t="str">
        <v/>
      </c>
      <c r="K570" t="e">
        <f ca="1"/>
        <v>#N/A</v>
      </c>
      <c r="L570" t="str">
        <v/>
      </c>
      <c r="M570" t="e">
        <v>#N/A</v>
      </c>
      <c r="N570" t="e">
        <v>#N/A</v>
      </c>
      <c r="O570" t="e">
        <v>#N/A</v>
      </c>
      <c r="R570" t="e">
        <v>#N/A</v>
      </c>
      <c r="T570" t="e">
        <v>#N/A</v>
      </c>
      <c r="U570" t="e">
        <v>#N/A</v>
      </c>
      <c r="Y570" t="str">
        <v/>
      </c>
      <c r="AM570" t="str">
        <v/>
      </c>
      <c r="AN570" t="str">
        <v/>
      </c>
      <c r="AO570" t="str">
        <v/>
      </c>
      <c r="AQ570" t="str">
        <v/>
      </c>
      <c r="AR570" t="str">
        <v/>
      </c>
      <c r="AS570" t="e">
        <v>#N/A</v>
      </c>
      <c r="AU570" t="str">
        <v/>
      </c>
      <c r="AW570" t="e">
        <v>#N/A</v>
      </c>
    </row>
    <row r="571" spans="1:49" x14ac:dyDescent="0.25">
      <c r="A571" t="str">
        <v/>
      </c>
      <c r="B571" t="str">
        <v/>
      </c>
      <c r="C571" t="e">
        <v>#N/A</v>
      </c>
      <c r="D571" t="e">
        <v>#N/A</v>
      </c>
      <c r="J571" t="str">
        <v/>
      </c>
      <c r="K571" t="e">
        <f ca="1"/>
        <v>#N/A</v>
      </c>
      <c r="L571" t="str">
        <v/>
      </c>
      <c r="M571" t="e">
        <v>#N/A</v>
      </c>
      <c r="N571" t="e">
        <v>#N/A</v>
      </c>
      <c r="O571" t="e">
        <v>#N/A</v>
      </c>
      <c r="R571" t="e">
        <v>#N/A</v>
      </c>
      <c r="T571" t="e">
        <v>#N/A</v>
      </c>
      <c r="U571" t="e">
        <v>#N/A</v>
      </c>
      <c r="Y571" t="str">
        <v/>
      </c>
      <c r="AM571" t="str">
        <v/>
      </c>
      <c r="AN571" t="str">
        <v/>
      </c>
      <c r="AO571" t="str">
        <v/>
      </c>
      <c r="AQ571" t="str">
        <v/>
      </c>
      <c r="AR571" t="str">
        <v/>
      </c>
      <c r="AS571" t="e">
        <v>#N/A</v>
      </c>
      <c r="AU571" t="str">
        <v/>
      </c>
      <c r="AW571" t="e">
        <v>#N/A</v>
      </c>
    </row>
    <row r="572" spans="1:49" x14ac:dyDescent="0.25">
      <c r="A572" t="str">
        <v/>
      </c>
      <c r="B572" t="str">
        <v/>
      </c>
      <c r="C572" t="e">
        <v>#N/A</v>
      </c>
      <c r="D572" t="e">
        <v>#N/A</v>
      </c>
      <c r="J572" t="str">
        <v/>
      </c>
      <c r="K572" t="e">
        <f ca="1"/>
        <v>#N/A</v>
      </c>
      <c r="L572" t="str">
        <v/>
      </c>
      <c r="M572" t="e">
        <v>#N/A</v>
      </c>
      <c r="N572" t="e">
        <v>#N/A</v>
      </c>
      <c r="O572" t="e">
        <v>#N/A</v>
      </c>
      <c r="R572" t="e">
        <v>#N/A</v>
      </c>
      <c r="T572" t="e">
        <v>#N/A</v>
      </c>
      <c r="U572" t="e">
        <v>#N/A</v>
      </c>
      <c r="Y572" t="str">
        <v/>
      </c>
      <c r="AM572" t="str">
        <v/>
      </c>
      <c r="AN572" t="str">
        <v/>
      </c>
      <c r="AO572" t="str">
        <v/>
      </c>
      <c r="AQ572" t="str">
        <v/>
      </c>
      <c r="AR572" t="str">
        <v/>
      </c>
      <c r="AS572" t="e">
        <v>#N/A</v>
      </c>
      <c r="AU572" t="str">
        <v/>
      </c>
      <c r="AW572" t="e">
        <v>#N/A</v>
      </c>
    </row>
    <row r="573" spans="1:49" x14ac:dyDescent="0.25">
      <c r="A573" t="str">
        <v/>
      </c>
      <c r="B573" t="str">
        <v/>
      </c>
      <c r="C573" t="e">
        <v>#N/A</v>
      </c>
      <c r="D573" t="e">
        <v>#N/A</v>
      </c>
      <c r="J573" t="str">
        <v/>
      </c>
      <c r="K573" t="e">
        <f ca="1"/>
        <v>#N/A</v>
      </c>
      <c r="L573" t="str">
        <v/>
      </c>
      <c r="M573" t="e">
        <v>#N/A</v>
      </c>
      <c r="N573" t="e">
        <v>#N/A</v>
      </c>
      <c r="O573" t="e">
        <v>#N/A</v>
      </c>
      <c r="R573" t="e">
        <v>#N/A</v>
      </c>
      <c r="T573" t="e">
        <v>#N/A</v>
      </c>
      <c r="U573" t="e">
        <v>#N/A</v>
      </c>
      <c r="Y573" t="str">
        <v/>
      </c>
      <c r="AM573" t="str">
        <v/>
      </c>
      <c r="AN573" t="str">
        <v/>
      </c>
      <c r="AO573" t="str">
        <v/>
      </c>
      <c r="AQ573" t="str">
        <v/>
      </c>
      <c r="AR573" t="str">
        <v/>
      </c>
      <c r="AS573" t="e">
        <v>#N/A</v>
      </c>
      <c r="AU573" t="str">
        <v/>
      </c>
      <c r="AW573" t="e">
        <v>#N/A</v>
      </c>
    </row>
    <row r="574" spans="1:49" x14ac:dyDescent="0.25">
      <c r="A574" t="str">
        <v/>
      </c>
      <c r="B574" t="str">
        <v/>
      </c>
      <c r="C574" t="e">
        <v>#N/A</v>
      </c>
      <c r="D574" t="e">
        <v>#N/A</v>
      </c>
      <c r="J574" t="str">
        <v/>
      </c>
      <c r="K574" t="e">
        <f ca="1"/>
        <v>#N/A</v>
      </c>
      <c r="L574" t="str">
        <v/>
      </c>
      <c r="M574" t="e">
        <v>#N/A</v>
      </c>
      <c r="N574" t="e">
        <v>#N/A</v>
      </c>
      <c r="O574" t="e">
        <v>#N/A</v>
      </c>
      <c r="R574" t="e">
        <v>#N/A</v>
      </c>
      <c r="T574" t="e">
        <v>#N/A</v>
      </c>
      <c r="U574" t="e">
        <v>#N/A</v>
      </c>
      <c r="Y574" t="str">
        <v/>
      </c>
      <c r="AM574" t="str">
        <v/>
      </c>
      <c r="AN574" t="str">
        <v/>
      </c>
      <c r="AO574" t="str">
        <v/>
      </c>
      <c r="AQ574" t="str">
        <v/>
      </c>
      <c r="AR574" t="str">
        <v/>
      </c>
      <c r="AS574" t="e">
        <v>#N/A</v>
      </c>
      <c r="AU574" t="str">
        <v/>
      </c>
      <c r="AW574" t="e">
        <v>#N/A</v>
      </c>
    </row>
    <row r="575" spans="1:49" x14ac:dyDescent="0.25">
      <c r="A575" t="str">
        <v/>
      </c>
      <c r="B575" t="str">
        <v/>
      </c>
      <c r="C575" t="e">
        <v>#N/A</v>
      </c>
      <c r="D575" t="e">
        <v>#N/A</v>
      </c>
      <c r="J575" t="str">
        <v/>
      </c>
      <c r="K575" t="e">
        <f ca="1"/>
        <v>#N/A</v>
      </c>
      <c r="L575" t="str">
        <v/>
      </c>
      <c r="M575" t="e">
        <v>#N/A</v>
      </c>
      <c r="N575" t="e">
        <v>#N/A</v>
      </c>
      <c r="O575" t="e">
        <v>#N/A</v>
      </c>
      <c r="R575" t="e">
        <v>#N/A</v>
      </c>
      <c r="T575" t="e">
        <v>#N/A</v>
      </c>
      <c r="U575" t="e">
        <v>#N/A</v>
      </c>
      <c r="Y575" t="str">
        <v/>
      </c>
      <c r="AM575" t="str">
        <v/>
      </c>
      <c r="AN575" t="str">
        <v/>
      </c>
      <c r="AO575" t="str">
        <v/>
      </c>
      <c r="AQ575" t="str">
        <v/>
      </c>
      <c r="AR575" t="str">
        <v/>
      </c>
      <c r="AS575" t="e">
        <v>#N/A</v>
      </c>
      <c r="AU575" t="str">
        <v/>
      </c>
      <c r="AW575" t="e">
        <v>#N/A</v>
      </c>
    </row>
    <row r="576" spans="1:49" x14ac:dyDescent="0.25">
      <c r="A576" t="str">
        <v/>
      </c>
      <c r="B576" t="str">
        <v/>
      </c>
      <c r="C576" t="e">
        <v>#N/A</v>
      </c>
      <c r="D576" t="e">
        <v>#N/A</v>
      </c>
      <c r="J576" t="str">
        <v/>
      </c>
      <c r="K576" t="e">
        <f ca="1"/>
        <v>#N/A</v>
      </c>
      <c r="L576" t="str">
        <v/>
      </c>
      <c r="M576" t="e">
        <v>#N/A</v>
      </c>
      <c r="N576" t="e">
        <v>#N/A</v>
      </c>
      <c r="O576" t="e">
        <v>#N/A</v>
      </c>
      <c r="R576" t="e">
        <v>#N/A</v>
      </c>
      <c r="T576" t="e">
        <v>#N/A</v>
      </c>
      <c r="U576" t="e">
        <v>#N/A</v>
      </c>
      <c r="Y576" t="str">
        <v/>
      </c>
      <c r="AM576" t="str">
        <v/>
      </c>
      <c r="AN576" t="str">
        <v/>
      </c>
      <c r="AO576" t="str">
        <v/>
      </c>
      <c r="AQ576" t="str">
        <v/>
      </c>
      <c r="AR576" t="str">
        <v/>
      </c>
      <c r="AS576" t="e">
        <v>#N/A</v>
      </c>
      <c r="AU576" t="str">
        <v/>
      </c>
      <c r="AW576" t="e">
        <v>#N/A</v>
      </c>
    </row>
    <row r="577" spans="1:49" x14ac:dyDescent="0.25">
      <c r="A577" t="str">
        <v/>
      </c>
      <c r="B577" t="str">
        <v/>
      </c>
      <c r="C577" t="e">
        <v>#N/A</v>
      </c>
      <c r="D577" t="e">
        <v>#N/A</v>
      </c>
      <c r="J577" t="str">
        <v/>
      </c>
      <c r="K577" t="e">
        <f ca="1"/>
        <v>#N/A</v>
      </c>
      <c r="L577" t="str">
        <v/>
      </c>
      <c r="M577" t="e">
        <v>#N/A</v>
      </c>
      <c r="N577" t="e">
        <v>#N/A</v>
      </c>
      <c r="O577" t="e">
        <v>#N/A</v>
      </c>
      <c r="R577" t="e">
        <v>#N/A</v>
      </c>
      <c r="T577" t="e">
        <v>#N/A</v>
      </c>
      <c r="U577" t="e">
        <v>#N/A</v>
      </c>
      <c r="Y577" t="str">
        <v/>
      </c>
      <c r="AM577" t="str">
        <v/>
      </c>
      <c r="AN577" t="str">
        <v/>
      </c>
      <c r="AO577" t="str">
        <v/>
      </c>
      <c r="AQ577" t="str">
        <v/>
      </c>
      <c r="AR577" t="str">
        <v/>
      </c>
      <c r="AS577" t="e">
        <v>#N/A</v>
      </c>
      <c r="AU577" t="str">
        <v/>
      </c>
      <c r="AW577" t="e">
        <v>#N/A</v>
      </c>
    </row>
    <row r="578" spans="1:49" x14ac:dyDescent="0.25">
      <c r="A578" t="str">
        <v/>
      </c>
      <c r="B578" t="str">
        <v/>
      </c>
      <c r="C578" t="e">
        <v>#N/A</v>
      </c>
      <c r="D578" t="e">
        <v>#N/A</v>
      </c>
      <c r="J578" t="str">
        <v/>
      </c>
      <c r="K578" t="e">
        <f ca="1"/>
        <v>#N/A</v>
      </c>
      <c r="L578" t="str">
        <v/>
      </c>
      <c r="M578" t="e">
        <v>#N/A</v>
      </c>
      <c r="N578" t="e">
        <v>#N/A</v>
      </c>
      <c r="O578" t="e">
        <v>#N/A</v>
      </c>
      <c r="R578" t="e">
        <v>#N/A</v>
      </c>
      <c r="T578" t="e">
        <v>#N/A</v>
      </c>
      <c r="U578" t="e">
        <v>#N/A</v>
      </c>
      <c r="Y578" t="str">
        <v/>
      </c>
      <c r="AM578" t="str">
        <v/>
      </c>
      <c r="AN578" t="str">
        <v/>
      </c>
      <c r="AO578" t="str">
        <v/>
      </c>
      <c r="AQ578" t="str">
        <v/>
      </c>
      <c r="AR578" t="str">
        <v/>
      </c>
      <c r="AS578" t="e">
        <v>#N/A</v>
      </c>
      <c r="AU578" t="str">
        <v/>
      </c>
      <c r="AW578" t="e">
        <v>#N/A</v>
      </c>
    </row>
    <row r="579" spans="1:49" x14ac:dyDescent="0.25">
      <c r="A579" t="str">
        <v/>
      </c>
      <c r="B579" t="str">
        <v/>
      </c>
      <c r="C579" t="e">
        <v>#N/A</v>
      </c>
      <c r="D579" t="e">
        <v>#N/A</v>
      </c>
      <c r="J579" t="str">
        <v/>
      </c>
      <c r="K579" t="e">
        <f ca="1"/>
        <v>#N/A</v>
      </c>
      <c r="L579" t="str">
        <v/>
      </c>
      <c r="M579" t="e">
        <v>#N/A</v>
      </c>
      <c r="N579" t="e">
        <v>#N/A</v>
      </c>
      <c r="O579" t="e">
        <v>#N/A</v>
      </c>
      <c r="R579" t="e">
        <v>#N/A</v>
      </c>
      <c r="T579" t="e">
        <v>#N/A</v>
      </c>
      <c r="U579" t="e">
        <v>#N/A</v>
      </c>
      <c r="Y579" t="str">
        <v/>
      </c>
      <c r="AM579" t="str">
        <v/>
      </c>
      <c r="AN579" t="str">
        <v/>
      </c>
      <c r="AO579" t="str">
        <v/>
      </c>
      <c r="AQ579" t="str">
        <v/>
      </c>
      <c r="AR579" t="str">
        <v/>
      </c>
      <c r="AS579" t="e">
        <v>#N/A</v>
      </c>
      <c r="AU579" t="str">
        <v/>
      </c>
      <c r="AW579" t="e">
        <v>#N/A</v>
      </c>
    </row>
    <row r="580" spans="1:49" x14ac:dyDescent="0.25">
      <c r="A580" t="str">
        <v/>
      </c>
      <c r="B580" t="str">
        <v/>
      </c>
      <c r="C580" t="e">
        <v>#N/A</v>
      </c>
      <c r="D580" t="e">
        <v>#N/A</v>
      </c>
      <c r="J580" t="str">
        <v/>
      </c>
      <c r="K580" t="e">
        <f ca="1"/>
        <v>#N/A</v>
      </c>
      <c r="L580" t="str">
        <v/>
      </c>
      <c r="M580" t="e">
        <v>#N/A</v>
      </c>
      <c r="N580" t="e">
        <v>#N/A</v>
      </c>
      <c r="O580" t="e">
        <v>#N/A</v>
      </c>
      <c r="R580" t="e">
        <v>#N/A</v>
      </c>
      <c r="T580" t="e">
        <v>#N/A</v>
      </c>
      <c r="U580" t="e">
        <v>#N/A</v>
      </c>
      <c r="Y580" t="str">
        <v/>
      </c>
      <c r="AM580" t="str">
        <v/>
      </c>
      <c r="AN580" t="str">
        <v/>
      </c>
      <c r="AO580" t="str">
        <v/>
      </c>
      <c r="AQ580" t="str">
        <v/>
      </c>
      <c r="AR580" t="str">
        <v/>
      </c>
      <c r="AS580" t="e">
        <v>#N/A</v>
      </c>
      <c r="AU580" t="str">
        <v/>
      </c>
      <c r="AW580" t="e">
        <v>#N/A</v>
      </c>
    </row>
    <row r="581" spans="1:49" x14ac:dyDescent="0.25">
      <c r="A581" t="str">
        <v/>
      </c>
      <c r="B581" t="str">
        <v/>
      </c>
      <c r="C581" t="e">
        <v>#N/A</v>
      </c>
      <c r="D581" t="e">
        <v>#N/A</v>
      </c>
      <c r="J581" t="str">
        <v/>
      </c>
      <c r="K581" t="e">
        <f ca="1"/>
        <v>#N/A</v>
      </c>
      <c r="L581" t="str">
        <v/>
      </c>
      <c r="M581" t="e">
        <v>#N/A</v>
      </c>
      <c r="N581" t="e">
        <v>#N/A</v>
      </c>
      <c r="O581" t="e">
        <v>#N/A</v>
      </c>
      <c r="R581" t="e">
        <v>#N/A</v>
      </c>
      <c r="T581" t="e">
        <v>#N/A</v>
      </c>
      <c r="U581" t="e">
        <v>#N/A</v>
      </c>
      <c r="Y581" t="str">
        <v/>
      </c>
      <c r="AM581" t="str">
        <v/>
      </c>
      <c r="AN581" t="str">
        <v/>
      </c>
      <c r="AO581" t="str">
        <v/>
      </c>
      <c r="AQ581" t="str">
        <v/>
      </c>
      <c r="AR581" t="str">
        <v/>
      </c>
      <c r="AS581" t="e">
        <v>#N/A</v>
      </c>
      <c r="AU581" t="str">
        <v/>
      </c>
      <c r="AW581" t="e">
        <v>#N/A</v>
      </c>
    </row>
    <row r="582" spans="1:49" x14ac:dyDescent="0.25">
      <c r="A582" t="str">
        <v/>
      </c>
      <c r="B582" t="str">
        <v/>
      </c>
      <c r="C582" t="e">
        <v>#N/A</v>
      </c>
      <c r="D582" t="e">
        <v>#N/A</v>
      </c>
      <c r="J582" t="str">
        <v/>
      </c>
      <c r="K582" t="e">
        <f ca="1"/>
        <v>#N/A</v>
      </c>
      <c r="L582" t="str">
        <v/>
      </c>
      <c r="M582" t="e">
        <v>#N/A</v>
      </c>
      <c r="N582" t="e">
        <v>#N/A</v>
      </c>
      <c r="O582" t="e">
        <v>#N/A</v>
      </c>
      <c r="R582" t="e">
        <v>#N/A</v>
      </c>
      <c r="T582" t="e">
        <v>#N/A</v>
      </c>
      <c r="U582" t="e">
        <v>#N/A</v>
      </c>
      <c r="Y582" t="str">
        <v/>
      </c>
      <c r="AM582" t="str">
        <v/>
      </c>
      <c r="AN582" t="str">
        <v/>
      </c>
      <c r="AO582" t="str">
        <v/>
      </c>
      <c r="AQ582" t="str">
        <v/>
      </c>
      <c r="AR582" t="str">
        <v/>
      </c>
      <c r="AS582" t="e">
        <v>#N/A</v>
      </c>
      <c r="AU582" t="str">
        <v/>
      </c>
      <c r="AW582" t="e">
        <v>#N/A</v>
      </c>
    </row>
    <row r="583" spans="1:49" x14ac:dyDescent="0.25">
      <c r="A583" t="str">
        <v/>
      </c>
      <c r="B583" t="str">
        <v/>
      </c>
      <c r="C583" t="e">
        <v>#N/A</v>
      </c>
      <c r="D583" t="e">
        <v>#N/A</v>
      </c>
      <c r="J583" t="str">
        <v/>
      </c>
      <c r="K583" t="e">
        <f ca="1"/>
        <v>#N/A</v>
      </c>
      <c r="L583" t="str">
        <v/>
      </c>
      <c r="M583" t="e">
        <v>#N/A</v>
      </c>
      <c r="N583" t="e">
        <v>#N/A</v>
      </c>
      <c r="O583" t="e">
        <v>#N/A</v>
      </c>
      <c r="R583" t="e">
        <v>#N/A</v>
      </c>
      <c r="T583" t="e">
        <v>#N/A</v>
      </c>
      <c r="U583" t="e">
        <v>#N/A</v>
      </c>
      <c r="Y583" t="str">
        <v/>
      </c>
      <c r="AM583" t="str">
        <v/>
      </c>
      <c r="AN583" t="str">
        <v/>
      </c>
      <c r="AO583" t="str">
        <v/>
      </c>
      <c r="AQ583" t="str">
        <v/>
      </c>
      <c r="AR583" t="str">
        <v/>
      </c>
      <c r="AS583" t="e">
        <v>#N/A</v>
      </c>
      <c r="AU583" t="str">
        <v/>
      </c>
      <c r="AW583" t="e">
        <v>#N/A</v>
      </c>
    </row>
    <row r="584" spans="1:49" x14ac:dyDescent="0.25">
      <c r="A584" t="str">
        <v/>
      </c>
      <c r="B584" t="str">
        <v/>
      </c>
      <c r="C584" t="e">
        <v>#N/A</v>
      </c>
      <c r="D584" t="e">
        <v>#N/A</v>
      </c>
      <c r="J584" t="str">
        <v/>
      </c>
      <c r="K584" t="e">
        <f ca="1"/>
        <v>#N/A</v>
      </c>
      <c r="L584" t="str">
        <v/>
      </c>
      <c r="M584" t="e">
        <v>#N/A</v>
      </c>
      <c r="N584" t="e">
        <v>#N/A</v>
      </c>
      <c r="O584" t="e">
        <v>#N/A</v>
      </c>
      <c r="R584" t="e">
        <v>#N/A</v>
      </c>
      <c r="T584" t="e">
        <v>#N/A</v>
      </c>
      <c r="U584" t="e">
        <v>#N/A</v>
      </c>
      <c r="Y584" t="str">
        <v/>
      </c>
      <c r="AM584" t="str">
        <v/>
      </c>
      <c r="AN584" t="str">
        <v/>
      </c>
      <c r="AO584" t="str">
        <v/>
      </c>
      <c r="AQ584" t="str">
        <v/>
      </c>
      <c r="AR584" t="str">
        <v/>
      </c>
      <c r="AS584" t="e">
        <v>#N/A</v>
      </c>
      <c r="AU584" t="str">
        <v/>
      </c>
      <c r="AW584" t="e">
        <v>#N/A</v>
      </c>
    </row>
    <row r="585" spans="1:49" x14ac:dyDescent="0.25">
      <c r="A585" t="str">
        <v/>
      </c>
      <c r="B585" t="str">
        <v/>
      </c>
      <c r="C585" t="e">
        <v>#N/A</v>
      </c>
      <c r="D585" t="e">
        <v>#N/A</v>
      </c>
      <c r="J585" t="str">
        <v/>
      </c>
      <c r="K585" t="e">
        <f ca="1"/>
        <v>#N/A</v>
      </c>
      <c r="L585" t="str">
        <v/>
      </c>
      <c r="M585" t="e">
        <v>#N/A</v>
      </c>
      <c r="N585" t="e">
        <v>#N/A</v>
      </c>
      <c r="O585" t="e">
        <v>#N/A</v>
      </c>
      <c r="R585" t="e">
        <v>#N/A</v>
      </c>
      <c r="T585" t="e">
        <v>#N/A</v>
      </c>
      <c r="U585" t="e">
        <v>#N/A</v>
      </c>
      <c r="Y585" t="str">
        <v/>
      </c>
      <c r="AM585" t="str">
        <v/>
      </c>
      <c r="AN585" t="str">
        <v/>
      </c>
      <c r="AO585" t="str">
        <v/>
      </c>
      <c r="AQ585" t="str">
        <v/>
      </c>
      <c r="AR585" t="str">
        <v/>
      </c>
      <c r="AS585" t="e">
        <v>#N/A</v>
      </c>
      <c r="AU585" t="str">
        <v/>
      </c>
      <c r="AW585" t="e">
        <v>#N/A</v>
      </c>
    </row>
    <row r="586" spans="1:49" x14ac:dyDescent="0.25">
      <c r="A586" t="str">
        <v/>
      </c>
      <c r="B586" t="str">
        <v/>
      </c>
      <c r="C586" t="e">
        <v>#N/A</v>
      </c>
      <c r="D586" t="e">
        <v>#N/A</v>
      </c>
      <c r="J586" t="str">
        <v/>
      </c>
      <c r="K586" t="e">
        <f ca="1"/>
        <v>#N/A</v>
      </c>
      <c r="L586" t="str">
        <v/>
      </c>
      <c r="M586" t="e">
        <v>#N/A</v>
      </c>
      <c r="N586" t="e">
        <v>#N/A</v>
      </c>
      <c r="O586" t="e">
        <v>#N/A</v>
      </c>
      <c r="R586" t="e">
        <v>#N/A</v>
      </c>
      <c r="T586" t="e">
        <v>#N/A</v>
      </c>
      <c r="U586" t="e">
        <v>#N/A</v>
      </c>
      <c r="Y586" t="str">
        <v/>
      </c>
      <c r="AM586" t="str">
        <v/>
      </c>
      <c r="AN586" t="str">
        <v/>
      </c>
      <c r="AO586" t="str">
        <v/>
      </c>
      <c r="AQ586" t="str">
        <v/>
      </c>
      <c r="AR586" t="str">
        <v/>
      </c>
      <c r="AS586" t="e">
        <v>#N/A</v>
      </c>
      <c r="AU586" t="str">
        <v/>
      </c>
      <c r="AW586" t="e">
        <v>#N/A</v>
      </c>
    </row>
    <row r="587" spans="1:49" x14ac:dyDescent="0.25">
      <c r="A587" t="str">
        <v/>
      </c>
      <c r="B587" t="str">
        <v/>
      </c>
      <c r="C587" t="e">
        <v>#N/A</v>
      </c>
      <c r="D587" t="e">
        <v>#N/A</v>
      </c>
      <c r="J587" t="str">
        <v/>
      </c>
      <c r="K587" t="e">
        <f ca="1"/>
        <v>#N/A</v>
      </c>
      <c r="L587" t="str">
        <v/>
      </c>
      <c r="M587" t="e">
        <v>#N/A</v>
      </c>
      <c r="N587" t="e">
        <v>#N/A</v>
      </c>
      <c r="O587" t="e">
        <v>#N/A</v>
      </c>
      <c r="R587" t="e">
        <v>#N/A</v>
      </c>
      <c r="T587" t="e">
        <v>#N/A</v>
      </c>
      <c r="U587" t="e">
        <v>#N/A</v>
      </c>
      <c r="Y587" t="str">
        <v/>
      </c>
      <c r="AM587" t="str">
        <v/>
      </c>
      <c r="AN587" t="str">
        <v/>
      </c>
      <c r="AO587" t="str">
        <v/>
      </c>
      <c r="AQ587" t="str">
        <v/>
      </c>
      <c r="AR587" t="str">
        <v/>
      </c>
      <c r="AS587" t="e">
        <v>#N/A</v>
      </c>
      <c r="AU587" t="str">
        <v/>
      </c>
      <c r="AW587" t="e">
        <v>#N/A</v>
      </c>
    </row>
    <row r="588" spans="1:49" x14ac:dyDescent="0.25">
      <c r="A588" t="str">
        <v/>
      </c>
      <c r="B588" t="str">
        <v/>
      </c>
      <c r="C588" t="e">
        <v>#N/A</v>
      </c>
      <c r="D588" t="e">
        <v>#N/A</v>
      </c>
      <c r="J588" t="str">
        <v/>
      </c>
      <c r="K588" t="e">
        <f ca="1"/>
        <v>#N/A</v>
      </c>
      <c r="L588" t="str">
        <v/>
      </c>
      <c r="M588" t="e">
        <v>#N/A</v>
      </c>
      <c r="N588" t="e">
        <v>#N/A</v>
      </c>
      <c r="O588" t="e">
        <v>#N/A</v>
      </c>
      <c r="R588" t="e">
        <v>#N/A</v>
      </c>
      <c r="T588" t="e">
        <v>#N/A</v>
      </c>
      <c r="U588" t="e">
        <v>#N/A</v>
      </c>
      <c r="Y588" t="str">
        <v/>
      </c>
      <c r="AM588" t="str">
        <v/>
      </c>
      <c r="AN588" t="str">
        <v/>
      </c>
      <c r="AO588" t="str">
        <v/>
      </c>
      <c r="AQ588" t="str">
        <v/>
      </c>
      <c r="AR588" t="str">
        <v/>
      </c>
      <c r="AS588" t="e">
        <v>#N/A</v>
      </c>
      <c r="AU588" t="str">
        <v/>
      </c>
      <c r="AW588" t="e">
        <v>#N/A</v>
      </c>
    </row>
    <row r="589" spans="1:49" x14ac:dyDescent="0.25">
      <c r="A589" t="str">
        <v/>
      </c>
      <c r="B589" t="str">
        <v/>
      </c>
      <c r="C589" t="e">
        <v>#N/A</v>
      </c>
      <c r="D589" t="e">
        <v>#N/A</v>
      </c>
      <c r="J589" t="str">
        <v/>
      </c>
      <c r="K589" t="e">
        <f ca="1"/>
        <v>#N/A</v>
      </c>
      <c r="L589" t="str">
        <v/>
      </c>
      <c r="M589" t="e">
        <v>#N/A</v>
      </c>
      <c r="N589" t="e">
        <v>#N/A</v>
      </c>
      <c r="O589" t="e">
        <v>#N/A</v>
      </c>
      <c r="R589" t="e">
        <v>#N/A</v>
      </c>
      <c r="T589" t="e">
        <v>#N/A</v>
      </c>
      <c r="U589" t="e">
        <v>#N/A</v>
      </c>
      <c r="Y589" t="str">
        <v/>
      </c>
      <c r="AM589" t="str">
        <v/>
      </c>
      <c r="AN589" t="str">
        <v/>
      </c>
      <c r="AO589" t="str">
        <v/>
      </c>
      <c r="AQ589" t="str">
        <v/>
      </c>
      <c r="AR589" t="str">
        <v/>
      </c>
      <c r="AS589" t="e">
        <v>#N/A</v>
      </c>
      <c r="AU589" t="str">
        <v/>
      </c>
      <c r="AW589" t="e">
        <v>#N/A</v>
      </c>
    </row>
    <row r="590" spans="1:49" x14ac:dyDescent="0.25">
      <c r="A590" t="str">
        <v/>
      </c>
      <c r="B590" t="str">
        <v/>
      </c>
      <c r="C590" t="e">
        <v>#N/A</v>
      </c>
      <c r="D590" t="e">
        <v>#N/A</v>
      </c>
      <c r="J590" t="str">
        <v/>
      </c>
      <c r="K590" t="e">
        <f ca="1"/>
        <v>#N/A</v>
      </c>
      <c r="L590" t="str">
        <v/>
      </c>
      <c r="M590" t="e">
        <v>#N/A</v>
      </c>
      <c r="N590" t="e">
        <v>#N/A</v>
      </c>
      <c r="O590" t="e">
        <v>#N/A</v>
      </c>
      <c r="R590" t="e">
        <v>#N/A</v>
      </c>
      <c r="T590" t="e">
        <v>#N/A</v>
      </c>
      <c r="U590" t="e">
        <v>#N/A</v>
      </c>
      <c r="Y590" t="str">
        <v/>
      </c>
      <c r="AM590" t="str">
        <v/>
      </c>
      <c r="AN590" t="str">
        <v/>
      </c>
      <c r="AO590" t="str">
        <v/>
      </c>
      <c r="AQ590" t="str">
        <v/>
      </c>
      <c r="AR590" t="str">
        <v/>
      </c>
      <c r="AS590" t="e">
        <v>#N/A</v>
      </c>
      <c r="AU590" t="str">
        <v/>
      </c>
      <c r="AW590" t="e">
        <v>#N/A</v>
      </c>
    </row>
    <row r="591" spans="1:49" x14ac:dyDescent="0.25">
      <c r="A591" t="str">
        <v/>
      </c>
      <c r="B591" t="str">
        <v/>
      </c>
      <c r="C591" t="e">
        <v>#N/A</v>
      </c>
      <c r="D591" t="e">
        <v>#N/A</v>
      </c>
      <c r="J591" t="str">
        <v/>
      </c>
      <c r="K591" t="e">
        <f ca="1"/>
        <v>#N/A</v>
      </c>
      <c r="L591" t="str">
        <v/>
      </c>
      <c r="M591" t="e">
        <v>#N/A</v>
      </c>
      <c r="N591" t="e">
        <v>#N/A</v>
      </c>
      <c r="O591" t="e">
        <v>#N/A</v>
      </c>
      <c r="R591" t="e">
        <v>#N/A</v>
      </c>
      <c r="T591" t="e">
        <v>#N/A</v>
      </c>
      <c r="U591" t="e">
        <v>#N/A</v>
      </c>
      <c r="Y591" t="str">
        <v/>
      </c>
      <c r="AM591" t="str">
        <v/>
      </c>
      <c r="AN591" t="str">
        <v/>
      </c>
      <c r="AO591" t="str">
        <v/>
      </c>
      <c r="AQ591" t="str">
        <v/>
      </c>
      <c r="AR591" t="str">
        <v/>
      </c>
      <c r="AS591" t="e">
        <v>#N/A</v>
      </c>
      <c r="AU591" t="str">
        <v/>
      </c>
      <c r="AW591" t="e">
        <v>#N/A</v>
      </c>
    </row>
    <row r="592" spans="1:49" x14ac:dyDescent="0.25">
      <c r="A592" t="str">
        <v/>
      </c>
      <c r="B592" t="str">
        <v/>
      </c>
      <c r="C592" t="e">
        <v>#N/A</v>
      </c>
      <c r="D592" t="e">
        <v>#N/A</v>
      </c>
      <c r="J592" t="str">
        <v/>
      </c>
      <c r="K592" t="e">
        <f ca="1"/>
        <v>#N/A</v>
      </c>
      <c r="L592" t="str">
        <v/>
      </c>
      <c r="M592" t="e">
        <v>#N/A</v>
      </c>
      <c r="N592" t="e">
        <v>#N/A</v>
      </c>
      <c r="O592" t="e">
        <v>#N/A</v>
      </c>
      <c r="R592" t="e">
        <v>#N/A</v>
      </c>
      <c r="T592" t="e">
        <v>#N/A</v>
      </c>
      <c r="U592" t="e">
        <v>#N/A</v>
      </c>
      <c r="Y592" t="str">
        <v/>
      </c>
      <c r="AM592" t="str">
        <v/>
      </c>
      <c r="AN592" t="str">
        <v/>
      </c>
      <c r="AO592" t="str">
        <v/>
      </c>
      <c r="AQ592" t="str">
        <v/>
      </c>
      <c r="AR592" t="str">
        <v/>
      </c>
      <c r="AS592" t="e">
        <v>#N/A</v>
      </c>
      <c r="AU592" t="str">
        <v/>
      </c>
      <c r="AW592" t="e">
        <v>#N/A</v>
      </c>
    </row>
    <row r="593" spans="1:49" x14ac:dyDescent="0.25">
      <c r="A593" t="str">
        <v/>
      </c>
      <c r="B593" t="str">
        <v/>
      </c>
      <c r="C593" t="e">
        <v>#N/A</v>
      </c>
      <c r="D593" t="e">
        <v>#N/A</v>
      </c>
      <c r="J593" t="str">
        <v/>
      </c>
      <c r="K593" t="e">
        <f ca="1"/>
        <v>#N/A</v>
      </c>
      <c r="L593" t="str">
        <v/>
      </c>
      <c r="M593" t="e">
        <v>#N/A</v>
      </c>
      <c r="N593" t="e">
        <v>#N/A</v>
      </c>
      <c r="O593" t="e">
        <v>#N/A</v>
      </c>
      <c r="R593" t="e">
        <v>#N/A</v>
      </c>
      <c r="T593" t="e">
        <v>#N/A</v>
      </c>
      <c r="U593" t="e">
        <v>#N/A</v>
      </c>
      <c r="Y593" t="str">
        <v/>
      </c>
      <c r="AM593" t="str">
        <v/>
      </c>
      <c r="AN593" t="str">
        <v/>
      </c>
      <c r="AO593" t="str">
        <v/>
      </c>
      <c r="AQ593" t="str">
        <v/>
      </c>
      <c r="AR593" t="str">
        <v/>
      </c>
      <c r="AS593" t="e">
        <v>#N/A</v>
      </c>
      <c r="AU593" t="str">
        <v/>
      </c>
      <c r="AW593" t="e">
        <v>#N/A</v>
      </c>
    </row>
    <row r="594" spans="1:49" x14ac:dyDescent="0.25">
      <c r="A594" t="str">
        <v/>
      </c>
      <c r="B594" t="str">
        <v/>
      </c>
      <c r="C594" t="e">
        <v>#N/A</v>
      </c>
      <c r="D594" t="e">
        <v>#N/A</v>
      </c>
      <c r="J594" t="str">
        <v/>
      </c>
      <c r="K594" t="e">
        <f ca="1"/>
        <v>#N/A</v>
      </c>
      <c r="L594" t="str">
        <v/>
      </c>
      <c r="M594" t="e">
        <v>#N/A</v>
      </c>
      <c r="N594" t="e">
        <v>#N/A</v>
      </c>
      <c r="O594" t="e">
        <v>#N/A</v>
      </c>
      <c r="R594" t="e">
        <v>#N/A</v>
      </c>
      <c r="T594" t="e">
        <v>#N/A</v>
      </c>
      <c r="U594" t="e">
        <v>#N/A</v>
      </c>
      <c r="Y594" t="str">
        <v/>
      </c>
      <c r="AM594" t="str">
        <v/>
      </c>
      <c r="AN594" t="str">
        <v/>
      </c>
      <c r="AO594" t="str">
        <v/>
      </c>
      <c r="AQ594" t="str">
        <v/>
      </c>
      <c r="AR594" t="str">
        <v/>
      </c>
      <c r="AS594" t="e">
        <v>#N/A</v>
      </c>
      <c r="AU594" t="str">
        <v/>
      </c>
      <c r="AW594" t="e">
        <v>#N/A</v>
      </c>
    </row>
    <row r="595" spans="1:49" x14ac:dyDescent="0.25">
      <c r="A595" t="str">
        <v/>
      </c>
      <c r="B595" t="str">
        <v/>
      </c>
      <c r="C595" t="e">
        <v>#N/A</v>
      </c>
      <c r="D595" t="e">
        <v>#N/A</v>
      </c>
      <c r="J595" t="str">
        <v/>
      </c>
      <c r="K595" t="e">
        <f ca="1"/>
        <v>#N/A</v>
      </c>
      <c r="L595" t="str">
        <v/>
      </c>
      <c r="M595" t="e">
        <v>#N/A</v>
      </c>
      <c r="N595" t="e">
        <v>#N/A</v>
      </c>
      <c r="O595" t="e">
        <v>#N/A</v>
      </c>
      <c r="R595" t="e">
        <v>#N/A</v>
      </c>
      <c r="T595" t="e">
        <v>#N/A</v>
      </c>
      <c r="U595" t="e">
        <v>#N/A</v>
      </c>
      <c r="Y595" t="str">
        <v/>
      </c>
      <c r="AM595" t="str">
        <v/>
      </c>
      <c r="AN595" t="str">
        <v/>
      </c>
      <c r="AO595" t="str">
        <v/>
      </c>
      <c r="AQ595" t="str">
        <v/>
      </c>
      <c r="AR595" t="str">
        <v/>
      </c>
      <c r="AS595" t="e">
        <v>#N/A</v>
      </c>
      <c r="AU595" t="str">
        <v/>
      </c>
      <c r="AW595" t="e">
        <v>#N/A</v>
      </c>
    </row>
    <row r="596" spans="1:49" x14ac:dyDescent="0.25">
      <c r="A596" t="str">
        <v/>
      </c>
      <c r="B596" t="str">
        <v/>
      </c>
      <c r="C596" t="e">
        <v>#N/A</v>
      </c>
      <c r="D596" t="e">
        <v>#N/A</v>
      </c>
      <c r="J596" t="str">
        <v/>
      </c>
      <c r="K596" t="e">
        <f ca="1"/>
        <v>#N/A</v>
      </c>
      <c r="L596" t="str">
        <v/>
      </c>
      <c r="M596" t="e">
        <v>#N/A</v>
      </c>
      <c r="N596" t="e">
        <v>#N/A</v>
      </c>
      <c r="O596" t="e">
        <v>#N/A</v>
      </c>
      <c r="R596" t="e">
        <v>#N/A</v>
      </c>
      <c r="T596" t="e">
        <v>#N/A</v>
      </c>
      <c r="U596" t="e">
        <v>#N/A</v>
      </c>
      <c r="Y596" t="str">
        <v/>
      </c>
      <c r="AM596" t="str">
        <v/>
      </c>
      <c r="AN596" t="str">
        <v/>
      </c>
      <c r="AO596" t="str">
        <v/>
      </c>
      <c r="AQ596" t="str">
        <v/>
      </c>
      <c r="AR596" t="str">
        <v/>
      </c>
      <c r="AS596" t="e">
        <v>#N/A</v>
      </c>
      <c r="AU596" t="str">
        <v/>
      </c>
      <c r="AW596" t="e">
        <v>#N/A</v>
      </c>
    </row>
    <row r="597" spans="1:49" x14ac:dyDescent="0.25">
      <c r="A597" t="str">
        <v/>
      </c>
      <c r="B597" t="str">
        <v/>
      </c>
      <c r="C597" t="e">
        <v>#N/A</v>
      </c>
      <c r="D597" t="e">
        <v>#N/A</v>
      </c>
      <c r="J597" t="str">
        <v/>
      </c>
      <c r="K597" t="e">
        <f ca="1"/>
        <v>#N/A</v>
      </c>
      <c r="L597" t="str">
        <v/>
      </c>
      <c r="M597" t="e">
        <v>#N/A</v>
      </c>
      <c r="N597" t="e">
        <v>#N/A</v>
      </c>
      <c r="O597" t="e">
        <v>#N/A</v>
      </c>
      <c r="R597" t="e">
        <v>#N/A</v>
      </c>
      <c r="T597" t="e">
        <v>#N/A</v>
      </c>
      <c r="U597" t="e">
        <v>#N/A</v>
      </c>
      <c r="Y597" t="str">
        <v/>
      </c>
      <c r="AM597" t="str">
        <v/>
      </c>
      <c r="AN597" t="str">
        <v/>
      </c>
      <c r="AO597" t="str">
        <v/>
      </c>
      <c r="AQ597" t="str">
        <v/>
      </c>
      <c r="AR597" t="str">
        <v/>
      </c>
      <c r="AS597" t="e">
        <v>#N/A</v>
      </c>
      <c r="AU597" t="str">
        <v/>
      </c>
      <c r="AW597" t="e">
        <v>#N/A</v>
      </c>
    </row>
    <row r="598" spans="1:49" x14ac:dyDescent="0.25">
      <c r="A598" t="str">
        <v/>
      </c>
      <c r="B598" t="str">
        <v/>
      </c>
      <c r="C598" t="e">
        <v>#N/A</v>
      </c>
      <c r="D598" t="e">
        <v>#N/A</v>
      </c>
      <c r="J598" t="str">
        <v/>
      </c>
      <c r="K598" t="e">
        <f ca="1"/>
        <v>#N/A</v>
      </c>
      <c r="L598" t="str">
        <v/>
      </c>
      <c r="M598" t="e">
        <v>#N/A</v>
      </c>
      <c r="N598" t="e">
        <v>#N/A</v>
      </c>
      <c r="O598" t="e">
        <v>#N/A</v>
      </c>
      <c r="R598" t="e">
        <v>#N/A</v>
      </c>
      <c r="T598" t="e">
        <v>#N/A</v>
      </c>
      <c r="U598" t="e">
        <v>#N/A</v>
      </c>
      <c r="Y598" t="str">
        <v/>
      </c>
      <c r="AM598" t="str">
        <v/>
      </c>
      <c r="AN598" t="str">
        <v/>
      </c>
      <c r="AO598" t="str">
        <v/>
      </c>
      <c r="AQ598" t="str">
        <v/>
      </c>
      <c r="AR598" t="str">
        <v/>
      </c>
      <c r="AS598" t="e">
        <v>#N/A</v>
      </c>
      <c r="AU598" t="str">
        <v/>
      </c>
      <c r="AW598" t="e">
        <v>#N/A</v>
      </c>
    </row>
    <row r="599" spans="1:49" x14ac:dyDescent="0.25">
      <c r="A599" t="str">
        <v/>
      </c>
      <c r="B599" t="str">
        <v/>
      </c>
      <c r="C599" t="e">
        <v>#N/A</v>
      </c>
      <c r="D599" t="e">
        <v>#N/A</v>
      </c>
      <c r="J599" t="str">
        <v/>
      </c>
      <c r="K599" t="e">
        <f ca="1"/>
        <v>#N/A</v>
      </c>
      <c r="L599" t="str">
        <v/>
      </c>
      <c r="M599" t="e">
        <v>#N/A</v>
      </c>
      <c r="N599" t="e">
        <v>#N/A</v>
      </c>
      <c r="O599" t="e">
        <v>#N/A</v>
      </c>
      <c r="R599" t="e">
        <v>#N/A</v>
      </c>
      <c r="T599" t="e">
        <v>#N/A</v>
      </c>
      <c r="U599" t="e">
        <v>#N/A</v>
      </c>
      <c r="Y599" t="str">
        <v/>
      </c>
      <c r="AM599" t="str">
        <v/>
      </c>
      <c r="AN599" t="str">
        <v/>
      </c>
      <c r="AO599" t="str">
        <v/>
      </c>
      <c r="AQ599" t="str">
        <v/>
      </c>
      <c r="AR599" t="str">
        <v/>
      </c>
      <c r="AS599" t="e">
        <v>#N/A</v>
      </c>
      <c r="AU599" t="str">
        <v/>
      </c>
      <c r="AW599" t="e">
        <v>#N/A</v>
      </c>
    </row>
    <row r="600" spans="1:49" x14ac:dyDescent="0.25">
      <c r="A600" t="str">
        <v/>
      </c>
      <c r="B600" t="str">
        <v/>
      </c>
      <c r="C600" t="e">
        <v>#N/A</v>
      </c>
      <c r="D600" t="e">
        <v>#N/A</v>
      </c>
      <c r="J600" t="str">
        <v/>
      </c>
      <c r="K600" t="e">
        <f ca="1"/>
        <v>#N/A</v>
      </c>
      <c r="L600" t="str">
        <v/>
      </c>
      <c r="M600" t="e">
        <v>#N/A</v>
      </c>
      <c r="N600" t="e">
        <v>#N/A</v>
      </c>
      <c r="O600" t="e">
        <v>#N/A</v>
      </c>
      <c r="R600" t="e">
        <v>#N/A</v>
      </c>
      <c r="T600" t="e">
        <v>#N/A</v>
      </c>
      <c r="U600" t="e">
        <v>#N/A</v>
      </c>
      <c r="Y600" t="str">
        <v/>
      </c>
      <c r="AM600" t="str">
        <v/>
      </c>
      <c r="AN600" t="str">
        <v/>
      </c>
      <c r="AO600" t="str">
        <v/>
      </c>
      <c r="AQ600" t="str">
        <v/>
      </c>
      <c r="AR600" t="str">
        <v/>
      </c>
      <c r="AS600" t="e">
        <v>#N/A</v>
      </c>
      <c r="AU600" t="str">
        <v/>
      </c>
      <c r="AW600" t="e">
        <v>#N/A</v>
      </c>
    </row>
    <row r="601" spans="1:49" x14ac:dyDescent="0.25">
      <c r="A601" t="str">
        <v/>
      </c>
      <c r="B601" t="str">
        <v/>
      </c>
      <c r="C601" t="e">
        <v>#N/A</v>
      </c>
      <c r="D601" t="e">
        <v>#N/A</v>
      </c>
      <c r="J601" t="str">
        <v/>
      </c>
      <c r="K601" t="e">
        <f ca="1"/>
        <v>#N/A</v>
      </c>
      <c r="L601" t="str">
        <v/>
      </c>
      <c r="M601" t="e">
        <v>#N/A</v>
      </c>
      <c r="N601" t="e">
        <v>#N/A</v>
      </c>
      <c r="O601" t="e">
        <v>#N/A</v>
      </c>
      <c r="R601" t="e">
        <v>#N/A</v>
      </c>
      <c r="T601" t="e">
        <v>#N/A</v>
      </c>
      <c r="U601" t="e">
        <v>#N/A</v>
      </c>
      <c r="Y601" t="str">
        <v/>
      </c>
      <c r="AM601" t="str">
        <v/>
      </c>
      <c r="AN601" t="str">
        <v/>
      </c>
      <c r="AO601" t="str">
        <v/>
      </c>
      <c r="AQ601" t="str">
        <v/>
      </c>
      <c r="AR601" t="str">
        <v/>
      </c>
      <c r="AS601" t="e">
        <v>#N/A</v>
      </c>
      <c r="AU601" t="str">
        <v/>
      </c>
      <c r="AW601" t="e">
        <v>#N/A</v>
      </c>
    </row>
    <row r="602" spans="1:49" x14ac:dyDescent="0.25">
      <c r="A602" t="str">
        <v/>
      </c>
      <c r="B602" t="str">
        <v/>
      </c>
      <c r="C602" t="e">
        <v>#N/A</v>
      </c>
      <c r="D602" t="e">
        <v>#N/A</v>
      </c>
      <c r="J602" t="str">
        <v/>
      </c>
      <c r="K602" t="e">
        <f ca="1"/>
        <v>#N/A</v>
      </c>
      <c r="L602" t="str">
        <v/>
      </c>
      <c r="M602" t="e">
        <v>#N/A</v>
      </c>
      <c r="N602" t="e">
        <v>#N/A</v>
      </c>
      <c r="O602" t="e">
        <v>#N/A</v>
      </c>
      <c r="R602" t="e">
        <v>#N/A</v>
      </c>
      <c r="T602" t="e">
        <v>#N/A</v>
      </c>
      <c r="U602" t="e">
        <v>#N/A</v>
      </c>
      <c r="Y602" t="str">
        <v/>
      </c>
      <c r="AM602" t="str">
        <v/>
      </c>
      <c r="AN602" t="str">
        <v/>
      </c>
      <c r="AO602" t="str">
        <v/>
      </c>
      <c r="AQ602" t="str">
        <v/>
      </c>
      <c r="AR602" t="str">
        <v/>
      </c>
      <c r="AS602" t="e">
        <v>#N/A</v>
      </c>
      <c r="AU602" t="str">
        <v/>
      </c>
      <c r="AW602" t="e">
        <v>#N/A</v>
      </c>
    </row>
    <row r="603" spans="1:49" x14ac:dyDescent="0.25">
      <c r="A603" t="str">
        <v/>
      </c>
      <c r="B603" t="str">
        <v/>
      </c>
      <c r="C603" t="e">
        <v>#N/A</v>
      </c>
      <c r="D603" t="e">
        <v>#N/A</v>
      </c>
      <c r="J603" t="str">
        <v/>
      </c>
      <c r="K603" t="e">
        <f ca="1"/>
        <v>#N/A</v>
      </c>
      <c r="L603" t="str">
        <v/>
      </c>
      <c r="M603" t="e">
        <v>#N/A</v>
      </c>
      <c r="N603" t="e">
        <v>#N/A</v>
      </c>
      <c r="O603" t="e">
        <v>#N/A</v>
      </c>
      <c r="R603" t="e">
        <v>#N/A</v>
      </c>
      <c r="T603" t="e">
        <v>#N/A</v>
      </c>
      <c r="U603" t="e">
        <v>#N/A</v>
      </c>
      <c r="Y603" t="str">
        <v/>
      </c>
      <c r="AM603" t="str">
        <v/>
      </c>
      <c r="AN603" t="str">
        <v/>
      </c>
      <c r="AO603" t="str">
        <v/>
      </c>
      <c r="AQ603" t="str">
        <v/>
      </c>
      <c r="AR603" t="str">
        <v/>
      </c>
      <c r="AS603" t="e">
        <v>#N/A</v>
      </c>
      <c r="AU603" t="str">
        <v/>
      </c>
      <c r="AW603" t="e">
        <v>#N/A</v>
      </c>
    </row>
    <row r="604" spans="1:49" x14ac:dyDescent="0.25">
      <c r="A604" t="str">
        <v/>
      </c>
      <c r="B604" t="str">
        <v/>
      </c>
      <c r="C604" t="e">
        <v>#N/A</v>
      </c>
      <c r="D604" t="e">
        <v>#N/A</v>
      </c>
      <c r="J604" t="str">
        <v/>
      </c>
      <c r="K604" t="e">
        <f ca="1"/>
        <v>#N/A</v>
      </c>
      <c r="L604" t="str">
        <v/>
      </c>
      <c r="M604" t="e">
        <v>#N/A</v>
      </c>
      <c r="N604" t="e">
        <v>#N/A</v>
      </c>
      <c r="O604" t="e">
        <v>#N/A</v>
      </c>
      <c r="R604" t="e">
        <v>#N/A</v>
      </c>
      <c r="T604" t="e">
        <v>#N/A</v>
      </c>
      <c r="U604" t="e">
        <v>#N/A</v>
      </c>
      <c r="Y604" t="str">
        <v/>
      </c>
      <c r="AM604" t="str">
        <v/>
      </c>
      <c r="AN604" t="str">
        <v/>
      </c>
      <c r="AO604" t="str">
        <v/>
      </c>
      <c r="AQ604" t="str">
        <v/>
      </c>
      <c r="AR604" t="str">
        <v/>
      </c>
      <c r="AS604" t="e">
        <v>#N/A</v>
      </c>
      <c r="AU604" t="str">
        <v/>
      </c>
      <c r="AW604" t="e">
        <v>#N/A</v>
      </c>
    </row>
    <row r="605" spans="1:49" x14ac:dyDescent="0.25">
      <c r="A605" t="str">
        <v/>
      </c>
      <c r="B605" t="str">
        <v/>
      </c>
      <c r="C605" t="e">
        <v>#N/A</v>
      </c>
      <c r="D605" t="e">
        <v>#N/A</v>
      </c>
      <c r="J605" t="str">
        <v/>
      </c>
      <c r="K605" t="e">
        <f ca="1"/>
        <v>#N/A</v>
      </c>
      <c r="L605" t="str">
        <v/>
      </c>
      <c r="M605" t="e">
        <v>#N/A</v>
      </c>
      <c r="N605" t="e">
        <v>#N/A</v>
      </c>
      <c r="O605" t="e">
        <v>#N/A</v>
      </c>
      <c r="R605" t="e">
        <v>#N/A</v>
      </c>
      <c r="T605" t="e">
        <v>#N/A</v>
      </c>
      <c r="U605" t="e">
        <v>#N/A</v>
      </c>
      <c r="Y605" t="str">
        <v/>
      </c>
      <c r="AM605" t="str">
        <v/>
      </c>
      <c r="AN605" t="str">
        <v/>
      </c>
      <c r="AO605" t="str">
        <v/>
      </c>
      <c r="AQ605" t="str">
        <v/>
      </c>
      <c r="AR605" t="str">
        <v/>
      </c>
      <c r="AS605" t="e">
        <v>#N/A</v>
      </c>
      <c r="AU605" t="str">
        <v/>
      </c>
      <c r="AW605" t="e">
        <v>#N/A</v>
      </c>
    </row>
    <row r="606" spans="1:49" x14ac:dyDescent="0.25">
      <c r="A606" t="str">
        <v/>
      </c>
      <c r="B606" t="str">
        <v/>
      </c>
      <c r="C606" t="e">
        <v>#N/A</v>
      </c>
      <c r="D606" t="e">
        <v>#N/A</v>
      </c>
      <c r="J606" t="str">
        <v/>
      </c>
      <c r="K606" t="e">
        <f ca="1"/>
        <v>#N/A</v>
      </c>
      <c r="L606" t="str">
        <v/>
      </c>
      <c r="M606" t="e">
        <v>#N/A</v>
      </c>
      <c r="N606" t="e">
        <v>#N/A</v>
      </c>
      <c r="O606" t="e">
        <v>#N/A</v>
      </c>
      <c r="R606" t="e">
        <v>#N/A</v>
      </c>
      <c r="T606" t="e">
        <v>#N/A</v>
      </c>
      <c r="U606" t="e">
        <v>#N/A</v>
      </c>
      <c r="Y606" t="str">
        <v/>
      </c>
      <c r="AM606" t="str">
        <v/>
      </c>
      <c r="AN606" t="str">
        <v/>
      </c>
      <c r="AO606" t="str">
        <v/>
      </c>
      <c r="AQ606" t="str">
        <v/>
      </c>
      <c r="AR606" t="str">
        <v/>
      </c>
      <c r="AS606" t="e">
        <v>#N/A</v>
      </c>
      <c r="AU606" t="str">
        <v/>
      </c>
      <c r="AW606" t="e">
        <v>#N/A</v>
      </c>
    </row>
    <row r="607" spans="1:49" x14ac:dyDescent="0.25">
      <c r="A607" t="str">
        <v/>
      </c>
      <c r="B607" t="str">
        <v/>
      </c>
      <c r="C607" t="e">
        <v>#N/A</v>
      </c>
      <c r="D607" t="e">
        <v>#N/A</v>
      </c>
      <c r="J607" t="str">
        <v/>
      </c>
      <c r="K607" t="e">
        <f ca="1"/>
        <v>#N/A</v>
      </c>
      <c r="L607" t="str">
        <v/>
      </c>
      <c r="M607" t="e">
        <v>#N/A</v>
      </c>
      <c r="N607" t="e">
        <v>#N/A</v>
      </c>
      <c r="O607" t="e">
        <v>#N/A</v>
      </c>
      <c r="R607" t="e">
        <v>#N/A</v>
      </c>
      <c r="T607" t="e">
        <v>#N/A</v>
      </c>
      <c r="U607" t="e">
        <v>#N/A</v>
      </c>
      <c r="Y607" t="str">
        <v/>
      </c>
      <c r="AM607" t="str">
        <v/>
      </c>
      <c r="AN607" t="str">
        <v/>
      </c>
      <c r="AO607" t="str">
        <v/>
      </c>
      <c r="AQ607" t="str">
        <v/>
      </c>
      <c r="AR607" t="str">
        <v/>
      </c>
      <c r="AS607" t="e">
        <v>#N/A</v>
      </c>
      <c r="AU607" t="str">
        <v/>
      </c>
      <c r="AW607" t="e">
        <v>#N/A</v>
      </c>
    </row>
    <row r="608" spans="1:49" x14ac:dyDescent="0.25">
      <c r="A608" t="str">
        <v/>
      </c>
      <c r="B608" t="str">
        <v/>
      </c>
      <c r="C608" t="e">
        <v>#N/A</v>
      </c>
      <c r="D608" t="e">
        <v>#N/A</v>
      </c>
      <c r="J608" t="str">
        <v/>
      </c>
      <c r="K608" t="e">
        <f ca="1"/>
        <v>#N/A</v>
      </c>
      <c r="L608" t="str">
        <v/>
      </c>
      <c r="M608" t="e">
        <v>#N/A</v>
      </c>
      <c r="N608" t="e">
        <v>#N/A</v>
      </c>
      <c r="O608" t="e">
        <v>#N/A</v>
      </c>
      <c r="R608" t="e">
        <v>#N/A</v>
      </c>
      <c r="T608" t="e">
        <v>#N/A</v>
      </c>
      <c r="U608" t="e">
        <v>#N/A</v>
      </c>
      <c r="Y608" t="str">
        <v/>
      </c>
      <c r="AM608" t="str">
        <v/>
      </c>
      <c r="AN608" t="str">
        <v/>
      </c>
      <c r="AO608" t="str">
        <v/>
      </c>
      <c r="AQ608" t="str">
        <v/>
      </c>
      <c r="AR608" t="str">
        <v/>
      </c>
      <c r="AS608" t="e">
        <v>#N/A</v>
      </c>
      <c r="AU608" t="str">
        <v/>
      </c>
      <c r="AW608" t="e">
        <v>#N/A</v>
      </c>
    </row>
    <row r="609" spans="1:49" x14ac:dyDescent="0.25">
      <c r="A609" t="str">
        <v/>
      </c>
      <c r="B609" t="str">
        <v/>
      </c>
      <c r="C609" t="e">
        <v>#N/A</v>
      </c>
      <c r="D609" t="e">
        <v>#N/A</v>
      </c>
      <c r="J609" t="str">
        <v/>
      </c>
      <c r="K609" t="e">
        <f ca="1"/>
        <v>#N/A</v>
      </c>
      <c r="L609" t="str">
        <v/>
      </c>
      <c r="M609" t="e">
        <v>#N/A</v>
      </c>
      <c r="N609" t="e">
        <v>#N/A</v>
      </c>
      <c r="O609" t="e">
        <v>#N/A</v>
      </c>
      <c r="R609" t="e">
        <v>#N/A</v>
      </c>
      <c r="T609" t="e">
        <v>#N/A</v>
      </c>
      <c r="U609" t="e">
        <v>#N/A</v>
      </c>
      <c r="Y609" t="str">
        <v/>
      </c>
      <c r="AM609" t="str">
        <v/>
      </c>
      <c r="AN609" t="str">
        <v/>
      </c>
      <c r="AO609" t="str">
        <v/>
      </c>
      <c r="AQ609" t="str">
        <v/>
      </c>
      <c r="AR609" t="str">
        <v/>
      </c>
      <c r="AS609" t="e">
        <v>#N/A</v>
      </c>
      <c r="AU609" t="str">
        <v/>
      </c>
      <c r="AW609" t="e">
        <v>#N/A</v>
      </c>
    </row>
    <row r="610" spans="1:49" x14ac:dyDescent="0.25">
      <c r="A610" t="str">
        <v/>
      </c>
      <c r="B610" t="str">
        <v/>
      </c>
      <c r="C610" t="e">
        <v>#N/A</v>
      </c>
      <c r="D610" t="e">
        <v>#N/A</v>
      </c>
      <c r="J610" t="str">
        <v/>
      </c>
      <c r="K610" t="e">
        <f ca="1"/>
        <v>#N/A</v>
      </c>
      <c r="L610" t="str">
        <v/>
      </c>
      <c r="M610" t="e">
        <v>#N/A</v>
      </c>
      <c r="N610" t="e">
        <v>#N/A</v>
      </c>
      <c r="O610" t="e">
        <v>#N/A</v>
      </c>
      <c r="R610" t="e">
        <v>#N/A</v>
      </c>
      <c r="T610" t="e">
        <v>#N/A</v>
      </c>
      <c r="U610" t="e">
        <v>#N/A</v>
      </c>
      <c r="Y610" t="str">
        <v/>
      </c>
      <c r="AM610" t="str">
        <v/>
      </c>
      <c r="AN610" t="str">
        <v/>
      </c>
      <c r="AO610" t="str">
        <v/>
      </c>
      <c r="AQ610" t="str">
        <v/>
      </c>
      <c r="AR610" t="str">
        <v/>
      </c>
      <c r="AS610" t="e">
        <v>#N/A</v>
      </c>
      <c r="AU610" t="str">
        <v/>
      </c>
      <c r="AW610" t="e">
        <v>#N/A</v>
      </c>
    </row>
    <row r="611" spans="1:49" x14ac:dyDescent="0.25">
      <c r="A611" t="str">
        <v/>
      </c>
      <c r="B611" t="str">
        <v/>
      </c>
      <c r="C611" t="e">
        <v>#N/A</v>
      </c>
      <c r="D611" t="e">
        <v>#N/A</v>
      </c>
      <c r="J611" t="str">
        <v/>
      </c>
      <c r="K611" t="e">
        <f ca="1"/>
        <v>#N/A</v>
      </c>
      <c r="L611" t="str">
        <v/>
      </c>
      <c r="M611" t="e">
        <v>#N/A</v>
      </c>
      <c r="N611" t="e">
        <v>#N/A</v>
      </c>
      <c r="O611" t="e">
        <v>#N/A</v>
      </c>
      <c r="R611" t="e">
        <v>#N/A</v>
      </c>
      <c r="T611" t="e">
        <v>#N/A</v>
      </c>
      <c r="U611" t="e">
        <v>#N/A</v>
      </c>
      <c r="Y611" t="str">
        <v/>
      </c>
      <c r="AM611" t="str">
        <v/>
      </c>
      <c r="AN611" t="str">
        <v/>
      </c>
      <c r="AO611" t="str">
        <v/>
      </c>
      <c r="AQ611" t="str">
        <v/>
      </c>
      <c r="AR611" t="str">
        <v/>
      </c>
      <c r="AS611" t="e">
        <v>#N/A</v>
      </c>
      <c r="AU611" t="str">
        <v/>
      </c>
      <c r="AW611" t="e">
        <v>#N/A</v>
      </c>
    </row>
    <row r="612" spans="1:49" x14ac:dyDescent="0.25">
      <c r="A612" t="str">
        <v/>
      </c>
      <c r="B612" t="str">
        <v/>
      </c>
      <c r="C612" t="e">
        <v>#N/A</v>
      </c>
      <c r="D612" t="e">
        <v>#N/A</v>
      </c>
      <c r="J612" t="str">
        <v/>
      </c>
      <c r="K612" t="e">
        <f ca="1"/>
        <v>#N/A</v>
      </c>
      <c r="L612" t="str">
        <v/>
      </c>
      <c r="M612" t="e">
        <v>#N/A</v>
      </c>
      <c r="N612" t="e">
        <v>#N/A</v>
      </c>
      <c r="O612" t="e">
        <v>#N/A</v>
      </c>
      <c r="R612" t="e">
        <v>#N/A</v>
      </c>
      <c r="T612" t="e">
        <v>#N/A</v>
      </c>
      <c r="U612" t="e">
        <v>#N/A</v>
      </c>
      <c r="Y612" t="str">
        <v/>
      </c>
      <c r="AM612" t="str">
        <v/>
      </c>
      <c r="AN612" t="str">
        <v/>
      </c>
      <c r="AO612" t="str">
        <v/>
      </c>
      <c r="AQ612" t="str">
        <v/>
      </c>
      <c r="AR612" t="str">
        <v/>
      </c>
      <c r="AS612" t="e">
        <v>#N/A</v>
      </c>
      <c r="AU612" t="str">
        <v/>
      </c>
      <c r="AW612" t="e">
        <v>#N/A</v>
      </c>
    </row>
    <row r="613" spans="1:49" x14ac:dyDescent="0.25">
      <c r="A613" t="str">
        <v/>
      </c>
      <c r="B613" t="str">
        <v/>
      </c>
      <c r="C613" t="e">
        <v>#N/A</v>
      </c>
      <c r="D613" t="e">
        <v>#N/A</v>
      </c>
      <c r="J613" t="str">
        <v/>
      </c>
      <c r="K613" t="e">
        <f ca="1"/>
        <v>#N/A</v>
      </c>
      <c r="L613" t="str">
        <v/>
      </c>
      <c r="M613" t="e">
        <v>#N/A</v>
      </c>
      <c r="N613" t="e">
        <v>#N/A</v>
      </c>
      <c r="O613" t="e">
        <v>#N/A</v>
      </c>
      <c r="R613" t="e">
        <v>#N/A</v>
      </c>
      <c r="T613" t="e">
        <v>#N/A</v>
      </c>
      <c r="U613" t="e">
        <v>#N/A</v>
      </c>
      <c r="Y613" t="str">
        <v/>
      </c>
      <c r="AM613" t="str">
        <v/>
      </c>
      <c r="AN613" t="str">
        <v/>
      </c>
      <c r="AO613" t="str">
        <v/>
      </c>
      <c r="AQ613" t="str">
        <v/>
      </c>
      <c r="AR613" t="str">
        <v/>
      </c>
      <c r="AS613" t="e">
        <v>#N/A</v>
      </c>
      <c r="AU613" t="str">
        <v/>
      </c>
      <c r="AW613" t="e">
        <v>#N/A</v>
      </c>
    </row>
    <row r="614" spans="1:49" x14ac:dyDescent="0.25">
      <c r="A614" t="str">
        <v/>
      </c>
      <c r="B614" t="str">
        <v/>
      </c>
      <c r="C614" t="e">
        <v>#N/A</v>
      </c>
      <c r="D614" t="e">
        <v>#N/A</v>
      </c>
      <c r="J614" t="str">
        <v/>
      </c>
      <c r="K614" t="e">
        <f ca="1"/>
        <v>#N/A</v>
      </c>
      <c r="L614" t="str">
        <v/>
      </c>
      <c r="M614" t="e">
        <v>#N/A</v>
      </c>
      <c r="N614" t="e">
        <v>#N/A</v>
      </c>
      <c r="O614" t="e">
        <v>#N/A</v>
      </c>
      <c r="R614" t="e">
        <v>#N/A</v>
      </c>
      <c r="T614" t="e">
        <v>#N/A</v>
      </c>
      <c r="U614" t="e">
        <v>#N/A</v>
      </c>
      <c r="Y614" t="str">
        <v/>
      </c>
      <c r="AM614" t="str">
        <v/>
      </c>
      <c r="AN614" t="str">
        <v/>
      </c>
      <c r="AO614" t="str">
        <v/>
      </c>
      <c r="AQ614" t="str">
        <v/>
      </c>
      <c r="AR614" t="str">
        <v/>
      </c>
      <c r="AS614" t="e">
        <v>#N/A</v>
      </c>
      <c r="AU614" t="str">
        <v/>
      </c>
      <c r="AW614" t="e">
        <v>#N/A</v>
      </c>
    </row>
    <row r="615" spans="1:49" x14ac:dyDescent="0.25">
      <c r="A615" t="str">
        <v/>
      </c>
      <c r="B615" t="str">
        <v/>
      </c>
      <c r="C615" t="e">
        <v>#N/A</v>
      </c>
      <c r="D615" t="e">
        <v>#N/A</v>
      </c>
      <c r="J615" t="str">
        <v/>
      </c>
      <c r="K615" t="e">
        <f ca="1"/>
        <v>#N/A</v>
      </c>
      <c r="L615" t="str">
        <v/>
      </c>
      <c r="M615" t="e">
        <v>#N/A</v>
      </c>
      <c r="N615" t="e">
        <v>#N/A</v>
      </c>
      <c r="O615" t="e">
        <v>#N/A</v>
      </c>
      <c r="R615" t="e">
        <v>#N/A</v>
      </c>
      <c r="T615" t="e">
        <v>#N/A</v>
      </c>
      <c r="U615" t="e">
        <v>#N/A</v>
      </c>
      <c r="Y615" t="str">
        <v/>
      </c>
      <c r="AM615" t="str">
        <v/>
      </c>
      <c r="AN615" t="str">
        <v/>
      </c>
      <c r="AO615" t="str">
        <v/>
      </c>
      <c r="AQ615" t="str">
        <v/>
      </c>
      <c r="AR615" t="str">
        <v/>
      </c>
      <c r="AS615" t="e">
        <v>#N/A</v>
      </c>
      <c r="AU615" t="str">
        <v/>
      </c>
      <c r="AW615" t="e">
        <v>#N/A</v>
      </c>
    </row>
    <row r="616" spans="1:49" x14ac:dyDescent="0.25">
      <c r="A616" t="str">
        <v/>
      </c>
      <c r="B616" t="str">
        <v/>
      </c>
      <c r="C616" t="e">
        <v>#N/A</v>
      </c>
      <c r="D616" t="e">
        <v>#N/A</v>
      </c>
      <c r="J616" t="str">
        <v/>
      </c>
      <c r="K616" t="e">
        <f ca="1"/>
        <v>#N/A</v>
      </c>
      <c r="L616" t="str">
        <v/>
      </c>
      <c r="M616" t="e">
        <v>#N/A</v>
      </c>
      <c r="N616" t="e">
        <v>#N/A</v>
      </c>
      <c r="O616" t="e">
        <v>#N/A</v>
      </c>
      <c r="R616" t="e">
        <v>#N/A</v>
      </c>
      <c r="T616" t="e">
        <v>#N/A</v>
      </c>
      <c r="U616" t="e">
        <v>#N/A</v>
      </c>
      <c r="Y616" t="str">
        <v/>
      </c>
      <c r="AM616" t="str">
        <v/>
      </c>
      <c r="AN616" t="str">
        <v/>
      </c>
      <c r="AO616" t="str">
        <v/>
      </c>
      <c r="AQ616" t="str">
        <v/>
      </c>
      <c r="AR616" t="str">
        <v/>
      </c>
      <c r="AS616" t="e">
        <v>#N/A</v>
      </c>
      <c r="AU616" t="str">
        <v/>
      </c>
      <c r="AW616" t="e">
        <v>#N/A</v>
      </c>
    </row>
    <row r="617" spans="1:49" x14ac:dyDescent="0.25">
      <c r="A617" t="str">
        <v/>
      </c>
      <c r="B617" t="str">
        <v/>
      </c>
      <c r="C617" t="e">
        <v>#N/A</v>
      </c>
      <c r="D617" t="e">
        <v>#N/A</v>
      </c>
      <c r="J617" t="str">
        <v/>
      </c>
      <c r="K617" t="e">
        <f ca="1"/>
        <v>#N/A</v>
      </c>
      <c r="L617" t="str">
        <v/>
      </c>
      <c r="M617" t="e">
        <v>#N/A</v>
      </c>
      <c r="N617" t="e">
        <v>#N/A</v>
      </c>
      <c r="O617" t="e">
        <v>#N/A</v>
      </c>
      <c r="R617" t="e">
        <v>#N/A</v>
      </c>
      <c r="T617" t="e">
        <v>#N/A</v>
      </c>
      <c r="U617" t="e">
        <v>#N/A</v>
      </c>
      <c r="Y617" t="str">
        <v/>
      </c>
      <c r="AM617" t="str">
        <v/>
      </c>
      <c r="AN617" t="str">
        <v/>
      </c>
      <c r="AO617" t="str">
        <v/>
      </c>
      <c r="AQ617" t="str">
        <v/>
      </c>
      <c r="AR617" t="str">
        <v/>
      </c>
      <c r="AS617" t="e">
        <v>#N/A</v>
      </c>
      <c r="AU617" t="str">
        <v/>
      </c>
      <c r="AW617" t="e">
        <v>#N/A</v>
      </c>
    </row>
    <row r="618" spans="1:49" x14ac:dyDescent="0.25">
      <c r="A618" t="str">
        <v/>
      </c>
      <c r="B618" t="str">
        <v/>
      </c>
      <c r="C618" t="e">
        <v>#N/A</v>
      </c>
      <c r="D618" t="e">
        <v>#N/A</v>
      </c>
      <c r="J618" t="str">
        <v/>
      </c>
      <c r="K618" t="e">
        <f ca="1"/>
        <v>#N/A</v>
      </c>
      <c r="L618" t="str">
        <v/>
      </c>
      <c r="M618" t="e">
        <v>#N/A</v>
      </c>
      <c r="N618" t="e">
        <v>#N/A</v>
      </c>
      <c r="O618" t="e">
        <v>#N/A</v>
      </c>
      <c r="R618" t="e">
        <v>#N/A</v>
      </c>
      <c r="T618" t="e">
        <v>#N/A</v>
      </c>
      <c r="U618" t="e">
        <v>#N/A</v>
      </c>
      <c r="Y618" t="str">
        <v/>
      </c>
      <c r="AM618" t="str">
        <v/>
      </c>
      <c r="AN618" t="str">
        <v/>
      </c>
      <c r="AO618" t="str">
        <v/>
      </c>
      <c r="AQ618" t="str">
        <v/>
      </c>
      <c r="AR618" t="str">
        <v/>
      </c>
      <c r="AS618" t="e">
        <v>#N/A</v>
      </c>
      <c r="AU618" t="str">
        <v/>
      </c>
      <c r="AW618" t="e">
        <v>#N/A</v>
      </c>
    </row>
    <row r="619" spans="1:49" x14ac:dyDescent="0.25">
      <c r="A619" t="str">
        <v/>
      </c>
      <c r="B619" t="str">
        <v/>
      </c>
      <c r="C619" t="e">
        <v>#N/A</v>
      </c>
      <c r="D619" t="e">
        <v>#N/A</v>
      </c>
      <c r="J619" t="str">
        <v/>
      </c>
      <c r="K619" t="e">
        <f ca="1"/>
        <v>#N/A</v>
      </c>
      <c r="L619" t="str">
        <v/>
      </c>
      <c r="M619" t="e">
        <v>#N/A</v>
      </c>
      <c r="N619" t="e">
        <v>#N/A</v>
      </c>
      <c r="O619" t="e">
        <v>#N/A</v>
      </c>
      <c r="R619" t="e">
        <v>#N/A</v>
      </c>
      <c r="T619" t="e">
        <v>#N/A</v>
      </c>
      <c r="U619" t="e">
        <v>#N/A</v>
      </c>
      <c r="Y619" t="str">
        <v/>
      </c>
      <c r="AM619" t="str">
        <v/>
      </c>
      <c r="AN619" t="str">
        <v/>
      </c>
      <c r="AO619" t="str">
        <v/>
      </c>
      <c r="AQ619" t="str">
        <v/>
      </c>
      <c r="AR619" t="str">
        <v/>
      </c>
      <c r="AS619" t="e">
        <v>#N/A</v>
      </c>
      <c r="AU619" t="str">
        <v/>
      </c>
      <c r="AW619" t="e">
        <v>#N/A</v>
      </c>
    </row>
    <row r="620" spans="1:49" x14ac:dyDescent="0.25">
      <c r="A620" t="str">
        <v/>
      </c>
      <c r="B620" t="str">
        <v/>
      </c>
      <c r="C620" t="e">
        <v>#N/A</v>
      </c>
      <c r="D620" t="e">
        <v>#N/A</v>
      </c>
      <c r="J620" t="str">
        <v/>
      </c>
      <c r="K620" t="e">
        <f ca="1"/>
        <v>#N/A</v>
      </c>
      <c r="L620" t="str">
        <v/>
      </c>
      <c r="M620" t="e">
        <v>#N/A</v>
      </c>
      <c r="N620" t="e">
        <v>#N/A</v>
      </c>
      <c r="O620" t="e">
        <v>#N/A</v>
      </c>
      <c r="R620" t="e">
        <v>#N/A</v>
      </c>
      <c r="T620" t="e">
        <v>#N/A</v>
      </c>
      <c r="U620" t="e">
        <v>#N/A</v>
      </c>
      <c r="Y620" t="str">
        <v/>
      </c>
      <c r="AM620" t="str">
        <v/>
      </c>
      <c r="AN620" t="str">
        <v/>
      </c>
      <c r="AO620" t="str">
        <v/>
      </c>
      <c r="AQ620" t="str">
        <v/>
      </c>
      <c r="AR620" t="str">
        <v/>
      </c>
      <c r="AS620" t="e">
        <v>#N/A</v>
      </c>
      <c r="AU620" t="str">
        <v/>
      </c>
      <c r="AW620" t="e">
        <v>#N/A</v>
      </c>
    </row>
    <row r="621" spans="1:49" x14ac:dyDescent="0.25">
      <c r="A621" t="str">
        <v/>
      </c>
      <c r="B621" t="str">
        <v/>
      </c>
      <c r="C621" t="e">
        <v>#N/A</v>
      </c>
      <c r="D621" t="e">
        <v>#N/A</v>
      </c>
      <c r="J621" t="str">
        <v/>
      </c>
      <c r="K621" t="e">
        <f ca="1"/>
        <v>#N/A</v>
      </c>
      <c r="L621" t="str">
        <v/>
      </c>
      <c r="M621" t="e">
        <v>#N/A</v>
      </c>
      <c r="N621" t="e">
        <v>#N/A</v>
      </c>
      <c r="O621" t="e">
        <v>#N/A</v>
      </c>
      <c r="R621" t="e">
        <v>#N/A</v>
      </c>
      <c r="T621" t="e">
        <v>#N/A</v>
      </c>
      <c r="U621" t="e">
        <v>#N/A</v>
      </c>
      <c r="Y621" t="str">
        <v/>
      </c>
      <c r="AM621" t="str">
        <v/>
      </c>
      <c r="AN621" t="str">
        <v/>
      </c>
      <c r="AO621" t="str">
        <v/>
      </c>
      <c r="AQ621" t="str">
        <v/>
      </c>
      <c r="AR621" t="str">
        <v/>
      </c>
      <c r="AS621" t="e">
        <v>#N/A</v>
      </c>
      <c r="AU621" t="str">
        <v/>
      </c>
      <c r="AW621" t="e">
        <v>#N/A</v>
      </c>
    </row>
    <row r="622" spans="1:49" x14ac:dyDescent="0.25">
      <c r="A622" t="str">
        <v/>
      </c>
      <c r="B622" t="str">
        <v/>
      </c>
      <c r="C622" t="e">
        <v>#N/A</v>
      </c>
      <c r="D622" t="e">
        <v>#N/A</v>
      </c>
      <c r="J622" t="str">
        <v/>
      </c>
      <c r="K622" t="e">
        <f ca="1"/>
        <v>#N/A</v>
      </c>
      <c r="L622" t="str">
        <v/>
      </c>
      <c r="M622" t="e">
        <v>#N/A</v>
      </c>
      <c r="N622" t="e">
        <v>#N/A</v>
      </c>
      <c r="O622" t="e">
        <v>#N/A</v>
      </c>
      <c r="R622" t="e">
        <v>#N/A</v>
      </c>
      <c r="T622" t="e">
        <v>#N/A</v>
      </c>
      <c r="U622" t="e">
        <v>#N/A</v>
      </c>
      <c r="Y622" t="str">
        <v/>
      </c>
      <c r="AM622" t="str">
        <v/>
      </c>
      <c r="AN622" t="str">
        <v/>
      </c>
      <c r="AO622" t="str">
        <v/>
      </c>
      <c r="AQ622" t="str">
        <v/>
      </c>
      <c r="AR622" t="str">
        <v/>
      </c>
      <c r="AS622" t="e">
        <v>#N/A</v>
      </c>
      <c r="AU622" t="str">
        <v/>
      </c>
      <c r="AW622" t="e">
        <v>#N/A</v>
      </c>
    </row>
    <row r="623" spans="1:49" x14ac:dyDescent="0.25">
      <c r="A623" t="str">
        <v/>
      </c>
      <c r="B623" t="str">
        <v/>
      </c>
      <c r="C623" t="e">
        <v>#N/A</v>
      </c>
      <c r="D623" t="e">
        <v>#N/A</v>
      </c>
      <c r="J623" t="str">
        <v/>
      </c>
      <c r="K623" t="e">
        <f ca="1"/>
        <v>#N/A</v>
      </c>
      <c r="L623" t="str">
        <v/>
      </c>
      <c r="M623" t="e">
        <v>#N/A</v>
      </c>
      <c r="N623" t="e">
        <v>#N/A</v>
      </c>
      <c r="O623" t="e">
        <v>#N/A</v>
      </c>
      <c r="R623" t="e">
        <v>#N/A</v>
      </c>
      <c r="T623" t="e">
        <v>#N/A</v>
      </c>
      <c r="U623" t="e">
        <v>#N/A</v>
      </c>
      <c r="Y623" t="str">
        <v/>
      </c>
      <c r="AM623" t="str">
        <v/>
      </c>
      <c r="AN623" t="str">
        <v/>
      </c>
      <c r="AO623" t="str">
        <v/>
      </c>
      <c r="AQ623" t="str">
        <v/>
      </c>
      <c r="AR623" t="str">
        <v/>
      </c>
      <c r="AS623" t="e">
        <v>#N/A</v>
      </c>
      <c r="AU623" t="str">
        <v/>
      </c>
      <c r="AW623" t="e">
        <v>#N/A</v>
      </c>
    </row>
    <row r="624" spans="1:49" x14ac:dyDescent="0.25">
      <c r="A624" t="str">
        <v/>
      </c>
      <c r="B624" t="str">
        <v/>
      </c>
      <c r="C624" t="e">
        <v>#N/A</v>
      </c>
      <c r="D624" t="e">
        <v>#N/A</v>
      </c>
      <c r="J624" t="str">
        <v/>
      </c>
      <c r="K624" t="e">
        <f ca="1"/>
        <v>#N/A</v>
      </c>
      <c r="L624" t="str">
        <v/>
      </c>
      <c r="M624" t="e">
        <v>#N/A</v>
      </c>
      <c r="N624" t="e">
        <v>#N/A</v>
      </c>
      <c r="O624" t="e">
        <v>#N/A</v>
      </c>
      <c r="R624" t="e">
        <v>#N/A</v>
      </c>
      <c r="T624" t="e">
        <v>#N/A</v>
      </c>
      <c r="U624" t="e">
        <v>#N/A</v>
      </c>
      <c r="Y624" t="str">
        <v/>
      </c>
      <c r="AM624" t="str">
        <v/>
      </c>
      <c r="AN624" t="str">
        <v/>
      </c>
      <c r="AO624" t="str">
        <v/>
      </c>
      <c r="AQ624" t="str">
        <v/>
      </c>
      <c r="AR624" t="str">
        <v/>
      </c>
      <c r="AS624" t="e">
        <v>#N/A</v>
      </c>
      <c r="AU624" t="str">
        <v/>
      </c>
      <c r="AW624" t="e">
        <v>#N/A</v>
      </c>
    </row>
    <row r="625" spans="1:49" x14ac:dyDescent="0.25">
      <c r="A625" t="str">
        <v/>
      </c>
      <c r="B625" t="str">
        <v/>
      </c>
      <c r="C625" t="e">
        <v>#N/A</v>
      </c>
      <c r="D625" t="e">
        <v>#N/A</v>
      </c>
      <c r="J625" t="str">
        <v/>
      </c>
      <c r="K625" t="e">
        <f ca="1"/>
        <v>#N/A</v>
      </c>
      <c r="L625" t="str">
        <v/>
      </c>
      <c r="M625" t="e">
        <v>#N/A</v>
      </c>
      <c r="N625" t="e">
        <v>#N/A</v>
      </c>
      <c r="O625" t="e">
        <v>#N/A</v>
      </c>
      <c r="R625" t="e">
        <v>#N/A</v>
      </c>
      <c r="T625" t="e">
        <v>#N/A</v>
      </c>
      <c r="U625" t="e">
        <v>#N/A</v>
      </c>
      <c r="Y625" t="str">
        <v/>
      </c>
      <c r="AM625" t="str">
        <v/>
      </c>
      <c r="AN625" t="str">
        <v/>
      </c>
      <c r="AO625" t="str">
        <v/>
      </c>
      <c r="AQ625" t="str">
        <v/>
      </c>
      <c r="AR625" t="str">
        <v/>
      </c>
      <c r="AS625" t="e">
        <v>#N/A</v>
      </c>
      <c r="AU625" t="str">
        <v/>
      </c>
      <c r="AW625" t="e">
        <v>#N/A</v>
      </c>
    </row>
    <row r="626" spans="1:49" x14ac:dyDescent="0.25">
      <c r="A626" t="str">
        <v/>
      </c>
      <c r="B626" t="str">
        <v/>
      </c>
      <c r="C626" t="e">
        <v>#N/A</v>
      </c>
      <c r="D626" t="e">
        <v>#N/A</v>
      </c>
      <c r="J626" t="str">
        <v/>
      </c>
      <c r="K626" t="e">
        <f ca="1"/>
        <v>#N/A</v>
      </c>
      <c r="L626" t="str">
        <v/>
      </c>
      <c r="M626" t="e">
        <v>#N/A</v>
      </c>
      <c r="N626" t="e">
        <v>#N/A</v>
      </c>
      <c r="O626" t="e">
        <v>#N/A</v>
      </c>
      <c r="R626" t="e">
        <v>#N/A</v>
      </c>
      <c r="T626" t="e">
        <v>#N/A</v>
      </c>
      <c r="U626" t="e">
        <v>#N/A</v>
      </c>
      <c r="Y626" t="str">
        <v/>
      </c>
      <c r="AM626" t="str">
        <v/>
      </c>
      <c r="AN626" t="str">
        <v/>
      </c>
      <c r="AO626" t="str">
        <v/>
      </c>
      <c r="AQ626" t="str">
        <v/>
      </c>
      <c r="AR626" t="str">
        <v/>
      </c>
      <c r="AS626" t="e">
        <v>#N/A</v>
      </c>
      <c r="AU626" t="str">
        <v/>
      </c>
      <c r="AW626" t="e">
        <v>#N/A</v>
      </c>
    </row>
    <row r="627" spans="1:49" x14ac:dyDescent="0.25">
      <c r="A627" t="str">
        <v/>
      </c>
      <c r="B627" t="str">
        <v/>
      </c>
      <c r="C627" t="e">
        <v>#N/A</v>
      </c>
      <c r="D627" t="e">
        <v>#N/A</v>
      </c>
      <c r="J627" t="str">
        <v/>
      </c>
      <c r="K627" t="e">
        <f ca="1"/>
        <v>#N/A</v>
      </c>
      <c r="L627" t="str">
        <v/>
      </c>
      <c r="M627" t="e">
        <v>#N/A</v>
      </c>
      <c r="N627" t="e">
        <v>#N/A</v>
      </c>
      <c r="O627" t="e">
        <v>#N/A</v>
      </c>
      <c r="R627" t="e">
        <v>#N/A</v>
      </c>
      <c r="T627" t="e">
        <v>#N/A</v>
      </c>
      <c r="U627" t="e">
        <v>#N/A</v>
      </c>
      <c r="Y627" t="str">
        <v/>
      </c>
      <c r="AM627" t="str">
        <v/>
      </c>
      <c r="AN627" t="str">
        <v/>
      </c>
      <c r="AO627" t="str">
        <v/>
      </c>
      <c r="AQ627" t="str">
        <v/>
      </c>
      <c r="AR627" t="str">
        <v/>
      </c>
      <c r="AS627" t="e">
        <v>#N/A</v>
      </c>
      <c r="AU627" t="str">
        <v/>
      </c>
      <c r="AW627" t="e">
        <v>#N/A</v>
      </c>
    </row>
    <row r="628" spans="1:49" x14ac:dyDescent="0.25">
      <c r="A628" t="str">
        <v/>
      </c>
      <c r="B628" t="str">
        <v/>
      </c>
      <c r="C628" t="e">
        <v>#N/A</v>
      </c>
      <c r="D628" t="e">
        <v>#N/A</v>
      </c>
      <c r="J628" t="str">
        <v/>
      </c>
      <c r="K628" t="e">
        <f ca="1"/>
        <v>#N/A</v>
      </c>
      <c r="L628" t="str">
        <v/>
      </c>
      <c r="M628" t="e">
        <v>#N/A</v>
      </c>
      <c r="N628" t="e">
        <v>#N/A</v>
      </c>
      <c r="O628" t="e">
        <v>#N/A</v>
      </c>
      <c r="R628" t="e">
        <v>#N/A</v>
      </c>
      <c r="T628" t="e">
        <v>#N/A</v>
      </c>
      <c r="U628" t="e">
        <v>#N/A</v>
      </c>
      <c r="Y628" t="str">
        <v/>
      </c>
      <c r="AM628" t="str">
        <v/>
      </c>
      <c r="AN628" t="str">
        <v/>
      </c>
      <c r="AO628" t="str">
        <v/>
      </c>
      <c r="AQ628" t="str">
        <v/>
      </c>
      <c r="AR628" t="str">
        <v/>
      </c>
      <c r="AS628" t="e">
        <v>#N/A</v>
      </c>
      <c r="AU628" t="str">
        <v/>
      </c>
      <c r="AW628" t="e">
        <v>#N/A</v>
      </c>
    </row>
    <row r="629" spans="1:49" x14ac:dyDescent="0.25">
      <c r="A629" t="str">
        <v/>
      </c>
      <c r="B629" t="str">
        <v/>
      </c>
      <c r="C629" t="e">
        <v>#N/A</v>
      </c>
      <c r="D629" t="e">
        <v>#N/A</v>
      </c>
      <c r="J629" t="str">
        <v/>
      </c>
      <c r="K629" t="e">
        <f ca="1"/>
        <v>#N/A</v>
      </c>
      <c r="L629" t="str">
        <v/>
      </c>
      <c r="M629" t="e">
        <v>#N/A</v>
      </c>
      <c r="N629" t="e">
        <v>#N/A</v>
      </c>
      <c r="O629" t="e">
        <v>#N/A</v>
      </c>
      <c r="R629" t="e">
        <v>#N/A</v>
      </c>
      <c r="T629" t="e">
        <v>#N/A</v>
      </c>
      <c r="U629" t="e">
        <v>#N/A</v>
      </c>
      <c r="Y629" t="str">
        <v/>
      </c>
      <c r="AM629" t="str">
        <v/>
      </c>
      <c r="AN629" t="str">
        <v/>
      </c>
      <c r="AO629" t="str">
        <v/>
      </c>
      <c r="AQ629" t="str">
        <v/>
      </c>
      <c r="AR629" t="str">
        <v/>
      </c>
      <c r="AS629" t="e">
        <v>#N/A</v>
      </c>
      <c r="AU629" t="str">
        <v/>
      </c>
      <c r="AW629" t="e">
        <v>#N/A</v>
      </c>
    </row>
    <row r="630" spans="1:49" x14ac:dyDescent="0.25">
      <c r="A630" t="str">
        <v/>
      </c>
      <c r="B630" t="str">
        <v/>
      </c>
      <c r="C630" t="e">
        <v>#N/A</v>
      </c>
      <c r="D630" t="e">
        <v>#N/A</v>
      </c>
      <c r="J630" t="str">
        <v/>
      </c>
      <c r="K630" t="e">
        <f ca="1"/>
        <v>#N/A</v>
      </c>
      <c r="L630" t="str">
        <v/>
      </c>
      <c r="M630" t="e">
        <v>#N/A</v>
      </c>
      <c r="N630" t="e">
        <v>#N/A</v>
      </c>
      <c r="O630" t="e">
        <v>#N/A</v>
      </c>
      <c r="R630" t="e">
        <v>#N/A</v>
      </c>
      <c r="T630" t="e">
        <v>#N/A</v>
      </c>
      <c r="U630" t="e">
        <v>#N/A</v>
      </c>
      <c r="Y630" t="str">
        <v/>
      </c>
      <c r="AM630" t="str">
        <v/>
      </c>
      <c r="AN630" t="str">
        <v/>
      </c>
      <c r="AO630" t="str">
        <v/>
      </c>
      <c r="AQ630" t="str">
        <v/>
      </c>
      <c r="AR630" t="str">
        <v/>
      </c>
      <c r="AS630" t="e">
        <v>#N/A</v>
      </c>
      <c r="AU630" t="str">
        <v/>
      </c>
      <c r="AW630" t="e">
        <v>#N/A</v>
      </c>
    </row>
    <row r="631" spans="1:49" x14ac:dyDescent="0.25">
      <c r="A631" t="str">
        <v/>
      </c>
      <c r="B631" t="str">
        <v/>
      </c>
      <c r="C631" t="e">
        <v>#N/A</v>
      </c>
      <c r="D631" t="e">
        <v>#N/A</v>
      </c>
      <c r="J631" t="str">
        <v/>
      </c>
      <c r="K631" t="e">
        <f ca="1"/>
        <v>#N/A</v>
      </c>
      <c r="L631" t="str">
        <v/>
      </c>
      <c r="M631" t="e">
        <v>#N/A</v>
      </c>
      <c r="N631" t="e">
        <v>#N/A</v>
      </c>
      <c r="O631" t="e">
        <v>#N/A</v>
      </c>
      <c r="R631" t="e">
        <v>#N/A</v>
      </c>
      <c r="T631" t="e">
        <v>#N/A</v>
      </c>
      <c r="U631" t="e">
        <v>#N/A</v>
      </c>
      <c r="Y631" t="str">
        <v/>
      </c>
      <c r="AM631" t="str">
        <v/>
      </c>
      <c r="AN631" t="str">
        <v/>
      </c>
      <c r="AO631" t="str">
        <v/>
      </c>
      <c r="AQ631" t="str">
        <v/>
      </c>
      <c r="AR631" t="str">
        <v/>
      </c>
      <c r="AS631" t="e">
        <v>#N/A</v>
      </c>
      <c r="AU631" t="str">
        <v/>
      </c>
      <c r="AW631" t="e">
        <v>#N/A</v>
      </c>
    </row>
    <row r="632" spans="1:49" x14ac:dyDescent="0.25">
      <c r="A632" t="str">
        <v/>
      </c>
      <c r="B632" t="str">
        <v/>
      </c>
      <c r="C632" t="e">
        <v>#N/A</v>
      </c>
      <c r="D632" t="e">
        <v>#N/A</v>
      </c>
      <c r="J632" t="str">
        <v/>
      </c>
      <c r="K632" t="e">
        <f ca="1"/>
        <v>#N/A</v>
      </c>
      <c r="L632" t="str">
        <v/>
      </c>
      <c r="M632" t="e">
        <v>#N/A</v>
      </c>
      <c r="N632" t="e">
        <v>#N/A</v>
      </c>
      <c r="O632" t="e">
        <v>#N/A</v>
      </c>
      <c r="R632" t="e">
        <v>#N/A</v>
      </c>
      <c r="T632" t="e">
        <v>#N/A</v>
      </c>
      <c r="U632" t="e">
        <v>#N/A</v>
      </c>
      <c r="Y632" t="str">
        <v/>
      </c>
      <c r="AM632" t="str">
        <v/>
      </c>
      <c r="AN632" t="str">
        <v/>
      </c>
      <c r="AO632" t="str">
        <v/>
      </c>
      <c r="AQ632" t="str">
        <v/>
      </c>
      <c r="AR632" t="str">
        <v/>
      </c>
      <c r="AS632" t="e">
        <v>#N/A</v>
      </c>
      <c r="AU632" t="str">
        <v/>
      </c>
      <c r="AW632" t="e">
        <v>#N/A</v>
      </c>
    </row>
    <row r="633" spans="1:49" x14ac:dyDescent="0.25">
      <c r="A633" t="str">
        <v/>
      </c>
      <c r="B633" t="str">
        <v/>
      </c>
      <c r="C633" t="e">
        <v>#N/A</v>
      </c>
      <c r="D633" t="e">
        <v>#N/A</v>
      </c>
      <c r="J633" t="str">
        <v/>
      </c>
      <c r="K633" t="e">
        <f ca="1"/>
        <v>#N/A</v>
      </c>
      <c r="L633" t="str">
        <v/>
      </c>
      <c r="M633" t="e">
        <v>#N/A</v>
      </c>
      <c r="N633" t="e">
        <v>#N/A</v>
      </c>
      <c r="O633" t="e">
        <v>#N/A</v>
      </c>
      <c r="R633" t="e">
        <v>#N/A</v>
      </c>
      <c r="T633" t="e">
        <v>#N/A</v>
      </c>
      <c r="U633" t="e">
        <v>#N/A</v>
      </c>
      <c r="Y633" t="str">
        <v/>
      </c>
      <c r="AM633" t="str">
        <v/>
      </c>
      <c r="AN633" t="str">
        <v/>
      </c>
      <c r="AO633" t="str">
        <v/>
      </c>
      <c r="AQ633" t="str">
        <v/>
      </c>
      <c r="AR633" t="str">
        <v/>
      </c>
      <c r="AS633" t="e">
        <v>#N/A</v>
      </c>
      <c r="AU633" t="str">
        <v/>
      </c>
      <c r="AW633" t="e">
        <v>#N/A</v>
      </c>
    </row>
    <row r="634" spans="1:49" x14ac:dyDescent="0.25">
      <c r="A634" t="str">
        <v/>
      </c>
      <c r="B634" t="str">
        <v/>
      </c>
      <c r="C634" t="e">
        <v>#N/A</v>
      </c>
      <c r="D634" t="e">
        <v>#N/A</v>
      </c>
      <c r="J634" t="str">
        <v/>
      </c>
      <c r="K634" t="e">
        <f ca="1"/>
        <v>#N/A</v>
      </c>
      <c r="L634" t="str">
        <v/>
      </c>
      <c r="M634" t="e">
        <v>#N/A</v>
      </c>
      <c r="N634" t="e">
        <v>#N/A</v>
      </c>
      <c r="O634" t="e">
        <v>#N/A</v>
      </c>
      <c r="R634" t="e">
        <v>#N/A</v>
      </c>
      <c r="T634" t="e">
        <v>#N/A</v>
      </c>
      <c r="U634" t="e">
        <v>#N/A</v>
      </c>
      <c r="Y634" t="str">
        <v/>
      </c>
      <c r="AM634" t="str">
        <v/>
      </c>
      <c r="AN634" t="str">
        <v/>
      </c>
      <c r="AO634" t="str">
        <v/>
      </c>
      <c r="AQ634" t="str">
        <v/>
      </c>
      <c r="AR634" t="str">
        <v/>
      </c>
      <c r="AS634" t="e">
        <v>#N/A</v>
      </c>
      <c r="AU634" t="str">
        <v/>
      </c>
      <c r="AW634" t="e">
        <v>#N/A</v>
      </c>
    </row>
    <row r="635" spans="1:49" x14ac:dyDescent="0.25">
      <c r="A635" t="str">
        <v/>
      </c>
      <c r="B635" t="str">
        <v/>
      </c>
      <c r="C635" t="e">
        <v>#N/A</v>
      </c>
      <c r="D635" t="e">
        <v>#N/A</v>
      </c>
      <c r="J635" t="str">
        <v/>
      </c>
      <c r="K635" t="e">
        <f ca="1"/>
        <v>#N/A</v>
      </c>
      <c r="L635" t="str">
        <v/>
      </c>
      <c r="M635" t="e">
        <v>#N/A</v>
      </c>
      <c r="N635" t="e">
        <v>#N/A</v>
      </c>
      <c r="O635" t="e">
        <v>#N/A</v>
      </c>
      <c r="R635" t="e">
        <v>#N/A</v>
      </c>
      <c r="T635" t="e">
        <v>#N/A</v>
      </c>
      <c r="U635" t="e">
        <v>#N/A</v>
      </c>
      <c r="Y635" t="str">
        <v/>
      </c>
      <c r="AM635" t="str">
        <v/>
      </c>
      <c r="AN635" t="str">
        <v/>
      </c>
      <c r="AO635" t="str">
        <v/>
      </c>
      <c r="AQ635" t="str">
        <v/>
      </c>
      <c r="AR635" t="str">
        <v/>
      </c>
      <c r="AS635" t="e">
        <v>#N/A</v>
      </c>
      <c r="AU635" t="str">
        <v/>
      </c>
      <c r="AW635" t="e">
        <v>#N/A</v>
      </c>
    </row>
    <row r="636" spans="1:49" x14ac:dyDescent="0.25">
      <c r="A636" t="str">
        <v/>
      </c>
      <c r="B636" t="str">
        <v/>
      </c>
      <c r="C636" t="e">
        <v>#N/A</v>
      </c>
      <c r="D636" t="e">
        <v>#N/A</v>
      </c>
      <c r="J636" t="str">
        <v/>
      </c>
      <c r="K636" t="e">
        <f ca="1"/>
        <v>#N/A</v>
      </c>
      <c r="L636" t="str">
        <v/>
      </c>
      <c r="M636" t="e">
        <v>#N/A</v>
      </c>
      <c r="N636" t="e">
        <v>#N/A</v>
      </c>
      <c r="O636" t="e">
        <v>#N/A</v>
      </c>
      <c r="R636" t="e">
        <v>#N/A</v>
      </c>
      <c r="T636" t="e">
        <v>#N/A</v>
      </c>
      <c r="U636" t="e">
        <v>#N/A</v>
      </c>
      <c r="Y636" t="str">
        <v/>
      </c>
      <c r="AM636" t="str">
        <v/>
      </c>
      <c r="AN636" t="str">
        <v/>
      </c>
      <c r="AO636" t="str">
        <v/>
      </c>
      <c r="AQ636" t="str">
        <v/>
      </c>
      <c r="AR636" t="str">
        <v/>
      </c>
      <c r="AS636" t="e">
        <v>#N/A</v>
      </c>
      <c r="AU636" t="str">
        <v/>
      </c>
      <c r="AW636" t="e">
        <v>#N/A</v>
      </c>
    </row>
    <row r="637" spans="1:49" x14ac:dyDescent="0.25">
      <c r="A637" t="str">
        <v/>
      </c>
      <c r="B637" t="str">
        <v/>
      </c>
      <c r="C637" t="e">
        <v>#N/A</v>
      </c>
      <c r="D637" t="e">
        <v>#N/A</v>
      </c>
      <c r="J637" t="str">
        <v/>
      </c>
      <c r="K637" t="e">
        <f ca="1"/>
        <v>#N/A</v>
      </c>
      <c r="L637" t="str">
        <v/>
      </c>
      <c r="M637" t="e">
        <v>#N/A</v>
      </c>
      <c r="N637" t="e">
        <v>#N/A</v>
      </c>
      <c r="O637" t="e">
        <v>#N/A</v>
      </c>
      <c r="R637" t="e">
        <v>#N/A</v>
      </c>
      <c r="T637" t="e">
        <v>#N/A</v>
      </c>
      <c r="U637" t="e">
        <v>#N/A</v>
      </c>
      <c r="Y637" t="str">
        <v/>
      </c>
      <c r="AM637" t="str">
        <v/>
      </c>
      <c r="AN637" t="str">
        <v/>
      </c>
      <c r="AO637" t="str">
        <v/>
      </c>
      <c r="AQ637" t="str">
        <v/>
      </c>
      <c r="AR637" t="str">
        <v/>
      </c>
      <c r="AS637" t="e">
        <v>#N/A</v>
      </c>
      <c r="AU637" t="str">
        <v/>
      </c>
      <c r="AW637" t="e">
        <v>#N/A</v>
      </c>
    </row>
    <row r="638" spans="1:49" x14ac:dyDescent="0.25">
      <c r="A638" t="str">
        <v/>
      </c>
      <c r="B638" t="str">
        <v/>
      </c>
      <c r="C638" t="e">
        <v>#N/A</v>
      </c>
      <c r="D638" t="e">
        <v>#N/A</v>
      </c>
      <c r="J638" t="str">
        <v/>
      </c>
      <c r="K638" t="e">
        <f ca="1"/>
        <v>#N/A</v>
      </c>
      <c r="L638" t="str">
        <v/>
      </c>
      <c r="M638" t="e">
        <v>#N/A</v>
      </c>
      <c r="N638" t="e">
        <v>#N/A</v>
      </c>
      <c r="O638" t="e">
        <v>#N/A</v>
      </c>
      <c r="R638" t="e">
        <v>#N/A</v>
      </c>
      <c r="T638" t="e">
        <v>#N/A</v>
      </c>
      <c r="U638" t="e">
        <v>#N/A</v>
      </c>
      <c r="Y638" t="str">
        <v/>
      </c>
      <c r="AM638" t="str">
        <v/>
      </c>
      <c r="AN638" t="str">
        <v/>
      </c>
      <c r="AO638" t="str">
        <v/>
      </c>
      <c r="AQ638" t="str">
        <v/>
      </c>
      <c r="AR638" t="str">
        <v/>
      </c>
      <c r="AS638" t="e">
        <v>#N/A</v>
      </c>
      <c r="AU638" t="str">
        <v/>
      </c>
      <c r="AW638" t="e">
        <v>#N/A</v>
      </c>
    </row>
    <row r="639" spans="1:49" x14ac:dyDescent="0.25">
      <c r="A639" t="str">
        <v/>
      </c>
      <c r="B639" t="str">
        <v/>
      </c>
      <c r="C639" t="e">
        <v>#N/A</v>
      </c>
      <c r="D639" t="e">
        <v>#N/A</v>
      </c>
      <c r="J639" t="str">
        <v/>
      </c>
      <c r="K639" t="e">
        <f ca="1"/>
        <v>#N/A</v>
      </c>
      <c r="L639" t="str">
        <v/>
      </c>
      <c r="M639" t="e">
        <v>#N/A</v>
      </c>
      <c r="N639" t="e">
        <v>#N/A</v>
      </c>
      <c r="O639" t="e">
        <v>#N/A</v>
      </c>
      <c r="R639" t="e">
        <v>#N/A</v>
      </c>
      <c r="T639" t="e">
        <v>#N/A</v>
      </c>
      <c r="U639" t="e">
        <v>#N/A</v>
      </c>
      <c r="Y639" t="str">
        <v/>
      </c>
      <c r="AM639" t="str">
        <v/>
      </c>
      <c r="AN639" t="str">
        <v/>
      </c>
      <c r="AO639" t="str">
        <v/>
      </c>
      <c r="AQ639" t="str">
        <v/>
      </c>
      <c r="AR639" t="str">
        <v/>
      </c>
      <c r="AS639" t="e">
        <v>#N/A</v>
      </c>
      <c r="AU639" t="str">
        <v/>
      </c>
      <c r="AW639" t="e">
        <v>#N/A</v>
      </c>
    </row>
    <row r="640" spans="1:49" x14ac:dyDescent="0.25">
      <c r="A640" t="str">
        <v/>
      </c>
      <c r="B640" t="str">
        <v/>
      </c>
      <c r="C640" t="e">
        <v>#N/A</v>
      </c>
      <c r="D640" t="e">
        <v>#N/A</v>
      </c>
      <c r="J640" t="str">
        <v/>
      </c>
      <c r="K640" t="e">
        <f ca="1"/>
        <v>#N/A</v>
      </c>
      <c r="L640" t="str">
        <v/>
      </c>
      <c r="M640" t="e">
        <v>#N/A</v>
      </c>
      <c r="N640" t="e">
        <v>#N/A</v>
      </c>
      <c r="O640" t="e">
        <v>#N/A</v>
      </c>
      <c r="R640" t="e">
        <v>#N/A</v>
      </c>
      <c r="T640" t="e">
        <v>#N/A</v>
      </c>
      <c r="U640" t="e">
        <v>#N/A</v>
      </c>
      <c r="Y640" t="str">
        <v/>
      </c>
      <c r="AM640" t="str">
        <v/>
      </c>
      <c r="AN640" t="str">
        <v/>
      </c>
      <c r="AO640" t="str">
        <v/>
      </c>
      <c r="AQ640" t="str">
        <v/>
      </c>
      <c r="AR640" t="str">
        <v/>
      </c>
      <c r="AS640" t="e">
        <v>#N/A</v>
      </c>
      <c r="AU640" t="str">
        <v/>
      </c>
      <c r="AW640" t="e">
        <v>#N/A</v>
      </c>
    </row>
    <row r="641" spans="1:49" x14ac:dyDescent="0.25">
      <c r="A641" t="str">
        <v/>
      </c>
      <c r="B641" t="str">
        <v/>
      </c>
      <c r="C641" t="e">
        <v>#N/A</v>
      </c>
      <c r="D641" t="e">
        <v>#N/A</v>
      </c>
      <c r="J641" t="str">
        <v/>
      </c>
      <c r="K641" t="e">
        <f ca="1"/>
        <v>#N/A</v>
      </c>
      <c r="L641" t="str">
        <v/>
      </c>
      <c r="M641" t="e">
        <v>#N/A</v>
      </c>
      <c r="N641" t="e">
        <v>#N/A</v>
      </c>
      <c r="O641" t="e">
        <v>#N/A</v>
      </c>
      <c r="R641" t="e">
        <v>#N/A</v>
      </c>
      <c r="T641" t="e">
        <v>#N/A</v>
      </c>
      <c r="U641" t="e">
        <v>#N/A</v>
      </c>
      <c r="Y641" t="str">
        <v/>
      </c>
      <c r="AM641" t="str">
        <v/>
      </c>
      <c r="AN641" t="str">
        <v/>
      </c>
      <c r="AO641" t="str">
        <v/>
      </c>
      <c r="AQ641" t="str">
        <v/>
      </c>
      <c r="AR641" t="str">
        <v/>
      </c>
      <c r="AS641" t="e">
        <v>#N/A</v>
      </c>
      <c r="AU641" t="str">
        <v/>
      </c>
      <c r="AW641" t="e">
        <v>#N/A</v>
      </c>
    </row>
    <row r="642" spans="1:49" x14ac:dyDescent="0.25">
      <c r="A642" t="str">
        <v/>
      </c>
      <c r="B642" t="str">
        <v/>
      </c>
      <c r="C642" t="e">
        <v>#N/A</v>
      </c>
      <c r="D642" t="e">
        <v>#N/A</v>
      </c>
      <c r="J642" t="str">
        <v/>
      </c>
      <c r="K642" t="e">
        <f ca="1"/>
        <v>#N/A</v>
      </c>
      <c r="L642" t="str">
        <v/>
      </c>
      <c r="M642" t="e">
        <v>#N/A</v>
      </c>
      <c r="N642" t="e">
        <v>#N/A</v>
      </c>
      <c r="O642" t="e">
        <v>#N/A</v>
      </c>
      <c r="R642" t="e">
        <v>#N/A</v>
      </c>
      <c r="T642" t="e">
        <v>#N/A</v>
      </c>
      <c r="U642" t="e">
        <v>#N/A</v>
      </c>
      <c r="Y642" t="str">
        <v/>
      </c>
      <c r="AM642" t="str">
        <v/>
      </c>
      <c r="AN642" t="str">
        <v/>
      </c>
      <c r="AO642" t="str">
        <v/>
      </c>
      <c r="AQ642" t="str">
        <v/>
      </c>
      <c r="AR642" t="str">
        <v/>
      </c>
      <c r="AS642" t="e">
        <v>#N/A</v>
      </c>
      <c r="AU642" t="str">
        <v/>
      </c>
      <c r="AW642" t="e">
        <v>#N/A</v>
      </c>
    </row>
    <row r="643" spans="1:49" x14ac:dyDescent="0.25">
      <c r="A643" t="str">
        <v/>
      </c>
      <c r="B643" t="str">
        <v/>
      </c>
      <c r="C643" t="e">
        <v>#N/A</v>
      </c>
      <c r="D643" t="e">
        <v>#N/A</v>
      </c>
      <c r="J643" t="str">
        <v/>
      </c>
      <c r="K643" t="e">
        <f ca="1"/>
        <v>#N/A</v>
      </c>
      <c r="L643" t="str">
        <v/>
      </c>
      <c r="M643" t="e">
        <v>#N/A</v>
      </c>
      <c r="N643" t="e">
        <v>#N/A</v>
      </c>
      <c r="O643" t="e">
        <v>#N/A</v>
      </c>
      <c r="R643" t="e">
        <v>#N/A</v>
      </c>
      <c r="T643" t="e">
        <v>#N/A</v>
      </c>
      <c r="U643" t="e">
        <v>#N/A</v>
      </c>
      <c r="Y643" t="str">
        <v/>
      </c>
      <c r="AM643" t="str">
        <v/>
      </c>
      <c r="AN643" t="str">
        <v/>
      </c>
      <c r="AO643" t="str">
        <v/>
      </c>
      <c r="AQ643" t="str">
        <v/>
      </c>
      <c r="AR643" t="str">
        <v/>
      </c>
      <c r="AS643" t="e">
        <v>#N/A</v>
      </c>
      <c r="AU643" t="str">
        <v/>
      </c>
      <c r="AW643" t="e">
        <v>#N/A</v>
      </c>
    </row>
    <row r="644" spans="1:49" x14ac:dyDescent="0.25">
      <c r="A644" t="str">
        <v/>
      </c>
      <c r="B644" t="str">
        <v/>
      </c>
      <c r="C644" t="e">
        <v>#N/A</v>
      </c>
      <c r="D644" t="e">
        <v>#N/A</v>
      </c>
      <c r="J644" t="str">
        <v/>
      </c>
      <c r="K644" t="e">
        <f ca="1"/>
        <v>#N/A</v>
      </c>
      <c r="L644" t="str">
        <v/>
      </c>
      <c r="M644" t="e">
        <v>#N/A</v>
      </c>
      <c r="N644" t="e">
        <v>#N/A</v>
      </c>
      <c r="O644" t="e">
        <v>#N/A</v>
      </c>
      <c r="R644" t="e">
        <v>#N/A</v>
      </c>
      <c r="T644" t="e">
        <v>#N/A</v>
      </c>
      <c r="U644" t="e">
        <v>#N/A</v>
      </c>
      <c r="Y644" t="str">
        <v/>
      </c>
      <c r="AM644" t="str">
        <v/>
      </c>
      <c r="AN644" t="str">
        <v/>
      </c>
      <c r="AO644" t="str">
        <v/>
      </c>
      <c r="AQ644" t="str">
        <v/>
      </c>
      <c r="AR644" t="str">
        <v/>
      </c>
      <c r="AS644" t="e">
        <v>#N/A</v>
      </c>
      <c r="AU644" t="str">
        <v/>
      </c>
      <c r="AW644" t="e">
        <v>#N/A</v>
      </c>
    </row>
    <row r="645" spans="1:49" x14ac:dyDescent="0.25">
      <c r="A645" t="str">
        <v/>
      </c>
      <c r="B645" t="str">
        <v/>
      </c>
      <c r="C645" t="e">
        <v>#N/A</v>
      </c>
      <c r="D645" t="e">
        <v>#N/A</v>
      </c>
      <c r="J645" t="str">
        <v/>
      </c>
      <c r="K645" t="e">
        <f ca="1"/>
        <v>#N/A</v>
      </c>
      <c r="L645" t="str">
        <v/>
      </c>
      <c r="M645" t="e">
        <v>#N/A</v>
      </c>
      <c r="N645" t="e">
        <v>#N/A</v>
      </c>
      <c r="O645" t="e">
        <v>#N/A</v>
      </c>
      <c r="R645" t="e">
        <v>#N/A</v>
      </c>
      <c r="T645" t="e">
        <v>#N/A</v>
      </c>
      <c r="U645" t="e">
        <v>#N/A</v>
      </c>
      <c r="Y645" t="str">
        <v/>
      </c>
      <c r="AM645" t="str">
        <v/>
      </c>
      <c r="AN645" t="str">
        <v/>
      </c>
      <c r="AO645" t="str">
        <v/>
      </c>
      <c r="AQ645" t="str">
        <v/>
      </c>
      <c r="AR645" t="str">
        <v/>
      </c>
      <c r="AS645" t="e">
        <v>#N/A</v>
      </c>
      <c r="AU645" t="str">
        <v/>
      </c>
      <c r="AW645" t="e">
        <v>#N/A</v>
      </c>
    </row>
    <row r="646" spans="1:49" x14ac:dyDescent="0.25">
      <c r="A646" t="str">
        <v/>
      </c>
      <c r="B646" t="str">
        <v/>
      </c>
      <c r="C646" t="e">
        <v>#N/A</v>
      </c>
      <c r="D646" t="e">
        <v>#N/A</v>
      </c>
      <c r="J646" t="str">
        <v/>
      </c>
      <c r="K646" t="e">
        <f ca="1"/>
        <v>#N/A</v>
      </c>
      <c r="L646" t="str">
        <v/>
      </c>
      <c r="M646" t="e">
        <v>#N/A</v>
      </c>
      <c r="N646" t="e">
        <v>#N/A</v>
      </c>
      <c r="O646" t="e">
        <v>#N/A</v>
      </c>
      <c r="R646" t="e">
        <v>#N/A</v>
      </c>
      <c r="T646" t="e">
        <v>#N/A</v>
      </c>
      <c r="U646" t="e">
        <v>#N/A</v>
      </c>
      <c r="Y646" t="str">
        <v/>
      </c>
      <c r="AM646" t="str">
        <v/>
      </c>
      <c r="AN646" t="str">
        <v/>
      </c>
      <c r="AO646" t="str">
        <v/>
      </c>
      <c r="AQ646" t="str">
        <v/>
      </c>
      <c r="AR646" t="str">
        <v/>
      </c>
      <c r="AS646" t="e">
        <v>#N/A</v>
      </c>
      <c r="AU646" t="str">
        <v/>
      </c>
      <c r="AW646" t="e">
        <v>#N/A</v>
      </c>
    </row>
    <row r="647" spans="1:49" x14ac:dyDescent="0.25">
      <c r="A647" t="str">
        <v/>
      </c>
      <c r="B647" t="str">
        <v/>
      </c>
      <c r="C647" t="e">
        <v>#N/A</v>
      </c>
      <c r="D647" t="e">
        <v>#N/A</v>
      </c>
      <c r="J647" t="str">
        <v/>
      </c>
      <c r="K647" t="e">
        <f ca="1"/>
        <v>#N/A</v>
      </c>
      <c r="L647" t="str">
        <v/>
      </c>
      <c r="M647" t="e">
        <v>#N/A</v>
      </c>
      <c r="N647" t="e">
        <v>#N/A</v>
      </c>
      <c r="O647" t="e">
        <v>#N/A</v>
      </c>
      <c r="R647" t="e">
        <v>#N/A</v>
      </c>
      <c r="T647" t="e">
        <v>#N/A</v>
      </c>
      <c r="U647" t="e">
        <v>#N/A</v>
      </c>
      <c r="Y647" t="str">
        <v/>
      </c>
      <c r="AM647" t="str">
        <v/>
      </c>
      <c r="AN647" t="str">
        <v/>
      </c>
      <c r="AO647" t="str">
        <v/>
      </c>
      <c r="AQ647" t="str">
        <v/>
      </c>
      <c r="AR647" t="str">
        <v/>
      </c>
      <c r="AS647" t="e">
        <v>#N/A</v>
      </c>
      <c r="AU647" t="str">
        <v/>
      </c>
      <c r="AW647" t="e">
        <v>#N/A</v>
      </c>
    </row>
    <row r="648" spans="1:49" x14ac:dyDescent="0.25">
      <c r="A648" t="str">
        <v/>
      </c>
      <c r="B648" t="str">
        <v/>
      </c>
      <c r="C648" t="e">
        <v>#N/A</v>
      </c>
      <c r="D648" t="e">
        <v>#N/A</v>
      </c>
      <c r="J648" t="str">
        <v/>
      </c>
      <c r="K648" t="e">
        <f ca="1"/>
        <v>#N/A</v>
      </c>
      <c r="L648" t="str">
        <v/>
      </c>
      <c r="M648" t="e">
        <v>#N/A</v>
      </c>
      <c r="N648" t="e">
        <v>#N/A</v>
      </c>
      <c r="O648" t="e">
        <v>#N/A</v>
      </c>
      <c r="R648" t="e">
        <v>#N/A</v>
      </c>
      <c r="T648" t="e">
        <v>#N/A</v>
      </c>
      <c r="U648" t="e">
        <v>#N/A</v>
      </c>
      <c r="Y648" t="str">
        <v/>
      </c>
      <c r="AM648" t="str">
        <v/>
      </c>
      <c r="AN648" t="str">
        <v/>
      </c>
      <c r="AO648" t="str">
        <v/>
      </c>
      <c r="AQ648" t="str">
        <v/>
      </c>
      <c r="AR648" t="str">
        <v/>
      </c>
      <c r="AS648" t="e">
        <v>#N/A</v>
      </c>
      <c r="AU648" t="str">
        <v/>
      </c>
      <c r="AW648" t="e">
        <v>#N/A</v>
      </c>
    </row>
    <row r="649" spans="1:49" x14ac:dyDescent="0.25">
      <c r="A649" t="str">
        <v/>
      </c>
      <c r="B649" t="str">
        <v/>
      </c>
      <c r="C649" t="e">
        <v>#N/A</v>
      </c>
      <c r="D649" t="e">
        <v>#N/A</v>
      </c>
      <c r="J649" t="str">
        <v/>
      </c>
      <c r="K649" t="e">
        <f ca="1"/>
        <v>#N/A</v>
      </c>
      <c r="L649" t="str">
        <v/>
      </c>
      <c r="M649" t="e">
        <v>#N/A</v>
      </c>
      <c r="N649" t="e">
        <v>#N/A</v>
      </c>
      <c r="O649" t="e">
        <v>#N/A</v>
      </c>
      <c r="R649" t="e">
        <v>#N/A</v>
      </c>
      <c r="T649" t="e">
        <v>#N/A</v>
      </c>
      <c r="U649" t="e">
        <v>#N/A</v>
      </c>
      <c r="Y649" t="str">
        <v/>
      </c>
      <c r="AM649" t="str">
        <v/>
      </c>
      <c r="AN649" t="str">
        <v/>
      </c>
      <c r="AO649" t="str">
        <v/>
      </c>
      <c r="AQ649" t="str">
        <v/>
      </c>
      <c r="AR649" t="str">
        <v/>
      </c>
      <c r="AS649" t="e">
        <v>#N/A</v>
      </c>
      <c r="AU649" t="str">
        <v/>
      </c>
      <c r="AW649" t="e">
        <v>#N/A</v>
      </c>
    </row>
    <row r="650" spans="1:49" x14ac:dyDescent="0.25">
      <c r="A650" t="str">
        <v/>
      </c>
      <c r="B650" t="str">
        <v/>
      </c>
      <c r="C650" t="e">
        <v>#N/A</v>
      </c>
      <c r="D650" t="e">
        <v>#N/A</v>
      </c>
      <c r="J650" t="str">
        <v/>
      </c>
      <c r="K650" t="e">
        <f ca="1"/>
        <v>#N/A</v>
      </c>
      <c r="L650" t="str">
        <v/>
      </c>
      <c r="M650" t="e">
        <v>#N/A</v>
      </c>
      <c r="N650" t="e">
        <v>#N/A</v>
      </c>
      <c r="O650" t="e">
        <v>#N/A</v>
      </c>
      <c r="R650" t="e">
        <v>#N/A</v>
      </c>
      <c r="T650" t="e">
        <v>#N/A</v>
      </c>
      <c r="U650" t="e">
        <v>#N/A</v>
      </c>
      <c r="Y650" t="str">
        <v/>
      </c>
      <c r="AM650" t="str">
        <v/>
      </c>
      <c r="AN650" t="str">
        <v/>
      </c>
      <c r="AO650" t="str">
        <v/>
      </c>
      <c r="AQ650" t="str">
        <v/>
      </c>
      <c r="AR650" t="str">
        <v/>
      </c>
      <c r="AS650" t="e">
        <v>#N/A</v>
      </c>
      <c r="AU650" t="str">
        <v/>
      </c>
      <c r="AW650" t="e">
        <v>#N/A</v>
      </c>
    </row>
    <row r="651" spans="1:49" x14ac:dyDescent="0.25">
      <c r="A651" t="str">
        <v/>
      </c>
      <c r="B651" t="str">
        <v/>
      </c>
      <c r="C651" t="e">
        <v>#N/A</v>
      </c>
      <c r="D651" t="e">
        <v>#N/A</v>
      </c>
      <c r="J651" t="str">
        <v/>
      </c>
      <c r="K651" t="e">
        <f ca="1"/>
        <v>#N/A</v>
      </c>
      <c r="L651" t="str">
        <v/>
      </c>
      <c r="M651" t="e">
        <v>#N/A</v>
      </c>
      <c r="N651" t="e">
        <v>#N/A</v>
      </c>
      <c r="O651" t="e">
        <v>#N/A</v>
      </c>
      <c r="R651" t="e">
        <v>#N/A</v>
      </c>
      <c r="T651" t="e">
        <v>#N/A</v>
      </c>
      <c r="U651" t="e">
        <v>#N/A</v>
      </c>
      <c r="Y651" t="str">
        <v/>
      </c>
      <c r="AM651" t="str">
        <v/>
      </c>
      <c r="AN651" t="str">
        <v/>
      </c>
      <c r="AO651" t="str">
        <v/>
      </c>
      <c r="AQ651" t="str">
        <v/>
      </c>
      <c r="AR651" t="str">
        <v/>
      </c>
      <c r="AS651" t="e">
        <v>#N/A</v>
      </c>
      <c r="AU651" t="str">
        <v/>
      </c>
      <c r="AW651" t="e">
        <v>#N/A</v>
      </c>
    </row>
    <row r="652" spans="1:49" x14ac:dyDescent="0.25">
      <c r="A652" t="str">
        <v/>
      </c>
      <c r="B652" t="str">
        <v/>
      </c>
      <c r="C652" t="e">
        <v>#N/A</v>
      </c>
      <c r="D652" t="e">
        <v>#N/A</v>
      </c>
      <c r="J652" t="str">
        <v/>
      </c>
      <c r="K652" t="e">
        <f ca="1"/>
        <v>#N/A</v>
      </c>
      <c r="L652" t="str">
        <v/>
      </c>
      <c r="M652" t="e">
        <v>#N/A</v>
      </c>
      <c r="N652" t="e">
        <v>#N/A</v>
      </c>
      <c r="O652" t="e">
        <v>#N/A</v>
      </c>
      <c r="R652" t="e">
        <v>#N/A</v>
      </c>
      <c r="T652" t="e">
        <v>#N/A</v>
      </c>
      <c r="U652" t="e">
        <v>#N/A</v>
      </c>
      <c r="Y652" t="str">
        <v/>
      </c>
      <c r="AM652" t="str">
        <v/>
      </c>
      <c r="AN652" t="str">
        <v/>
      </c>
      <c r="AO652" t="str">
        <v/>
      </c>
      <c r="AQ652" t="str">
        <v/>
      </c>
      <c r="AR652" t="str">
        <v/>
      </c>
      <c r="AS652" t="e">
        <v>#N/A</v>
      </c>
      <c r="AU652" t="str">
        <v/>
      </c>
      <c r="AW652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9967-5AFC-4057-9562-4AAB1384AA05}">
  <dimension ref="A1:I142"/>
  <sheetViews>
    <sheetView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J2" sqref="J2"/>
    </sheetView>
  </sheetViews>
  <sheetFormatPr defaultRowHeight="15" x14ac:dyDescent="0.25"/>
  <cols>
    <col min="4" max="4" width="23.85546875" customWidth="1"/>
    <col min="5" max="5" width="13.28515625" customWidth="1"/>
    <col min="6" max="6" width="22.140625" customWidth="1"/>
  </cols>
  <sheetData>
    <row r="1" spans="2:9" x14ac:dyDescent="0.25">
      <c r="C1" s="82" t="s">
        <v>1096</v>
      </c>
      <c r="G1" s="82" t="s">
        <v>684</v>
      </c>
      <c r="H1" s="82" t="s">
        <v>685</v>
      </c>
      <c r="I1" s="82" t="s">
        <v>686</v>
      </c>
    </row>
    <row r="2" spans="2:9" x14ac:dyDescent="0.25">
      <c r="B2" s="83">
        <v>1</v>
      </c>
      <c r="C2" t="str">
        <f t="shared" ref="C2:C33" si="0">G2&amp;","&amp;H2&amp;","&amp;I2</f>
        <v>255,255,0</v>
      </c>
      <c r="D2" s="83" t="s">
        <v>687</v>
      </c>
      <c r="E2" s="83" t="s">
        <v>688</v>
      </c>
      <c r="F2" s="83" t="s">
        <v>689</v>
      </c>
      <c r="G2">
        <v>255</v>
      </c>
      <c r="H2">
        <v>255</v>
      </c>
      <c r="I2">
        <v>0</v>
      </c>
    </row>
    <row r="3" spans="2:9" x14ac:dyDescent="0.25">
      <c r="B3" s="83">
        <v>2</v>
      </c>
      <c r="C3" t="str">
        <f t="shared" si="0"/>
        <v>210,105,30</v>
      </c>
      <c r="D3" s="83" t="s">
        <v>690</v>
      </c>
      <c r="E3" s="83" t="s">
        <v>691</v>
      </c>
      <c r="F3" s="83" t="s">
        <v>692</v>
      </c>
      <c r="G3">
        <v>210</v>
      </c>
      <c r="H3">
        <v>105</v>
      </c>
      <c r="I3">
        <v>30</v>
      </c>
    </row>
    <row r="4" spans="2:9" x14ac:dyDescent="0.25">
      <c r="B4" s="83">
        <v>3</v>
      </c>
      <c r="C4" t="str">
        <f t="shared" si="0"/>
        <v>0,0,128</v>
      </c>
      <c r="D4" s="83" t="s">
        <v>693</v>
      </c>
      <c r="E4" s="83" t="s">
        <v>694</v>
      </c>
      <c r="F4" s="83" t="s">
        <v>695</v>
      </c>
      <c r="G4">
        <v>0</v>
      </c>
      <c r="H4">
        <v>0</v>
      </c>
      <c r="I4">
        <v>128</v>
      </c>
    </row>
    <row r="5" spans="2:9" x14ac:dyDescent="0.25">
      <c r="B5" s="83">
        <v>4</v>
      </c>
      <c r="C5" t="str">
        <f t="shared" si="0"/>
        <v>0,0,255</v>
      </c>
      <c r="D5" s="83" t="s">
        <v>570</v>
      </c>
      <c r="E5" s="83" t="s">
        <v>696</v>
      </c>
      <c r="F5" s="83" t="s">
        <v>697</v>
      </c>
      <c r="G5">
        <v>0</v>
      </c>
      <c r="H5">
        <v>0</v>
      </c>
      <c r="I5">
        <v>255</v>
      </c>
    </row>
    <row r="6" spans="2:9" x14ac:dyDescent="0.25">
      <c r="B6" s="83">
        <v>5</v>
      </c>
      <c r="C6" t="str">
        <f t="shared" si="0"/>
        <v>0,128,0</v>
      </c>
      <c r="D6" s="83" t="s">
        <v>698</v>
      </c>
      <c r="E6" s="83" t="s">
        <v>699</v>
      </c>
      <c r="F6" s="83" t="s">
        <v>700</v>
      </c>
      <c r="G6">
        <v>0</v>
      </c>
      <c r="H6">
        <v>128</v>
      </c>
      <c r="I6">
        <v>0</v>
      </c>
    </row>
    <row r="7" spans="2:9" x14ac:dyDescent="0.25">
      <c r="B7" s="83">
        <v>6</v>
      </c>
      <c r="C7" t="str">
        <f t="shared" si="0"/>
        <v>0,128,128</v>
      </c>
      <c r="D7" s="83" t="s">
        <v>701</v>
      </c>
      <c r="E7" s="83" t="s">
        <v>702</v>
      </c>
      <c r="F7" s="83" t="s">
        <v>703</v>
      </c>
      <c r="G7">
        <v>0</v>
      </c>
      <c r="H7">
        <v>128</v>
      </c>
      <c r="I7">
        <v>128</v>
      </c>
    </row>
    <row r="8" spans="2:9" x14ac:dyDescent="0.25">
      <c r="B8" s="83">
        <v>7</v>
      </c>
      <c r="C8" t="str">
        <f t="shared" si="0"/>
        <v>0,250,154</v>
      </c>
      <c r="D8" s="83" t="s">
        <v>1009</v>
      </c>
      <c r="E8" s="83" t="s">
        <v>704</v>
      </c>
      <c r="F8" s="83" t="s">
        <v>705</v>
      </c>
      <c r="G8">
        <v>0</v>
      </c>
      <c r="H8">
        <v>250</v>
      </c>
      <c r="I8">
        <v>154</v>
      </c>
    </row>
    <row r="9" spans="2:9" x14ac:dyDescent="0.25">
      <c r="B9" s="83">
        <v>8</v>
      </c>
      <c r="C9" t="str">
        <f t="shared" si="0"/>
        <v>0,191,255</v>
      </c>
      <c r="D9" s="83" t="s">
        <v>1010</v>
      </c>
      <c r="E9" s="83" t="s">
        <v>706</v>
      </c>
      <c r="F9" s="83" t="s">
        <v>707</v>
      </c>
      <c r="G9">
        <v>0</v>
      </c>
      <c r="H9">
        <v>191</v>
      </c>
      <c r="I9">
        <v>255</v>
      </c>
    </row>
    <row r="10" spans="2:9" x14ac:dyDescent="0.25">
      <c r="B10" s="83">
        <v>9</v>
      </c>
      <c r="C10" t="str">
        <f t="shared" si="0"/>
        <v>0,255,0</v>
      </c>
      <c r="D10" s="83" t="s">
        <v>708</v>
      </c>
      <c r="E10" s="83" t="s">
        <v>709</v>
      </c>
      <c r="F10" s="83" t="s">
        <v>710</v>
      </c>
      <c r="G10">
        <v>0</v>
      </c>
      <c r="H10">
        <v>255</v>
      </c>
      <c r="I10">
        <v>0</v>
      </c>
    </row>
    <row r="11" spans="2:9" x14ac:dyDescent="0.25">
      <c r="B11" s="83">
        <v>10</v>
      </c>
      <c r="C11" t="str">
        <f t="shared" si="0"/>
        <v>0,255,255</v>
      </c>
      <c r="D11" s="83" t="s">
        <v>572</v>
      </c>
      <c r="E11" s="83" t="s">
        <v>711</v>
      </c>
      <c r="F11" s="83" t="s">
        <v>712</v>
      </c>
      <c r="G11">
        <v>0</v>
      </c>
      <c r="H11">
        <v>255</v>
      </c>
      <c r="I11">
        <v>255</v>
      </c>
    </row>
    <row r="12" spans="2:9" x14ac:dyDescent="0.25">
      <c r="B12" s="83">
        <v>11</v>
      </c>
      <c r="C12" t="str">
        <f t="shared" si="0"/>
        <v>0,255,255</v>
      </c>
      <c r="D12" s="83" t="s">
        <v>713</v>
      </c>
      <c r="E12" s="83" t="s">
        <v>711</v>
      </c>
      <c r="F12" s="83" t="s">
        <v>712</v>
      </c>
      <c r="G12">
        <v>0</v>
      </c>
      <c r="H12">
        <v>255</v>
      </c>
      <c r="I12">
        <v>255</v>
      </c>
    </row>
    <row r="13" spans="2:9" x14ac:dyDescent="0.25">
      <c r="B13" s="83">
        <v>12</v>
      </c>
      <c r="C13" t="str">
        <f t="shared" si="0"/>
        <v>34,139,34</v>
      </c>
      <c r="D13" s="83" t="s">
        <v>1011</v>
      </c>
      <c r="E13" s="83" t="s">
        <v>714</v>
      </c>
      <c r="F13" s="83" t="s">
        <v>715</v>
      </c>
      <c r="G13">
        <v>34</v>
      </c>
      <c r="H13">
        <v>139</v>
      </c>
      <c r="I13">
        <v>34</v>
      </c>
    </row>
    <row r="14" spans="2:9" x14ac:dyDescent="0.25">
      <c r="B14" s="83">
        <v>13</v>
      </c>
      <c r="C14" t="str">
        <f t="shared" si="0"/>
        <v>60,179,113</v>
      </c>
      <c r="D14" s="83" t="s">
        <v>1012</v>
      </c>
      <c r="E14" s="83" t="s">
        <v>716</v>
      </c>
      <c r="F14" s="83" t="s">
        <v>717</v>
      </c>
      <c r="G14">
        <v>60</v>
      </c>
      <c r="H14">
        <v>179</v>
      </c>
      <c r="I14">
        <v>113</v>
      </c>
    </row>
    <row r="15" spans="2:9" x14ac:dyDescent="0.25">
      <c r="B15" s="83">
        <v>14</v>
      </c>
      <c r="C15" t="str">
        <f t="shared" si="0"/>
        <v>210,180,140</v>
      </c>
      <c r="D15" s="83" t="s">
        <v>718</v>
      </c>
      <c r="E15" s="83" t="s">
        <v>719</v>
      </c>
      <c r="F15" s="83" t="s">
        <v>720</v>
      </c>
      <c r="G15">
        <v>210</v>
      </c>
      <c r="H15">
        <v>180</v>
      </c>
      <c r="I15">
        <v>140</v>
      </c>
    </row>
    <row r="16" spans="2:9" x14ac:dyDescent="0.25">
      <c r="B16" s="83">
        <v>15</v>
      </c>
      <c r="C16" t="str">
        <f t="shared" si="0"/>
        <v>218,112,214</v>
      </c>
      <c r="D16" s="83" t="s">
        <v>721</v>
      </c>
      <c r="E16" s="83" t="s">
        <v>722</v>
      </c>
      <c r="F16" s="83" t="s">
        <v>723</v>
      </c>
      <c r="G16">
        <v>218</v>
      </c>
      <c r="H16">
        <v>112</v>
      </c>
      <c r="I16">
        <v>214</v>
      </c>
    </row>
    <row r="17" spans="2:9" x14ac:dyDescent="0.25">
      <c r="B17" s="83">
        <v>16</v>
      </c>
      <c r="C17" t="str">
        <f t="shared" si="0"/>
        <v>218,165,32</v>
      </c>
      <c r="D17" s="83" t="s">
        <v>724</v>
      </c>
      <c r="E17" s="83" t="s">
        <v>725</v>
      </c>
      <c r="F17" s="83" t="s">
        <v>726</v>
      </c>
      <c r="G17">
        <v>218</v>
      </c>
      <c r="H17">
        <v>165</v>
      </c>
      <c r="I17">
        <v>32</v>
      </c>
    </row>
    <row r="18" spans="2:9" x14ac:dyDescent="0.25">
      <c r="B18" s="83">
        <v>17</v>
      </c>
      <c r="C18" t="str">
        <f t="shared" si="0"/>
        <v>222,184,135</v>
      </c>
      <c r="D18" s="83" t="s">
        <v>1013</v>
      </c>
      <c r="E18" s="83" t="s">
        <v>727</v>
      </c>
      <c r="F18" s="83" t="s">
        <v>728</v>
      </c>
      <c r="G18">
        <v>222</v>
      </c>
      <c r="H18">
        <v>184</v>
      </c>
      <c r="I18">
        <v>135</v>
      </c>
    </row>
    <row r="19" spans="2:9" x14ac:dyDescent="0.25">
      <c r="B19" s="83">
        <v>18</v>
      </c>
      <c r="C19" t="str">
        <f t="shared" si="0"/>
        <v>224,255,255</v>
      </c>
      <c r="D19" s="83" t="s">
        <v>1015</v>
      </c>
      <c r="E19" s="83" t="s">
        <v>729</v>
      </c>
      <c r="F19" s="83" t="s">
        <v>730</v>
      </c>
      <c r="G19">
        <v>224</v>
      </c>
      <c r="H19">
        <v>255</v>
      </c>
      <c r="I19">
        <v>255</v>
      </c>
    </row>
    <row r="20" spans="2:9" x14ac:dyDescent="0.25">
      <c r="B20" s="83">
        <v>19</v>
      </c>
      <c r="C20" t="str">
        <f t="shared" si="0"/>
        <v>230,230,250</v>
      </c>
      <c r="D20" s="83" t="s">
        <v>731</v>
      </c>
      <c r="E20" s="83" t="s">
        <v>732</v>
      </c>
      <c r="F20" s="83" t="s">
        <v>733</v>
      </c>
      <c r="G20">
        <v>230</v>
      </c>
      <c r="H20">
        <v>230</v>
      </c>
      <c r="I20">
        <v>250</v>
      </c>
    </row>
    <row r="21" spans="2:9" x14ac:dyDescent="0.25">
      <c r="B21" s="83">
        <v>20</v>
      </c>
      <c r="C21" t="str">
        <f t="shared" si="0"/>
        <v>238,130,238</v>
      </c>
      <c r="D21" s="83" t="s">
        <v>734</v>
      </c>
      <c r="E21" s="83" t="s">
        <v>735</v>
      </c>
      <c r="F21" s="83" t="s">
        <v>736</v>
      </c>
      <c r="G21">
        <v>238</v>
      </c>
      <c r="H21">
        <v>130</v>
      </c>
      <c r="I21">
        <v>238</v>
      </c>
    </row>
    <row r="22" spans="2:9" x14ac:dyDescent="0.25">
      <c r="B22" s="83">
        <v>21</v>
      </c>
      <c r="C22" t="str">
        <f t="shared" si="0"/>
        <v>240,230,140</v>
      </c>
      <c r="D22" s="83" t="s">
        <v>737</v>
      </c>
      <c r="E22" s="83" t="s">
        <v>738</v>
      </c>
      <c r="F22" s="83" t="s">
        <v>739</v>
      </c>
      <c r="G22">
        <v>240</v>
      </c>
      <c r="H22">
        <v>230</v>
      </c>
      <c r="I22">
        <v>140</v>
      </c>
    </row>
    <row r="23" spans="2:9" x14ac:dyDescent="0.25">
      <c r="B23" s="83">
        <v>22</v>
      </c>
      <c r="C23" t="str">
        <f t="shared" si="0"/>
        <v>244,164,96</v>
      </c>
      <c r="D23" s="83" t="s">
        <v>1014</v>
      </c>
      <c r="E23" s="83" t="s">
        <v>740</v>
      </c>
      <c r="F23" s="83" t="s">
        <v>741</v>
      </c>
      <c r="G23">
        <v>244</v>
      </c>
      <c r="H23">
        <v>164</v>
      </c>
      <c r="I23">
        <v>96</v>
      </c>
    </row>
    <row r="24" spans="2:9" x14ac:dyDescent="0.25">
      <c r="B24" s="83">
        <v>23</v>
      </c>
      <c r="C24" t="str">
        <f t="shared" si="0"/>
        <v>245,245,220</v>
      </c>
      <c r="D24" s="83" t="s">
        <v>742</v>
      </c>
      <c r="E24" s="83" t="s">
        <v>743</v>
      </c>
      <c r="F24" s="83" t="s">
        <v>744</v>
      </c>
      <c r="G24">
        <v>245</v>
      </c>
      <c r="H24">
        <v>245</v>
      </c>
      <c r="I24">
        <v>220</v>
      </c>
    </row>
    <row r="25" spans="2:9" x14ac:dyDescent="0.25">
      <c r="B25" s="83">
        <v>24</v>
      </c>
      <c r="C25" t="str">
        <f t="shared" si="0"/>
        <v>250,128,114</v>
      </c>
      <c r="D25" s="83" t="s">
        <v>745</v>
      </c>
      <c r="E25" s="83" t="s">
        <v>746</v>
      </c>
      <c r="F25" s="83" t="s">
        <v>747</v>
      </c>
      <c r="G25">
        <v>250</v>
      </c>
      <c r="H25">
        <v>128</v>
      </c>
      <c r="I25">
        <v>114</v>
      </c>
    </row>
    <row r="26" spans="2:9" x14ac:dyDescent="0.25">
      <c r="B26" s="83">
        <v>25</v>
      </c>
      <c r="C26" t="str">
        <f t="shared" si="0"/>
        <v>255,0,255</v>
      </c>
      <c r="D26" s="83" t="s">
        <v>748</v>
      </c>
      <c r="E26" s="83" t="s">
        <v>749</v>
      </c>
      <c r="F26" s="83" t="s">
        <v>750</v>
      </c>
      <c r="G26">
        <v>255</v>
      </c>
      <c r="H26">
        <v>0</v>
      </c>
      <c r="I26">
        <v>255</v>
      </c>
    </row>
    <row r="27" spans="2:9" x14ac:dyDescent="0.25">
      <c r="B27" s="83">
        <v>26</v>
      </c>
      <c r="C27" t="str">
        <f t="shared" si="0"/>
        <v>255,0,255</v>
      </c>
      <c r="D27" s="83" t="s">
        <v>751</v>
      </c>
      <c r="E27" s="83" t="s">
        <v>749</v>
      </c>
      <c r="F27" s="83" t="s">
        <v>750</v>
      </c>
      <c r="G27">
        <v>255</v>
      </c>
      <c r="H27">
        <v>0</v>
      </c>
      <c r="I27">
        <v>255</v>
      </c>
    </row>
    <row r="28" spans="2:9" x14ac:dyDescent="0.25">
      <c r="B28" s="83">
        <v>27</v>
      </c>
      <c r="C28" t="str">
        <f t="shared" si="0"/>
        <v>255,20,147</v>
      </c>
      <c r="D28" s="83" t="s">
        <v>1016</v>
      </c>
      <c r="E28" s="83" t="s">
        <v>752</v>
      </c>
      <c r="F28" s="83" t="s">
        <v>753</v>
      </c>
      <c r="G28">
        <v>255</v>
      </c>
      <c r="H28">
        <v>20</v>
      </c>
      <c r="I28">
        <v>147</v>
      </c>
    </row>
    <row r="29" spans="2:9" x14ac:dyDescent="0.25">
      <c r="B29" s="83">
        <v>28</v>
      </c>
      <c r="C29" t="str">
        <f t="shared" si="0"/>
        <v>255,99,71</v>
      </c>
      <c r="D29" s="83" t="s">
        <v>754</v>
      </c>
      <c r="E29" s="83" t="s">
        <v>755</v>
      </c>
      <c r="F29" s="83" t="s">
        <v>756</v>
      </c>
      <c r="G29">
        <v>255</v>
      </c>
      <c r="H29">
        <v>99</v>
      </c>
      <c r="I29">
        <v>71</v>
      </c>
    </row>
    <row r="30" spans="2:9" x14ac:dyDescent="0.25">
      <c r="B30" s="83">
        <v>29</v>
      </c>
      <c r="C30" t="str">
        <f t="shared" si="0"/>
        <v>255,105,180</v>
      </c>
      <c r="D30" s="83" t="s">
        <v>1017</v>
      </c>
      <c r="E30" s="83" t="s">
        <v>757</v>
      </c>
      <c r="F30" s="83" t="s">
        <v>758</v>
      </c>
      <c r="G30">
        <v>255</v>
      </c>
      <c r="H30">
        <v>105</v>
      </c>
      <c r="I30">
        <v>180</v>
      </c>
    </row>
    <row r="31" spans="2:9" x14ac:dyDescent="0.25">
      <c r="B31" s="83">
        <v>30</v>
      </c>
      <c r="C31" t="str">
        <f t="shared" si="0"/>
        <v>255,140,0</v>
      </c>
      <c r="D31" s="83" t="s">
        <v>1018</v>
      </c>
      <c r="E31" s="83" t="s">
        <v>759</v>
      </c>
      <c r="F31" s="83" t="s">
        <v>760</v>
      </c>
      <c r="G31">
        <v>255</v>
      </c>
      <c r="H31">
        <v>140</v>
      </c>
      <c r="I31">
        <v>0</v>
      </c>
    </row>
    <row r="32" spans="2:9" x14ac:dyDescent="0.25">
      <c r="B32" s="83">
        <v>31</v>
      </c>
      <c r="C32" t="str">
        <f t="shared" si="0"/>
        <v>255,165,0</v>
      </c>
      <c r="D32" s="83" t="s">
        <v>569</v>
      </c>
      <c r="E32" s="83" t="s">
        <v>761</v>
      </c>
      <c r="F32" s="83" t="s">
        <v>762</v>
      </c>
      <c r="G32">
        <v>255</v>
      </c>
      <c r="H32">
        <v>165</v>
      </c>
      <c r="I32">
        <v>0</v>
      </c>
    </row>
    <row r="33" spans="1:9" x14ac:dyDescent="0.25">
      <c r="B33" s="83">
        <v>32</v>
      </c>
      <c r="C33" t="str">
        <f t="shared" si="0"/>
        <v>255,182,193</v>
      </c>
      <c r="D33" s="83" t="s">
        <v>1019</v>
      </c>
      <c r="E33" s="83" t="s">
        <v>763</v>
      </c>
      <c r="F33" s="83" t="s">
        <v>764</v>
      </c>
      <c r="G33">
        <v>255</v>
      </c>
      <c r="H33">
        <v>182</v>
      </c>
      <c r="I33">
        <v>193</v>
      </c>
    </row>
    <row r="34" spans="1:9" x14ac:dyDescent="0.25">
      <c r="B34" s="83">
        <v>33</v>
      </c>
      <c r="C34" t="str">
        <f t="shared" ref="C34:C65" si="1">G34&amp;","&amp;H34&amp;","&amp;I34</f>
        <v>255,192,203</v>
      </c>
      <c r="D34" s="83" t="s">
        <v>765</v>
      </c>
      <c r="E34" s="83" t="s">
        <v>766</v>
      </c>
      <c r="F34" s="83" t="s">
        <v>767</v>
      </c>
      <c r="G34">
        <v>255</v>
      </c>
      <c r="H34">
        <v>192</v>
      </c>
      <c r="I34">
        <v>203</v>
      </c>
    </row>
    <row r="35" spans="1:9" x14ac:dyDescent="0.25">
      <c r="B35" s="83">
        <v>34</v>
      </c>
      <c r="C35" t="str">
        <f t="shared" si="1"/>
        <v>255,215,0</v>
      </c>
      <c r="D35" s="83" t="s">
        <v>768</v>
      </c>
      <c r="E35" s="83" t="s">
        <v>769</v>
      </c>
      <c r="F35" s="83" t="s">
        <v>770</v>
      </c>
      <c r="G35">
        <v>255</v>
      </c>
      <c r="H35">
        <v>215</v>
      </c>
      <c r="I35">
        <v>0</v>
      </c>
    </row>
    <row r="36" spans="1:9" x14ac:dyDescent="0.25">
      <c r="B36" s="83">
        <v>35</v>
      </c>
      <c r="C36" t="str">
        <f t="shared" si="1"/>
        <v>0,0,139</v>
      </c>
      <c r="D36" s="83" t="s">
        <v>1020</v>
      </c>
      <c r="E36" s="83" t="s">
        <v>771</v>
      </c>
      <c r="F36" s="83" t="s">
        <v>772</v>
      </c>
      <c r="G36">
        <v>0</v>
      </c>
      <c r="H36">
        <v>0</v>
      </c>
      <c r="I36">
        <v>139</v>
      </c>
    </row>
    <row r="37" spans="1:9" x14ac:dyDescent="0.25">
      <c r="A37" s="84"/>
      <c r="B37" s="85">
        <v>36</v>
      </c>
      <c r="C37" s="84" t="str">
        <f t="shared" si="1"/>
        <v>0,0,205</v>
      </c>
      <c r="D37" s="85" t="s">
        <v>1021</v>
      </c>
      <c r="E37" s="85" t="s">
        <v>773</v>
      </c>
      <c r="F37" s="85" t="s">
        <v>774</v>
      </c>
      <c r="G37" s="84">
        <v>0</v>
      </c>
      <c r="H37" s="84">
        <v>0</v>
      </c>
      <c r="I37" s="84">
        <v>205</v>
      </c>
    </row>
    <row r="38" spans="1:9" x14ac:dyDescent="0.25">
      <c r="B38" s="83">
        <v>37</v>
      </c>
      <c r="C38" t="str">
        <f t="shared" si="1"/>
        <v>0,100,0</v>
      </c>
      <c r="D38" s="83" t="s">
        <v>1022</v>
      </c>
      <c r="E38" s="83" t="s">
        <v>775</v>
      </c>
      <c r="F38" s="83" t="s">
        <v>776</v>
      </c>
      <c r="G38">
        <v>0</v>
      </c>
      <c r="H38">
        <v>100</v>
      </c>
      <c r="I38">
        <v>0</v>
      </c>
    </row>
    <row r="39" spans="1:9" x14ac:dyDescent="0.25">
      <c r="B39" s="83">
        <v>38</v>
      </c>
      <c r="C39" t="str">
        <f t="shared" si="1"/>
        <v>0,139,139</v>
      </c>
      <c r="D39" s="83" t="s">
        <v>1023</v>
      </c>
      <c r="E39" s="83" t="s">
        <v>777</v>
      </c>
      <c r="F39" s="83" t="s">
        <v>778</v>
      </c>
      <c r="G39">
        <v>0</v>
      </c>
      <c r="H39">
        <v>139</v>
      </c>
      <c r="I39">
        <v>139</v>
      </c>
    </row>
    <row r="40" spans="1:9" x14ac:dyDescent="0.25">
      <c r="B40" s="83">
        <v>39</v>
      </c>
      <c r="C40" t="str">
        <f t="shared" si="1"/>
        <v>0,206,209</v>
      </c>
      <c r="D40" s="83" t="s">
        <v>1024</v>
      </c>
      <c r="E40" s="83" t="s">
        <v>779</v>
      </c>
      <c r="F40" s="83" t="s">
        <v>780</v>
      </c>
      <c r="G40">
        <v>0</v>
      </c>
      <c r="H40">
        <v>206</v>
      </c>
      <c r="I40">
        <v>209</v>
      </c>
    </row>
    <row r="41" spans="1:9" x14ac:dyDescent="0.25">
      <c r="B41" s="83">
        <v>40</v>
      </c>
      <c r="C41" t="str">
        <f t="shared" si="1"/>
        <v>0,255,127</v>
      </c>
      <c r="D41" s="83" t="s">
        <v>1025</v>
      </c>
      <c r="E41" s="83" t="s">
        <v>781</v>
      </c>
      <c r="F41" s="83" t="s">
        <v>782</v>
      </c>
      <c r="G41">
        <v>0</v>
      </c>
      <c r="H41">
        <v>255</v>
      </c>
      <c r="I41">
        <v>127</v>
      </c>
    </row>
    <row r="42" spans="1:9" x14ac:dyDescent="0.25">
      <c r="B42" s="83">
        <v>41</v>
      </c>
      <c r="C42" t="str">
        <f t="shared" si="1"/>
        <v>25,25,112</v>
      </c>
      <c r="D42" s="83" t="s">
        <v>1026</v>
      </c>
      <c r="E42" s="83" t="s">
        <v>783</v>
      </c>
      <c r="F42" s="83" t="s">
        <v>784</v>
      </c>
      <c r="G42">
        <v>25</v>
      </c>
      <c r="H42">
        <v>25</v>
      </c>
      <c r="I42">
        <v>112</v>
      </c>
    </row>
    <row r="43" spans="1:9" x14ac:dyDescent="0.25">
      <c r="B43" s="83">
        <v>42</v>
      </c>
      <c r="C43" t="str">
        <f t="shared" si="1"/>
        <v>30,144,255</v>
      </c>
      <c r="D43" s="83" t="s">
        <v>1027</v>
      </c>
      <c r="E43" s="83" t="s">
        <v>785</v>
      </c>
      <c r="F43" s="83" t="s">
        <v>786</v>
      </c>
      <c r="G43">
        <v>30</v>
      </c>
      <c r="H43">
        <v>144</v>
      </c>
      <c r="I43">
        <v>255</v>
      </c>
    </row>
    <row r="44" spans="1:9" x14ac:dyDescent="0.25">
      <c r="B44" s="83">
        <v>43</v>
      </c>
      <c r="C44" t="str">
        <f t="shared" si="1"/>
        <v>32,178,170</v>
      </c>
      <c r="D44" s="83" t="s">
        <v>1028</v>
      </c>
      <c r="E44" s="83" t="s">
        <v>787</v>
      </c>
      <c r="F44" s="83" t="s">
        <v>788</v>
      </c>
      <c r="G44">
        <v>32</v>
      </c>
      <c r="H44">
        <v>178</v>
      </c>
      <c r="I44">
        <v>170</v>
      </c>
    </row>
    <row r="45" spans="1:9" x14ac:dyDescent="0.25">
      <c r="B45" s="83">
        <v>44</v>
      </c>
      <c r="C45" t="str">
        <f t="shared" si="1"/>
        <v>46,139,87</v>
      </c>
      <c r="D45" s="83" t="s">
        <v>1029</v>
      </c>
      <c r="E45" s="83" t="s">
        <v>789</v>
      </c>
      <c r="F45" s="83" t="s">
        <v>790</v>
      </c>
      <c r="G45">
        <v>46</v>
      </c>
      <c r="H45">
        <v>139</v>
      </c>
      <c r="I45">
        <v>87</v>
      </c>
    </row>
    <row r="46" spans="1:9" x14ac:dyDescent="0.25">
      <c r="B46" s="83">
        <v>45</v>
      </c>
      <c r="C46" t="str">
        <f t="shared" si="1"/>
        <v>47,79,79</v>
      </c>
      <c r="D46" s="83" t="s">
        <v>1030</v>
      </c>
      <c r="E46" s="83" t="s">
        <v>791</v>
      </c>
      <c r="F46" s="83" t="s">
        <v>792</v>
      </c>
      <c r="G46">
        <v>47</v>
      </c>
      <c r="H46">
        <v>79</v>
      </c>
      <c r="I46">
        <v>79</v>
      </c>
    </row>
    <row r="47" spans="1:9" x14ac:dyDescent="0.25">
      <c r="B47" s="83">
        <v>46</v>
      </c>
      <c r="C47" t="str">
        <f t="shared" si="1"/>
        <v>50,205,50</v>
      </c>
      <c r="D47" s="83" t="s">
        <v>1031</v>
      </c>
      <c r="E47" s="83" t="s">
        <v>793</v>
      </c>
      <c r="F47" s="83" t="s">
        <v>794</v>
      </c>
      <c r="G47">
        <v>50</v>
      </c>
      <c r="H47">
        <v>205</v>
      </c>
      <c r="I47">
        <v>50</v>
      </c>
    </row>
    <row r="48" spans="1:9" x14ac:dyDescent="0.25">
      <c r="B48" s="83">
        <v>47</v>
      </c>
      <c r="C48" t="str">
        <f t="shared" si="1"/>
        <v>64,224,208</v>
      </c>
      <c r="D48" s="83" t="s">
        <v>795</v>
      </c>
      <c r="E48" s="83" t="s">
        <v>796</v>
      </c>
      <c r="F48" s="83" t="s">
        <v>797</v>
      </c>
      <c r="G48">
        <v>64</v>
      </c>
      <c r="H48">
        <v>224</v>
      </c>
      <c r="I48">
        <v>208</v>
      </c>
    </row>
    <row r="49" spans="2:9" x14ac:dyDescent="0.25">
      <c r="B49" s="83">
        <v>48</v>
      </c>
      <c r="C49" t="str">
        <f t="shared" si="1"/>
        <v>65,105,225</v>
      </c>
      <c r="D49" s="83" t="s">
        <v>1032</v>
      </c>
      <c r="E49" s="83" t="s">
        <v>798</v>
      </c>
      <c r="F49" s="83" t="s">
        <v>799</v>
      </c>
      <c r="G49">
        <v>65</v>
      </c>
      <c r="H49">
        <v>105</v>
      </c>
      <c r="I49">
        <v>225</v>
      </c>
    </row>
    <row r="50" spans="2:9" x14ac:dyDescent="0.25">
      <c r="B50" s="83">
        <v>49</v>
      </c>
      <c r="C50" t="str">
        <f t="shared" si="1"/>
        <v>70,130,180</v>
      </c>
      <c r="D50" s="83" t="s">
        <v>1033</v>
      </c>
      <c r="E50" s="83" t="s">
        <v>800</v>
      </c>
      <c r="F50" s="83" t="s">
        <v>801</v>
      </c>
      <c r="G50">
        <v>70</v>
      </c>
      <c r="H50">
        <v>130</v>
      </c>
      <c r="I50">
        <v>180</v>
      </c>
    </row>
    <row r="51" spans="2:9" x14ac:dyDescent="0.25">
      <c r="B51" s="83">
        <v>50</v>
      </c>
      <c r="C51" t="str">
        <f t="shared" si="1"/>
        <v>72,61,139</v>
      </c>
      <c r="D51" s="83" t="s">
        <v>1034</v>
      </c>
      <c r="E51" s="83" t="s">
        <v>802</v>
      </c>
      <c r="F51" s="83" t="s">
        <v>803</v>
      </c>
      <c r="G51">
        <v>72</v>
      </c>
      <c r="H51">
        <v>61</v>
      </c>
      <c r="I51">
        <v>139</v>
      </c>
    </row>
    <row r="52" spans="2:9" x14ac:dyDescent="0.25">
      <c r="B52" s="83">
        <v>51</v>
      </c>
      <c r="C52" t="str">
        <f t="shared" si="1"/>
        <v>72,209,204</v>
      </c>
      <c r="D52" s="83" t="s">
        <v>1035</v>
      </c>
      <c r="E52" s="83" t="s">
        <v>804</v>
      </c>
      <c r="F52" s="83" t="s">
        <v>805</v>
      </c>
      <c r="G52">
        <v>72</v>
      </c>
      <c r="H52">
        <v>209</v>
      </c>
      <c r="I52">
        <v>204</v>
      </c>
    </row>
    <row r="53" spans="2:9" x14ac:dyDescent="0.25">
      <c r="B53" s="83">
        <v>52</v>
      </c>
      <c r="C53" t="str">
        <f t="shared" si="1"/>
        <v>75,0,130</v>
      </c>
      <c r="D53" s="83" t="s">
        <v>806</v>
      </c>
      <c r="E53" s="83" t="s">
        <v>807</v>
      </c>
      <c r="F53" s="83" t="s">
        <v>808</v>
      </c>
      <c r="G53">
        <v>75</v>
      </c>
      <c r="H53">
        <v>0</v>
      </c>
      <c r="I53">
        <v>130</v>
      </c>
    </row>
    <row r="54" spans="2:9" x14ac:dyDescent="0.25">
      <c r="B54" s="83">
        <v>53</v>
      </c>
      <c r="C54" t="str">
        <f t="shared" si="1"/>
        <v>85,107,47</v>
      </c>
      <c r="D54" s="83" t="s">
        <v>1036</v>
      </c>
      <c r="E54" s="83" t="s">
        <v>809</v>
      </c>
      <c r="F54" s="83" t="s">
        <v>810</v>
      </c>
      <c r="G54">
        <v>85</v>
      </c>
      <c r="H54">
        <v>107</v>
      </c>
      <c r="I54">
        <v>47</v>
      </c>
    </row>
    <row r="55" spans="2:9" x14ac:dyDescent="0.25">
      <c r="B55" s="83">
        <v>54</v>
      </c>
      <c r="C55" t="str">
        <f t="shared" si="1"/>
        <v>95,158,160</v>
      </c>
      <c r="D55" s="83" t="s">
        <v>1037</v>
      </c>
      <c r="E55" s="83" t="s">
        <v>811</v>
      </c>
      <c r="F55" s="83" t="s">
        <v>812</v>
      </c>
      <c r="G55">
        <v>95</v>
      </c>
      <c r="H55">
        <v>158</v>
      </c>
      <c r="I55">
        <v>160</v>
      </c>
    </row>
    <row r="56" spans="2:9" x14ac:dyDescent="0.25">
      <c r="B56" s="83">
        <v>55</v>
      </c>
      <c r="C56" t="str">
        <f t="shared" si="1"/>
        <v>100,149,237</v>
      </c>
      <c r="D56" s="83" t="s">
        <v>1038</v>
      </c>
      <c r="E56" s="83" t="s">
        <v>813</v>
      </c>
      <c r="F56" s="83" t="s">
        <v>814</v>
      </c>
      <c r="G56">
        <v>100</v>
      </c>
      <c r="H56">
        <v>149</v>
      </c>
      <c r="I56">
        <v>237</v>
      </c>
    </row>
    <row r="57" spans="2:9" x14ac:dyDescent="0.25">
      <c r="B57" s="83">
        <v>56</v>
      </c>
      <c r="C57" t="str">
        <f t="shared" si="1"/>
        <v>102,51,153</v>
      </c>
      <c r="D57" s="83" t="s">
        <v>1039</v>
      </c>
      <c r="E57" s="83" t="s">
        <v>815</v>
      </c>
      <c r="F57" s="83" t="s">
        <v>816</v>
      </c>
      <c r="G57">
        <v>102</v>
      </c>
      <c r="H57">
        <v>51</v>
      </c>
      <c r="I57">
        <v>153</v>
      </c>
    </row>
    <row r="58" spans="2:9" x14ac:dyDescent="0.25">
      <c r="B58" s="83">
        <v>57</v>
      </c>
      <c r="C58" t="str">
        <f t="shared" si="1"/>
        <v>102,205,170</v>
      </c>
      <c r="D58" s="83" t="s">
        <v>1040</v>
      </c>
      <c r="E58" s="83" t="s">
        <v>817</v>
      </c>
      <c r="F58" s="83" t="s">
        <v>818</v>
      </c>
      <c r="G58">
        <v>102</v>
      </c>
      <c r="H58">
        <v>205</v>
      </c>
      <c r="I58">
        <v>170</v>
      </c>
    </row>
    <row r="59" spans="2:9" x14ac:dyDescent="0.25">
      <c r="B59" s="83">
        <v>58</v>
      </c>
      <c r="C59" t="str">
        <f t="shared" si="1"/>
        <v>106,90,205</v>
      </c>
      <c r="D59" s="83" t="s">
        <v>1041</v>
      </c>
      <c r="E59" s="83" t="s">
        <v>819</v>
      </c>
      <c r="F59" s="83" t="s">
        <v>820</v>
      </c>
      <c r="G59">
        <v>106</v>
      </c>
      <c r="H59">
        <v>90</v>
      </c>
      <c r="I59">
        <v>205</v>
      </c>
    </row>
    <row r="60" spans="2:9" x14ac:dyDescent="0.25">
      <c r="B60" s="83">
        <v>59</v>
      </c>
      <c r="C60" t="str">
        <f t="shared" si="1"/>
        <v>107,142,35</v>
      </c>
      <c r="D60" s="83" t="s">
        <v>1042</v>
      </c>
      <c r="E60" s="83" t="s">
        <v>821</v>
      </c>
      <c r="F60" s="83" t="s">
        <v>822</v>
      </c>
      <c r="G60">
        <v>107</v>
      </c>
      <c r="H60">
        <v>142</v>
      </c>
      <c r="I60">
        <v>35</v>
      </c>
    </row>
    <row r="61" spans="2:9" x14ac:dyDescent="0.25">
      <c r="B61" s="83">
        <v>60</v>
      </c>
      <c r="C61" t="str">
        <f t="shared" si="1"/>
        <v>112,128,144</v>
      </c>
      <c r="D61" s="83" t="s">
        <v>1043</v>
      </c>
      <c r="E61" s="83" t="s">
        <v>823</v>
      </c>
      <c r="F61" s="83" t="s">
        <v>824</v>
      </c>
      <c r="G61">
        <v>112</v>
      </c>
      <c r="H61">
        <v>128</v>
      </c>
      <c r="I61">
        <v>144</v>
      </c>
    </row>
    <row r="62" spans="2:9" x14ac:dyDescent="0.25">
      <c r="B62" s="83">
        <v>61</v>
      </c>
      <c r="C62" t="str">
        <f t="shared" si="1"/>
        <v>119,136,153</v>
      </c>
      <c r="D62" s="83" t="s">
        <v>1044</v>
      </c>
      <c r="E62" s="83" t="s">
        <v>825</v>
      </c>
      <c r="F62" s="83" t="s">
        <v>826</v>
      </c>
      <c r="G62">
        <v>119</v>
      </c>
      <c r="H62">
        <v>136</v>
      </c>
      <c r="I62">
        <v>153</v>
      </c>
    </row>
    <row r="63" spans="2:9" x14ac:dyDescent="0.25">
      <c r="B63" s="83">
        <v>62</v>
      </c>
      <c r="C63" t="str">
        <f t="shared" si="1"/>
        <v>123,104,238</v>
      </c>
      <c r="D63" s="83" t="s">
        <v>1045</v>
      </c>
      <c r="E63" s="83" t="s">
        <v>827</v>
      </c>
      <c r="F63" s="83" t="s">
        <v>828</v>
      </c>
      <c r="G63">
        <v>123</v>
      </c>
      <c r="H63">
        <v>104</v>
      </c>
      <c r="I63">
        <v>238</v>
      </c>
    </row>
    <row r="64" spans="2:9" x14ac:dyDescent="0.25">
      <c r="B64" s="83">
        <v>63</v>
      </c>
      <c r="C64" t="str">
        <f t="shared" si="1"/>
        <v>123,104,238</v>
      </c>
      <c r="D64" s="83" t="s">
        <v>1045</v>
      </c>
      <c r="E64" s="83" t="s">
        <v>827</v>
      </c>
      <c r="F64" s="83" t="s">
        <v>828</v>
      </c>
      <c r="G64">
        <v>123</v>
      </c>
      <c r="H64">
        <v>104</v>
      </c>
      <c r="I64">
        <v>238</v>
      </c>
    </row>
    <row r="65" spans="2:9" x14ac:dyDescent="0.25">
      <c r="B65" s="83">
        <v>64</v>
      </c>
      <c r="C65" t="str">
        <f t="shared" si="1"/>
        <v>124,252,0</v>
      </c>
      <c r="D65" s="83" t="s">
        <v>1046</v>
      </c>
      <c r="E65" s="83" t="s">
        <v>829</v>
      </c>
      <c r="F65" s="83" t="s">
        <v>830</v>
      </c>
      <c r="G65">
        <v>124</v>
      </c>
      <c r="H65">
        <v>252</v>
      </c>
      <c r="I65">
        <v>0</v>
      </c>
    </row>
    <row r="66" spans="2:9" x14ac:dyDescent="0.25">
      <c r="B66" s="83">
        <v>65</v>
      </c>
      <c r="C66" t="str">
        <f t="shared" ref="C66:C97" si="2">G66&amp;","&amp;H66&amp;","&amp;I66</f>
        <v>127,255,0</v>
      </c>
      <c r="D66" s="83" t="s">
        <v>831</v>
      </c>
      <c r="E66" s="83" t="s">
        <v>832</v>
      </c>
      <c r="F66" s="83" t="s">
        <v>833</v>
      </c>
      <c r="G66">
        <v>127</v>
      </c>
      <c r="H66">
        <v>255</v>
      </c>
      <c r="I66">
        <v>0</v>
      </c>
    </row>
    <row r="67" spans="2:9" x14ac:dyDescent="0.25">
      <c r="B67" s="83">
        <v>66</v>
      </c>
      <c r="C67" t="str">
        <f t="shared" si="2"/>
        <v>127,255,212</v>
      </c>
      <c r="D67" s="83" t="s">
        <v>834</v>
      </c>
      <c r="E67" s="83" t="s">
        <v>835</v>
      </c>
      <c r="F67" s="83" t="s">
        <v>836</v>
      </c>
      <c r="G67">
        <v>127</v>
      </c>
      <c r="H67">
        <v>255</v>
      </c>
      <c r="I67">
        <v>212</v>
      </c>
    </row>
    <row r="68" spans="2:9" x14ac:dyDescent="0.25">
      <c r="B68" s="83">
        <v>67</v>
      </c>
      <c r="C68" t="str">
        <f t="shared" si="2"/>
        <v>128,0,0</v>
      </c>
      <c r="D68" s="83" t="s">
        <v>837</v>
      </c>
      <c r="E68" s="83" t="s">
        <v>838</v>
      </c>
      <c r="F68" s="83" t="s">
        <v>839</v>
      </c>
      <c r="G68">
        <v>128</v>
      </c>
      <c r="H68">
        <v>0</v>
      </c>
      <c r="I68">
        <v>0</v>
      </c>
    </row>
    <row r="69" spans="2:9" x14ac:dyDescent="0.25">
      <c r="B69" s="83">
        <v>68</v>
      </c>
      <c r="C69" t="str">
        <f t="shared" si="2"/>
        <v>128,0,128</v>
      </c>
      <c r="D69" s="83" t="s">
        <v>571</v>
      </c>
      <c r="E69" s="83" t="s">
        <v>840</v>
      </c>
      <c r="F69" s="83" t="s">
        <v>841</v>
      </c>
      <c r="G69">
        <v>128</v>
      </c>
      <c r="H69">
        <v>0</v>
      </c>
      <c r="I69">
        <v>128</v>
      </c>
    </row>
    <row r="70" spans="2:9" x14ac:dyDescent="0.25">
      <c r="B70" s="83">
        <v>69</v>
      </c>
      <c r="C70" t="str">
        <f t="shared" si="2"/>
        <v>128,128,0</v>
      </c>
      <c r="D70" s="83" t="s">
        <v>842</v>
      </c>
      <c r="E70" s="83" t="s">
        <v>843</v>
      </c>
      <c r="F70" s="83" t="s">
        <v>844</v>
      </c>
      <c r="G70">
        <v>128</v>
      </c>
      <c r="H70">
        <v>128</v>
      </c>
      <c r="I70">
        <v>0</v>
      </c>
    </row>
    <row r="71" spans="2:9" x14ac:dyDescent="0.25">
      <c r="B71" s="83">
        <v>70</v>
      </c>
      <c r="C71" t="str">
        <f t="shared" si="2"/>
        <v>128,128,128</v>
      </c>
      <c r="D71" s="83" t="s">
        <v>845</v>
      </c>
      <c r="E71" s="83" t="s">
        <v>846</v>
      </c>
      <c r="F71" s="83" t="s">
        <v>847</v>
      </c>
      <c r="G71">
        <v>128</v>
      </c>
      <c r="H71">
        <v>128</v>
      </c>
      <c r="I71">
        <v>128</v>
      </c>
    </row>
    <row r="72" spans="2:9" x14ac:dyDescent="0.25">
      <c r="B72" s="83">
        <v>71</v>
      </c>
      <c r="C72" t="str">
        <f t="shared" si="2"/>
        <v>135,206,235</v>
      </c>
      <c r="D72" s="83" t="s">
        <v>1047</v>
      </c>
      <c r="E72" s="83" t="s">
        <v>848</v>
      </c>
      <c r="F72" s="83" t="s">
        <v>849</v>
      </c>
      <c r="G72">
        <v>135</v>
      </c>
      <c r="H72">
        <v>206</v>
      </c>
      <c r="I72">
        <v>235</v>
      </c>
    </row>
    <row r="73" spans="2:9" x14ac:dyDescent="0.25">
      <c r="B73" s="83">
        <v>72</v>
      </c>
      <c r="C73" t="str">
        <f t="shared" si="2"/>
        <v>135,206,250</v>
      </c>
      <c r="D73" s="83" t="s">
        <v>1048</v>
      </c>
      <c r="E73" s="83" t="s">
        <v>850</v>
      </c>
      <c r="F73" s="83" t="s">
        <v>851</v>
      </c>
      <c r="G73">
        <v>135</v>
      </c>
      <c r="H73">
        <v>206</v>
      </c>
      <c r="I73">
        <v>250</v>
      </c>
    </row>
    <row r="74" spans="2:9" x14ac:dyDescent="0.25">
      <c r="B74" s="83">
        <v>73</v>
      </c>
      <c r="C74" t="str">
        <f t="shared" si="2"/>
        <v>138,43,226</v>
      </c>
      <c r="D74" s="83" t="s">
        <v>1049</v>
      </c>
      <c r="E74" s="83" t="s">
        <v>852</v>
      </c>
      <c r="F74" s="83" t="s">
        <v>853</v>
      </c>
      <c r="G74">
        <v>138</v>
      </c>
      <c r="H74">
        <v>43</v>
      </c>
      <c r="I74">
        <v>226</v>
      </c>
    </row>
    <row r="75" spans="2:9" x14ac:dyDescent="0.25">
      <c r="B75" s="83">
        <v>74</v>
      </c>
      <c r="C75" t="str">
        <f t="shared" si="2"/>
        <v>139,0,0</v>
      </c>
      <c r="D75" s="83" t="s">
        <v>1050</v>
      </c>
      <c r="E75" s="83" t="s">
        <v>854</v>
      </c>
      <c r="F75" s="83" t="s">
        <v>855</v>
      </c>
      <c r="G75">
        <v>139</v>
      </c>
      <c r="H75">
        <v>0</v>
      </c>
      <c r="I75">
        <v>0</v>
      </c>
    </row>
    <row r="76" spans="2:9" x14ac:dyDescent="0.25">
      <c r="B76" s="83">
        <v>75</v>
      </c>
      <c r="C76" t="str">
        <f t="shared" si="2"/>
        <v>139,0,139</v>
      </c>
      <c r="D76" s="83" t="s">
        <v>1051</v>
      </c>
      <c r="E76" s="83" t="s">
        <v>856</v>
      </c>
      <c r="F76" s="83" t="s">
        <v>857</v>
      </c>
      <c r="G76">
        <v>139</v>
      </c>
      <c r="H76">
        <v>0</v>
      </c>
      <c r="I76">
        <v>139</v>
      </c>
    </row>
    <row r="77" spans="2:9" x14ac:dyDescent="0.25">
      <c r="B77" s="83">
        <v>76</v>
      </c>
      <c r="C77" t="str">
        <f t="shared" si="2"/>
        <v>139,69,19</v>
      </c>
      <c r="D77" s="83" t="s">
        <v>1052</v>
      </c>
      <c r="E77" s="83" t="s">
        <v>858</v>
      </c>
      <c r="F77" s="83" t="s">
        <v>859</v>
      </c>
      <c r="G77">
        <v>139</v>
      </c>
      <c r="H77">
        <v>69</v>
      </c>
      <c r="I77">
        <v>19</v>
      </c>
    </row>
    <row r="78" spans="2:9" x14ac:dyDescent="0.25">
      <c r="B78" s="83">
        <v>77</v>
      </c>
      <c r="C78" t="str">
        <f t="shared" si="2"/>
        <v>143,188,139</v>
      </c>
      <c r="D78" s="83" t="s">
        <v>1053</v>
      </c>
      <c r="E78" s="83" t="s">
        <v>860</v>
      </c>
      <c r="F78" s="83" t="s">
        <v>861</v>
      </c>
      <c r="G78">
        <v>143</v>
      </c>
      <c r="H78">
        <v>188</v>
      </c>
      <c r="I78">
        <v>139</v>
      </c>
    </row>
    <row r="79" spans="2:9" x14ac:dyDescent="0.25">
      <c r="B79" s="83">
        <v>78</v>
      </c>
      <c r="C79" t="str">
        <f t="shared" si="2"/>
        <v>144,238,144</v>
      </c>
      <c r="D79" s="83" t="s">
        <v>1054</v>
      </c>
      <c r="E79" s="83" t="s">
        <v>862</v>
      </c>
      <c r="F79" s="83" t="s">
        <v>863</v>
      </c>
      <c r="G79">
        <v>144</v>
      </c>
      <c r="H79">
        <v>238</v>
      </c>
      <c r="I79">
        <v>144</v>
      </c>
    </row>
    <row r="80" spans="2:9" x14ac:dyDescent="0.25">
      <c r="B80" s="83">
        <v>79</v>
      </c>
      <c r="C80" t="str">
        <f t="shared" si="2"/>
        <v>147,112,219</v>
      </c>
      <c r="D80" s="83" t="s">
        <v>1055</v>
      </c>
      <c r="E80" s="83" t="s">
        <v>864</v>
      </c>
      <c r="F80" s="83" t="s">
        <v>865</v>
      </c>
      <c r="G80">
        <v>147</v>
      </c>
      <c r="H80">
        <v>112</v>
      </c>
      <c r="I80">
        <v>219</v>
      </c>
    </row>
    <row r="81" spans="2:9" x14ac:dyDescent="0.25">
      <c r="B81" s="83">
        <v>80</v>
      </c>
      <c r="C81" t="str">
        <f t="shared" si="2"/>
        <v>148,0,211</v>
      </c>
      <c r="D81" s="83" t="s">
        <v>1056</v>
      </c>
      <c r="E81" s="83" t="s">
        <v>866</v>
      </c>
      <c r="F81" s="83" t="s">
        <v>867</v>
      </c>
      <c r="G81">
        <v>148</v>
      </c>
      <c r="H81">
        <v>0</v>
      </c>
      <c r="I81">
        <v>211</v>
      </c>
    </row>
    <row r="82" spans="2:9" x14ac:dyDescent="0.25">
      <c r="B82" s="83">
        <v>81</v>
      </c>
      <c r="C82" t="str">
        <f t="shared" si="2"/>
        <v>152,251,152</v>
      </c>
      <c r="D82" s="83" t="s">
        <v>1057</v>
      </c>
      <c r="E82" s="83" t="s">
        <v>868</v>
      </c>
      <c r="F82" s="83" t="s">
        <v>869</v>
      </c>
      <c r="G82">
        <v>152</v>
      </c>
      <c r="H82">
        <v>251</v>
      </c>
      <c r="I82">
        <v>152</v>
      </c>
    </row>
    <row r="83" spans="2:9" x14ac:dyDescent="0.25">
      <c r="B83" s="83">
        <v>82</v>
      </c>
      <c r="C83" t="str">
        <f t="shared" si="2"/>
        <v>153,50,204</v>
      </c>
      <c r="D83" s="83" t="s">
        <v>1058</v>
      </c>
      <c r="E83" s="83" t="s">
        <v>870</v>
      </c>
      <c r="F83" s="83" t="s">
        <v>871</v>
      </c>
      <c r="G83">
        <v>153</v>
      </c>
      <c r="H83">
        <v>50</v>
      </c>
      <c r="I83">
        <v>204</v>
      </c>
    </row>
    <row r="84" spans="2:9" x14ac:dyDescent="0.25">
      <c r="B84" s="83">
        <v>83</v>
      </c>
      <c r="C84" t="str">
        <f t="shared" si="2"/>
        <v>154,205,50</v>
      </c>
      <c r="D84" s="83" t="s">
        <v>1059</v>
      </c>
      <c r="E84" s="83" t="s">
        <v>872</v>
      </c>
      <c r="F84" s="83" t="s">
        <v>873</v>
      </c>
      <c r="G84">
        <v>154</v>
      </c>
      <c r="H84">
        <v>205</v>
      </c>
      <c r="I84">
        <v>50</v>
      </c>
    </row>
    <row r="85" spans="2:9" x14ac:dyDescent="0.25">
      <c r="B85" s="83">
        <v>84</v>
      </c>
      <c r="C85" t="str">
        <f t="shared" si="2"/>
        <v>160,82,45</v>
      </c>
      <c r="D85" s="83" t="s">
        <v>874</v>
      </c>
      <c r="E85" s="83" t="s">
        <v>875</v>
      </c>
      <c r="F85" s="83" t="s">
        <v>876</v>
      </c>
      <c r="G85">
        <v>160</v>
      </c>
      <c r="H85">
        <v>82</v>
      </c>
      <c r="I85">
        <v>45</v>
      </c>
    </row>
    <row r="86" spans="2:9" x14ac:dyDescent="0.25">
      <c r="B86" s="83">
        <v>85</v>
      </c>
      <c r="C86" t="str">
        <f t="shared" si="2"/>
        <v>165,42,42</v>
      </c>
      <c r="D86" s="83" t="s">
        <v>877</v>
      </c>
      <c r="E86" s="83" t="s">
        <v>878</v>
      </c>
      <c r="F86" s="83" t="s">
        <v>879</v>
      </c>
      <c r="G86">
        <v>165</v>
      </c>
      <c r="H86">
        <v>42</v>
      </c>
      <c r="I86">
        <v>42</v>
      </c>
    </row>
    <row r="87" spans="2:9" x14ac:dyDescent="0.25">
      <c r="B87" s="83">
        <v>86</v>
      </c>
      <c r="C87" t="str">
        <f t="shared" si="2"/>
        <v>169,169,169</v>
      </c>
      <c r="D87" s="83" t="s">
        <v>1060</v>
      </c>
      <c r="E87" s="83" t="s">
        <v>880</v>
      </c>
      <c r="F87" s="83" t="s">
        <v>881</v>
      </c>
      <c r="G87">
        <v>169</v>
      </c>
      <c r="H87">
        <v>169</v>
      </c>
      <c r="I87">
        <v>169</v>
      </c>
    </row>
    <row r="88" spans="2:9" x14ac:dyDescent="0.25">
      <c r="B88" s="83">
        <v>87</v>
      </c>
      <c r="C88" t="str">
        <f t="shared" si="2"/>
        <v>173,216,230</v>
      </c>
      <c r="D88" s="83" t="s">
        <v>1061</v>
      </c>
      <c r="E88" s="83" t="s">
        <v>882</v>
      </c>
      <c r="F88" s="83" t="s">
        <v>883</v>
      </c>
      <c r="G88">
        <v>173</v>
      </c>
      <c r="H88">
        <v>216</v>
      </c>
      <c r="I88">
        <v>230</v>
      </c>
    </row>
    <row r="89" spans="2:9" x14ac:dyDescent="0.25">
      <c r="B89" s="83">
        <v>88</v>
      </c>
      <c r="C89" t="str">
        <f t="shared" si="2"/>
        <v>173,255,47</v>
      </c>
      <c r="D89" s="83" t="s">
        <v>1062</v>
      </c>
      <c r="E89" s="83" t="s">
        <v>884</v>
      </c>
      <c r="F89" s="83" t="s">
        <v>885</v>
      </c>
      <c r="G89">
        <v>173</v>
      </c>
      <c r="H89">
        <v>255</v>
      </c>
      <c r="I89">
        <v>47</v>
      </c>
    </row>
    <row r="90" spans="2:9" x14ac:dyDescent="0.25">
      <c r="B90" s="83">
        <v>89</v>
      </c>
      <c r="C90" t="str">
        <f t="shared" si="2"/>
        <v>175,238,238</v>
      </c>
      <c r="D90" s="83" t="s">
        <v>1063</v>
      </c>
      <c r="E90" s="83" t="s">
        <v>886</v>
      </c>
      <c r="F90" s="83" t="s">
        <v>887</v>
      </c>
      <c r="G90">
        <v>175</v>
      </c>
      <c r="H90">
        <v>238</v>
      </c>
      <c r="I90">
        <v>238</v>
      </c>
    </row>
    <row r="91" spans="2:9" x14ac:dyDescent="0.25">
      <c r="B91" s="83">
        <v>90</v>
      </c>
      <c r="C91" t="str">
        <f t="shared" si="2"/>
        <v>176,196,222</v>
      </c>
      <c r="D91" s="83" t="s">
        <v>888</v>
      </c>
      <c r="E91" s="83" t="s">
        <v>889</v>
      </c>
      <c r="F91" s="83" t="s">
        <v>890</v>
      </c>
      <c r="G91">
        <v>176</v>
      </c>
      <c r="H91">
        <v>196</v>
      </c>
      <c r="I91">
        <v>222</v>
      </c>
    </row>
    <row r="92" spans="2:9" x14ac:dyDescent="0.25">
      <c r="B92" s="83">
        <v>91</v>
      </c>
      <c r="C92" t="str">
        <f t="shared" si="2"/>
        <v>176,224,230</v>
      </c>
      <c r="D92" s="83" t="s">
        <v>891</v>
      </c>
      <c r="E92" s="83" t="s">
        <v>892</v>
      </c>
      <c r="F92" s="83" t="s">
        <v>893</v>
      </c>
      <c r="G92">
        <v>176</v>
      </c>
      <c r="H92">
        <v>224</v>
      </c>
      <c r="I92">
        <v>230</v>
      </c>
    </row>
    <row r="93" spans="2:9" x14ac:dyDescent="0.25">
      <c r="B93" s="83">
        <v>92</v>
      </c>
      <c r="C93" t="str">
        <f t="shared" si="2"/>
        <v>178,34,34</v>
      </c>
      <c r="D93" s="83" t="s">
        <v>894</v>
      </c>
      <c r="E93" s="83" t="s">
        <v>895</v>
      </c>
      <c r="F93" s="83" t="s">
        <v>896</v>
      </c>
      <c r="G93">
        <v>178</v>
      </c>
      <c r="H93">
        <v>34</v>
      </c>
      <c r="I93">
        <v>34</v>
      </c>
    </row>
    <row r="94" spans="2:9" x14ac:dyDescent="0.25">
      <c r="B94" s="83">
        <v>93</v>
      </c>
      <c r="C94" t="str">
        <f t="shared" si="2"/>
        <v>184,134,11</v>
      </c>
      <c r="D94" s="83" t="s">
        <v>1064</v>
      </c>
      <c r="E94" s="83" t="s">
        <v>897</v>
      </c>
      <c r="F94" s="83" t="s">
        <v>898</v>
      </c>
      <c r="G94">
        <v>184</v>
      </c>
      <c r="H94">
        <v>134</v>
      </c>
      <c r="I94">
        <v>11</v>
      </c>
    </row>
    <row r="95" spans="2:9" x14ac:dyDescent="0.25">
      <c r="B95" s="83">
        <v>94</v>
      </c>
      <c r="C95" t="str">
        <f t="shared" si="2"/>
        <v>186,85,211</v>
      </c>
      <c r="D95" s="83" t="s">
        <v>1065</v>
      </c>
      <c r="E95" s="83" t="s">
        <v>899</v>
      </c>
      <c r="F95" s="83" t="s">
        <v>900</v>
      </c>
      <c r="G95">
        <v>186</v>
      </c>
      <c r="H95">
        <v>85</v>
      </c>
      <c r="I95">
        <v>211</v>
      </c>
    </row>
    <row r="96" spans="2:9" x14ac:dyDescent="0.25">
      <c r="B96" s="83">
        <v>95</v>
      </c>
      <c r="C96" t="str">
        <f t="shared" si="2"/>
        <v>188,143,143</v>
      </c>
      <c r="D96" s="83" t="s">
        <v>1066</v>
      </c>
      <c r="E96" s="83" t="s">
        <v>901</v>
      </c>
      <c r="F96" s="83" t="s">
        <v>902</v>
      </c>
      <c r="G96">
        <v>188</v>
      </c>
      <c r="H96">
        <v>143</v>
      </c>
      <c r="I96">
        <v>143</v>
      </c>
    </row>
    <row r="97" spans="2:9" x14ac:dyDescent="0.25">
      <c r="B97" s="83">
        <v>96</v>
      </c>
      <c r="C97" t="str">
        <f t="shared" si="2"/>
        <v>189,183,107</v>
      </c>
      <c r="D97" s="83" t="s">
        <v>1067</v>
      </c>
      <c r="E97" s="83" t="s">
        <v>903</v>
      </c>
      <c r="F97" s="83" t="s">
        <v>904</v>
      </c>
      <c r="G97">
        <v>189</v>
      </c>
      <c r="H97">
        <v>183</v>
      </c>
      <c r="I97">
        <v>107</v>
      </c>
    </row>
    <row r="98" spans="2:9" x14ac:dyDescent="0.25">
      <c r="B98" s="83">
        <v>97</v>
      </c>
      <c r="C98" t="str">
        <f t="shared" ref="C98:C129" si="3">G98&amp;","&amp;H98&amp;","&amp;I98</f>
        <v>192,192,192</v>
      </c>
      <c r="D98" s="83" t="s">
        <v>905</v>
      </c>
      <c r="E98" s="83" t="s">
        <v>906</v>
      </c>
      <c r="F98" s="83" t="s">
        <v>907</v>
      </c>
      <c r="G98">
        <v>192</v>
      </c>
      <c r="H98">
        <v>192</v>
      </c>
      <c r="I98">
        <v>192</v>
      </c>
    </row>
    <row r="99" spans="2:9" x14ac:dyDescent="0.25">
      <c r="B99" s="83">
        <v>98</v>
      </c>
      <c r="C99" t="str">
        <f t="shared" si="3"/>
        <v>199,21,133</v>
      </c>
      <c r="D99" s="83" t="s">
        <v>1068</v>
      </c>
      <c r="E99" s="83" t="s">
        <v>908</v>
      </c>
      <c r="F99" s="83" t="s">
        <v>909</v>
      </c>
      <c r="G99">
        <v>199</v>
      </c>
      <c r="H99">
        <v>21</v>
      </c>
      <c r="I99">
        <v>133</v>
      </c>
    </row>
    <row r="100" spans="2:9" x14ac:dyDescent="0.25">
      <c r="B100" s="83">
        <v>99</v>
      </c>
      <c r="C100" t="str">
        <f t="shared" si="3"/>
        <v>205,92,92</v>
      </c>
      <c r="D100" s="83" t="s">
        <v>1069</v>
      </c>
      <c r="E100" s="83" t="s">
        <v>910</v>
      </c>
      <c r="F100" s="83" t="s">
        <v>911</v>
      </c>
      <c r="G100">
        <v>205</v>
      </c>
      <c r="H100">
        <v>92</v>
      </c>
      <c r="I100">
        <v>92</v>
      </c>
    </row>
    <row r="101" spans="2:9" x14ac:dyDescent="0.25">
      <c r="B101" s="83">
        <v>100</v>
      </c>
      <c r="C101" t="str">
        <f t="shared" si="3"/>
        <v>205,133,63</v>
      </c>
      <c r="D101" s="83" t="s">
        <v>912</v>
      </c>
      <c r="E101" s="83" t="s">
        <v>913</v>
      </c>
      <c r="F101" s="83" t="s">
        <v>914</v>
      </c>
      <c r="G101">
        <v>205</v>
      </c>
      <c r="H101">
        <v>133</v>
      </c>
      <c r="I101">
        <v>63</v>
      </c>
    </row>
    <row r="102" spans="2:9" x14ac:dyDescent="0.25">
      <c r="B102" s="83">
        <v>101</v>
      </c>
      <c r="C102" t="str">
        <f t="shared" si="3"/>
        <v>211,211,211</v>
      </c>
      <c r="D102" s="83" t="s">
        <v>1070</v>
      </c>
      <c r="E102" s="83" t="s">
        <v>915</v>
      </c>
      <c r="F102" s="83" t="s">
        <v>916</v>
      </c>
      <c r="G102">
        <v>211</v>
      </c>
      <c r="H102">
        <v>211</v>
      </c>
      <c r="I102">
        <v>211</v>
      </c>
    </row>
    <row r="103" spans="2:9" x14ac:dyDescent="0.25">
      <c r="B103" s="83">
        <v>102</v>
      </c>
      <c r="C103" t="str">
        <f t="shared" si="3"/>
        <v>216,191,216</v>
      </c>
      <c r="D103" s="83" t="s">
        <v>917</v>
      </c>
      <c r="E103" s="83" t="s">
        <v>918</v>
      </c>
      <c r="F103" s="83" t="s">
        <v>919</v>
      </c>
      <c r="G103">
        <v>216</v>
      </c>
      <c r="H103">
        <v>191</v>
      </c>
      <c r="I103">
        <v>216</v>
      </c>
    </row>
    <row r="104" spans="2:9" x14ac:dyDescent="0.25">
      <c r="B104" s="83">
        <v>103</v>
      </c>
      <c r="C104" t="str">
        <f t="shared" si="3"/>
        <v>219,112,147</v>
      </c>
      <c r="D104" s="83" t="s">
        <v>1071</v>
      </c>
      <c r="E104" s="83" t="s">
        <v>920</v>
      </c>
      <c r="F104" s="83" t="s">
        <v>921</v>
      </c>
      <c r="G104">
        <v>219</v>
      </c>
      <c r="H104">
        <v>112</v>
      </c>
      <c r="I104">
        <v>147</v>
      </c>
    </row>
    <row r="105" spans="2:9" x14ac:dyDescent="0.25">
      <c r="B105" s="83">
        <v>104</v>
      </c>
      <c r="C105" t="str">
        <f t="shared" si="3"/>
        <v>220,20,60</v>
      </c>
      <c r="D105" s="83" t="s">
        <v>922</v>
      </c>
      <c r="E105" s="83" t="s">
        <v>923</v>
      </c>
      <c r="F105" s="83" t="s">
        <v>924</v>
      </c>
      <c r="G105">
        <v>220</v>
      </c>
      <c r="H105">
        <v>20</v>
      </c>
      <c r="I105">
        <v>60</v>
      </c>
    </row>
    <row r="106" spans="2:9" x14ac:dyDescent="0.25">
      <c r="B106" s="83">
        <v>105</v>
      </c>
      <c r="C106" t="str">
        <f t="shared" si="3"/>
        <v>220,220,220</v>
      </c>
      <c r="D106" s="83" t="s">
        <v>925</v>
      </c>
      <c r="E106" s="83" t="s">
        <v>926</v>
      </c>
      <c r="F106" s="83" t="s">
        <v>927</v>
      </c>
      <c r="G106">
        <v>220</v>
      </c>
      <c r="H106">
        <v>220</v>
      </c>
      <c r="I106">
        <v>220</v>
      </c>
    </row>
    <row r="107" spans="2:9" x14ac:dyDescent="0.25">
      <c r="B107" s="83">
        <v>106</v>
      </c>
      <c r="C107" t="str">
        <f t="shared" si="3"/>
        <v>221,160,221</v>
      </c>
      <c r="D107" s="83" t="s">
        <v>928</v>
      </c>
      <c r="E107" s="83" t="s">
        <v>929</v>
      </c>
      <c r="F107" s="83" t="s">
        <v>930</v>
      </c>
      <c r="G107">
        <v>221</v>
      </c>
      <c r="H107">
        <v>160</v>
      </c>
      <c r="I107">
        <v>221</v>
      </c>
    </row>
    <row r="108" spans="2:9" x14ac:dyDescent="0.25">
      <c r="B108" s="83">
        <v>107</v>
      </c>
      <c r="C108" t="str">
        <f t="shared" si="3"/>
        <v>233,150,122</v>
      </c>
      <c r="D108" s="83" t="s">
        <v>1072</v>
      </c>
      <c r="E108" s="83" t="s">
        <v>931</v>
      </c>
      <c r="F108" s="83" t="s">
        <v>932</v>
      </c>
      <c r="G108">
        <v>233</v>
      </c>
      <c r="H108">
        <v>150</v>
      </c>
      <c r="I108">
        <v>122</v>
      </c>
    </row>
    <row r="109" spans="2:9" x14ac:dyDescent="0.25">
      <c r="B109" s="83">
        <v>108</v>
      </c>
      <c r="C109" t="str">
        <f t="shared" si="3"/>
        <v>238,232,170</v>
      </c>
      <c r="D109" s="83" t="s">
        <v>1073</v>
      </c>
      <c r="E109" s="83" t="s">
        <v>933</v>
      </c>
      <c r="F109" s="83" t="s">
        <v>934</v>
      </c>
      <c r="G109">
        <v>238</v>
      </c>
      <c r="H109">
        <v>232</v>
      </c>
      <c r="I109">
        <v>170</v>
      </c>
    </row>
    <row r="110" spans="2:9" x14ac:dyDescent="0.25">
      <c r="B110" s="83">
        <v>109</v>
      </c>
      <c r="C110" t="str">
        <f t="shared" si="3"/>
        <v>240,128,128</v>
      </c>
      <c r="D110" s="83" t="s">
        <v>1074</v>
      </c>
      <c r="E110" s="83" t="s">
        <v>935</v>
      </c>
      <c r="F110" s="83" t="s">
        <v>936</v>
      </c>
      <c r="G110">
        <v>240</v>
      </c>
      <c r="H110">
        <v>128</v>
      </c>
      <c r="I110">
        <v>128</v>
      </c>
    </row>
    <row r="111" spans="2:9" x14ac:dyDescent="0.25">
      <c r="B111" s="83">
        <v>110</v>
      </c>
      <c r="C111" t="str">
        <f t="shared" si="3"/>
        <v>240,248,255</v>
      </c>
      <c r="D111" s="83" t="s">
        <v>1075</v>
      </c>
      <c r="E111" s="83" t="s">
        <v>937</v>
      </c>
      <c r="F111" s="83" t="s">
        <v>938</v>
      </c>
      <c r="G111">
        <v>240</v>
      </c>
      <c r="H111">
        <v>248</v>
      </c>
      <c r="I111">
        <v>255</v>
      </c>
    </row>
    <row r="112" spans="2:9" x14ac:dyDescent="0.25">
      <c r="B112" s="83">
        <v>111</v>
      </c>
      <c r="C112" t="str">
        <f t="shared" si="3"/>
        <v>240,255,240</v>
      </c>
      <c r="D112" s="83" t="s">
        <v>1076</v>
      </c>
      <c r="E112" s="83" t="s">
        <v>939</v>
      </c>
      <c r="F112" s="83" t="s">
        <v>940</v>
      </c>
      <c r="G112">
        <v>240</v>
      </c>
      <c r="H112">
        <v>255</v>
      </c>
      <c r="I112">
        <v>240</v>
      </c>
    </row>
    <row r="113" spans="2:9" x14ac:dyDescent="0.25">
      <c r="B113" s="83">
        <v>112</v>
      </c>
      <c r="C113" t="str">
        <f t="shared" si="3"/>
        <v>240,255,255</v>
      </c>
      <c r="D113" s="83" t="s">
        <v>941</v>
      </c>
      <c r="E113" s="83" t="s">
        <v>942</v>
      </c>
      <c r="F113" s="83" t="s">
        <v>943</v>
      </c>
      <c r="G113">
        <v>240</v>
      </c>
      <c r="H113">
        <v>255</v>
      </c>
      <c r="I113">
        <v>255</v>
      </c>
    </row>
    <row r="114" spans="2:9" x14ac:dyDescent="0.25">
      <c r="B114" s="83">
        <v>113</v>
      </c>
      <c r="C114" t="str">
        <f t="shared" si="3"/>
        <v>245,222,179</v>
      </c>
      <c r="D114" s="83" t="s">
        <v>944</v>
      </c>
      <c r="E114" s="83" t="s">
        <v>945</v>
      </c>
      <c r="F114" s="83" t="s">
        <v>946</v>
      </c>
      <c r="G114">
        <v>245</v>
      </c>
      <c r="H114">
        <v>222</v>
      </c>
      <c r="I114">
        <v>179</v>
      </c>
    </row>
    <row r="115" spans="2:9" x14ac:dyDescent="0.25">
      <c r="B115" s="83">
        <v>114</v>
      </c>
      <c r="C115" t="str">
        <f t="shared" si="3"/>
        <v>245,245,245</v>
      </c>
      <c r="D115" s="83" t="s">
        <v>1077</v>
      </c>
      <c r="E115" s="83" t="s">
        <v>947</v>
      </c>
      <c r="F115" s="83" t="s">
        <v>948</v>
      </c>
      <c r="G115">
        <v>245</v>
      </c>
      <c r="H115">
        <v>245</v>
      </c>
      <c r="I115">
        <v>245</v>
      </c>
    </row>
    <row r="116" spans="2:9" x14ac:dyDescent="0.25">
      <c r="B116" s="83">
        <v>115</v>
      </c>
      <c r="C116" t="str">
        <f t="shared" si="3"/>
        <v>245,255,250</v>
      </c>
      <c r="D116" s="83" t="s">
        <v>1078</v>
      </c>
      <c r="E116" s="83" t="s">
        <v>949</v>
      </c>
      <c r="F116" s="83" t="s">
        <v>950</v>
      </c>
      <c r="G116">
        <v>245</v>
      </c>
      <c r="H116">
        <v>255</v>
      </c>
      <c r="I116">
        <v>250</v>
      </c>
    </row>
    <row r="117" spans="2:9" x14ac:dyDescent="0.25">
      <c r="B117" s="83">
        <v>116</v>
      </c>
      <c r="C117" t="str">
        <f t="shared" si="3"/>
        <v>248,248,255</v>
      </c>
      <c r="D117" s="83" t="s">
        <v>1079</v>
      </c>
      <c r="E117" s="83" t="s">
        <v>951</v>
      </c>
      <c r="F117" s="83" t="s">
        <v>952</v>
      </c>
      <c r="G117">
        <v>248</v>
      </c>
      <c r="H117">
        <v>248</v>
      </c>
      <c r="I117">
        <v>255</v>
      </c>
    </row>
    <row r="118" spans="2:9" x14ac:dyDescent="0.25">
      <c r="B118" s="83">
        <v>117</v>
      </c>
      <c r="C118" t="str">
        <f t="shared" si="3"/>
        <v>250,235,215</v>
      </c>
      <c r="D118" s="83" t="s">
        <v>1080</v>
      </c>
      <c r="E118" s="83" t="s">
        <v>953</v>
      </c>
      <c r="F118" s="83" t="s">
        <v>954</v>
      </c>
      <c r="G118">
        <v>250</v>
      </c>
      <c r="H118">
        <v>235</v>
      </c>
      <c r="I118">
        <v>215</v>
      </c>
    </row>
    <row r="119" spans="2:9" x14ac:dyDescent="0.25">
      <c r="B119" s="83">
        <v>118</v>
      </c>
      <c r="C119" t="str">
        <f t="shared" si="3"/>
        <v>250,240,230</v>
      </c>
      <c r="D119" s="83" t="s">
        <v>955</v>
      </c>
      <c r="E119" s="83" t="s">
        <v>956</v>
      </c>
      <c r="F119" s="83" t="s">
        <v>957</v>
      </c>
      <c r="G119">
        <v>250</v>
      </c>
      <c r="H119">
        <v>240</v>
      </c>
      <c r="I119">
        <v>230</v>
      </c>
    </row>
    <row r="120" spans="2:9" x14ac:dyDescent="0.25">
      <c r="B120" s="83">
        <v>119</v>
      </c>
      <c r="C120" t="str">
        <f t="shared" si="3"/>
        <v>250,250,210</v>
      </c>
      <c r="D120" s="83" t="s">
        <v>1081</v>
      </c>
      <c r="E120" s="83" t="s">
        <v>958</v>
      </c>
      <c r="F120" s="83" t="s">
        <v>959</v>
      </c>
      <c r="G120">
        <v>250</v>
      </c>
      <c r="H120">
        <v>250</v>
      </c>
      <c r="I120">
        <v>210</v>
      </c>
    </row>
    <row r="121" spans="2:9" x14ac:dyDescent="0.25">
      <c r="B121" s="83">
        <v>120</v>
      </c>
      <c r="C121" t="str">
        <f t="shared" si="3"/>
        <v>253,245,230</v>
      </c>
      <c r="D121" s="83" t="s">
        <v>1082</v>
      </c>
      <c r="E121" s="83" t="s">
        <v>960</v>
      </c>
      <c r="F121" s="83" t="s">
        <v>961</v>
      </c>
      <c r="G121">
        <v>253</v>
      </c>
      <c r="H121">
        <v>245</v>
      </c>
      <c r="I121">
        <v>230</v>
      </c>
    </row>
    <row r="122" spans="2:9" x14ac:dyDescent="0.25">
      <c r="B122" s="83">
        <v>121</v>
      </c>
      <c r="C122" t="str">
        <f t="shared" si="3"/>
        <v>255,0,0</v>
      </c>
      <c r="D122" s="83" t="s">
        <v>593</v>
      </c>
      <c r="E122" s="83" t="s">
        <v>962</v>
      </c>
      <c r="F122" s="83" t="s">
        <v>963</v>
      </c>
      <c r="G122">
        <v>255</v>
      </c>
      <c r="H122">
        <v>0</v>
      </c>
      <c r="I122">
        <v>0</v>
      </c>
    </row>
    <row r="123" spans="2:9" x14ac:dyDescent="0.25">
      <c r="B123" s="83">
        <v>122</v>
      </c>
      <c r="C123" t="str">
        <f t="shared" si="3"/>
        <v>255,69,0</v>
      </c>
      <c r="D123" s="83" t="s">
        <v>1083</v>
      </c>
      <c r="E123" s="83" t="s">
        <v>964</v>
      </c>
      <c r="F123" s="83" t="s">
        <v>965</v>
      </c>
      <c r="G123">
        <v>255</v>
      </c>
      <c r="H123">
        <v>69</v>
      </c>
      <c r="I123">
        <v>0</v>
      </c>
    </row>
    <row r="124" spans="2:9" x14ac:dyDescent="0.25">
      <c r="B124" s="83">
        <v>123</v>
      </c>
      <c r="C124" t="str">
        <f t="shared" si="3"/>
        <v>255,127,80</v>
      </c>
      <c r="D124" s="83" t="s">
        <v>966</v>
      </c>
      <c r="E124" s="83" t="s">
        <v>967</v>
      </c>
      <c r="F124" s="83" t="s">
        <v>968</v>
      </c>
      <c r="G124">
        <v>255</v>
      </c>
      <c r="H124">
        <v>127</v>
      </c>
      <c r="I124">
        <v>80</v>
      </c>
    </row>
    <row r="125" spans="2:9" x14ac:dyDescent="0.25">
      <c r="B125" s="83">
        <v>124</v>
      </c>
      <c r="C125" t="str">
        <f t="shared" si="3"/>
        <v>255,160,122</v>
      </c>
      <c r="D125" s="83" t="s">
        <v>1084</v>
      </c>
      <c r="E125" s="83" t="s">
        <v>969</v>
      </c>
      <c r="F125" s="83" t="s">
        <v>970</v>
      </c>
      <c r="G125">
        <v>255</v>
      </c>
      <c r="H125">
        <v>160</v>
      </c>
      <c r="I125">
        <v>122</v>
      </c>
    </row>
    <row r="126" spans="2:9" x14ac:dyDescent="0.25">
      <c r="B126" s="83">
        <v>125</v>
      </c>
      <c r="C126" t="str">
        <f t="shared" si="3"/>
        <v>255,218,185</v>
      </c>
      <c r="D126" s="83" t="s">
        <v>1085</v>
      </c>
      <c r="E126" s="83" t="s">
        <v>971</v>
      </c>
      <c r="F126" s="83" t="s">
        <v>972</v>
      </c>
      <c r="G126">
        <v>255</v>
      </c>
      <c r="H126">
        <v>218</v>
      </c>
      <c r="I126">
        <v>185</v>
      </c>
    </row>
    <row r="127" spans="2:9" x14ac:dyDescent="0.25">
      <c r="B127" s="83">
        <v>126</v>
      </c>
      <c r="C127" t="str">
        <f t="shared" si="3"/>
        <v>255,222,173</v>
      </c>
      <c r="D127" s="83" t="s">
        <v>1086</v>
      </c>
      <c r="E127" s="83" t="s">
        <v>973</v>
      </c>
      <c r="F127" s="83" t="s">
        <v>974</v>
      </c>
      <c r="G127">
        <v>255</v>
      </c>
      <c r="H127">
        <v>222</v>
      </c>
      <c r="I127">
        <v>173</v>
      </c>
    </row>
    <row r="128" spans="2:9" x14ac:dyDescent="0.25">
      <c r="B128" s="83">
        <v>127</v>
      </c>
      <c r="C128" t="str">
        <f t="shared" si="3"/>
        <v>255,228,181</v>
      </c>
      <c r="D128" s="83" t="s">
        <v>975</v>
      </c>
      <c r="E128" s="83" t="s">
        <v>976</v>
      </c>
      <c r="F128" s="83" t="s">
        <v>977</v>
      </c>
      <c r="G128">
        <v>255</v>
      </c>
      <c r="H128">
        <v>228</v>
      </c>
      <c r="I128">
        <v>181</v>
      </c>
    </row>
    <row r="129" spans="2:9" x14ac:dyDescent="0.25">
      <c r="B129" s="83">
        <v>128</v>
      </c>
      <c r="C129" t="str">
        <f t="shared" si="3"/>
        <v>255,228,196</v>
      </c>
      <c r="D129" s="83" t="s">
        <v>978</v>
      </c>
      <c r="E129" s="83" t="s">
        <v>979</v>
      </c>
      <c r="F129" s="83" t="s">
        <v>980</v>
      </c>
      <c r="G129">
        <v>255</v>
      </c>
      <c r="H129">
        <v>228</v>
      </c>
      <c r="I129">
        <v>196</v>
      </c>
    </row>
    <row r="130" spans="2:9" x14ac:dyDescent="0.25">
      <c r="B130" s="83">
        <v>129</v>
      </c>
      <c r="C130" t="str">
        <f t="shared" ref="C130:C141" si="4">G130&amp;","&amp;H130&amp;","&amp;I130</f>
        <v>255,228,225</v>
      </c>
      <c r="D130" s="83" t="s">
        <v>1087</v>
      </c>
      <c r="E130" s="83" t="s">
        <v>981</v>
      </c>
      <c r="F130" s="83" t="s">
        <v>982</v>
      </c>
      <c r="G130">
        <v>255</v>
      </c>
      <c r="H130">
        <v>228</v>
      </c>
      <c r="I130">
        <v>225</v>
      </c>
    </row>
    <row r="131" spans="2:9" x14ac:dyDescent="0.25">
      <c r="B131" s="83">
        <v>130</v>
      </c>
      <c r="C131" t="str">
        <f t="shared" si="4"/>
        <v>255,235,205</v>
      </c>
      <c r="D131" s="83" t="s">
        <v>1088</v>
      </c>
      <c r="E131" s="83" t="s">
        <v>983</v>
      </c>
      <c r="F131" s="83" t="s">
        <v>984</v>
      </c>
      <c r="G131">
        <v>255</v>
      </c>
      <c r="H131">
        <v>235</v>
      </c>
      <c r="I131">
        <v>205</v>
      </c>
    </row>
    <row r="132" spans="2:9" x14ac:dyDescent="0.25">
      <c r="B132" s="83">
        <v>131</v>
      </c>
      <c r="C132" t="str">
        <f t="shared" si="4"/>
        <v>255,239,213</v>
      </c>
      <c r="D132" s="83" t="s">
        <v>1089</v>
      </c>
      <c r="E132" s="83" t="s">
        <v>985</v>
      </c>
      <c r="F132" s="83" t="s">
        <v>986</v>
      </c>
      <c r="G132">
        <v>255</v>
      </c>
      <c r="H132">
        <v>239</v>
      </c>
      <c r="I132">
        <v>213</v>
      </c>
    </row>
    <row r="133" spans="2:9" x14ac:dyDescent="0.25">
      <c r="B133" s="83">
        <v>132</v>
      </c>
      <c r="C133" t="str">
        <f t="shared" si="4"/>
        <v>255,240,245</v>
      </c>
      <c r="D133" s="83" t="s">
        <v>1090</v>
      </c>
      <c r="E133" s="83" t="s">
        <v>987</v>
      </c>
      <c r="F133" s="83" t="s">
        <v>988</v>
      </c>
      <c r="G133">
        <v>255</v>
      </c>
      <c r="H133">
        <v>240</v>
      </c>
      <c r="I133">
        <v>245</v>
      </c>
    </row>
    <row r="134" spans="2:9" x14ac:dyDescent="0.25">
      <c r="B134" s="83">
        <v>133</v>
      </c>
      <c r="C134" t="str">
        <f t="shared" si="4"/>
        <v>255,245,238</v>
      </c>
      <c r="D134" s="83" t="s">
        <v>1091</v>
      </c>
      <c r="E134" s="83" t="s">
        <v>989</v>
      </c>
      <c r="F134" s="83" t="s">
        <v>990</v>
      </c>
      <c r="G134">
        <v>255</v>
      </c>
      <c r="H134">
        <v>245</v>
      </c>
      <c r="I134">
        <v>238</v>
      </c>
    </row>
    <row r="135" spans="2:9" x14ac:dyDescent="0.25">
      <c r="B135" s="83">
        <v>134</v>
      </c>
      <c r="C135" t="str">
        <f t="shared" si="4"/>
        <v>255,248,220</v>
      </c>
      <c r="D135" s="83" t="s">
        <v>991</v>
      </c>
      <c r="E135" s="83" t="s">
        <v>992</v>
      </c>
      <c r="F135" s="83" t="s">
        <v>993</v>
      </c>
      <c r="G135">
        <v>255</v>
      </c>
      <c r="H135">
        <v>248</v>
      </c>
      <c r="I135">
        <v>220</v>
      </c>
    </row>
    <row r="136" spans="2:9" x14ac:dyDescent="0.25">
      <c r="B136" s="83">
        <v>135</v>
      </c>
      <c r="C136" t="str">
        <f t="shared" si="4"/>
        <v>255,250,205</v>
      </c>
      <c r="D136" s="83" t="s">
        <v>1092</v>
      </c>
      <c r="E136" s="83" t="s">
        <v>994</v>
      </c>
      <c r="F136" s="83" t="s">
        <v>995</v>
      </c>
      <c r="G136">
        <v>255</v>
      </c>
      <c r="H136">
        <v>250</v>
      </c>
      <c r="I136">
        <v>205</v>
      </c>
    </row>
    <row r="137" spans="2:9" x14ac:dyDescent="0.25">
      <c r="B137" s="83">
        <v>136</v>
      </c>
      <c r="C137" t="str">
        <f t="shared" si="4"/>
        <v>255,250,240</v>
      </c>
      <c r="D137" s="83" t="s">
        <v>1093</v>
      </c>
      <c r="E137" s="83" t="s">
        <v>996</v>
      </c>
      <c r="F137" s="83" t="s">
        <v>997</v>
      </c>
      <c r="G137">
        <v>255</v>
      </c>
      <c r="H137">
        <v>250</v>
      </c>
      <c r="I137">
        <v>240</v>
      </c>
    </row>
    <row r="138" spans="2:9" x14ac:dyDescent="0.25">
      <c r="B138" s="83">
        <v>137</v>
      </c>
      <c r="C138" t="str">
        <f t="shared" si="4"/>
        <v>255,250,250</v>
      </c>
      <c r="D138" s="83" t="s">
        <v>998</v>
      </c>
      <c r="E138" s="83" t="s">
        <v>999</v>
      </c>
      <c r="F138" s="83" t="s">
        <v>1000</v>
      </c>
      <c r="G138">
        <v>255</v>
      </c>
      <c r="H138">
        <v>250</v>
      </c>
      <c r="I138">
        <v>250</v>
      </c>
    </row>
    <row r="139" spans="2:9" x14ac:dyDescent="0.25">
      <c r="B139" s="83">
        <v>138</v>
      </c>
      <c r="C139" t="str">
        <f t="shared" si="4"/>
        <v>255,255,224</v>
      </c>
      <c r="D139" s="83" t="s">
        <v>1094</v>
      </c>
      <c r="E139" s="83" t="s">
        <v>1001</v>
      </c>
      <c r="F139" s="83" t="s">
        <v>1002</v>
      </c>
      <c r="G139">
        <v>255</v>
      </c>
      <c r="H139">
        <v>255</v>
      </c>
      <c r="I139">
        <v>224</v>
      </c>
    </row>
    <row r="140" spans="2:9" x14ac:dyDescent="0.25">
      <c r="B140" s="83">
        <v>139</v>
      </c>
      <c r="C140" t="str">
        <f t="shared" si="4"/>
        <v>255,255,240</v>
      </c>
      <c r="D140" s="83" t="s">
        <v>1003</v>
      </c>
      <c r="E140" s="83" t="s">
        <v>1004</v>
      </c>
      <c r="F140" s="83" t="s">
        <v>1005</v>
      </c>
      <c r="G140">
        <v>255</v>
      </c>
      <c r="H140">
        <v>255</v>
      </c>
      <c r="I140">
        <v>240</v>
      </c>
    </row>
    <row r="141" spans="2:9" x14ac:dyDescent="0.25">
      <c r="B141" s="83">
        <v>140</v>
      </c>
      <c r="C141" t="str">
        <f t="shared" si="4"/>
        <v>255,255,255</v>
      </c>
      <c r="D141" s="83" t="s">
        <v>1006</v>
      </c>
      <c r="E141" s="83" t="s">
        <v>1007</v>
      </c>
      <c r="F141" s="83" t="s">
        <v>1008</v>
      </c>
      <c r="G141">
        <v>255</v>
      </c>
      <c r="H141">
        <v>255</v>
      </c>
      <c r="I141">
        <v>255</v>
      </c>
    </row>
    <row r="142" spans="2:9" x14ac:dyDescent="0.25">
      <c r="B142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20</vt:i4>
      </vt:variant>
    </vt:vector>
  </HeadingPairs>
  <TitlesOfParts>
    <vt:vector size="25" baseType="lpstr">
      <vt:lpstr>READ FIRST!!</vt:lpstr>
      <vt:lpstr>&lt;PROJECT&gt;</vt:lpstr>
      <vt:lpstr>DATA SHEET</vt:lpstr>
      <vt:lpstr>FOR IMPORT TO COSTX</vt:lpstr>
      <vt:lpstr>COLOR CODE</vt:lpstr>
      <vt:lpstr>BT</vt:lpstr>
      <vt:lpstr>CHS</vt:lpstr>
      <vt:lpstr>Column</vt:lpstr>
      <vt:lpstr>CT</vt:lpstr>
      <vt:lpstr>DimFolder</vt:lpstr>
      <vt:lpstr>EA</vt:lpstr>
      <vt:lpstr>FB</vt:lpstr>
      <vt:lpstr>Framing</vt:lpstr>
      <vt:lpstr>PFC</vt:lpstr>
      <vt:lpstr>Purlins_Girths_Bracings</vt:lpstr>
      <vt:lpstr>PurlinsxGirthsxBracings</vt:lpstr>
      <vt:lpstr>RHS</vt:lpstr>
      <vt:lpstr>Roof</vt:lpstr>
      <vt:lpstr>SHS</vt:lpstr>
      <vt:lpstr>SteelType</vt:lpstr>
      <vt:lpstr>UA</vt:lpstr>
      <vt:lpstr>UB</vt:lpstr>
      <vt:lpstr>UC</vt:lpstr>
      <vt:lpstr>WB</vt:lpstr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365</cp:lastModifiedBy>
  <dcterms:created xsi:type="dcterms:W3CDTF">2020-11-23T13:02:57Z</dcterms:created>
  <dcterms:modified xsi:type="dcterms:W3CDTF">2024-08-16T00:06:49Z</dcterms:modified>
</cp:coreProperties>
</file>