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schoolsnsw.sharepoint.com/sites/CalderwoodPrimarySchool-ConsultantSharePoint/Shared Documents/General/10 MW Tender-SINSW08089-25/2. RFT/2a. RFT Pack/V1 - Tendering &amp; Contract Documents (A - D)/"/>
    </mc:Choice>
  </mc:AlternateContent>
  <xr:revisionPtr revIDLastSave="1643" documentId="13_ncr:1_{05B8CB38-FA46-4A4C-9217-8A2A8B0DCA5D}" xr6:coauthVersionLast="47" xr6:coauthVersionMax="47" xr10:uidLastSave="{915F0BB5-D01B-43AD-BC47-2D7543916CC1}"/>
  <bookViews>
    <workbookView xWindow="-8050" yWindow="-21600" windowWidth="19380" windowHeight="20970" tabRatio="716" xr2:uid="{9DFEB30E-E1EC-45E0-82FB-9B5FE103329B}"/>
  </bookViews>
  <sheets>
    <sheet name=" Summary" sheetId="23" r:id="rId1"/>
    <sheet name="Main Works" sheetId="1" r:id="rId2"/>
    <sheet name="Preliminaries" sheetId="5" r:id="rId3"/>
    <sheet name="Consultants" sheetId="3" r:id="rId4"/>
    <sheet name="Sched 4 PPO" sheetId="12" r:id="rId5"/>
    <sheet name="Sched 7 Mand Alt" sheetId="26" r:id="rId6"/>
    <sheet name="VE" sheetId="24" r:id="rId7"/>
    <sheet name="Elect Breakdown" sheetId="6" r:id="rId8"/>
    <sheet name="Mech Breakdown" sheetId="7" r:id="rId9"/>
    <sheet name="Hydraulic Breakdown" sheetId="8" r:id="rId10"/>
    <sheet name="Dry Fire Breakdown" sheetId="9" r:id="rId11"/>
    <sheet name="SOR" sheetId="17" r:id="rId12"/>
    <sheet name="SoR Labour" sheetId="15" r:id="rId13"/>
    <sheet name="SoR Equipmt" sheetId="16" r:id="rId14"/>
    <sheet name="Sheet3" sheetId="4"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0">#REF!</definedName>
    <definedName name="\e">#REF!</definedName>
    <definedName name="\r">[1]Workings!#REF!</definedName>
    <definedName name="____pr1">'[2]contract sum claim'!#REF!</definedName>
    <definedName name="___VAR3">#N/A</definedName>
    <definedName name="___VAR4">#N/A</definedName>
    <definedName name="__123Graph_A" hidden="1">[3]CASHFLOWS!#REF!</definedName>
    <definedName name="__123Graph_B" hidden="1">[3]CASHFLOWS!#REF!</definedName>
    <definedName name="__123Graph_X" hidden="1">[3]CASHFLOWS!$B$15:$B$29</definedName>
    <definedName name="__pr1">'[2]contract sum claim'!#REF!</definedName>
    <definedName name="__VAR3">#N/A</definedName>
    <definedName name="__VAR4">#N/A</definedName>
    <definedName name="_10__123Graph_XCHART_4" hidden="1">[3]CASHFLOWS!$B$15:$B$29</definedName>
    <definedName name="_2__123Graph_ACHART_3" hidden="1">[3]CASHFLOWS!#REF!</definedName>
    <definedName name="_4__123Graph_ACHART_4" hidden="1">[3]CASHFLOWS!#REF!</definedName>
    <definedName name="_6__123Graph_BCHART_3" hidden="1">[3]CASHFLOWS!#REF!</definedName>
    <definedName name="_8__123Graph_BCHART_4" hidden="1">[3]CASHFLOWS!#REF!</definedName>
    <definedName name="_9__123Graph_XCHART_3" hidden="1">[3]CASHFLOWS!$B$15:$B$29</definedName>
    <definedName name="_dj2">#REF!</definedName>
    <definedName name="_Hlk54693717" localSheetId="11">SOR!$C$12</definedName>
    <definedName name="_Key1" localSheetId="3" hidden="1">#REF!</definedName>
    <definedName name="_Key1" localSheetId="10" hidden="1">#REF!</definedName>
    <definedName name="_Key1" localSheetId="7" hidden="1">#REF!</definedName>
    <definedName name="_Key1" localSheetId="9" hidden="1">#REF!</definedName>
    <definedName name="_Key1" localSheetId="8" hidden="1">#REF!</definedName>
    <definedName name="_Key1" localSheetId="2" hidden="1">#REF!</definedName>
    <definedName name="_Key1" localSheetId="4" hidden="1">#REF!</definedName>
    <definedName name="_Key1" localSheetId="5" hidden="1">#REF!</definedName>
    <definedName name="_Key1" localSheetId="6" hidden="1">#REF!</definedName>
    <definedName name="_Key1" hidden="1">#REF!</definedName>
    <definedName name="_key2" hidden="1">#REF!</definedName>
    <definedName name="_Order1" hidden="1">255</definedName>
    <definedName name="_pr1" localSheetId="3">'[4]contract sum claim'!#REF!</definedName>
    <definedName name="_pr1" localSheetId="10">'[4]contract sum claim'!#REF!</definedName>
    <definedName name="_pr1" localSheetId="7">'[4]contract sum claim'!#REF!</definedName>
    <definedName name="_pr1" localSheetId="9">'[4]contract sum claim'!#REF!</definedName>
    <definedName name="_pr1" localSheetId="1">'[4]contract sum claim'!#REF!</definedName>
    <definedName name="_pr1" localSheetId="8">'[4]contract sum claim'!#REF!</definedName>
    <definedName name="_pr1" localSheetId="2">'[4]contract sum claim'!#REF!</definedName>
    <definedName name="_pr1" localSheetId="4">'[4]contract sum claim'!#REF!</definedName>
    <definedName name="_pr1" localSheetId="5">'[4]contract sum claim'!#REF!</definedName>
    <definedName name="_pr1" localSheetId="6">'[4]contract sum claim'!#REF!</definedName>
    <definedName name="_pr1">'[2]contract sum claim'!#REF!</definedName>
    <definedName name="_Regression_Int">1</definedName>
    <definedName name="_Sort" localSheetId="3" hidden="1">#REF!</definedName>
    <definedName name="_Sort" localSheetId="10" hidden="1">#REF!</definedName>
    <definedName name="_Sort" localSheetId="7" hidden="1">#REF!</definedName>
    <definedName name="_Sort" localSheetId="9" hidden="1">#REF!</definedName>
    <definedName name="_Sort" localSheetId="1" hidden="1">#REF!</definedName>
    <definedName name="_Sort" localSheetId="8" hidden="1">#REF!</definedName>
    <definedName name="_Sort" localSheetId="2" hidden="1">#REF!</definedName>
    <definedName name="_Sort" localSheetId="4" hidden="1">#REF!</definedName>
    <definedName name="_Sort" localSheetId="5" hidden="1">#REF!</definedName>
    <definedName name="_Sort" localSheetId="6" hidden="1">#REF!</definedName>
    <definedName name="_Sort" hidden="1">#REF!</definedName>
    <definedName name="_VAR3">#N/A</definedName>
    <definedName name="_VAR4">#N/A</definedName>
    <definedName name="A" localSheetId="0" hidden="1">{#N/A,#N/A,TRUE,"Cover";#N/A,#N/A,TRUE,"Report";#N/A,#N/A,TRUE,"Report Transition";#N/A,#N/A,TRUE,"GST";#N/A,#N/A,TRUE,"Statement";#N/A,#N/A,TRUE,"Transition Val"}</definedName>
    <definedName name="A" localSheetId="11" hidden="1">{#N/A,#N/A,TRUE,"Cover";#N/A,#N/A,TRUE,"Report";#N/A,#N/A,TRUE,"Report Transition";#N/A,#N/A,TRUE,"GST";#N/A,#N/A,TRUE,"Statement";#N/A,#N/A,TRUE,"Transition Val"}</definedName>
    <definedName name="a">#REF!</definedName>
    <definedName name="aa">#REF!</definedName>
    <definedName name="apm">#REF!</definedName>
    <definedName name="apm_bax.contract">#REF!</definedName>
    <definedName name="apm_bax.now">#REF!</definedName>
    <definedName name="apm_bax.old">#REF!</definedName>
    <definedName name="apm_bax.old.now">#REF!</definedName>
    <definedName name="apm_bax.old.payment">#REF!</definedName>
    <definedName name="apm_bax.old.vo.app">#REF!</definedName>
    <definedName name="apm_bax.payment">#REF!</definedName>
    <definedName name="apm_bax.rev">#REF!</definedName>
    <definedName name="apm_bax.tot.contract">#REF!</definedName>
    <definedName name="apm_bax.tot.now">#REF!</definedName>
    <definedName name="apm_bax.tot.payment">#REF!</definedName>
    <definedName name="apm_bax.tot.vo.app">#REF!</definedName>
    <definedName name="apm_bax.vo.app">#REF!</definedName>
    <definedName name="apm_ccu.bs">#REF!</definedName>
    <definedName name="apm_ccu.bs.now">#REF!</definedName>
    <definedName name="apm_ccu.bs.payment">#REF!</definedName>
    <definedName name="apm_ccu.bs.vo.app">#REF!</definedName>
    <definedName name="apm_ccu.cert">#REF!</definedName>
    <definedName name="apm_ccu.contract">#REF!</definedName>
    <definedName name="apm_ccu.contract.now">#REF!</definedName>
    <definedName name="apm_ccu.fire">#REF!</definedName>
    <definedName name="apm_ccu.fire.now">#REF!</definedName>
    <definedName name="apm_ccu.fire.payment">#REF!</definedName>
    <definedName name="apm_ccu.fire.vo.app">#REF!</definedName>
    <definedName name="apm_ccu.furn">#REF!</definedName>
    <definedName name="apm_ccu.furn.vo.app">#REF!</definedName>
    <definedName name="apm_ccu.mon">#REF!</definedName>
    <definedName name="apm_ccu.mon.vo.app">#REF!</definedName>
    <definedName name="apm_ccu.payment">#REF!</definedName>
    <definedName name="apm_ccu.rev">#REF!</definedName>
    <definedName name="apm_ccu.tot.contract">#REF!</definedName>
    <definedName name="apm_ccu.tot.now">#REF!</definedName>
    <definedName name="apm_ccu.tot.payment">#REF!</definedName>
    <definedName name="apm_ccu.tot.vo.app">#REF!</definedName>
    <definedName name="apm_ccu.vo.app">#REF!</definedName>
    <definedName name="apm_dax.app.vo">#REF!</definedName>
    <definedName name="apm_dax.bs.fee">#REF!</definedName>
    <definedName name="apm_dax.bs.now">#REF!</definedName>
    <definedName name="apm_dax.bs.payment">#REF!</definedName>
    <definedName name="apm_dax.bs.vo.app">#REF!</definedName>
    <definedName name="apm_dax.cert">#REF!</definedName>
    <definedName name="apm_dax.com.now">#REF!</definedName>
    <definedName name="apm_dax.com.payment">#REF!</definedName>
    <definedName name="apm_dax.com.vo.app">#REF!</definedName>
    <definedName name="apm_dax.consult.fee">#REF!</definedName>
    <definedName name="apm_dax.consult.now">#REF!</definedName>
    <definedName name="apm_dax.consult.payment">#REF!</definedName>
    <definedName name="apm_dax.consult.vo.app">#REF!</definedName>
    <definedName name="apm_dax.consult.vo.app1">#REF!</definedName>
    <definedName name="apm_dax.contract.now">#REF!</definedName>
    <definedName name="apm_dax.contractor">#REF!</definedName>
    <definedName name="apm_dax.ffe">#REF!</definedName>
    <definedName name="apm_dax.ffe.now">#REF!</definedName>
    <definedName name="apm_dax.ffe.payment">#REF!</definedName>
    <definedName name="apm_dax.ffe.vo.app">#REF!</definedName>
    <definedName name="apm_dax.hosp">#REF!</definedName>
    <definedName name="apm_dax.hosp.com">#REF!</definedName>
    <definedName name="apm_dax.hosp.comm">#REF!</definedName>
    <definedName name="apm_dax.hosp.now">#REF!</definedName>
    <definedName name="apm_dax.hosp.payment">#REF!</definedName>
    <definedName name="apm_dax.hosp.vo.app">#REF!</definedName>
    <definedName name="apm_dax.pabx">#REF!</definedName>
    <definedName name="apm_dax.pabx.now">#REF!</definedName>
    <definedName name="apm_dax.pabx.payment">#REF!</definedName>
    <definedName name="apm_dax.pabx.vo.app">#REF!</definedName>
    <definedName name="apm_dax.payment">#REF!</definedName>
    <definedName name="apm_dax.pm.fee">#REF!</definedName>
    <definedName name="apm_dax.pm.now">#REF!</definedName>
    <definedName name="apm_dax.pm.payment">#REF!</definedName>
    <definedName name="apm_dax.pm.vo.app">#REF!</definedName>
    <definedName name="apm_dax.ps">#REF!</definedName>
    <definedName name="apm_dax.qs.fee">#REF!</definedName>
    <definedName name="apm_dax.qs.now">#REF!</definedName>
    <definedName name="apm_dax.qs.payment">#REF!</definedName>
    <definedName name="apm_dax.qs.vo.app">#REF!</definedName>
    <definedName name="apm_dax.special.now">#REF!</definedName>
    <definedName name="apm_dax.specialist.fee">#REF!</definedName>
    <definedName name="apm_dax.specialist.payment">#REF!</definedName>
    <definedName name="apm_dax.specialist.vo.app">#REF!</definedName>
    <definedName name="apm_dem.consult">#REF!</definedName>
    <definedName name="apm_dem.consult.now">#REF!</definedName>
    <definedName name="apm_dem.consult.payment">#REF!</definedName>
    <definedName name="apm_dem.consult.vo.app">#REF!</definedName>
    <definedName name="apm_dem.contract">#REF!</definedName>
    <definedName name="apm_dem.contract.now">#REF!</definedName>
    <definedName name="apm_dem.contract.payment">#REF!</definedName>
    <definedName name="apm_dem.contract.vo.app">#REF!</definedName>
    <definedName name="apm_dem.furn">#REF!</definedName>
    <definedName name="apm_dem.furn.now">#REF!</definedName>
    <definedName name="apm_dem.furn.payment">#REF!</definedName>
    <definedName name="apm_dem.furn.vo.app">#REF!</definedName>
    <definedName name="apm_dem.hosp">#REF!</definedName>
    <definedName name="apm_dem.hosp.now">#REF!</definedName>
    <definedName name="apm_dem.hosp.payment">#REF!</definedName>
    <definedName name="apm_dem.hosp.vo.app">#REF!</definedName>
    <definedName name="apm_dem.mon">#REF!</definedName>
    <definedName name="apm_dem.mon.now">#REF!</definedName>
    <definedName name="apm_dem.mon.payment">#REF!</definedName>
    <definedName name="apm_dem.mon.vo.app">#REF!</definedName>
    <definedName name="apm_dem.rev">#REF!</definedName>
    <definedName name="apm_dem.tot.contract">#REF!</definedName>
    <definedName name="apm_dem.tot.now">#REF!</definedName>
    <definedName name="apm_dem.tot.payment">#REF!</definedName>
    <definedName name="apm_dem.tot.vo.app">#REF!</definedName>
    <definedName name="apm_icu.bs">#REF!</definedName>
    <definedName name="apm_icu.bs.now">#REF!</definedName>
    <definedName name="apm_icu.bs.payment">#REF!</definedName>
    <definedName name="apm_icu.bs.vo.app">#REF!</definedName>
    <definedName name="apm_icu.cert">#REF!</definedName>
    <definedName name="apm_icu.contract">#REF!</definedName>
    <definedName name="apm_icu.contract.now">#REF!</definedName>
    <definedName name="apm_icu.furn">#REF!</definedName>
    <definedName name="apm_icu.furn.vo.app">#REF!</definedName>
    <definedName name="apm_icu.mon">#REF!</definedName>
    <definedName name="apm_icu.mon.vo.app">#REF!</definedName>
    <definedName name="apm_icu.payment">#REF!</definedName>
    <definedName name="apm_icu.rev">#REF!</definedName>
    <definedName name="apm_icu.tot.contract">#REF!</definedName>
    <definedName name="apm_icu.tot.now">#REF!</definedName>
    <definedName name="apm_icu.tot.payment">#REF!</definedName>
    <definedName name="apm_icu.tot.vo.app">#REF!</definedName>
    <definedName name="apm_icu.vo.app">#REF!</definedName>
    <definedName name="apm_temp.cert">#REF!</definedName>
    <definedName name="APPROVED">#REF!</definedName>
    <definedName name="ASDF" hidden="1">#REF!</definedName>
    <definedName name="b" localSheetId="0" hidden="1">{#N/A,#N/A,TRUE,"Cover";#N/A,#N/A,TRUE,"Report";#N/A,#N/A,TRUE,"Report Transition";#N/A,#N/A,TRUE,"GST";#N/A,#N/A,TRUE,"Statement";#N/A,#N/A,TRUE,"Transition Val"}</definedName>
    <definedName name="b" localSheetId="11" hidden="1">{#N/A,#N/A,TRUE,"Cover";#N/A,#N/A,TRUE,"Report";#N/A,#N/A,TRUE,"Report Transition";#N/A,#N/A,TRUE,"GST";#N/A,#N/A,TRUE,"Statement";#N/A,#N/A,TRUE,"Transition Val"}</definedName>
    <definedName name="B">#REF!</definedName>
    <definedName name="b_bpi">#REF!</definedName>
    <definedName name="b_loc">#REF!</definedName>
    <definedName name="b_rec">#REF!</definedName>
    <definedName name="Barraba_construction_Fees">'[5]payment recommendations'!#REF!</definedName>
    <definedName name="Barraba_Designfees">'[5]payment recommendations'!#REF!</definedName>
    <definedName name="Barraba_Geotech_Fees">'[5]payment recommendations'!#REF!</definedName>
    <definedName name="Barraba_Landscape_Fees">'[5]payment recommendations'!#REF!</definedName>
    <definedName name="Barraba_Misc_Fees">'[5]payment recommendations'!#REF!</definedName>
    <definedName name="Barraba_QS_Fees">'[5]payment recommendations'!#REF!</definedName>
    <definedName name="Barraba_Survey_Fees">'[5]payment recommendations'!#REF!</definedName>
    <definedName name="BASE_DATE">[1]Workings!$K$5</definedName>
    <definedName name="BB">#REF!</definedName>
    <definedName name="bb26budget" localSheetId="3">#REF!</definedName>
    <definedName name="bb26budget" localSheetId="10">#REF!</definedName>
    <definedName name="bb26budget" localSheetId="7">#REF!</definedName>
    <definedName name="bb26budget" localSheetId="9">#REF!</definedName>
    <definedName name="bb26budget" localSheetId="1">#REF!</definedName>
    <definedName name="bb26budget" localSheetId="8">#REF!</definedName>
    <definedName name="bb26budget" localSheetId="2">#REF!</definedName>
    <definedName name="bb26budget" localSheetId="4">#REF!</definedName>
    <definedName name="bb26budget" localSheetId="5">#REF!</definedName>
    <definedName name="bb26budget" localSheetId="6">#REF!</definedName>
    <definedName name="bb26budget">#REF!</definedName>
    <definedName name="BC">#REF!</definedName>
    <definedName name="beds">#REF!</definedName>
    <definedName name="BMHU_Builder">'[5]payment recommendations'!#REF!</definedName>
    <definedName name="BMHU_Designfees">'[5]payment recommendations'!#REF!</definedName>
    <definedName name="BMHU_Geotech">'[5]payment recommendations'!#REF!</definedName>
    <definedName name="BMHU_QS">'[5]payment recommendations'!#REF!</definedName>
    <definedName name="BMHU_Survey">'[5]payment recommendations'!#REF!</definedName>
    <definedName name="BPI">#REF!</definedName>
    <definedName name="bud_autho.org">#REF!</definedName>
    <definedName name="bud_autho.trf">[6]Budget!$F$83</definedName>
    <definedName name="bud_ccu.org">#REF!</definedName>
    <definedName name="bud_ccu.trf">[6]Budget!$F$47</definedName>
    <definedName name="bud_com.org">#REF!</definedName>
    <definedName name="bud_com.trf">[6]Budget!$F$102</definedName>
    <definedName name="bud_dax.con">#REF!</definedName>
    <definedName name="bud_dax.con.org">#REF!</definedName>
    <definedName name="bud_dax.con.trf">[6]Budget!$F$28</definedName>
    <definedName name="bud_dax.org">#REF!</definedName>
    <definedName name="bud_dax.rev">#REF!</definedName>
    <definedName name="bud_dax.trf">[6]Budget!$F$20</definedName>
    <definedName name="bud_dem.org">#REF!</definedName>
    <definedName name="bud_dem.trf">[6]Budget!$F$54</definedName>
    <definedName name="bud_fee.org">#REF!</definedName>
    <definedName name="bud_fee.trf">#REF!</definedName>
    <definedName name="bud_furn.org">#REF!</definedName>
    <definedName name="bud_furn.trf">[6]Budget!$F$95</definedName>
    <definedName name="bud_icu.org">#REF!</definedName>
    <definedName name="bud_icu.trf">[6]Budget!$F$39</definedName>
    <definedName name="bud_pcon.org">#REF!</definedName>
    <definedName name="bud_pcon.trf">#REF!</definedName>
    <definedName name="bud_sun.org">#REF!</definedName>
    <definedName name="bud_sun.trf">[6]Budget!$F$61</definedName>
    <definedName name="budget">#REF!</definedName>
    <definedName name="C_PERIOD">[1]Workings!$C$8</definedName>
    <definedName name="C_VALUE">[1]Workings!$E$12</definedName>
    <definedName name="CASHFLOW">#REF!</definedName>
    <definedName name="CASHFLOW_M">#REF!</definedName>
    <definedName name="Cashflow_Month">[7]Cashflow!$A$7:$A$127</definedName>
    <definedName name="cashflow_table">#REF!</definedName>
    <definedName name="cashflow1">#REF!</definedName>
    <definedName name="Cashflow2" localSheetId="3">#REF!</definedName>
    <definedName name="Cashflow2" localSheetId="10">#REF!</definedName>
    <definedName name="Cashflow2" localSheetId="7">#REF!</definedName>
    <definedName name="Cashflow2" localSheetId="9">#REF!</definedName>
    <definedName name="Cashflow2" localSheetId="1">#REF!</definedName>
    <definedName name="Cashflow2" localSheetId="8">#REF!</definedName>
    <definedName name="Cashflow2" localSheetId="2">#REF!</definedName>
    <definedName name="Cashflow2" localSheetId="4">#REF!</definedName>
    <definedName name="Cashflow2" localSheetId="5">#REF!</definedName>
    <definedName name="Cashflow2" localSheetId="6">#REF!</definedName>
    <definedName name="Cashflow2">#REF!</definedName>
    <definedName name="Category">#REF!</definedName>
    <definedName name="CFCol">'[7]Report Details'!$C$7</definedName>
    <definedName name="CFRow">'[7]Report Details'!$C$6</definedName>
    <definedName name="CISCOBBMARGIN">'[8]CLAIM ANALYSIS'!#REF!</definedName>
    <definedName name="CISCOBBPS">'[8]CLAIM ANALYSIS'!#REF!</definedName>
    <definedName name="claim" localSheetId="3">#REF!</definedName>
    <definedName name="claim" localSheetId="10">#REF!</definedName>
    <definedName name="claim" localSheetId="7">#REF!</definedName>
    <definedName name="claim" localSheetId="9">#REF!</definedName>
    <definedName name="claim" localSheetId="1">#REF!</definedName>
    <definedName name="claim" localSheetId="8">#REF!</definedName>
    <definedName name="claim" localSheetId="2">#REF!</definedName>
    <definedName name="claim" localSheetId="4">#REF!</definedName>
    <definedName name="claim" localSheetId="5">#REF!</definedName>
    <definedName name="claim" localSheetId="6">#REF!</definedName>
    <definedName name="claim">#REF!</definedName>
    <definedName name="CLAIM_PRINT_AREA">#REF!</definedName>
    <definedName name="content">[9]Content!$A$6:$H$36</definedName>
    <definedName name="CONTENTS">#REF!</definedName>
    <definedName name="CONTENTS_M">#REF!</definedName>
    <definedName name="cost_sum">[9]Summary!$A$6:$M$37</definedName>
    <definedName name="COVER">#REF!</definedName>
    <definedName name="COVER_M">#REF!</definedName>
    <definedName name="cover2">#REF!</definedName>
    <definedName name="CP">#REF!</definedName>
    <definedName name="csDesignMode">1</definedName>
    <definedName name="Cumulative">#REF!</definedName>
    <definedName name="Cur_001">#REF!</definedName>
    <definedName name="Cur_002">#REF!</definedName>
    <definedName name="Cur_003">#REF!</definedName>
    <definedName name="Cur_004">#REF!</definedName>
    <definedName name="Cur_005">#REF!</definedName>
    <definedName name="Cur_006">#REF!</definedName>
    <definedName name="Cur_007">#REF!</definedName>
    <definedName name="d">#REF!</definedName>
    <definedName name="DATA">#REF!</definedName>
    <definedName name="_xlnm.Database">#REF!</definedName>
    <definedName name="dax_adj.contract.sum">#REF!</definedName>
    <definedName name="dax_con.bal">#REF!</definedName>
    <definedName name="dax_cont.r">#REF!</definedName>
    <definedName name="dax_final.sum">#REF!</definedName>
    <definedName name="dax_org.contract">#REF!</definedName>
    <definedName name="dax_rev.sum">#REF!</definedName>
    <definedName name="dax_uncommit">#REF!</definedName>
    <definedName name="dax_vo.app">#REF!</definedName>
    <definedName name="dax_vo.pend">#REF!</definedName>
    <definedName name="dax_vo.total">#REF!</definedName>
    <definedName name="dax_work.complete">#REF!</definedName>
    <definedName name="DCI">#REF!</definedName>
    <definedName name="DCI_M">#REF!</definedName>
    <definedName name="DIR">#REF!</definedName>
    <definedName name="dj">#REF!</definedName>
    <definedName name="DOB">[1]Workings!$I$9</definedName>
    <definedName name="DOS">[1]Workings!$I$15</definedName>
    <definedName name="eee">#REF!</definedName>
    <definedName name="esd">#REF!</definedName>
    <definedName name="EW">#REF!</definedName>
    <definedName name="EWKSPOT">#REF!</definedName>
    <definedName name="EWKSSI">#REF!</definedName>
    <definedName name="Expenditure">#REF!</definedName>
    <definedName name="FAX">#REF!</definedName>
    <definedName name="FAX_M">#REF!</definedName>
    <definedName name="fee_autho.contract">#REF!</definedName>
    <definedName name="fee_autho.now">#REF!</definedName>
    <definedName name="fee_autho.payment">#REF!</definedName>
    <definedName name="fee_autho.uncommit">#REF!</definedName>
    <definedName name="fee_autho.vo.app">#REF!</definedName>
    <definedName name="fee_autho.vo.pend">#REF!</definedName>
    <definedName name="fee_contract">#REF!</definedName>
    <definedName name="fee_now">#REF!</definedName>
    <definedName name="fee_payment">#REF!</definedName>
    <definedName name="fee_uncommit">#REF!</definedName>
    <definedName name="fee_vo.app">#REF!</definedName>
    <definedName name="fee_vo.pend">#REF!</definedName>
    <definedName name="FF">#REF!</definedName>
    <definedName name="fin_year_expend">#REF!</definedName>
    <definedName name="FINISH_DATE">[1]Workings!$K$17</definedName>
    <definedName name="Fitout_calc">#REF!</definedName>
    <definedName name="fitout_calc2">#REF!</definedName>
    <definedName name="Fitout_print">#REF!</definedName>
    <definedName name="fitout_print2">#REF!</definedName>
    <definedName name="fred">#REF!</definedName>
    <definedName name="FUC_1">[1]Workings!$F$17</definedName>
    <definedName name="FUC_2">[1]Workings!$F$19</definedName>
    <definedName name="Geotech_Fees">'[5]payment recommendations'!#REF!</definedName>
    <definedName name="GFA">#REF!</definedName>
    <definedName name="GRAPH">#REF!</definedName>
    <definedName name="GRAPH_M">#REF!</definedName>
    <definedName name="Header1">#REF!</definedName>
    <definedName name="hosp">#REF!</definedName>
    <definedName name="hosp_com">#REF!</definedName>
    <definedName name="hosp_com.now">#REF!</definedName>
    <definedName name="hosp_com.payment">#REF!</definedName>
    <definedName name="hosp_com.uncommit">#REF!</definedName>
    <definedName name="hosp_com.vo.app">#REF!</definedName>
    <definedName name="hosp_com.vo.pend">#REF!</definedName>
    <definedName name="hosp_ffe">#REF!</definedName>
    <definedName name="hosp_ffe.now">#REF!</definedName>
    <definedName name="hosp_ffe.payment">#REF!</definedName>
    <definedName name="hosp_ffe.uncommit">#REF!</definedName>
    <definedName name="hosp_ffe.vo.app">#REF!</definedName>
    <definedName name="hosp_ffe.vo.pend">#REF!</definedName>
    <definedName name="iiii">#REF!</definedName>
    <definedName name="int">#REF!</definedName>
    <definedName name="J_NAME1">[1]Workings!$C$7</definedName>
    <definedName name="J_NAME2">[1]Workings!$C$8</definedName>
    <definedName name="J_NO">[1]Workings!$E$10</definedName>
    <definedName name="key_dates">#REF!</definedName>
    <definedName name="keydates">#REF!</definedName>
    <definedName name="LI">#REF!</definedName>
    <definedName name="Location">#REF!</definedName>
    <definedName name="MOB">[1]Workings!$I$8</definedName>
    <definedName name="MOF">[1]Workings!$I$20</definedName>
    <definedName name="MONTH">#REF!</definedName>
    <definedName name="MOS">[1]Workings!$I$14</definedName>
    <definedName name="MUS">#REF!</definedName>
    <definedName name="MWKSPOT">#REF!</definedName>
    <definedName name="MWKSSI">#REF!</definedName>
    <definedName name="na" hidden="1">{#N/A,#N/A,TRUE,"Report";#N/A,#N/A,TRUE,"Trade Summary";#N/A,#N/A,TRUE,"ProvSums";#N/A,#N/A,TRUE,"VOs";#N/A,#N/A,TRUE,"Cashflow";#N/A,#N/A,TRUE,"Cover";#N/A,#N/A,TRUE,"Reconcile"}</definedName>
    <definedName name="NOTES_FOR_CLAIM" localSheetId="3">#REF!</definedName>
    <definedName name="NOTES_FOR_CLAIM" localSheetId="10">#REF!</definedName>
    <definedName name="NOTES_FOR_CLAIM" localSheetId="7">#REF!</definedName>
    <definedName name="NOTES_FOR_CLAIM" localSheetId="9">#REF!</definedName>
    <definedName name="NOTES_FOR_CLAIM" localSheetId="1">#REF!</definedName>
    <definedName name="NOTES_FOR_CLAIM" localSheetId="8">#REF!</definedName>
    <definedName name="NOTES_FOR_CLAIM" localSheetId="2">#REF!</definedName>
    <definedName name="NOTES_FOR_CLAIM" localSheetId="4">#REF!</definedName>
    <definedName name="NOTES_FOR_CLAIM" localSheetId="5">#REF!</definedName>
    <definedName name="NOTES_FOR_CLAIM" localSheetId="6">#REF!</definedName>
    <definedName name="NOTES_FOR_CLAIM">#REF!</definedName>
    <definedName name="ooo">#REF!</definedName>
    <definedName name="oooo">#REF!</definedName>
    <definedName name="ooooooo">#REF!</definedName>
    <definedName name="OTHER" localSheetId="3">#REF!</definedName>
    <definedName name="OTHER" localSheetId="10">#REF!</definedName>
    <definedName name="OTHER" localSheetId="7">#REF!</definedName>
    <definedName name="OTHER" localSheetId="9">#REF!</definedName>
    <definedName name="OTHER" localSheetId="1">#REF!</definedName>
    <definedName name="OTHER" localSheetId="8">#REF!</definedName>
    <definedName name="OTHER" localSheetId="2">#REF!</definedName>
    <definedName name="OTHER" localSheetId="4">#REF!</definedName>
    <definedName name="OTHER" localSheetId="5">#REF!</definedName>
    <definedName name="OTHER" localSheetId="6">#REF!</definedName>
    <definedName name="OTHER">#REF!</definedName>
    <definedName name="OTHER_M">#REF!</definedName>
    <definedName name="P_OCT">#REF!</definedName>
    <definedName name="P1MARGIN">'[8]CLAIM ANALYSIS'!#REF!</definedName>
    <definedName name="P1PS">'[8]CLAIM ANALYSIS'!#REF!</definedName>
    <definedName name="P2MARGIN">'[8]CLAIM ANALYSIS'!#REF!</definedName>
    <definedName name="P2PS">'[8]CLAIM ANALYSIS'!#REF!</definedName>
    <definedName name="P3MARGIN">'[8]CLAIM ANALYSIS'!#REF!</definedName>
    <definedName name="P3PS">'[8]CLAIM ANALYSIS'!#REF!</definedName>
    <definedName name="payment">#REF!</definedName>
    <definedName name="pcg_app">#REF!</definedName>
    <definedName name="photo_app">#REF!</definedName>
    <definedName name="photo_max">#REF!</definedName>
    <definedName name="photo_paid">#REF!</definedName>
    <definedName name="PHOTOS" localSheetId="3">#REF!</definedName>
    <definedName name="PHOTOS" localSheetId="10">#REF!</definedName>
    <definedName name="PHOTOS" localSheetId="7">#REF!</definedName>
    <definedName name="PHOTOS" localSheetId="9">#REF!</definedName>
    <definedName name="PHOTOS" localSheetId="1">#REF!</definedName>
    <definedName name="PHOTOS" localSheetId="8">#REF!</definedName>
    <definedName name="PHOTOS" localSheetId="2">#REF!</definedName>
    <definedName name="PHOTOS" localSheetId="4">#REF!</definedName>
    <definedName name="PHOTOS" localSheetId="5">#REF!</definedName>
    <definedName name="PHOTOS" localSheetId="6">#REF!</definedName>
    <definedName name="PHOTOS">#REF!</definedName>
    <definedName name="PHOTOS_M">#REF!</definedName>
    <definedName name="pn_paid">#REF!</definedName>
    <definedName name="pp_est">#REF!</definedName>
    <definedName name="pppp">#REF!</definedName>
    <definedName name="PRE">#REF!</definedName>
    <definedName name="prelims">#REF!</definedName>
    <definedName name="Prev_001">#REF!</definedName>
    <definedName name="Prev_002">#REF!</definedName>
    <definedName name="Prev_003">#REF!</definedName>
    <definedName name="Prev_004">#REF!</definedName>
    <definedName name="Prev_005">#REF!</definedName>
    <definedName name="Prev_006">#REF!</definedName>
    <definedName name="Prev_007">#REF!</definedName>
    <definedName name="_xlnm.Print_Area" localSheetId="3">Consultants!$A$1:$D$38</definedName>
    <definedName name="_xlnm.Print_Area" localSheetId="10">'Dry Fire Breakdown'!$A$1:$C$16</definedName>
    <definedName name="_xlnm.Print_Area" localSheetId="7">'Elect Breakdown'!$A$1:$C$36</definedName>
    <definedName name="_xlnm.Print_Area" localSheetId="9">'Hydraulic Breakdown'!$A$1:$C$28</definedName>
    <definedName name="_xlnm.Print_Area" localSheetId="1">'Main Works'!$A$1:$H$70</definedName>
    <definedName name="_xlnm.Print_Area" localSheetId="8">'Mech Breakdown'!$A$1:$C$17</definedName>
    <definedName name="_xlnm.Print_Area" localSheetId="2">Preliminaries!$A$1:$F$81</definedName>
    <definedName name="_xlnm.Print_Area" localSheetId="4">'Sched 4 PPO'!$A$1:$G$14</definedName>
    <definedName name="_xlnm.Print_Area" localSheetId="5">'Sched 7 Mand Alt'!$A$1:$G$18</definedName>
    <definedName name="_xlnm.Print_Area" localSheetId="13">'SoR Equipmt'!$A$1:$F$49</definedName>
    <definedName name="_xlnm.Print_Area" localSheetId="12">'SoR Labour'!$A$1:$H$94</definedName>
    <definedName name="_xlnm.Print_Area" localSheetId="6">VE!$A$1:$G$22</definedName>
    <definedName name="_xlnm.Print_Area">#REF!</definedName>
    <definedName name="Print_Area_MI">[10]UTSBSPC1!$A$1:$F$46</definedName>
    <definedName name="_xlnm.Print_Titles">#REF!</definedName>
    <definedName name="PRINT_TITLES_MI">#REF!</definedName>
    <definedName name="PRINTALL_M">#REF!</definedName>
    <definedName name="Project">'[7]Report Details'!$B$3</definedName>
    <definedName name="PROVSUMS" localSheetId="3">#REF!</definedName>
    <definedName name="PROVSUMS" localSheetId="10">#REF!</definedName>
    <definedName name="PROVSUMS" localSheetId="7">#REF!</definedName>
    <definedName name="PROVSUMS" localSheetId="9">#REF!</definedName>
    <definedName name="PROVSUMS" localSheetId="1">#REF!</definedName>
    <definedName name="PROVSUMS" localSheetId="8">#REF!</definedName>
    <definedName name="PROVSUMS" localSheetId="2">#REF!</definedName>
    <definedName name="PROVSUMS" localSheetId="4">#REF!</definedName>
    <definedName name="PROVSUMS" localSheetId="5">#REF!</definedName>
    <definedName name="PROVSUMS" localSheetId="6">#REF!</definedName>
    <definedName name="PROVSUMS">#REF!</definedName>
    <definedName name="PROVSUMS_M">#REF!</definedName>
    <definedName name="ps_app">#REF!</definedName>
    <definedName name="ps_est">#REF!</definedName>
    <definedName name="ps_fty">#REF!</definedName>
    <definedName name="ps_max">#REF!</definedName>
    <definedName name="ps_paid">#REF!</definedName>
    <definedName name="ps_quo">#REF!</definedName>
    <definedName name="ps_rec">#REF!</definedName>
    <definedName name="ps_tot">#REF!</definedName>
    <definedName name="PT2_app">#REF!</definedName>
    <definedName name="PT2_unapp">#REF!</definedName>
    <definedName name="PT3_app">'[11]vo &amp; ps'!#REF!</definedName>
    <definedName name="QS_Fees">'[5]payment recommendations'!#REF!</definedName>
    <definedName name="QS_NAME">[1]Workings!$F$5</definedName>
    <definedName name="R_C_VALUE">[1]Workings!$R$10</definedName>
    <definedName name="RECONCILE" localSheetId="3">#REF!</definedName>
    <definedName name="RECONCILE" localSheetId="10">#REF!</definedName>
    <definedName name="RECONCILE" localSheetId="7">#REF!</definedName>
    <definedName name="RECONCILE" localSheetId="9">#REF!</definedName>
    <definedName name="RECONCILE" localSheetId="1">#REF!</definedName>
    <definedName name="RECONCILE" localSheetId="8">#REF!</definedName>
    <definedName name="RECONCILE" localSheetId="2">#REF!</definedName>
    <definedName name="RECONCILE" localSheetId="4">#REF!</definedName>
    <definedName name="RECONCILE" localSheetId="5">#REF!</definedName>
    <definedName name="RECONCILE" localSheetId="6">#REF!</definedName>
    <definedName name="RECONCILE">#REF!</definedName>
    <definedName name="RECONCILE_M">#REF!</definedName>
    <definedName name="REMARKS">#REF!</definedName>
    <definedName name="REPORT" localSheetId="3">#REF!</definedName>
    <definedName name="REPORT" localSheetId="10">#REF!</definedName>
    <definedName name="REPORT" localSheetId="7">#REF!</definedName>
    <definedName name="REPORT" localSheetId="9">#REF!</definedName>
    <definedName name="REPORT" localSheetId="1">#REF!</definedName>
    <definedName name="REPORT" localSheetId="8">#REF!</definedName>
    <definedName name="REPORT" localSheetId="2">#REF!</definedName>
    <definedName name="REPORT" localSheetId="4">#REF!</definedName>
    <definedName name="REPORT" localSheetId="5">#REF!</definedName>
    <definedName name="REPORT" localSheetId="6">#REF!</definedName>
    <definedName name="REPORT">#REF!</definedName>
    <definedName name="REPORT_M">#REF!</definedName>
    <definedName name="ReportDate">'[7]Report Details'!$B$5</definedName>
    <definedName name="ReportingMonth">'[7]Report Details'!$B$6</definedName>
    <definedName name="ReportNumber">'[7]Report Details'!$B$4</definedName>
    <definedName name="S_FINISH">[1]Workings!$P$2</definedName>
    <definedName name="S_LENGTH">[1]Workings!$P$3</definedName>
    <definedName name="S_START">[1]Workings!$P$1</definedName>
    <definedName name="SAC_Cat">#REF!</definedName>
    <definedName name="SER">#REF!</definedName>
    <definedName name="SHAREDBBMARGIN">'[8]CLAIM ANALYSIS'!#REF!</definedName>
    <definedName name="SHAREDBBPS">'[8]CLAIM ANALYSIS'!#REF!</definedName>
    <definedName name="START_DATE">[1]Workings!$K$11</definedName>
    <definedName name="STATEMENT_M">#REF!</definedName>
    <definedName name="SUM">#REF!</definedName>
    <definedName name="SUMMARY">[1]Workings!$O$5:$T$62</definedName>
    <definedName name="Survey_Fees">'[5]payment recommendations'!#REF!</definedName>
    <definedName name="TamED_Builder">'[5]payment recommendations'!#REF!</definedName>
    <definedName name="TamED_Designfees">#REF!</definedName>
    <definedName name="TamED_Geotech">'[5]payment recommendations'!#REF!</definedName>
    <definedName name="TamED_Misc">'[5]payment recommendations'!#REF!</definedName>
    <definedName name="TamED_QS">'[5]payment recommendations'!#REF!</definedName>
    <definedName name="TamED_Survey">'[5]payment recommendations'!#REF!</definedName>
    <definedName name="TBC">#REF!</definedName>
    <definedName name="TCC">#REF!</definedName>
    <definedName name="temp_app">#REF!</definedName>
    <definedName name="temp_app.prev">#REF!</definedName>
    <definedName name="temp_bax.con">#REF!</definedName>
    <definedName name="temp_bax.con.bal">#REF!</definedName>
    <definedName name="temp_bax.tot.vo">#REF!</definedName>
    <definedName name="temp_bax.uncommit">#REF!</definedName>
    <definedName name="temp_ccu.con">#REF!</definedName>
    <definedName name="temp_ccu.con.bal">#REF!</definedName>
    <definedName name="temp_ccu.fire.con">#REF!</definedName>
    <definedName name="temp_ccu.tot.vo">#REF!</definedName>
    <definedName name="temp_ccu.uncommit">#REF!</definedName>
    <definedName name="temp_ccu.vo.app">#REF!</definedName>
    <definedName name="temp_dem.con">#REF!</definedName>
    <definedName name="temp_dem.con.bal">#REF!</definedName>
    <definedName name="temp_dem.tot.vo">#REF!</definedName>
    <definedName name="temp_dem.uncommit">#REF!</definedName>
    <definedName name="temp_icu.con">#REF!</definedName>
    <definedName name="temp_icu.con.bal">#REF!</definedName>
    <definedName name="temp_icu.tot.vo">#REF!</definedName>
    <definedName name="temp_icu.uncommit">#REF!</definedName>
    <definedName name="temp_icu.vo.app">#REF!</definedName>
    <definedName name="temp_pend">#REF!</definedName>
    <definedName name="temp_pend.prev">#REF!</definedName>
    <definedName name="temp_tot.con">#REF!</definedName>
    <definedName name="temp_tot.con.bal">#REF!</definedName>
    <definedName name="temp_tot.fire.con">#REF!</definedName>
    <definedName name="temp_tot.vo">#REF!</definedName>
    <definedName name="TITLE">[1]Workings!$A$1:$K$20</definedName>
    <definedName name="TPC">#REF!</definedName>
    <definedName name="v_app">#REF!</definedName>
    <definedName name="v_app_net">#REF!</definedName>
    <definedName name="v_app_ps">#REF!</definedName>
    <definedName name="v_est">#REF!</definedName>
    <definedName name="v_max">#REF!</definedName>
    <definedName name="v_max_net">#REF!</definedName>
    <definedName name="v_max_ps">#REF!</definedName>
    <definedName name="v_paid">#REF!</definedName>
    <definedName name="v_paid_net">#REF!</definedName>
    <definedName name="v_paid_ps">#REF!</definedName>
    <definedName name="v_pcg">#REF!</definedName>
    <definedName name="v_quo">#REF!</definedName>
    <definedName name="v_quo_a">#REF!</definedName>
    <definedName name="v_rec">#REF!</definedName>
    <definedName name="v_tot">#REF!</definedName>
    <definedName name="VAR">#REF!</definedName>
    <definedName name="VCA">#REF!</definedName>
    <definedName name="VCA_M">#REF!</definedName>
    <definedName name="vo_.dax.ps.est">#REF!</definedName>
    <definedName name="vo_bax.app">#REF!</definedName>
    <definedName name="vo_bax.est">#REF!</definedName>
    <definedName name="vo_bax.max">#REF!</definedName>
    <definedName name="vo_bax.pcg">#REF!</definedName>
    <definedName name="vo_bax.pend">#REF!</definedName>
    <definedName name="vo_bax.pm">#REF!</definedName>
    <definedName name="vo_bax.quote">#REF!</definedName>
    <definedName name="vo_bax.rec">#REF!</definedName>
    <definedName name="vo_ccu.app">#REF!</definedName>
    <definedName name="vo_ccu.est">#REF!</definedName>
    <definedName name="vo_ccu.max">#REF!</definedName>
    <definedName name="vo_ccu.pcg">#REF!</definedName>
    <definedName name="vo_ccu.pend">#REF!</definedName>
    <definedName name="vo_ccu.pm">#REF!</definedName>
    <definedName name="vo_ccu.ps.est">#REF!</definedName>
    <definedName name="vo_ccu.ps.pcg">#REF!</definedName>
    <definedName name="vo_ccu.ps.pm">#REF!</definedName>
    <definedName name="vo_ccu.ps.quote">#REF!</definedName>
    <definedName name="vo_ccu.ps.rec">#REF!</definedName>
    <definedName name="vo_ccu.quote">#REF!</definedName>
    <definedName name="vo_ccu.rec">#REF!</definedName>
    <definedName name="vo_dax.app">#REF!</definedName>
    <definedName name="vo_dax.est">#REF!</definedName>
    <definedName name="vo_dax.max">#REF!</definedName>
    <definedName name="vo_dax.pcg">#REF!</definedName>
    <definedName name="vo_dax.pend">#REF!</definedName>
    <definedName name="vo_dax.pm">#REF!</definedName>
    <definedName name="vo_dax.pm.app">#REF!</definedName>
    <definedName name="vo_dax.ps.app">#REF!</definedName>
    <definedName name="vo_dax.ps.est">#REF!</definedName>
    <definedName name="vo_dax.ps.max">#REF!</definedName>
    <definedName name="vo_dax.ps.pcg">#REF!</definedName>
    <definedName name="vo_dax.ps.pend">#REF!</definedName>
    <definedName name="vo_dax.ps.pm">#REF!</definedName>
    <definedName name="vo_dax.ps.quote">#REF!</definedName>
    <definedName name="vo_dax.ps.rec">#REF!</definedName>
    <definedName name="vo_dax.quote">#REF!</definedName>
    <definedName name="vo_dax.rec">#REF!</definedName>
    <definedName name="vo_dem.app">#REF!</definedName>
    <definedName name="vo_dem.est">#REF!</definedName>
    <definedName name="vo_dem.max">#REF!</definedName>
    <definedName name="vo_dem.pcg">#REF!</definedName>
    <definedName name="vo_dem.pend">#REF!</definedName>
    <definedName name="vo_dem.pm">#REF!</definedName>
    <definedName name="vo_dem.ps.est">#REF!</definedName>
    <definedName name="vo_dem.ps.pcg">#REF!</definedName>
    <definedName name="vo_dem.ps.pm">#REF!</definedName>
    <definedName name="vo_dem.ps.quote">#REF!</definedName>
    <definedName name="vo_dem.ps.rec">#REF!</definedName>
    <definedName name="vo_dem.quote">#REF!</definedName>
    <definedName name="vo_dem.rec">#REF!</definedName>
    <definedName name="vo_icu.app">#REF!</definedName>
    <definedName name="vo_icu.est">#REF!</definedName>
    <definedName name="vo_icu.max">#REF!</definedName>
    <definedName name="vo_icu.pcg">#REF!</definedName>
    <definedName name="vo_icu.pend">#REF!</definedName>
    <definedName name="vo_icu.pm">#REF!</definedName>
    <definedName name="vo_icu.ps.app">#REF!</definedName>
    <definedName name="vo_icu.ps.est">#REF!</definedName>
    <definedName name="vo_icu.ps.pcg">#REF!</definedName>
    <definedName name="vo_icu.ps.pm">#REF!</definedName>
    <definedName name="vo_icu.ps.quote">#REF!</definedName>
    <definedName name="vo_icu.ps.rec">#REF!</definedName>
    <definedName name="vo_icu.quote">#REF!</definedName>
    <definedName name="vo_icu.rec">#REF!</definedName>
    <definedName name="vo_ps.icu.est">#REF!</definedName>
    <definedName name="VPR">#REF!</definedName>
    <definedName name="VPR_M">#REF!</definedName>
    <definedName name="w">#REF!</definedName>
    <definedName name="WORK">#REF!</definedName>
    <definedName name="WORK_M">#REF!</definedName>
    <definedName name="WORKW">#REF!</definedName>
    <definedName name="wrn.Certificate." hidden="1">{#N/A,#N/A,TRUE,"Report";#N/A,#N/A,TRUE,"Trade Summary";#N/A,#N/A,TRUE,"ProvSums";#N/A,#N/A,TRUE,"VOs";#N/A,#N/A,TRUE,"Cashflow";#N/A,#N/A,TRUE,"Cover";#N/A,#N/A,TRUE,"Reconcile"}</definedName>
    <definedName name="wrn.Check._.sheets." hidden="1">{#N/A,#N/A,FALSE,"1B";#N/A,#N/A,FALSE,"2B";#N/A,#N/A,FALSE,"3B";#N/A,#N/A,FALSE,"Trade Summary";#N/A,#N/A,FALSE,"ProvSums";#N/A,#N/A,FALSE,"VO"}</definedName>
    <definedName name="wrn.VALUATION._.PRINTOUT." localSheetId="0" hidden="1">{#N/A,#N/A,TRUE,"Cover";#N/A,#N/A,TRUE,"Report";#N/A,#N/A,TRUE,"Report Transition";#N/A,#N/A,TRUE,"GST";#N/A,#N/A,TRUE,"Statement";#N/A,#N/A,TRUE,"Transition Val"}</definedName>
    <definedName name="wrn.VALUATION._.PRINTOUT." localSheetId="11" hidden="1">{#N/A,#N/A,TRUE,"Cover";#N/A,#N/A,TRUE,"Report";#N/A,#N/A,TRUE,"Report Transition";#N/A,#N/A,TRUE,"GST";#N/A,#N/A,TRUE,"Statement";#N/A,#N/A,TRUE,"Transition Val"}</definedName>
    <definedName name="wrn.VALUATION._.PRINTOUT." hidden="1">{#N/A,#N/A,TRUE,"Cover";#N/A,#N/A,TRUE,"Report";#N/A,#N/A,TRUE,"Report Transition";#N/A,#N/A,TRUE,"GST";#N/A,#N/A,TRUE,"Statement";#N/A,#N/A,TRUE,"Transition Val"}</definedName>
    <definedName name="ww">#REF!</definedName>
    <definedName name="www">#REF!</definedName>
    <definedName name="YOB">[1]Workings!$I$7</definedName>
    <definedName name="YOF">[1]Workings!$I$19</definedName>
    <definedName name="YOS">[1]Workings!$I$13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26" l="1"/>
  <c r="E18" i="26"/>
  <c r="D18" i="26"/>
  <c r="C18" i="26"/>
  <c r="G17" i="26"/>
  <c r="G16" i="26"/>
  <c r="G15" i="26"/>
  <c r="G14" i="26"/>
  <c r="G13" i="26"/>
  <c r="G12" i="26"/>
  <c r="G11" i="26"/>
  <c r="G10" i="26"/>
  <c r="G9" i="26"/>
  <c r="G8" i="26"/>
  <c r="G7" i="26"/>
  <c r="A7" i="26"/>
  <c r="A8" i="26" s="1"/>
  <c r="A9" i="26" s="1"/>
  <c r="A10" i="26" s="1"/>
  <c r="A11" i="26" s="1"/>
  <c r="A12" i="26" s="1"/>
  <c r="A13" i="26" s="1"/>
  <c r="A14" i="26" s="1"/>
  <c r="A15" i="26" s="1"/>
  <c r="A16" i="26" s="1"/>
  <c r="A17" i="26" s="1"/>
  <c r="G6" i="26"/>
  <c r="F22" i="24"/>
  <c r="E22" i="24"/>
  <c r="D22" i="24"/>
  <c r="C22" i="24"/>
  <c r="G62" i="1"/>
  <c r="F62" i="1"/>
  <c r="E62" i="1"/>
  <c r="D62" i="1"/>
  <c r="C62" i="1"/>
  <c r="F14" i="12"/>
  <c r="E14" i="12"/>
  <c r="D14" i="12"/>
  <c r="C14" i="12"/>
  <c r="C22" i="23"/>
  <c r="C36" i="6"/>
  <c r="C17" i="7"/>
  <c r="C28" i="8"/>
  <c r="C20" i="8"/>
  <c r="G19" i="24"/>
  <c r="G18" i="24"/>
  <c r="G17" i="24"/>
  <c r="G16" i="24"/>
  <c r="G15" i="24"/>
  <c r="G14" i="24"/>
  <c r="G13" i="24"/>
  <c r="G12" i="24"/>
  <c r="G11" i="24"/>
  <c r="G10" i="24"/>
  <c r="G9" i="24"/>
  <c r="G8" i="24"/>
  <c r="G7" i="24"/>
  <c r="G6" i="24"/>
  <c r="G22" i="24" s="1"/>
  <c r="G6" i="12"/>
  <c r="C25" i="23"/>
  <c r="C20" i="23"/>
  <c r="C21" i="23"/>
  <c r="C23" i="23"/>
  <c r="D23" i="23"/>
  <c r="C24" i="23"/>
  <c r="C26" i="23"/>
  <c r="D19" i="23"/>
  <c r="C19" i="23"/>
  <c r="G21" i="24"/>
  <c r="A7" i="24"/>
  <c r="A8" i="24" s="1"/>
  <c r="A9" i="24" s="1"/>
  <c r="A10" i="24" s="1"/>
  <c r="A11" i="24" s="1"/>
  <c r="A12" i="24" s="1"/>
  <c r="A13" i="24" s="1"/>
  <c r="A14" i="24" s="1"/>
  <c r="A15" i="24" s="1"/>
  <c r="A16" i="24" s="1"/>
  <c r="A17" i="24" s="1"/>
  <c r="A18" i="24" s="1"/>
  <c r="A19" i="24" s="1"/>
  <c r="A20" i="24" s="1"/>
  <c r="A21" i="24" s="1"/>
  <c r="D9" i="23"/>
  <c r="B28" i="17"/>
  <c r="C3" i="16"/>
  <c r="C3" i="15"/>
  <c r="A1" i="15"/>
  <c r="C3" i="17"/>
  <c r="G13" i="12"/>
  <c r="D26" i="23" s="1"/>
  <c r="G12" i="12"/>
  <c r="D25" i="23" s="1"/>
  <c r="G11" i="12"/>
  <c r="D24" i="23" s="1"/>
  <c r="G10" i="12"/>
  <c r="G9" i="12"/>
  <c r="D22" i="23" s="1"/>
  <c r="G8" i="12"/>
  <c r="D21" i="23" s="1"/>
  <c r="G7" i="12"/>
  <c r="D20" i="23" s="1"/>
  <c r="A13" i="8"/>
  <c r="A14" i="8"/>
  <c r="A15" i="8" s="1"/>
  <c r="A16" i="8" s="1"/>
  <c r="A17" i="8" s="1"/>
  <c r="A18" i="8" s="1"/>
  <c r="A19" i="8" s="1"/>
  <c r="A20" i="8" s="1"/>
  <c r="A21" i="8" s="1"/>
  <c r="A22" i="8" s="1"/>
  <c r="A23" i="8" s="1"/>
  <c r="A24" i="8" s="1"/>
  <c r="A25" i="8" s="1"/>
  <c r="A26" i="8" s="1"/>
  <c r="A27" i="8" s="1"/>
  <c r="A28" i="8" s="1"/>
  <c r="A32" i="6"/>
  <c r="A33" i="6" s="1"/>
  <c r="A34" i="6" s="1"/>
  <c r="A35" i="6" s="1"/>
  <c r="A36" i="6" s="1"/>
  <c r="C16" i="9"/>
  <c r="A13" i="9"/>
  <c r="A14" i="9"/>
  <c r="A15" i="9"/>
  <c r="A16" i="9"/>
  <c r="A15" i="7"/>
  <c r="A16" i="7"/>
  <c r="C25" i="8"/>
  <c r="A9" i="9"/>
  <c r="H59" i="1"/>
  <c r="H58" i="1"/>
  <c r="H57" i="1"/>
  <c r="H56" i="1"/>
  <c r="H55" i="1"/>
  <c r="H54" i="1"/>
  <c r="H53" i="1"/>
  <c r="H52" i="1"/>
  <c r="H51" i="1"/>
  <c r="H50" i="1"/>
  <c r="H49" i="1"/>
  <c r="H48" i="1"/>
  <c r="H11" i="1"/>
  <c r="H10" i="1"/>
  <c r="H9" i="1"/>
  <c r="H8" i="1"/>
  <c r="H43" i="1"/>
  <c r="H44" i="1"/>
  <c r="H45" i="1"/>
  <c r="H46" i="1"/>
  <c r="H47" i="1"/>
  <c r="H13" i="1"/>
  <c r="H12"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A9" i="8"/>
  <c r="A10" i="8" s="1"/>
  <c r="A11" i="8" s="1"/>
  <c r="A12" i="8" s="1"/>
  <c r="A9" i="6"/>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50" i="5"/>
  <c r="A51" i="5"/>
  <c r="A52" i="5"/>
  <c r="A53" i="5"/>
  <c r="A54" i="5"/>
  <c r="G18" i="26" l="1"/>
  <c r="H62" i="1"/>
  <c r="D11" i="23" s="1"/>
  <c r="G14" i="12"/>
  <c r="A49" i="1"/>
  <c r="A50" i="1" s="1"/>
  <c r="A51" i="1" s="1"/>
  <c r="A52" i="1" s="1"/>
  <c r="A53" i="1" s="1"/>
  <c r="A54" i="1" s="1"/>
  <c r="A55" i="1" s="1"/>
  <c r="F24" i="5" l="1"/>
  <c r="F21" i="5"/>
  <c r="F22" i="5"/>
  <c r="F23" i="5"/>
  <c r="F25" i="5"/>
  <c r="F26" i="5"/>
  <c r="F9" i="5"/>
  <c r="B3" i="3"/>
  <c r="B3" i="5"/>
  <c r="A62" i="1"/>
  <c r="A18" i="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B3" i="1"/>
  <c r="B9" i="23"/>
  <c r="B10" i="23" s="1"/>
  <c r="B11" i="23" s="1"/>
  <c r="B13" i="23" s="1"/>
  <c r="B3" i="7" l="1"/>
  <c r="B3" i="6"/>
  <c r="B3" i="8"/>
  <c r="B3" i="26"/>
  <c r="B3" i="9"/>
  <c r="B3" i="12"/>
  <c r="B3" i="24"/>
  <c r="B44" i="17"/>
  <c r="B45" i="17" s="1"/>
  <c r="B46" i="17" s="1"/>
  <c r="B47" i="17" s="1"/>
  <c r="B48" i="17" s="1"/>
  <c r="B49" i="17" s="1"/>
  <c r="B50" i="17" s="1"/>
  <c r="B51" i="17" s="1"/>
  <c r="B52" i="17" s="1"/>
  <c r="B53" i="17" s="1"/>
  <c r="B54" i="17" s="1"/>
  <c r="B55" i="17" s="1"/>
  <c r="B56" i="17" s="1"/>
  <c r="B57" i="17" s="1"/>
  <c r="B39" i="17"/>
  <c r="B40" i="17" s="1"/>
  <c r="B41" i="17" s="1"/>
  <c r="B42" i="17" s="1"/>
  <c r="B30" i="17"/>
  <c r="B31" i="17" s="1"/>
  <c r="B32" i="17" s="1"/>
  <c r="B33" i="17" s="1"/>
  <c r="B34" i="17" s="1"/>
  <c r="B35" i="17" s="1"/>
  <c r="B36" i="17" s="1"/>
  <c r="B37" i="17" s="1"/>
  <c r="B16" i="17"/>
  <c r="B17" i="17" s="1"/>
  <c r="B18" i="17" s="1"/>
  <c r="B19" i="17" s="1"/>
  <c r="B20" i="17" s="1"/>
  <c r="B21" i="17" s="1"/>
  <c r="B22" i="17" s="1"/>
  <c r="B23" i="17" s="1"/>
  <c r="B24" i="17" s="1"/>
  <c r="B25" i="17" s="1"/>
  <c r="B26" i="17" s="1"/>
  <c r="B27" i="17" s="1"/>
  <c r="B5" i="17"/>
  <c r="B17" i="16"/>
  <c r="B18" i="16" s="1"/>
  <c r="B19" i="16" s="1"/>
  <c r="B20" i="16" s="1"/>
  <c r="B21" i="16" s="1"/>
  <c r="B22" i="16" s="1"/>
  <c r="B23" i="16" s="1"/>
  <c r="B24" i="16" s="1"/>
  <c r="B25" i="16" s="1"/>
  <c r="B26" i="16" s="1"/>
  <c r="B27" i="16" s="1"/>
  <c r="B28" i="16" s="1"/>
  <c r="B29" i="16" s="1"/>
  <c r="B30" i="16" s="1"/>
  <c r="B31" i="16" s="1"/>
  <c r="B32" i="16" s="1"/>
  <c r="B33" i="16" s="1"/>
  <c r="B34" i="16" s="1"/>
  <c r="B35" i="16" s="1"/>
  <c r="B36" i="16" s="1"/>
  <c r="B37" i="16" s="1"/>
  <c r="B38" i="16" s="1"/>
  <c r="B39" i="16" s="1"/>
  <c r="B40" i="16" s="1"/>
  <c r="B41" i="16" s="1"/>
  <c r="B42" i="16" s="1"/>
  <c r="B43" i="16" s="1"/>
  <c r="B44" i="16" s="1"/>
  <c r="B45" i="16" s="1"/>
  <c r="B46" i="16" s="1"/>
  <c r="B47" i="16" s="1"/>
  <c r="B48" i="16" s="1"/>
  <c r="B49" i="16" s="1"/>
  <c r="B50" i="16" s="1"/>
  <c r="B51" i="16" s="1"/>
  <c r="B52" i="16" s="1"/>
  <c r="B53" i="16" s="1"/>
  <c r="B54" i="16" s="1"/>
  <c r="B55" i="16" s="1"/>
  <c r="B56" i="16" s="1"/>
  <c r="B57" i="16" s="1"/>
  <c r="B5" i="16"/>
  <c r="B17" i="15"/>
  <c r="B18" i="15" s="1"/>
  <c r="B19" i="15" s="1"/>
  <c r="B20" i="15" s="1"/>
  <c r="B21" i="15" s="1"/>
  <c r="B22" i="15" s="1"/>
  <c r="B23" i="15" s="1"/>
  <c r="B24" i="15" s="1"/>
  <c r="B25" i="15" s="1"/>
  <c r="B26" i="15" s="1"/>
  <c r="B27" i="15" s="1"/>
  <c r="B28" i="15" s="1"/>
  <c r="B29" i="15" s="1"/>
  <c r="B30" i="15" s="1"/>
  <c r="B31" i="15" s="1"/>
  <c r="B32" i="15" s="1"/>
  <c r="B33" i="15" s="1"/>
  <c r="B34" i="15" s="1"/>
  <c r="B35" i="15" s="1"/>
  <c r="B36" i="15" s="1"/>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79" i="15" s="1"/>
  <c r="B80" i="15" s="1"/>
  <c r="B81" i="15" s="1"/>
  <c r="B82" i="15" s="1"/>
  <c r="B83" i="15" s="1"/>
  <c r="B84" i="15" s="1"/>
  <c r="B85" i="15" s="1"/>
  <c r="B86" i="15" s="1"/>
  <c r="B87" i="15" s="1"/>
  <c r="B88" i="15" s="1"/>
  <c r="B89" i="15" s="1"/>
  <c r="B90" i="15" s="1"/>
  <c r="B91" i="15" s="1"/>
  <c r="B92" i="15" s="1"/>
  <c r="B93" i="15" s="1"/>
  <c r="B5" i="15"/>
  <c r="D38" i="3" l="1"/>
  <c r="D10" i="23" l="1"/>
  <c r="H68" i="1"/>
  <c r="H69" i="1" s="1"/>
  <c r="A8" i="12"/>
  <c r="A9" i="12" s="1"/>
  <c r="A10" i="12" s="1"/>
  <c r="A11" i="12" s="1"/>
  <c r="A1" i="9"/>
  <c r="A1" i="8"/>
  <c r="A1" i="7"/>
  <c r="A1" i="6"/>
  <c r="A1" i="3"/>
  <c r="A1" i="5"/>
  <c r="A12" i="12" l="1"/>
  <c r="A13" i="12" s="1"/>
  <c r="A9" i="7"/>
  <c r="A10" i="7" s="1"/>
  <c r="A11" i="7" s="1"/>
  <c r="A12" i="7" s="1"/>
  <c r="F27" i="5"/>
  <c r="F20" i="5"/>
  <c r="F19" i="5"/>
  <c r="F18" i="5"/>
  <c r="F17" i="5"/>
  <c r="F16" i="5"/>
  <c r="F14" i="5"/>
  <c r="F13" i="5"/>
  <c r="F12" i="5"/>
  <c r="F11" i="5"/>
  <c r="F10" i="5"/>
  <c r="A9" i="5"/>
  <c r="A10" i="5" s="1"/>
  <c r="A11" i="5" s="1"/>
  <c r="A12" i="5" s="1"/>
  <c r="A13" i="5" s="1"/>
  <c r="A14" i="5" s="1"/>
  <c r="A15" i="5" s="1"/>
  <c r="A16" i="5" s="1"/>
  <c r="A17" i="5" s="1"/>
  <c r="A18" i="5" s="1"/>
  <c r="A19" i="5" s="1"/>
  <c r="A20" i="5" s="1"/>
  <c r="A13" i="7" l="1"/>
  <c r="A14" i="7" s="1"/>
  <c r="A17" i="7" s="1"/>
  <c r="A10" i="9"/>
  <c r="A11" i="9" s="1"/>
  <c r="A12" i="9" s="1"/>
  <c r="A21" i="5"/>
  <c r="A22" i="5" s="1"/>
  <c r="A23" i="5" s="1"/>
  <c r="A24" i="5" s="1"/>
  <c r="A25" i="5" s="1"/>
  <c r="F81" i="5"/>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D8" i="23" l="1"/>
  <c r="D12" i="23" s="1"/>
  <c r="D13" i="23" s="1"/>
  <c r="H64" i="1"/>
  <c r="H66" i="1" s="1"/>
  <c r="H70" i="1" s="1"/>
  <c r="A26" i="5"/>
  <c r="A27" i="5" s="1"/>
  <c r="A28" i="5" s="1"/>
  <c r="A29" i="5" s="1"/>
  <c r="A30" i="5" s="1"/>
  <c r="A31" i="5" s="1"/>
  <c r="A32" i="5" s="1"/>
  <c r="A33" i="5" s="1"/>
  <c r="A9" i="1"/>
  <c r="A34" i="5" l="1"/>
  <c r="A35" i="5" s="1"/>
  <c r="A36" i="5" s="1"/>
  <c r="A37" i="5" s="1"/>
  <c r="A38" i="5" s="1"/>
  <c r="A39" i="5" s="1"/>
  <c r="A40" i="5" s="1"/>
  <c r="A41" i="5" s="1"/>
  <c r="A42" i="5" s="1"/>
  <c r="A43" i="5" s="1"/>
  <c r="A44" i="5" s="1"/>
  <c r="A45" i="5" s="1"/>
  <c r="A46" i="5" s="1"/>
  <c r="A47" i="5" s="1"/>
  <c r="A48" i="5" s="1"/>
  <c r="D14" i="23"/>
  <c r="A10" i="1"/>
  <c r="A11" i="1" s="1"/>
  <c r="A12" i="1" s="1"/>
  <c r="A49" i="5" l="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D27" i="23"/>
  <c r="D28" i="23" s="1"/>
  <c r="D29" i="23" s="1"/>
  <c r="A63" i="1" l="1"/>
  <c r="A64" i="1" s="1"/>
  <c r="A65" i="1" s="1"/>
  <c r="A66" i="1" s="1"/>
  <c r="A67" i="1" s="1"/>
  <c r="A68" i="1" s="1"/>
  <c r="A69" i="1" s="1"/>
  <c r="A70" i="1" s="1"/>
</calcChain>
</file>

<file path=xl/sharedStrings.xml><?xml version="1.0" encoding="utf-8"?>
<sst xmlns="http://schemas.openxmlformats.org/spreadsheetml/2006/main" count="619" uniqueCount="476">
  <si>
    <t>MAIN WORKS SUMMARY</t>
  </si>
  <si>
    <t>Item</t>
  </si>
  <si>
    <t>Description</t>
  </si>
  <si>
    <t>Total ($)</t>
  </si>
  <si>
    <t>Preliminaries</t>
  </si>
  <si>
    <t>Margin</t>
  </si>
  <si>
    <t>Delivery Consultants</t>
  </si>
  <si>
    <t>Trade Cost</t>
  </si>
  <si>
    <t>TOTAL MAIN WORKS (EXCL. GST)</t>
  </si>
  <si>
    <t>GST</t>
  </si>
  <si>
    <t>TOTAL MAIN WORKS (INCL. GST)</t>
  </si>
  <si>
    <t>PRINCIPAL'S PRICED OPTIONS</t>
  </si>
  <si>
    <t>PPO#1</t>
  </si>
  <si>
    <t>PPO#2</t>
  </si>
  <si>
    <t>PPO#3</t>
  </si>
  <si>
    <t>PPO#4</t>
  </si>
  <si>
    <t>PPO#5</t>
  </si>
  <si>
    <t>PPO#6</t>
  </si>
  <si>
    <t>PPO#7</t>
  </si>
  <si>
    <t>PPO#8</t>
  </si>
  <si>
    <t>TOTAL PPO (EXCL. GST)</t>
  </si>
  <si>
    <t>TOTAL PPO (INCL. GST)</t>
  </si>
  <si>
    <t>Main Works</t>
  </si>
  <si>
    <t>#</t>
  </si>
  <si>
    <t>Total (Ex. GST)</t>
  </si>
  <si>
    <t>Building A1</t>
  </si>
  <si>
    <t>Building A2</t>
  </si>
  <si>
    <t>Hall, Canteen &amp; COLA</t>
  </si>
  <si>
    <t>Preschool</t>
  </si>
  <si>
    <t xml:space="preserve">Demolition, 
External Works &amp; 
External Services </t>
  </si>
  <si>
    <t xml:space="preserve">Demolition </t>
  </si>
  <si>
    <t>Site Preparation / Bulk Excavation</t>
  </si>
  <si>
    <t>Site Remediation</t>
  </si>
  <si>
    <t>Detailed Earthworks</t>
  </si>
  <si>
    <t>Piling</t>
  </si>
  <si>
    <t>Concrete</t>
  </si>
  <si>
    <t>Formwork</t>
  </si>
  <si>
    <t>Reinforcement</t>
  </si>
  <si>
    <t xml:space="preserve">Post Tensioning </t>
  </si>
  <si>
    <t>Masonry</t>
  </si>
  <si>
    <t>Structural Steel</t>
  </si>
  <si>
    <t>Waterproof Membranes</t>
  </si>
  <si>
    <t>Roofing &amp; Roof Plumbing</t>
  </si>
  <si>
    <t>External Cladding &amp; Soffit</t>
  </si>
  <si>
    <t>Windows Glazing and Glazed Doors</t>
  </si>
  <si>
    <t>Doors, Frames and Hardware</t>
  </si>
  <si>
    <t>Partitions and Linings</t>
  </si>
  <si>
    <t>Operable Walls and  Overhead Doors</t>
  </si>
  <si>
    <t>Ceilings</t>
  </si>
  <si>
    <t>Tiling</t>
  </si>
  <si>
    <t>Carpet</t>
  </si>
  <si>
    <t>Resilient Flooring</t>
  </si>
  <si>
    <t>Timber Sprung Flooring / Sports Flooring</t>
  </si>
  <si>
    <t>Carpentry (Hall Stage &amp; Internal Ramps)</t>
  </si>
  <si>
    <t>Joinery</t>
  </si>
  <si>
    <t>Metalwork</t>
  </si>
  <si>
    <t>Metalwork -  Fences &amp; Gates only</t>
  </si>
  <si>
    <t>Toilet Partitions</t>
  </si>
  <si>
    <t>Painting</t>
  </si>
  <si>
    <t>Blinds</t>
  </si>
  <si>
    <t>Signs and Display</t>
  </si>
  <si>
    <t>Hydraulic Services</t>
  </si>
  <si>
    <t>Dry Fire Service</t>
  </si>
  <si>
    <t>Electrical, Communication and Security Services</t>
  </si>
  <si>
    <t>PV Energy System</t>
  </si>
  <si>
    <t>Audio Visual - Supply &amp; Install ( Design Cost to be included in Consultants)</t>
  </si>
  <si>
    <t>Hearing Augmentation</t>
  </si>
  <si>
    <t>Mechanical Services</t>
  </si>
  <si>
    <t>FF&amp;E - Group 1 Supply &amp; Installed by Contractor</t>
  </si>
  <si>
    <t>FF&amp;E - Group 2 Provided by Principal and installed by Contractor</t>
  </si>
  <si>
    <t xml:space="preserve">Soft Landscaping </t>
  </si>
  <si>
    <t>Hard landscaping [Footpaths &amp; Pavements]</t>
  </si>
  <si>
    <t>Works Outside of School Boundary - e.g. Kiss &amp; Drop, Crossing etc</t>
  </si>
  <si>
    <t xml:space="preserve">External Stormwater &amp; Drainage </t>
  </si>
  <si>
    <t>Supply and install OSD tank and associated work</t>
  </si>
  <si>
    <t xml:space="preserve">External Sewer Drainage </t>
  </si>
  <si>
    <t>External Water Supply</t>
  </si>
  <si>
    <t>External Gas</t>
  </si>
  <si>
    <t xml:space="preserve">External Fire Protection </t>
  </si>
  <si>
    <t xml:space="preserve">External Electric Light &amp; Power, Communications and Security Services </t>
  </si>
  <si>
    <t>Substation</t>
  </si>
  <si>
    <t xml:space="preserve">High/Low Voltage incoming connection &amp; associated works </t>
  </si>
  <si>
    <t>Connecting with Country Allowance (not covered above)</t>
  </si>
  <si>
    <t>Other - Tenderer to Identify</t>
  </si>
  <si>
    <t>Total Construction Works Trade Cost (EXCL GST)</t>
  </si>
  <si>
    <t>Preliminaries &amp; Margin</t>
  </si>
  <si>
    <t>Preliminaries &amp; Supervision</t>
  </si>
  <si>
    <t>Margin and Overheads</t>
  </si>
  <si>
    <t>Total Preliminaries &amp; Margin (EXCL GST)</t>
  </si>
  <si>
    <t>Design Costs</t>
  </si>
  <si>
    <t>Total Design Cost (EXCL GST)</t>
  </si>
  <si>
    <t>Total Construction Works Cost including Design Costs, Preliminaries, Supervision, Margin and Overheads (Excl. GST)</t>
  </si>
  <si>
    <t>No. of Staff</t>
  </si>
  <si>
    <t>Rate per Week</t>
  </si>
  <si>
    <t>No. of Weeks</t>
  </si>
  <si>
    <t>PRE-CONSTRUCTION</t>
  </si>
  <si>
    <t>Executive Representation</t>
  </si>
  <si>
    <t>Project Manager</t>
  </si>
  <si>
    <t>Design Manager</t>
  </si>
  <si>
    <t>Project Engineer</t>
  </si>
  <si>
    <t>Stakeholder Manager</t>
  </si>
  <si>
    <t>Other - Please Specify</t>
  </si>
  <si>
    <t>CONSTRUCTION</t>
  </si>
  <si>
    <t>Construction Manager</t>
  </si>
  <si>
    <t>Site Manager</t>
  </si>
  <si>
    <t>Contracts Administrator</t>
  </si>
  <si>
    <t>Foreman</t>
  </si>
  <si>
    <t>WHS Manager</t>
  </si>
  <si>
    <t>Programmer</t>
  </si>
  <si>
    <t>Engineers</t>
  </si>
  <si>
    <t>Site Labour</t>
  </si>
  <si>
    <t>Insurances &amp; Bank Guarantees</t>
  </si>
  <si>
    <t>Bank Guarantees</t>
  </si>
  <si>
    <t>Workers Compensation Insurances</t>
  </si>
  <si>
    <t>Professional Indemnity Insurances</t>
  </si>
  <si>
    <t>Public Liability</t>
  </si>
  <si>
    <t>Work Insurance</t>
  </si>
  <si>
    <t>Other Insurances - please advise what they are</t>
  </si>
  <si>
    <t>Site Establishment</t>
  </si>
  <si>
    <t>Hoardings and Site Fencing</t>
  </si>
  <si>
    <t>Safety Barriers / Rails</t>
  </si>
  <si>
    <t>Site Establishment &amp; Disestablishment</t>
  </si>
  <si>
    <t>Project Office, Compound and Amenities</t>
  </si>
  <si>
    <t>Contractors Signage (Project Signboards, Statutory, Directional and Wayfinding</t>
  </si>
  <si>
    <t>Site Running Costs</t>
  </si>
  <si>
    <t>Site Office Expenses including Computers and IT</t>
  </si>
  <si>
    <t>Site Security</t>
  </si>
  <si>
    <t>Safety / Protective Gear</t>
  </si>
  <si>
    <t>First Aid Equipment / Supplies</t>
  </si>
  <si>
    <t>General Consumables</t>
  </si>
  <si>
    <t>Plant &amp; Equipment</t>
  </si>
  <si>
    <t>Mobile Cranes</t>
  </si>
  <si>
    <t>Tower Cranes</t>
  </si>
  <si>
    <t>Vertical Hoists</t>
  </si>
  <si>
    <t>Sundry Plant &amp; Equipment</t>
  </si>
  <si>
    <t>Other - please specify</t>
  </si>
  <si>
    <t>Scaffolding</t>
  </si>
  <si>
    <t>External Facade &amp; Roofing</t>
  </si>
  <si>
    <t>Internal Scaffolding</t>
  </si>
  <si>
    <t>Temporary Site Services</t>
  </si>
  <si>
    <t>Site Communications</t>
  </si>
  <si>
    <t>Temp Telephones</t>
  </si>
  <si>
    <t>Temp Electrical Services</t>
  </si>
  <si>
    <t>Site Energy Consumption</t>
  </si>
  <si>
    <t>Temp Hydraulic Services</t>
  </si>
  <si>
    <t>Site Water Consumption</t>
  </si>
  <si>
    <t>Cleaning</t>
  </si>
  <si>
    <t>Bins and Containers</t>
  </si>
  <si>
    <t>Final Clean</t>
  </si>
  <si>
    <t>Defects Maintenance</t>
  </si>
  <si>
    <t>Defects Maintenance including during Defects Liability Periods</t>
  </si>
  <si>
    <t>Authority Fees &amp; Charges</t>
  </si>
  <si>
    <t>Fees, Permits &amp; Charges</t>
  </si>
  <si>
    <t>Long Service Levy</t>
  </si>
  <si>
    <t>Non-Construction Items</t>
  </si>
  <si>
    <t>Site Photos / Advertising, including Time Lapse Web Camera, Newsletters, NBMLHD and SINSW Website Input</t>
  </si>
  <si>
    <t>Aconex usage, maintenance and administration charges</t>
  </si>
  <si>
    <t>As-Built Drawings and Maintenance Manuals Usage, maintenance and administration charges Web FM</t>
  </si>
  <si>
    <t>Other items</t>
  </si>
  <si>
    <t>Traffic Control</t>
  </si>
  <si>
    <t>Survey</t>
  </si>
  <si>
    <t>Environmental Controls</t>
  </si>
  <si>
    <t>Commissioning Management (Including Training and Witnessing)</t>
  </si>
  <si>
    <t>Total Preliminaries and Supervision (Excl. GST)</t>
  </si>
  <si>
    <t>Consultants</t>
  </si>
  <si>
    <t>Discipline</t>
  </si>
  <si>
    <t>Name of Consultant Company</t>
  </si>
  <si>
    <t>Architectural Services</t>
  </si>
  <si>
    <t>Landscape Architect</t>
  </si>
  <si>
    <t>Civil Engineering Services</t>
  </si>
  <si>
    <t>Structural Engineering Services</t>
  </si>
  <si>
    <t>Engineering Services (Electrical, ICT, AV, Dry Fire and Security)</t>
  </si>
  <si>
    <t>Engineering Services (Mechanical and BMS)</t>
  </si>
  <si>
    <t>Engineering Services (Hydraulic &amp; Wet Fire)</t>
  </si>
  <si>
    <t>Fire Safety Engineering</t>
  </si>
  <si>
    <t>Heritage Consultant</t>
  </si>
  <si>
    <t>BCA Consultant</t>
  </si>
  <si>
    <t>PCA Consultant Crown Certifier</t>
  </si>
  <si>
    <t>Access Consultant</t>
  </si>
  <si>
    <t>Acoustic Consultant</t>
  </si>
  <si>
    <t>Independent Evironmental Site Auditor</t>
  </si>
  <si>
    <t>Archaeological Consultant</t>
  </si>
  <si>
    <t>Traffic Consultant</t>
  </si>
  <si>
    <t>Site Contamination Consultant / Hygienist</t>
  </si>
  <si>
    <t>Waste Management Consultant</t>
  </si>
  <si>
    <t>Programming and Scheduling</t>
  </si>
  <si>
    <t>Geotechnical Engineer</t>
  </si>
  <si>
    <t>Communication Consultant</t>
  </si>
  <si>
    <t>Arborist Consultant</t>
  </si>
  <si>
    <t>ESD / Section J  &amp; Greenstar Consultant</t>
  </si>
  <si>
    <t>Licenced Surveyor</t>
  </si>
  <si>
    <t>Air Tightness Consultant</t>
  </si>
  <si>
    <t>Total Consultant Fees (Excl. GST)</t>
  </si>
  <si>
    <t>Principal's Priced Option</t>
  </si>
  <si>
    <t>Trades</t>
  </si>
  <si>
    <t>Design Fee</t>
  </si>
  <si>
    <t xml:space="preserve">Stage 2 FHR infrastructure supply </t>
  </si>
  <si>
    <t>Savings</t>
  </si>
  <si>
    <t>Stage 2 Water Services Infrastructure supply</t>
  </si>
  <si>
    <t>Stage 2 Power, Comm and Security infrastructure supply</t>
  </si>
  <si>
    <t>50kVA Diesel Generator to Preschool, including day tank and all the associated works</t>
  </si>
  <si>
    <t>Canopy to Admin (approx. 120sqm)</t>
  </si>
  <si>
    <t>Addition</t>
  </si>
  <si>
    <t>Sandblast stencil finish to main pathway, currently brushed coloured concrete (approx. 630 sqm)</t>
  </si>
  <si>
    <t>Allow 3 x 800L trees and 27 x 400L trees in lieu of 75L trees, including tree pit.</t>
  </si>
  <si>
    <t>Total PPO - Construction Works Cost including Design Costs, Preliminaries, Supervision, Margin and Overheads (Excl. GST)</t>
  </si>
  <si>
    <t>Value Engineering Items</t>
  </si>
  <si>
    <t>Gable roof structure design as an alternative to Buildings A1 and A2</t>
  </si>
  <si>
    <t>Removal of point of use hot water units to Access WC's without showers x 6 no</t>
  </si>
  <si>
    <t>Carpark - replace permeable pavers with asphalt paving</t>
  </si>
  <si>
    <t>Preschool Play Area - scaled back to 420sqm Pattern Book provision</t>
  </si>
  <si>
    <t>2100mm Boundary Fence - Diplomat alternative to 358 fence</t>
  </si>
  <si>
    <t>Delete trees and native grass to Stage 2 area outdoor and replace with EFSG compliant seeded grass</t>
  </si>
  <si>
    <t>Delete external brick and sandstone seating walls. Replace with metal seating compliant to ESFG and DDA.</t>
  </si>
  <si>
    <t>Propose proprietary corrugated iron raised planter beds in stage 2 area - in place of bespoke planter beds.</t>
  </si>
  <si>
    <t xml:space="preserve">Delete preschool western storage room (not in pattern book) </t>
  </si>
  <si>
    <t xml:space="preserve">Reduce preschool southern entry courtyard to minimum preschool design brief requirement. </t>
  </si>
  <si>
    <t>Delete wooden deck from library courtyard and replace with EFSG and DDA compliant seating. Remove recycled brick paving from library courtyard and replace with brushed coloured concrete as per CP3.</t>
  </si>
  <si>
    <t>Shade structures in Preschool outdoor play space to be reduced so that total shade canopy is 60% of 420sqm rather than 60% of 856sqm as currently documented.</t>
  </si>
  <si>
    <t>Tenderer to insert VE item</t>
  </si>
  <si>
    <t>Total VE Savings - Construction Works Cost including Design Costs, Preliminaries, Supervision, Margin and Overheads (Excl. GST)</t>
  </si>
  <si>
    <t>Electrical Services</t>
  </si>
  <si>
    <t>Ausgrid works (Power Supply Works outside of School Boundary)</t>
  </si>
  <si>
    <t>Work at MSB</t>
  </si>
  <si>
    <t>Sub-Main Cables</t>
  </si>
  <si>
    <t>Distribution Boards</t>
  </si>
  <si>
    <t>Sub Circuit Cabling</t>
  </si>
  <si>
    <t>Internal Lighting</t>
  </si>
  <si>
    <t>External Lighting</t>
  </si>
  <si>
    <t>Emergency and Exit lighting</t>
  </si>
  <si>
    <t>Lighting Control</t>
  </si>
  <si>
    <t>Communication cables to the hall</t>
  </si>
  <si>
    <t>Cable Support Infrastructure</t>
  </si>
  <si>
    <t>Power Outlets</t>
  </si>
  <si>
    <t>Isolators</t>
  </si>
  <si>
    <t>Communication Outlets</t>
  </si>
  <si>
    <t>Communication Rack and Equipment</t>
  </si>
  <si>
    <t xml:space="preserve">Information Communication Technology (ICT) - Contractor to co-ordinate and install ICT items (Group 2 - Client Provided Equipment) </t>
  </si>
  <si>
    <t>External Underground Electrical Works for Sub-Main, Such as Conduits, Pits and Backfill</t>
  </si>
  <si>
    <t>External Underground Electrical Works for Communication Cables, Such as Conduits, Pits and Backfill</t>
  </si>
  <si>
    <t>Audio Visual Associated Works - Cabling &amp; Connections associated with AV system</t>
  </si>
  <si>
    <t>Period Bell &amp; Public Address System</t>
  </si>
  <si>
    <t>Security Services</t>
  </si>
  <si>
    <t>External Underground Electrical Works for Security Cables, Such as Conduits, Pits and Backfill</t>
  </si>
  <si>
    <t>Design Finalisation</t>
  </si>
  <si>
    <t>Testing and Commissioing</t>
  </si>
  <si>
    <t>Other Items, Please Specify</t>
  </si>
  <si>
    <t>Total Electrical Services (Excl. GST)</t>
  </si>
  <si>
    <t>Note: this value should equal to the Total of Items 31-34, 46, 47 and 48 in the "Main Works" tab.</t>
  </si>
  <si>
    <t>Powered Roof Ventilators and Louvres</t>
  </si>
  <si>
    <t>Ceiling / Wall Fans</t>
  </si>
  <si>
    <t>Electric Heating System</t>
  </si>
  <si>
    <t>Mechanical Exhaust Systems</t>
  </si>
  <si>
    <t>Mechanical Outside Air</t>
  </si>
  <si>
    <t>Air Conditioning Systems</t>
  </si>
  <si>
    <t>Total Mechanical Services (Excl. GST)</t>
  </si>
  <si>
    <t>Note: this value should match Item 35 in the "Main Works" tab.</t>
  </si>
  <si>
    <t>Sanitary Plumbing and Drainage - Building Works</t>
  </si>
  <si>
    <t>Cold Water  - Building Works</t>
  </si>
  <si>
    <t>Hot Water - Building Works</t>
  </si>
  <si>
    <t>Rainwater re-use collection and re-use system</t>
  </si>
  <si>
    <t>Stormwater Plumbing and Drainage</t>
  </si>
  <si>
    <t>External Underground Cold Water Works Including, Scanning, Trenching, Bedding and Backfill</t>
  </si>
  <si>
    <t>External Underground Sewer Works Including, Scanning, Trenching, Bedding and Backfill</t>
  </si>
  <si>
    <t>External Underground Gas Works Including, Scanning, Trenching, Bedding and Backfill</t>
  </si>
  <si>
    <t>Authority fee requirement including work permits and service connections</t>
  </si>
  <si>
    <t>Supply and Install of Sanitary Fixtures and Fittings</t>
  </si>
  <si>
    <t>Subtotal - Hydraulics</t>
  </si>
  <si>
    <t>Fire Hydrant Protection System</t>
  </si>
  <si>
    <t xml:space="preserve">Fire Hose Reel Protection </t>
  </si>
  <si>
    <t>Connection Charges from Authorities</t>
  </si>
  <si>
    <t>Subtotal - Wet Fire</t>
  </si>
  <si>
    <t>Total Hydraulic and Wet Fire Services (Excl. GST)</t>
  </si>
  <si>
    <t>Note: this value should equal to the Total of Items 29 and 40-45 in the "Main Works" tab.</t>
  </si>
  <si>
    <t>Dry Fire Services</t>
  </si>
  <si>
    <t>Dry Chemical Fire Extinguisher</t>
  </si>
  <si>
    <t>Smoke Detection System</t>
  </si>
  <si>
    <t>Occupant Warning System</t>
  </si>
  <si>
    <t>FIP and associated works</t>
  </si>
  <si>
    <t>External Underground Works Including, Scanning, Trenching, Bedding and Backfill (if any)</t>
  </si>
  <si>
    <t>Total Dry Fire Services (Excl. GST)</t>
  </si>
  <si>
    <t>Note: this value should match Item 30 in the "Main Works" tab.</t>
  </si>
  <si>
    <r>
      <rPr>
        <b/>
        <sz val="14"/>
        <color rgb="FF000000"/>
        <rFont val="Arial"/>
        <family val="2"/>
      </rPr>
      <t xml:space="preserve">3.4  - SCHEDULE OF RATES - </t>
    </r>
    <r>
      <rPr>
        <b/>
        <sz val="14"/>
        <color rgb="FFFF0000"/>
        <rFont val="Arial"/>
        <family val="2"/>
      </rPr>
      <t>ONLY FOR FUTURE VARIATION ASSESSMENT (NOT PART OF THE LUMP SUM PRICE)</t>
    </r>
  </si>
  <si>
    <t>Unit</t>
  </si>
  <si>
    <t>Rate ($)</t>
  </si>
  <si>
    <t>A</t>
  </si>
  <si>
    <t>SCHEDULE OF RATES</t>
  </si>
  <si>
    <t>Complete this Schedule by inserting rates and prices, where appropriate.</t>
  </si>
  <si>
    <t>The rates and prices tendered will form part of the Contract. The Tenderer must include rates and prices for all items below which are anticipated to be involved in carrying out the Works. It is acknowledged by the Tenderer that any rates or amounts set out below include both off-site overheads and profit and non-time related on-site overheads. These rates and prices setout below may be used by the Principal to assess the tenderers and may be used for any future variations.</t>
  </si>
  <si>
    <t>The Principal reserves the right to request future variations based on the rates and prices or  based on a lump sum price due to economies of scale.</t>
  </si>
  <si>
    <t>All rates and prices must exclude GST</t>
  </si>
  <si>
    <t>EARTHWORKS</t>
  </si>
  <si>
    <t>Excavate and stockpile OTR</t>
  </si>
  <si>
    <t>m3</t>
  </si>
  <si>
    <t>Extra over for rock</t>
  </si>
  <si>
    <t>Excavate, Transport and Dispose of Excavated Natural Material off-site (ENM)</t>
  </si>
  <si>
    <t>t</t>
  </si>
  <si>
    <t>Excavate, Transport and Dispose of Virgin Excavated Natural Material off-site (VENM)</t>
  </si>
  <si>
    <t>Excavate, Transport and Dispose of General Solid Waste (Putrescible) off-site (GSW)</t>
  </si>
  <si>
    <t>Excavate, Transport and Dispose of General Solid Waste (Non-Putrescible) off-site (GSW)</t>
  </si>
  <si>
    <t>Excavate, Transport and Dispose of General Solid Waste (Recyclable) off-site (GSW)</t>
  </si>
  <si>
    <t>Excavate, Transport and Dispose of Restricted Solid Waste off-site</t>
  </si>
  <si>
    <t>Excavate, Transport and Dispose of Asbestos contaminated soils off-site</t>
  </si>
  <si>
    <t>Excavate, Transport and Dispose of Hazardous and unsuitable material off-site</t>
  </si>
  <si>
    <t>Excavate, Transport and Dispose of Restricted Solid Waste (Non-Putrescible) - Building &amp; Demolition waste off-site</t>
  </si>
  <si>
    <t>Pump out, storage, transport and disposal of contaminated Liquid Waste (incl EPA levied facility fees)</t>
  </si>
  <si>
    <t>Imported engineered fill material</t>
  </si>
  <si>
    <t>ASBESTOS MANAGEMENT RATES (Hazardous Materials)</t>
  </si>
  <si>
    <t>Clearance Certificates</t>
  </si>
  <si>
    <t>No</t>
  </si>
  <si>
    <t>Decontamination Unit Hire</t>
  </si>
  <si>
    <t>Day</t>
  </si>
  <si>
    <t>Asbestos Air Monitors (per day, each)</t>
  </si>
  <si>
    <t>Asbestos removal works – Asbestos Contaminated Material (ACM) Friable (Rate to incl. overheads and any associated cost for the removal of asbestos.)</t>
  </si>
  <si>
    <t>Asbestos removal works – Asbestos Contaminated Material (ACM) Non-Friable (Rate to incl.  overheads and any associated cost for the removal of asbestos.)</t>
  </si>
  <si>
    <t>Lead paint removal works (Rate to incl.  overheads and any associated cost for the removal of lead)</t>
  </si>
  <si>
    <t>Certified Occupational Hygienist (per day)</t>
  </si>
  <si>
    <t>Occupational Hygienist (per day)</t>
  </si>
  <si>
    <t>MONITORING RATES</t>
  </si>
  <si>
    <t>Vibration Monitors (per day)</t>
  </si>
  <si>
    <t>Dust Monitors (per day)</t>
  </si>
  <si>
    <t>Noise Monitors (per day)</t>
  </si>
  <si>
    <t>Air Monitors (per day)</t>
  </si>
  <si>
    <t>STRUCTURAL TRADES</t>
  </si>
  <si>
    <t xml:space="preserve">Concrete </t>
  </si>
  <si>
    <t>32 Mpa</t>
  </si>
  <si>
    <t>40 Mpa</t>
  </si>
  <si>
    <t>50 Mpa</t>
  </si>
  <si>
    <t xml:space="preserve">Reinforcement </t>
  </si>
  <si>
    <t>Bar Reinforcement</t>
  </si>
  <si>
    <t>Post Tension</t>
  </si>
  <si>
    <t>Soffit formwork</t>
  </si>
  <si>
    <t>m2</t>
  </si>
  <si>
    <t>Edge formwork</t>
  </si>
  <si>
    <t>m</t>
  </si>
  <si>
    <t>Vertical Formwork (to walls)</t>
  </si>
  <si>
    <t>Vertical Formwork (to Columns)</t>
  </si>
  <si>
    <r>
      <t>3.5  - LABOUR RATES</t>
    </r>
    <r>
      <rPr>
        <b/>
        <sz val="14"/>
        <color rgb="FFFF0000"/>
        <rFont val="Arial"/>
        <family val="2"/>
      </rPr>
      <t xml:space="preserve"> - ONLY FOR FUTURE VARIATION ASSESSMENT (NOT PART OF THE LUMP SUM PRICE)</t>
    </r>
  </si>
  <si>
    <t>Normal</t>
  </si>
  <si>
    <t>Time &amp; Half</t>
  </si>
  <si>
    <t>Double Time</t>
  </si>
  <si>
    <t>B</t>
  </si>
  <si>
    <t>LABOUR RATES</t>
  </si>
  <si>
    <t>Note: All rates to exclude profit/ margin &amp; GST</t>
  </si>
  <si>
    <t>Project Director</t>
  </si>
  <si>
    <t>Senior Project Manager</t>
  </si>
  <si>
    <t>Assistant Project Manager</t>
  </si>
  <si>
    <t>Contract Manager</t>
  </si>
  <si>
    <t>Commissioning &amp; Operational Readiness Manager</t>
  </si>
  <si>
    <t>Senior Design Manager</t>
  </si>
  <si>
    <t>Design Assistant</t>
  </si>
  <si>
    <t>Design Quality Control Manager</t>
  </si>
  <si>
    <t>BIM Manager</t>
  </si>
  <si>
    <t>BIM Co-ordinator</t>
  </si>
  <si>
    <t>Digital Technology Manager</t>
  </si>
  <si>
    <t>Commercial Manager</t>
  </si>
  <si>
    <t>Senior Contract Administrator(s)</t>
  </si>
  <si>
    <t>Contracts Administrator(s)</t>
  </si>
  <si>
    <t>Procurement / Contracts Administrator</t>
  </si>
  <si>
    <t>Cost Planner</t>
  </si>
  <si>
    <t>Administration Clerk</t>
  </si>
  <si>
    <t>Programmer / Scheduler</t>
  </si>
  <si>
    <t>Document Controller</t>
  </si>
  <si>
    <t>Cadet</t>
  </si>
  <si>
    <t>Community / Environmental Manager</t>
  </si>
  <si>
    <t>Project HSEQ Advisor</t>
  </si>
  <si>
    <t>Project HSEQ Manager</t>
  </si>
  <si>
    <t>First Aider</t>
  </si>
  <si>
    <t>Site WHS officer</t>
  </si>
  <si>
    <t>WHS Auditor</t>
  </si>
  <si>
    <t>Sustainability Manager</t>
  </si>
  <si>
    <t xml:space="preserve">Site Engineer </t>
  </si>
  <si>
    <t>Services Manager</t>
  </si>
  <si>
    <t>Commissioning &amp; Technical Services</t>
  </si>
  <si>
    <t>General Foreman</t>
  </si>
  <si>
    <t>Foreman - Civil / Earthworks</t>
  </si>
  <si>
    <t>Foreman - Structure</t>
  </si>
  <si>
    <t>Foreman - Ext Works &amp; Services</t>
  </si>
  <si>
    <t>Foreman - MEP Services</t>
  </si>
  <si>
    <t>Foreman - Façade</t>
  </si>
  <si>
    <t>Foreman - Finishes</t>
  </si>
  <si>
    <t>Foreman - Testing &amp; Commissioning</t>
  </si>
  <si>
    <t>Labourer (unskilled)</t>
  </si>
  <si>
    <t>Labourer (skilled)</t>
  </si>
  <si>
    <t>Supervisor</t>
  </si>
  <si>
    <t>Carpenter</t>
  </si>
  <si>
    <t>Formworker</t>
  </si>
  <si>
    <t>Steel fixer</t>
  </si>
  <si>
    <t>Bricklayer</t>
  </si>
  <si>
    <t>Tiler</t>
  </si>
  <si>
    <t>Painter</t>
  </si>
  <si>
    <t xml:space="preserve">Plasterer </t>
  </si>
  <si>
    <t>Plumber</t>
  </si>
  <si>
    <t>Electrician</t>
  </si>
  <si>
    <t>Roofer</t>
  </si>
  <si>
    <t>Joiner</t>
  </si>
  <si>
    <t>Landscaper</t>
  </si>
  <si>
    <t>Stonemason</t>
  </si>
  <si>
    <t>Surveyor</t>
  </si>
  <si>
    <t>Geotech</t>
  </si>
  <si>
    <t>Traffic Controller</t>
  </si>
  <si>
    <t>Concreter</t>
  </si>
  <si>
    <t>Hoist driver</t>
  </si>
  <si>
    <t>Asbestos Supervisor</t>
  </si>
  <si>
    <t>Asbestos Labourer</t>
  </si>
  <si>
    <t xml:space="preserve">Excavator Operator </t>
  </si>
  <si>
    <t xml:space="preserve">Front End Loader operator </t>
  </si>
  <si>
    <t xml:space="preserve">Backhoe Operator </t>
  </si>
  <si>
    <t>Truck Driver</t>
  </si>
  <si>
    <t xml:space="preserve">Dump Truck Driver </t>
  </si>
  <si>
    <t>Crane Driver</t>
  </si>
  <si>
    <t>Dogman</t>
  </si>
  <si>
    <t>Materials Handling Supervisor</t>
  </si>
  <si>
    <t>Builder's Lift Driver</t>
  </si>
  <si>
    <t>Plant Operators (Forklift, Hoists etc)</t>
  </si>
  <si>
    <t xml:space="preserve">Rooftop netting contractor </t>
  </si>
  <si>
    <t>Connecting w/ Country Consultant</t>
  </si>
  <si>
    <r>
      <t xml:space="preserve">3.6  - HIRE RATES INCL LABOUR (where applicable) </t>
    </r>
    <r>
      <rPr>
        <b/>
        <sz val="14"/>
        <color rgb="FFFF0000"/>
        <rFont val="Arial"/>
        <family val="2"/>
      </rPr>
      <t>- ONLY FOR FUTURE VARIATION ASSESSMENT (NOT PART OF THE LUMP SUM PRICE)</t>
    </r>
  </si>
  <si>
    <t>Total ($)
excl. GST</t>
  </si>
  <si>
    <t>CONTRACTOR'S MANAGEMENT AND SUPERVISION</t>
  </si>
  <si>
    <t>$/day</t>
  </si>
  <si>
    <t>Note: All rates to include operator and exclude profit/ margin &amp; GST</t>
  </si>
  <si>
    <t xml:space="preserve">5 tn excavator </t>
  </si>
  <si>
    <t>6 tn excavator</t>
  </si>
  <si>
    <t>8 tn excavator</t>
  </si>
  <si>
    <t>10 tn excavator</t>
  </si>
  <si>
    <t xml:space="preserve">12 tn excavator </t>
  </si>
  <si>
    <t>14 tn excavator</t>
  </si>
  <si>
    <t xml:space="preserve">15 tn excavator </t>
  </si>
  <si>
    <t>20 tn excavator</t>
  </si>
  <si>
    <t xml:space="preserve">26 tn excavator </t>
  </si>
  <si>
    <t xml:space="preserve">30 tn excavator </t>
  </si>
  <si>
    <t xml:space="preserve">36T excavator </t>
  </si>
  <si>
    <t>50T excavator</t>
  </si>
  <si>
    <t xml:space="preserve">30 tn Moxie </t>
  </si>
  <si>
    <t xml:space="preserve">Front end loader </t>
  </si>
  <si>
    <t xml:space="preserve">Backhoe loader </t>
  </si>
  <si>
    <t>5 tn truck</t>
  </si>
  <si>
    <t>12 tn truck</t>
  </si>
  <si>
    <t xml:space="preserve">25 tn truck &amp; dog </t>
  </si>
  <si>
    <t xml:space="preserve">33 tn truck &amp; dog </t>
  </si>
  <si>
    <t xml:space="preserve">Dump truck (9T) </t>
  </si>
  <si>
    <t>Dump truck (10T)</t>
  </si>
  <si>
    <t xml:space="preserve">Dump truck (25/26T) </t>
  </si>
  <si>
    <t xml:space="preserve">D6 dozer </t>
  </si>
  <si>
    <t xml:space="preserve">Pad Foot </t>
  </si>
  <si>
    <t>Grader</t>
  </si>
  <si>
    <t xml:space="preserve">Smooth Drum Roller </t>
  </si>
  <si>
    <t xml:space="preserve">815 compactor </t>
  </si>
  <si>
    <t xml:space="preserve">Sweeper </t>
  </si>
  <si>
    <t xml:space="preserve">Bogie tippers </t>
  </si>
  <si>
    <t xml:space="preserve">Bobcat </t>
  </si>
  <si>
    <t xml:space="preserve">Concrete cutting ‐ 0 to 100mm deep </t>
  </si>
  <si>
    <t xml:space="preserve">Concrete cutting ‐ 100 to 200mm deep </t>
  </si>
  <si>
    <t xml:space="preserve">Concrete cutting ‐ 200 to 350mm deep </t>
  </si>
  <si>
    <t xml:space="preserve">10 Wheeler trucks </t>
  </si>
  <si>
    <t>Watercart (5,000L)</t>
  </si>
  <si>
    <t>Watercart (10,000 ‐ 12,000L)</t>
  </si>
  <si>
    <t>Watercart (12,000 ‐ 15,000L)</t>
  </si>
  <si>
    <t>Water Jersey Kerb / Barriers</t>
  </si>
  <si>
    <t>Concrete Kerb / Barriers</t>
  </si>
  <si>
    <t>Costs for Geofab $/m2</t>
  </si>
  <si>
    <t>Tower Crane</t>
  </si>
  <si>
    <t xml:space="preserve">Mobile Crane </t>
  </si>
  <si>
    <t>Anything else contractor feels is required</t>
  </si>
  <si>
    <t>Deletion of Hose Reel and associated underground reticulation to all buildings.</t>
  </si>
  <si>
    <t>SINSW08089/25
New Primary School in Calderwood - Tender Schedule 4 - (Principal's Priced Options)</t>
  </si>
  <si>
    <t>Tenderer:</t>
  </si>
  <si>
    <t>[Insert]</t>
  </si>
  <si>
    <t>SINSW08089-25
New Primary School in Calderwood - Tender Schedule 8 - (Mandatory Alternative Tenders)</t>
  </si>
  <si>
    <t>Mandatory Alternative Tenders</t>
  </si>
  <si>
    <t>Total - Construction Works Cost including Design Costs, Preliminaries, Supervision, Margin and Overheads (Excl. GST)</t>
  </si>
  <si>
    <t>SINSW08089-25
New Primary School in Calderwood - Value Engineering</t>
  </si>
  <si>
    <t>SINSW08089-25
New Primary School in Calderwood - Contract Schedule</t>
  </si>
  <si>
    <t>SINSW08089/25
New Primary School in Calderwood - Tender Schedules 3 - (Lump Sum)</t>
  </si>
  <si>
    <t>SINSW08089/25
 New Primary School in Calderwood - Tender Schedules 3 - (Lump 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</si>
</sst>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4" formatCode="_-&quot;$&quot;* #,##0.00_-;\-&quot;$&quot;* #,##0.00_-;_-&quot;$&quot;* &quot;-&quot;??_-;_-@_-"/>
    <numFmt numFmtId="43" formatCode="_-* #,##0.00_-;\-* #,##0.00_-;_-* &quot;-&quot;??_-;_-@_-"/>
    <numFmt numFmtId="164" formatCode="_(&quot;$&quot;* #,##0.00_);_(&quot;$&quot;* \(#,##0.00\);_(&quot;$&quot;* &quot;-&quot;??_);_(@_)"/>
    <numFmt numFmtId="165" formatCode="_(* #,##0.00_);_(* \(#,##0.00\);_(* &quot;-&quot;??_);_(@_)"/>
    <numFmt numFmtId="166" formatCode="_-&quot;$&quot;* #,##0_-;\-&quot;$&quot;* #,##0_-;_-&quot;$&quot;* &quot;-&quot;??_-;_-@_-"/>
    <numFmt numFmtId="167" formatCode="[$$-C09]#,##0;[Red]\-[$$-C09]#,##0"/>
    <numFmt numFmtId="169" formatCode="&quot;$&quot;#,##0"/>
  </numFmts>
  <fonts count="5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20"/>
      <color indexed="9"/>
      <name val="Helvetica Neue Light"/>
    </font>
    <font>
      <sz val="20"/>
      <color indexed="9"/>
      <name val="Arial"/>
      <family val="2"/>
    </font>
    <font>
      <sz val="10"/>
      <name val="Arial"/>
      <family val="2"/>
    </font>
    <font>
      <sz val="11"/>
      <color theme="1"/>
      <name val="HelveticaNeue LT 75 Bold"/>
      <family val="2"/>
    </font>
    <font>
      <b/>
      <sz val="12"/>
      <color theme="1"/>
      <name val="Arial"/>
      <family val="2"/>
    </font>
    <font>
      <sz val="12"/>
      <name val="Arial"/>
      <family val="2"/>
    </font>
    <font>
      <b/>
      <sz val="14"/>
      <color theme="1"/>
      <name val="Arial"/>
      <family val="2"/>
    </font>
    <font>
      <sz val="10"/>
      <color theme="1"/>
      <name val="HelveticaNeue LT 75 Bold"/>
      <family val="2"/>
    </font>
    <font>
      <sz val="10"/>
      <color theme="1"/>
      <name val="Arial"/>
      <family val="2"/>
    </font>
    <font>
      <b/>
      <sz val="12"/>
      <color rgb="FFFFFFFF"/>
      <name val="Helvetica Neue"/>
    </font>
    <font>
      <b/>
      <sz val="14"/>
      <color rgb="FFFFFFFF"/>
      <name val="Arial"/>
      <family val="2"/>
    </font>
    <font>
      <sz val="10"/>
      <name val="Helvetica Neue Light"/>
    </font>
    <font>
      <b/>
      <sz val="12"/>
      <name val="Arial"/>
      <family val="2"/>
    </font>
    <font>
      <b/>
      <u/>
      <sz val="12"/>
      <name val="Arial"/>
      <family val="2"/>
    </font>
    <font>
      <b/>
      <sz val="10"/>
      <color theme="0"/>
      <name val="Helvetica Neue"/>
    </font>
    <font>
      <sz val="12"/>
      <color theme="1"/>
      <name val="Arial"/>
      <family val="2"/>
    </font>
    <font>
      <sz val="10"/>
      <color rgb="FFFF0000"/>
      <name val="Arial"/>
      <family val="2"/>
    </font>
    <font>
      <sz val="20"/>
      <color theme="0"/>
      <name val="Arial"/>
      <family val="2"/>
    </font>
    <font>
      <i/>
      <sz val="12"/>
      <name val="Arial"/>
      <family val="2"/>
    </font>
    <font>
      <i/>
      <sz val="10"/>
      <name val="Arial"/>
      <family val="2"/>
    </font>
    <font>
      <sz val="18"/>
      <color indexed="9"/>
      <name val="Arial"/>
      <family val="2"/>
    </font>
    <font>
      <sz val="12"/>
      <color rgb="FFFF0000"/>
      <name val="Arial"/>
      <family val="2"/>
    </font>
    <font>
      <sz val="8"/>
      <name val="Arial"/>
      <family val="2"/>
    </font>
    <font>
      <b/>
      <sz val="12"/>
      <color theme="1"/>
      <name val="Arial Narrow"/>
      <family val="2"/>
    </font>
    <font>
      <sz val="12"/>
      <color theme="1"/>
      <name val="Arial Narrow"/>
      <family val="2"/>
    </font>
    <font>
      <sz val="12"/>
      <name val="Arial Narrow"/>
      <family val="2"/>
    </font>
    <font>
      <u/>
      <sz val="12"/>
      <color theme="1"/>
      <name val="Arial Narrow"/>
      <family val="2"/>
    </font>
    <font>
      <sz val="20"/>
      <color theme="1"/>
      <name val="Arial"/>
      <family val="2"/>
    </font>
    <font>
      <b/>
      <sz val="18"/>
      <color theme="1"/>
      <name val="Arial"/>
      <family val="2"/>
    </font>
    <font>
      <sz val="18"/>
      <color theme="1"/>
      <name val="Arial"/>
      <family val="2"/>
    </font>
    <font>
      <b/>
      <sz val="14"/>
      <color rgb="FFFF0000"/>
      <name val="Arial"/>
      <family val="2"/>
    </font>
    <font>
      <sz val="14"/>
      <color theme="1"/>
      <name val="Arial"/>
      <family val="2"/>
    </font>
    <font>
      <b/>
      <sz val="14"/>
      <color rgb="FF000000"/>
      <name val="Arial"/>
      <family val="2"/>
    </font>
    <font>
      <sz val="22"/>
      <color theme="1"/>
      <name val="Arial"/>
      <family val="2"/>
    </font>
    <font>
      <b/>
      <sz val="18"/>
      <color theme="1"/>
      <name val="Arial Narrow"/>
      <family val="2"/>
    </font>
    <font>
      <sz val="18"/>
      <color theme="0"/>
      <name val="Arial"/>
      <family val="2"/>
    </font>
    <font>
      <b/>
      <sz val="12"/>
      <color rgb="FFFFFFFF"/>
      <name val="Arial"/>
      <family val="2"/>
    </font>
    <font>
      <b/>
      <sz val="18"/>
      <name val="Arial"/>
      <family val="2"/>
    </font>
    <font>
      <b/>
      <sz val="16"/>
      <color theme="1"/>
      <name val="Arial"/>
      <family val="2"/>
    </font>
    <font>
      <b/>
      <sz val="18"/>
      <color rgb="FF000000"/>
      <name val="Arial"/>
      <family val="2"/>
    </font>
    <font>
      <b/>
      <sz val="22"/>
      <color theme="1"/>
      <name val="Arial"/>
      <family val="2"/>
    </font>
    <font>
      <b/>
      <sz val="18"/>
      <color indexed="9"/>
      <name val="Arial"/>
      <family val="2"/>
    </font>
    <font>
      <b/>
      <sz val="16"/>
      <name val="Arial"/>
      <family val="2"/>
    </font>
    <font>
      <b/>
      <i/>
      <sz val="12"/>
      <name val="Arial"/>
      <family val="2"/>
    </font>
    <font>
      <i/>
      <sz val="12"/>
      <color rgb="FFFF0000"/>
      <name val="Arial"/>
      <family val="2"/>
    </font>
    <font>
      <b/>
      <sz val="14"/>
      <name val="Arial"/>
      <family val="2"/>
    </font>
    <font>
      <sz val="12"/>
      <color rgb="FF0000FF"/>
      <name val="Arial"/>
      <family val="2"/>
    </font>
  </fonts>
  <fills count="12">
    <fill>
      <patternFill patternType="none"/>
    </fill>
    <fill>
      <patternFill patternType="gray125"/>
    </fill>
    <fill>
      <patternFill patternType="solid">
        <fgColor rgb="FFEE2E27"/>
        <bgColor indexed="64"/>
      </patternFill>
    </fill>
    <fill>
      <patternFill patternType="solid">
        <fgColor rgb="FFE6E7E8"/>
        <bgColor indexed="64"/>
      </patternFill>
    </fill>
    <fill>
      <patternFill patternType="solid">
        <fgColor theme="0" tint="-0.14999847407452621"/>
        <bgColor indexed="64"/>
      </patternFill>
    </fill>
    <fill>
      <patternFill patternType="solid">
        <fgColor rgb="FF807F83"/>
        <bgColor indexed="64"/>
      </patternFill>
    </fill>
    <fill>
      <patternFill patternType="solid">
        <fgColor theme="0"/>
        <bgColor indexed="64"/>
      </patternFill>
    </fill>
    <fill>
      <patternFill patternType="solid">
        <fgColor rgb="FFFF99CC"/>
        <bgColor indexed="64"/>
      </patternFill>
    </fill>
    <fill>
      <patternFill patternType="solid">
        <fgColor theme="1"/>
        <bgColor indexed="64"/>
      </patternFill>
    </fill>
    <fill>
      <patternFill patternType="solid">
        <fgColor theme="8"/>
        <bgColor indexed="64"/>
      </patternFill>
    </fill>
    <fill>
      <patternFill patternType="solid">
        <fgColor theme="0" tint="-0.34998626667073579"/>
        <bgColor indexed="64"/>
      </patternFill>
    </fill>
    <fill>
      <patternFill patternType="solid">
        <fgColor theme="7" tint="0.79998168889431442"/>
        <bgColor indexed="64"/>
      </patternFill>
    </fill>
  </fills>
  <borders count="42">
    <border>
      <left/>
      <right/>
      <top/>
      <bottom/>
      <diagonal/>
    </border>
    <border>
      <left style="thin">
        <color rgb="FFFFFFFF"/>
      </left>
      <right style="thin">
        <color rgb="FFFFFFFF"/>
      </right>
      <top/>
      <bottom/>
      <diagonal/>
    </border>
    <border>
      <left style="thin">
        <color rgb="FFFFFFFF"/>
      </left>
      <right style="thin">
        <color rgb="FFFFFFFF"/>
      </right>
      <top/>
      <bottom style="thin">
        <color theme="0"/>
      </bottom>
      <diagonal/>
    </border>
    <border>
      <left/>
      <right style="thin">
        <color rgb="FFFFFFFF"/>
      </right>
      <top/>
      <bottom style="thin">
        <color rgb="FFFFFFFF"/>
      </bottom>
      <diagonal/>
    </border>
    <border>
      <left style="thin">
        <color rgb="FFFFFFFF"/>
      </left>
      <right/>
      <top/>
      <bottom style="thin">
        <color rgb="FFFFFFF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bottom style="thin">
        <color rgb="FFFFFFFF"/>
      </bottom>
      <diagonal/>
    </border>
    <border>
      <left/>
      <right/>
      <top style="thin">
        <color theme="0"/>
      </top>
      <bottom style="thin">
        <color theme="0"/>
      </bottom>
      <diagonal/>
    </border>
    <border>
      <left style="thin">
        <color theme="0"/>
      </left>
      <right/>
      <top style="thin">
        <color indexed="64"/>
      </top>
      <bottom style="double">
        <color indexed="64"/>
      </bottom>
      <diagonal/>
    </border>
    <border>
      <left style="thin">
        <color theme="0"/>
      </left>
      <right/>
      <top style="thin">
        <color theme="0"/>
      </top>
      <bottom/>
      <diagonal/>
    </border>
    <border>
      <left style="thin">
        <color theme="0"/>
      </left>
      <right style="thin">
        <color theme="0"/>
      </right>
      <top/>
      <bottom style="thin">
        <color theme="0"/>
      </bottom>
      <diagonal/>
    </border>
    <border>
      <left style="thin">
        <color theme="0"/>
      </left>
      <right style="thin">
        <color rgb="FFFFFFFF"/>
      </right>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style="thin">
        <color auto="1"/>
      </top>
      <bottom/>
      <diagonal/>
    </border>
    <border>
      <left style="thin">
        <color theme="0"/>
      </left>
      <right/>
      <top/>
      <bottom/>
      <diagonal/>
    </border>
    <border>
      <left style="thin">
        <color theme="0"/>
      </left>
      <right/>
      <top/>
      <bottom style="thin">
        <color theme="0"/>
      </bottom>
      <diagonal/>
    </border>
    <border>
      <left style="thin">
        <color theme="0"/>
      </left>
      <right/>
      <top style="thin">
        <color rgb="FFFFFFFF"/>
      </top>
      <bottom/>
      <diagonal/>
    </border>
    <border>
      <left/>
      <right/>
      <top style="thin">
        <color rgb="FFFFFFFF"/>
      </top>
      <bottom/>
      <diagonal/>
    </border>
    <border>
      <left/>
      <right style="thin">
        <color theme="0"/>
      </right>
      <top style="thin">
        <color rgb="FFFFFFFF"/>
      </top>
      <bottom/>
      <diagonal/>
    </border>
    <border>
      <left/>
      <right style="thin">
        <color theme="0"/>
      </right>
      <top/>
      <bottom/>
      <diagonal/>
    </border>
    <border>
      <left/>
      <right/>
      <top/>
      <bottom style="thin">
        <color theme="0"/>
      </bottom>
      <diagonal/>
    </border>
    <border>
      <left/>
      <right style="thin">
        <color theme="0"/>
      </right>
      <top/>
      <bottom style="thin">
        <color theme="0"/>
      </bottom>
      <diagonal/>
    </border>
    <border>
      <left/>
      <right/>
      <top style="thin">
        <color theme="0"/>
      </top>
      <bottom/>
      <diagonal/>
    </border>
    <border>
      <left/>
      <right style="thin">
        <color theme="0"/>
      </right>
      <top style="thin">
        <color theme="0"/>
      </top>
      <bottom/>
      <diagonal/>
    </border>
    <border>
      <left style="thin">
        <color auto="1"/>
      </left>
      <right/>
      <top/>
      <bottom/>
      <diagonal/>
    </border>
    <border>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7">
    <xf numFmtId="0" fontId="0" fillId="0" borderId="0"/>
    <xf numFmtId="0" fontId="4" fillId="2" borderId="0">
      <alignment vertical="center"/>
    </xf>
    <xf numFmtId="44" fontId="6" fillId="0" borderId="0" applyFont="0" applyFill="0" applyBorder="0" applyAlignment="0" applyProtection="0"/>
    <xf numFmtId="0" fontId="13" fillId="2" borderId="1">
      <alignment vertical="center" wrapText="1"/>
    </xf>
    <xf numFmtId="0" fontId="15" fillId="3" borderId="5">
      <alignment vertical="center"/>
    </xf>
    <xf numFmtId="0" fontId="18" fillId="5" borderId="5">
      <alignment vertical="center" wrapText="1"/>
    </xf>
    <xf numFmtId="44" fontId="6" fillId="0" borderId="0" applyFont="0" applyFill="0" applyBorder="0" applyAlignment="0" applyProtection="0"/>
    <xf numFmtId="167" fontId="6" fillId="0" borderId="0"/>
    <xf numFmtId="165" fontId="6" fillId="0" borderId="0" applyFont="0" applyFill="0" applyBorder="0" applyAlignment="0" applyProtection="0"/>
    <xf numFmtId="167" fontId="6" fillId="0" borderId="0"/>
    <xf numFmtId="167" fontId="3" fillId="0" borderId="0"/>
    <xf numFmtId="167" fontId="4" fillId="2" borderId="0">
      <alignment vertical="center"/>
    </xf>
    <xf numFmtId="43" fontId="6"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164" fontId="1" fillId="0" borderId="0" applyFont="0" applyFill="0" applyBorder="0" applyAlignment="0" applyProtection="0"/>
  </cellStyleXfs>
  <cellXfs count="202">
    <xf numFmtId="0" fontId="0" fillId="0" borderId="0" xfId="0"/>
    <xf numFmtId="0" fontId="7" fillId="0" borderId="0" xfId="0" applyFont="1"/>
    <xf numFmtId="0" fontId="7" fillId="0" borderId="0" xfId="0" applyFont="1" applyAlignment="1">
      <alignment wrapText="1"/>
    </xf>
    <xf numFmtId="41" fontId="0" fillId="0" borderId="0" xfId="0" applyNumberFormat="1"/>
    <xf numFmtId="0" fontId="8" fillId="0" borderId="0" xfId="0" applyFont="1" applyAlignment="1">
      <alignment horizontal="left"/>
    </xf>
    <xf numFmtId="0" fontId="9" fillId="0" borderId="0" xfId="0" applyFont="1" applyAlignment="1">
      <alignment wrapText="1"/>
    </xf>
    <xf numFmtId="0" fontId="10" fillId="0" borderId="0" xfId="0" applyFont="1" applyAlignment="1">
      <alignment horizontal="left"/>
    </xf>
    <xf numFmtId="0" fontId="11" fillId="0" borderId="0" xfId="0" applyFont="1" applyAlignment="1">
      <alignment wrapText="1"/>
    </xf>
    <xf numFmtId="0" fontId="12" fillId="0" borderId="0" xfId="0" applyFont="1" applyAlignment="1">
      <alignment wrapText="1"/>
    </xf>
    <xf numFmtId="41" fontId="10" fillId="0" borderId="0" xfId="2" applyNumberFormat="1" applyFont="1" applyAlignment="1">
      <alignment horizontal="center" vertical="center" wrapText="1"/>
    </xf>
    <xf numFmtId="0" fontId="9" fillId="4" borderId="5" xfId="4" quotePrefix="1" applyFont="1" applyFill="1" applyAlignment="1">
      <alignment horizontal="center" vertical="top"/>
    </xf>
    <xf numFmtId="40" fontId="9" fillId="4" borderId="5" xfId="4" applyNumberFormat="1" applyFont="1" applyFill="1" applyAlignment="1">
      <alignment vertical="top" wrapText="1"/>
    </xf>
    <xf numFmtId="166" fontId="9" fillId="4" borderId="6" xfId="4" applyNumberFormat="1" applyFont="1" applyFill="1" applyBorder="1" applyAlignment="1">
      <alignment vertical="top"/>
    </xf>
    <xf numFmtId="40" fontId="16" fillId="4" borderId="5" xfId="4" applyNumberFormat="1" applyFont="1" applyFill="1" applyAlignment="1">
      <alignment horizontal="right" vertical="top" wrapText="1"/>
    </xf>
    <xf numFmtId="40" fontId="16" fillId="4" borderId="5" xfId="4" applyNumberFormat="1" applyFont="1" applyFill="1" applyAlignment="1">
      <alignment vertical="top" wrapText="1"/>
    </xf>
    <xf numFmtId="40" fontId="17" fillId="4" borderId="5" xfId="4" applyNumberFormat="1" applyFont="1" applyFill="1" applyAlignment="1">
      <alignment vertical="top" wrapText="1"/>
    </xf>
    <xf numFmtId="0" fontId="19" fillId="0" borderId="0" xfId="0" applyFont="1" applyAlignment="1">
      <alignment horizontal="center"/>
    </xf>
    <xf numFmtId="0" fontId="19" fillId="0" borderId="0" xfId="0" applyFont="1" applyAlignment="1">
      <alignment wrapText="1"/>
    </xf>
    <xf numFmtId="0" fontId="0" fillId="0" borderId="0" xfId="0" applyAlignment="1">
      <alignment wrapText="1"/>
    </xf>
    <xf numFmtId="40" fontId="9" fillId="4" borderId="6" xfId="4" applyNumberFormat="1" applyFont="1" applyFill="1" applyBorder="1" applyAlignment="1">
      <alignment horizontal="left" vertical="top" wrapText="1"/>
    </xf>
    <xf numFmtId="10" fontId="0" fillId="0" borderId="0" xfId="0" applyNumberFormat="1"/>
    <xf numFmtId="0" fontId="0" fillId="6" borderId="0" xfId="0" applyFill="1"/>
    <xf numFmtId="40" fontId="9" fillId="4" borderId="9" xfId="4" applyNumberFormat="1" applyFont="1" applyFill="1" applyBorder="1" applyAlignment="1">
      <alignment horizontal="left" vertical="top" wrapText="1"/>
    </xf>
    <xf numFmtId="40" fontId="9" fillId="4" borderId="7" xfId="4" applyNumberFormat="1" applyFont="1" applyFill="1" applyBorder="1" applyAlignment="1">
      <alignment horizontal="left" vertical="top" wrapText="1"/>
    </xf>
    <xf numFmtId="0" fontId="16" fillId="4" borderId="6" xfId="5" applyFont="1" applyFill="1" applyBorder="1" applyAlignment="1">
      <alignment horizontal="right" vertical="center" wrapText="1"/>
    </xf>
    <xf numFmtId="0" fontId="20" fillId="0" borderId="0" xfId="0" applyFont="1"/>
    <xf numFmtId="0" fontId="23" fillId="0" borderId="0" xfId="0" applyFont="1"/>
    <xf numFmtId="40" fontId="9" fillId="4" borderId="5" xfId="4" applyNumberFormat="1" applyFont="1" applyFill="1" applyAlignment="1">
      <alignment vertical="center" wrapText="1"/>
    </xf>
    <xf numFmtId="0" fontId="9" fillId="4" borderId="5" xfId="4" quotePrefix="1" applyFont="1" applyFill="1" applyAlignment="1">
      <alignment horizontal="center" vertical="center"/>
    </xf>
    <xf numFmtId="166" fontId="9" fillId="4" borderId="6" xfId="4" applyNumberFormat="1" applyFont="1" applyFill="1" applyBorder="1">
      <alignment vertical="center"/>
    </xf>
    <xf numFmtId="40" fontId="22" fillId="4" borderId="5" xfId="4" applyNumberFormat="1" applyFont="1" applyFill="1" applyAlignment="1">
      <alignment horizontal="right" vertical="center" wrapText="1"/>
    </xf>
    <xf numFmtId="166" fontId="16" fillId="4" borderId="10" xfId="4" applyNumberFormat="1" applyFont="1" applyFill="1" applyBorder="1">
      <alignment vertical="center"/>
    </xf>
    <xf numFmtId="43" fontId="0" fillId="0" borderId="0" xfId="12" applyFont="1"/>
    <xf numFmtId="0" fontId="31" fillId="0" borderId="0" xfId="13" applyFont="1" applyAlignment="1">
      <alignment horizontal="center" vertical="center"/>
    </xf>
    <xf numFmtId="0" fontId="21" fillId="8" borderId="0" xfId="13" applyFont="1" applyFill="1" applyAlignment="1">
      <alignment vertical="center"/>
    </xf>
    <xf numFmtId="0" fontId="31" fillId="0" borderId="0" xfId="13" applyFont="1" applyAlignment="1">
      <alignment vertical="center"/>
    </xf>
    <xf numFmtId="0" fontId="32" fillId="0" borderId="0" xfId="13" applyFont="1" applyAlignment="1">
      <alignment horizontal="left" vertical="center"/>
    </xf>
    <xf numFmtId="0" fontId="33" fillId="0" borderId="0" xfId="13" applyFont="1" applyAlignment="1">
      <alignment vertical="center"/>
    </xf>
    <xf numFmtId="0" fontId="10" fillId="0" borderId="0" xfId="13" applyFont="1" applyAlignment="1">
      <alignment horizontal="left" vertical="center"/>
    </xf>
    <xf numFmtId="0" fontId="35" fillId="0" borderId="0" xfId="13" applyFont="1" applyAlignment="1">
      <alignment vertical="center"/>
    </xf>
    <xf numFmtId="0" fontId="19" fillId="0" borderId="0" xfId="13" applyFont="1" applyAlignment="1">
      <alignment vertical="center"/>
    </xf>
    <xf numFmtId="2" fontId="8" fillId="7" borderId="19" xfId="13" applyNumberFormat="1" applyFont="1" applyFill="1" applyBorder="1" applyAlignment="1">
      <alignment horizontal="center" vertical="center"/>
    </xf>
    <xf numFmtId="0" fontId="27" fillId="7" borderId="14" xfId="13" applyFont="1" applyFill="1" applyBorder="1" applyAlignment="1">
      <alignment vertical="center" wrapText="1"/>
    </xf>
    <xf numFmtId="2" fontId="19" fillId="0" borderId="19" xfId="13" applyNumberFormat="1" applyFont="1" applyBorder="1" applyAlignment="1">
      <alignment horizontal="center" vertical="center"/>
    </xf>
    <xf numFmtId="0" fontId="28" fillId="0" borderId="14" xfId="13" applyFont="1" applyBorder="1" applyAlignment="1">
      <alignment horizontal="left" vertical="center" wrapText="1"/>
    </xf>
    <xf numFmtId="0" fontId="19" fillId="0" borderId="20" xfId="13" applyFont="1" applyBorder="1" applyAlignment="1">
      <alignment vertical="center"/>
    </xf>
    <xf numFmtId="0" fontId="27" fillId="0" borderId="14" xfId="13" applyFont="1" applyBorder="1" applyAlignment="1">
      <alignment horizontal="left" vertical="center" wrapText="1"/>
    </xf>
    <xf numFmtId="0" fontId="19" fillId="7" borderId="20" xfId="13" applyFont="1" applyFill="1" applyBorder="1" applyAlignment="1">
      <alignment vertical="center"/>
    </xf>
    <xf numFmtId="0" fontId="19" fillId="0" borderId="14" xfId="13" applyFont="1" applyBorder="1" applyAlignment="1">
      <alignment horizontal="left" vertical="center" wrapText="1"/>
    </xf>
    <xf numFmtId="0" fontId="28" fillId="0" borderId="15" xfId="13" applyFont="1" applyBorder="1" applyAlignment="1">
      <alignment horizontal="left" vertical="center" wrapText="1"/>
    </xf>
    <xf numFmtId="2" fontId="19" fillId="0" borderId="21" xfId="13" applyNumberFormat="1" applyFont="1" applyBorder="1" applyAlignment="1">
      <alignment horizontal="center" vertical="center"/>
    </xf>
    <xf numFmtId="0" fontId="28" fillId="0" borderId="22" xfId="13" applyFont="1" applyBorder="1" applyAlignment="1">
      <alignment horizontal="left" vertical="center" wrapText="1"/>
    </xf>
    <xf numFmtId="164" fontId="19" fillId="0" borderId="22" xfId="14" applyFont="1" applyBorder="1" applyAlignment="1">
      <alignment horizontal="left" vertical="center" wrapText="1"/>
    </xf>
    <xf numFmtId="164" fontId="19" fillId="0" borderId="23" xfId="14" applyFont="1" applyBorder="1" applyAlignment="1">
      <alignment vertical="center"/>
    </xf>
    <xf numFmtId="0" fontId="19" fillId="0" borderId="0" xfId="13" applyFont="1" applyAlignment="1">
      <alignment horizontal="center" vertical="center"/>
    </xf>
    <xf numFmtId="44" fontId="28" fillId="0" borderId="20" xfId="14" applyNumberFormat="1" applyFont="1" applyFill="1" applyBorder="1" applyAlignment="1">
      <alignment vertical="top"/>
    </xf>
    <xf numFmtId="2" fontId="19" fillId="0" borderId="24" xfId="13" applyNumberFormat="1" applyFont="1" applyBorder="1" applyAlignment="1">
      <alignment horizontal="center" vertical="center"/>
    </xf>
    <xf numFmtId="0" fontId="27" fillId="0" borderId="25" xfId="13" applyFont="1" applyBorder="1" applyAlignment="1">
      <alignment horizontal="left" vertical="center" wrapText="1"/>
    </xf>
    <xf numFmtId="0" fontId="27" fillId="7" borderId="20" xfId="13" applyFont="1" applyFill="1" applyBorder="1" applyAlignment="1">
      <alignment horizontal="center" vertical="center" wrapText="1"/>
    </xf>
    <xf numFmtId="44" fontId="28" fillId="0" borderId="20" xfId="13" applyNumberFormat="1" applyFont="1" applyBorder="1" applyAlignment="1">
      <alignment horizontal="left" vertical="center" wrapText="1"/>
    </xf>
    <xf numFmtId="0" fontId="19" fillId="0" borderId="0" xfId="13" applyFont="1" applyAlignment="1">
      <alignment horizontal="left" vertical="center"/>
    </xf>
    <xf numFmtId="0" fontId="21" fillId="8" borderId="0" xfId="13" applyFont="1" applyFill="1" applyAlignment="1">
      <alignment horizontal="center" vertical="center"/>
    </xf>
    <xf numFmtId="0" fontId="33" fillId="0" borderId="0" xfId="13" applyFont="1" applyAlignment="1">
      <alignment horizontal="center" vertical="center"/>
    </xf>
    <xf numFmtId="0" fontId="35" fillId="0" borderId="0" xfId="13" applyFont="1" applyAlignment="1">
      <alignment horizontal="center" vertical="center"/>
    </xf>
    <xf numFmtId="0" fontId="27" fillId="7" borderId="14" xfId="13" applyFont="1" applyFill="1" applyBorder="1" applyAlignment="1">
      <alignment horizontal="center" vertical="center" wrapText="1"/>
    </xf>
    <xf numFmtId="0" fontId="28" fillId="0" borderId="14" xfId="13" applyFont="1" applyBorder="1" applyAlignment="1">
      <alignment horizontal="center" vertical="center" wrapText="1"/>
    </xf>
    <xf numFmtId="2" fontId="8" fillId="4" borderId="19" xfId="13" applyNumberFormat="1" applyFont="1" applyFill="1" applyBorder="1" applyAlignment="1">
      <alignment horizontal="center" vertical="center"/>
    </xf>
    <xf numFmtId="0" fontId="27" fillId="4" borderId="14" xfId="13" applyFont="1" applyFill="1" applyBorder="1" applyAlignment="1">
      <alignment vertical="center" wrapText="1"/>
    </xf>
    <xf numFmtId="0" fontId="27" fillId="4" borderId="14" xfId="13" applyFont="1" applyFill="1" applyBorder="1" applyAlignment="1">
      <alignment horizontal="center" vertical="center" wrapText="1"/>
    </xf>
    <xf numFmtId="0" fontId="19" fillId="4" borderId="20" xfId="13" applyFont="1" applyFill="1" applyBorder="1" applyAlignment="1">
      <alignment vertical="center"/>
    </xf>
    <xf numFmtId="0" fontId="25" fillId="0" borderId="0" xfId="13" applyFont="1" applyAlignment="1">
      <alignment vertical="center"/>
    </xf>
    <xf numFmtId="0" fontId="29" fillId="0" borderId="14" xfId="13" applyFont="1" applyBorder="1" applyAlignment="1">
      <alignment horizontal="left" vertical="center" wrapText="1"/>
    </xf>
    <xf numFmtId="0" fontId="29" fillId="0" borderId="14" xfId="13" applyFont="1" applyBorder="1" applyAlignment="1">
      <alignment horizontal="center" vertical="center" wrapText="1"/>
    </xf>
    <xf numFmtId="2" fontId="9" fillId="0" borderId="19" xfId="13" applyNumberFormat="1" applyFont="1" applyBorder="1" applyAlignment="1">
      <alignment horizontal="center" vertical="center"/>
    </xf>
    <xf numFmtId="0" fontId="30" fillId="0" borderId="15" xfId="13" applyFont="1" applyBorder="1" applyAlignment="1">
      <alignment horizontal="left" vertical="center" wrapText="1"/>
    </xf>
    <xf numFmtId="0" fontId="28" fillId="0" borderId="15" xfId="13" applyFont="1" applyBorder="1" applyAlignment="1">
      <alignment horizontal="center" vertical="center" wrapText="1"/>
    </xf>
    <xf numFmtId="0" fontId="19" fillId="0" borderId="26" xfId="13" applyFont="1" applyBorder="1" applyAlignment="1">
      <alignment vertical="center"/>
    </xf>
    <xf numFmtId="0" fontId="19" fillId="0" borderId="21" xfId="13" applyFont="1" applyBorder="1" applyAlignment="1">
      <alignment horizontal="center" vertical="center"/>
    </xf>
    <xf numFmtId="0" fontId="19" fillId="0" borderId="22" xfId="13" applyFont="1" applyBorder="1" applyAlignment="1">
      <alignment vertical="center"/>
    </xf>
    <xf numFmtId="0" fontId="19" fillId="0" borderId="22" xfId="13" applyFont="1" applyBorder="1" applyAlignment="1">
      <alignment horizontal="center" vertical="center"/>
    </xf>
    <xf numFmtId="0" fontId="19" fillId="0" borderId="23" xfId="13" applyFont="1" applyBorder="1" applyAlignment="1">
      <alignment vertical="center"/>
    </xf>
    <xf numFmtId="0" fontId="37" fillId="0" borderId="0" xfId="15" applyFont="1" applyAlignment="1">
      <alignment vertical="center"/>
    </xf>
    <xf numFmtId="0" fontId="21" fillId="8" borderId="0" xfId="15" applyFont="1" applyFill="1" applyAlignment="1">
      <alignment vertical="center"/>
    </xf>
    <xf numFmtId="0" fontId="31" fillId="0" borderId="0" xfId="15" applyFont="1" applyAlignment="1">
      <alignment vertical="center"/>
    </xf>
    <xf numFmtId="0" fontId="32" fillId="0" borderId="0" xfId="15" applyFont="1" applyAlignment="1">
      <alignment horizontal="left" vertical="center"/>
    </xf>
    <xf numFmtId="0" fontId="33" fillId="0" borderId="0" xfId="15" applyFont="1" applyAlignment="1">
      <alignment vertical="center"/>
    </xf>
    <xf numFmtId="0" fontId="19" fillId="0" borderId="0" xfId="15" applyFont="1" applyAlignment="1">
      <alignment horizontal="center" vertical="center"/>
    </xf>
    <xf numFmtId="0" fontId="19" fillId="0" borderId="0" xfId="15" applyFont="1" applyAlignment="1">
      <alignment vertical="center"/>
    </xf>
    <xf numFmtId="3" fontId="19" fillId="0" borderId="0" xfId="15" applyNumberFormat="1" applyFont="1" applyAlignment="1">
      <alignment vertical="center"/>
    </xf>
    <xf numFmtId="2" fontId="19" fillId="0" borderId="19" xfId="15" applyNumberFormat="1" applyFont="1" applyBorder="1" applyAlignment="1">
      <alignment horizontal="center" vertical="center"/>
    </xf>
    <xf numFmtId="0" fontId="28" fillId="0" borderId="14" xfId="15" applyFont="1" applyBorder="1" applyAlignment="1">
      <alignment horizontal="left" vertical="center" wrapText="1"/>
    </xf>
    <xf numFmtId="166" fontId="19" fillId="0" borderId="20" xfId="16" applyNumberFormat="1" applyFont="1" applyBorder="1" applyAlignment="1">
      <alignment horizontal="left" vertical="center" indent="2"/>
    </xf>
    <xf numFmtId="166" fontId="19" fillId="0" borderId="0" xfId="15" applyNumberFormat="1" applyFont="1" applyAlignment="1">
      <alignment vertical="center"/>
    </xf>
    <xf numFmtId="44" fontId="19" fillId="0" borderId="0" xfId="15" applyNumberFormat="1" applyFont="1" applyAlignment="1">
      <alignment vertical="center"/>
    </xf>
    <xf numFmtId="2" fontId="19" fillId="0" borderId="16" xfId="15" applyNumberFormat="1" applyFont="1" applyBorder="1" applyAlignment="1">
      <alignment horizontal="center" vertical="center"/>
    </xf>
    <xf numFmtId="166" fontId="19" fillId="0" borderId="18" xfId="16" applyNumberFormat="1" applyFont="1" applyBorder="1" applyAlignment="1">
      <alignment horizontal="left" vertical="center" indent="2"/>
    </xf>
    <xf numFmtId="40" fontId="28" fillId="0" borderId="14" xfId="15" applyNumberFormat="1" applyFont="1" applyBorder="1" applyAlignment="1">
      <alignment horizontal="left" vertical="center" wrapText="1"/>
    </xf>
    <xf numFmtId="40" fontId="28" fillId="0" borderId="17" xfId="15" applyNumberFormat="1" applyFont="1" applyBorder="1" applyAlignment="1">
      <alignment horizontal="left" vertical="center" wrapText="1"/>
    </xf>
    <xf numFmtId="2" fontId="19" fillId="0" borderId="0" xfId="15" applyNumberFormat="1" applyFont="1" applyAlignment="1">
      <alignment horizontal="center" vertical="center"/>
    </xf>
    <xf numFmtId="0" fontId="38" fillId="0" borderId="0" xfId="15" applyFont="1" applyAlignment="1">
      <alignment horizontal="left" vertical="center" wrapText="1"/>
    </xf>
    <xf numFmtId="166" fontId="19" fillId="0" borderId="0" xfId="16" applyNumberFormat="1" applyFont="1" applyFill="1" applyBorder="1" applyAlignment="1">
      <alignment horizontal="left" vertical="center" indent="2"/>
    </xf>
    <xf numFmtId="0" fontId="39" fillId="8" borderId="0" xfId="15" applyFont="1" applyFill="1" applyAlignment="1">
      <alignment vertical="center"/>
    </xf>
    <xf numFmtId="2" fontId="19" fillId="9" borderId="19" xfId="15" applyNumberFormat="1" applyFont="1" applyFill="1" applyBorder="1" applyAlignment="1">
      <alignment horizontal="center" vertical="center"/>
    </xf>
    <xf numFmtId="0" fontId="38" fillId="9" borderId="14" xfId="15" applyFont="1" applyFill="1" applyBorder="1" applyAlignment="1">
      <alignment horizontal="left" vertical="center" wrapText="1"/>
    </xf>
    <xf numFmtId="2" fontId="19" fillId="9" borderId="21" xfId="15" applyNumberFormat="1" applyFont="1" applyFill="1" applyBorder="1" applyAlignment="1">
      <alignment horizontal="center" vertical="center"/>
    </xf>
    <xf numFmtId="0" fontId="38" fillId="9" borderId="22" xfId="15" applyFont="1" applyFill="1" applyBorder="1" applyAlignment="1">
      <alignment horizontal="left" vertical="center" wrapText="1"/>
    </xf>
    <xf numFmtId="0" fontId="14" fillId="9" borderId="2" xfId="3" applyFont="1" applyFill="1" applyBorder="1" applyAlignment="1">
      <alignment horizontal="center" vertical="center"/>
    </xf>
    <xf numFmtId="0" fontId="14" fillId="9" borderId="3" xfId="3" applyFont="1" applyFill="1" applyBorder="1">
      <alignment vertical="center" wrapText="1"/>
    </xf>
    <xf numFmtId="41" fontId="14" fillId="9" borderId="4" xfId="3" applyNumberFormat="1" applyFont="1" applyFill="1" applyBorder="1" applyAlignment="1">
      <alignment horizontal="center" vertical="center"/>
    </xf>
    <xf numFmtId="41" fontId="40" fillId="9" borderId="4" xfId="3" applyNumberFormat="1" applyFont="1" applyFill="1" applyBorder="1" applyAlignment="1">
      <alignment horizontal="center" vertical="center" wrapText="1"/>
    </xf>
    <xf numFmtId="169" fontId="9" fillId="4" borderId="6" xfId="4" applyNumberFormat="1" applyFont="1" applyFill="1" applyBorder="1" applyAlignment="1">
      <alignment vertical="top"/>
    </xf>
    <xf numFmtId="169" fontId="9" fillId="4" borderId="6" xfId="6" applyNumberFormat="1" applyFont="1" applyFill="1" applyBorder="1" applyAlignment="1">
      <alignment vertical="top"/>
    </xf>
    <xf numFmtId="169" fontId="16" fillId="4" borderId="6" xfId="6" applyNumberFormat="1" applyFont="1" applyFill="1" applyBorder="1" applyAlignment="1">
      <alignment vertical="top"/>
    </xf>
    <xf numFmtId="169" fontId="16" fillId="4" borderId="11" xfId="4" applyNumberFormat="1" applyFont="1" applyFill="1" applyBorder="1" applyAlignment="1">
      <alignment vertical="top"/>
    </xf>
    <xf numFmtId="169" fontId="16" fillId="4" borderId="10" xfId="4" applyNumberFormat="1" applyFont="1" applyFill="1" applyBorder="1">
      <alignment vertical="center"/>
    </xf>
    <xf numFmtId="44" fontId="19" fillId="0" borderId="20" xfId="16" applyNumberFormat="1" applyFont="1" applyBorder="1" applyAlignment="1">
      <alignment horizontal="left" vertical="center" indent="2"/>
    </xf>
    <xf numFmtId="40" fontId="16" fillId="4" borderId="5" xfId="4" applyNumberFormat="1" applyFont="1" applyFill="1" applyAlignment="1">
      <alignment horizontal="right" vertical="center" wrapText="1"/>
    </xf>
    <xf numFmtId="1" fontId="9" fillId="4" borderId="5" xfId="4" quotePrefix="1" applyNumberFormat="1" applyFont="1" applyFill="1" applyAlignment="1">
      <alignment horizontal="center" vertical="top"/>
    </xf>
    <xf numFmtId="44" fontId="32" fillId="9" borderId="20" xfId="16" applyNumberFormat="1" applyFont="1" applyFill="1" applyBorder="1" applyAlignment="1">
      <alignment horizontal="left" vertical="center" indent="2"/>
    </xf>
    <xf numFmtId="44" fontId="32" fillId="9" borderId="23" xfId="16" applyNumberFormat="1" applyFont="1" applyFill="1" applyBorder="1" applyAlignment="1">
      <alignment horizontal="left" vertical="center" indent="2"/>
    </xf>
    <xf numFmtId="0" fontId="41" fillId="9" borderId="16" xfId="15" applyFont="1" applyFill="1" applyBorder="1" applyAlignment="1">
      <alignment horizontal="center" vertical="center"/>
    </xf>
    <xf numFmtId="0" fontId="41" fillId="9" borderId="17" xfId="15" applyFont="1" applyFill="1" applyBorder="1" applyAlignment="1">
      <alignment horizontal="left" vertical="center"/>
    </xf>
    <xf numFmtId="0" fontId="41" fillId="9" borderId="18" xfId="15" applyFont="1" applyFill="1" applyBorder="1" applyAlignment="1">
      <alignment horizontal="center" vertical="center" wrapText="1"/>
    </xf>
    <xf numFmtId="166" fontId="32" fillId="9" borderId="20" xfId="16" applyNumberFormat="1" applyFont="1" applyFill="1" applyBorder="1" applyAlignment="1">
      <alignment horizontal="left" vertical="center" indent="2"/>
    </xf>
    <xf numFmtId="166" fontId="32" fillId="9" borderId="23" xfId="16" applyNumberFormat="1" applyFont="1" applyFill="1" applyBorder="1" applyAlignment="1">
      <alignment horizontal="left" vertical="center" indent="2"/>
    </xf>
    <xf numFmtId="0" fontId="42" fillId="0" borderId="0" xfId="0" applyFont="1" applyAlignment="1">
      <alignment horizontal="left"/>
    </xf>
    <xf numFmtId="0" fontId="5" fillId="9" borderId="0" xfId="1" applyFont="1" applyFill="1">
      <alignment vertical="center"/>
    </xf>
    <xf numFmtId="0" fontId="14" fillId="9" borderId="8" xfId="3" applyFont="1" applyFill="1" applyBorder="1" applyAlignment="1">
      <alignment horizontal="center" vertical="center" wrapText="1"/>
    </xf>
    <xf numFmtId="0" fontId="14" fillId="9" borderId="12" xfId="3" applyFont="1" applyFill="1" applyBorder="1" applyAlignment="1">
      <alignment horizontal="center" vertical="center" wrapText="1"/>
    </xf>
    <xf numFmtId="0" fontId="14" fillId="9" borderId="13" xfId="3" applyFont="1" applyFill="1" applyBorder="1" applyAlignment="1">
      <alignment horizontal="center" vertical="center" wrapText="1"/>
    </xf>
    <xf numFmtId="0" fontId="14" fillId="9" borderId="8" xfId="3" applyFont="1" applyFill="1" applyBorder="1">
      <alignment vertical="center" wrapText="1"/>
    </xf>
    <xf numFmtId="0" fontId="41" fillId="9" borderId="0" xfId="1" applyFont="1" applyFill="1">
      <alignment vertical="center"/>
    </xf>
    <xf numFmtId="0" fontId="45" fillId="9" borderId="0" xfId="1" applyFont="1" applyFill="1">
      <alignment vertical="center"/>
    </xf>
    <xf numFmtId="0" fontId="24" fillId="9" borderId="0" xfId="1" applyFont="1" applyFill="1" applyAlignment="1">
      <alignment vertical="center" wrapText="1"/>
    </xf>
    <xf numFmtId="166" fontId="47" fillId="4" borderId="6" xfId="4" applyNumberFormat="1" applyFont="1" applyFill="1" applyBorder="1">
      <alignment vertical="center"/>
    </xf>
    <xf numFmtId="0" fontId="48" fillId="0" borderId="0" xfId="0" applyFont="1" applyAlignment="1">
      <alignment vertical="center" wrapText="1"/>
    </xf>
    <xf numFmtId="40" fontId="19" fillId="4" borderId="5" xfId="4" applyNumberFormat="1" applyFont="1" applyFill="1" applyAlignment="1">
      <alignment vertical="center" wrapText="1"/>
    </xf>
    <xf numFmtId="0" fontId="0" fillId="0" borderId="0" xfId="0" applyAlignment="1">
      <alignment vertical="center"/>
    </xf>
    <xf numFmtId="0" fontId="0" fillId="0" borderId="0" xfId="0" applyAlignment="1">
      <alignment vertical="center" wrapText="1"/>
    </xf>
    <xf numFmtId="41" fontId="0" fillId="0" borderId="0" xfId="0" applyNumberFormat="1" applyAlignment="1">
      <alignment vertical="center"/>
    </xf>
    <xf numFmtId="0" fontId="41" fillId="9" borderId="0" xfId="13" applyFont="1" applyFill="1" applyAlignment="1">
      <alignment vertical="center"/>
    </xf>
    <xf numFmtId="0" fontId="16" fillId="9" borderId="16" xfId="13" applyFont="1" applyFill="1" applyBorder="1" applyAlignment="1">
      <alignment horizontal="left" vertical="center"/>
    </xf>
    <xf numFmtId="0" fontId="16" fillId="9" borderId="17" xfId="13" applyFont="1" applyFill="1" applyBorder="1" applyAlignment="1">
      <alignment horizontal="left" vertical="center"/>
    </xf>
    <xf numFmtId="0" fontId="16" fillId="9" borderId="17" xfId="13" applyFont="1" applyFill="1" applyBorder="1" applyAlignment="1">
      <alignment horizontal="center" vertical="center"/>
    </xf>
    <xf numFmtId="0" fontId="16" fillId="9" borderId="18" xfId="13" applyFont="1" applyFill="1" applyBorder="1" applyAlignment="1">
      <alignment horizontal="center" vertical="center" wrapText="1"/>
    </xf>
    <xf numFmtId="0" fontId="46" fillId="9" borderId="0" xfId="13" applyFont="1" applyFill="1" applyAlignment="1">
      <alignment vertical="center"/>
    </xf>
    <xf numFmtId="0" fontId="21" fillId="0" borderId="0" xfId="13" applyFont="1" applyAlignment="1">
      <alignment vertical="center"/>
    </xf>
    <xf numFmtId="169" fontId="9" fillId="11" borderId="6" xfId="4" applyNumberFormat="1" applyFont="1" applyFill="1" applyBorder="1" applyAlignment="1">
      <alignment vertical="top"/>
    </xf>
    <xf numFmtId="169" fontId="9" fillId="11" borderId="6" xfId="6" applyNumberFormat="1" applyFont="1" applyFill="1" applyBorder="1" applyAlignment="1">
      <alignment vertical="top"/>
    </xf>
    <xf numFmtId="40" fontId="9" fillId="11" borderId="5" xfId="4" applyNumberFormat="1" applyFont="1" applyFill="1" applyAlignment="1">
      <alignment vertical="top" wrapText="1"/>
    </xf>
    <xf numFmtId="166" fontId="9" fillId="11" borderId="6" xfId="4" applyNumberFormat="1" applyFont="1" applyFill="1" applyBorder="1" applyAlignment="1">
      <alignment vertical="top"/>
    </xf>
    <xf numFmtId="40" fontId="9" fillId="11" borderId="6" xfId="4" applyNumberFormat="1" applyFont="1" applyFill="1" applyBorder="1" applyAlignment="1">
      <alignment horizontal="left" vertical="top" wrapText="1"/>
    </xf>
    <xf numFmtId="169" fontId="9" fillId="11" borderId="6" xfId="4" applyNumberFormat="1" applyFont="1" applyFill="1" applyBorder="1">
      <alignment vertical="center"/>
    </xf>
    <xf numFmtId="40" fontId="50" fillId="11" borderId="5" xfId="4" applyNumberFormat="1" applyFont="1" applyFill="1" applyAlignment="1">
      <alignment vertical="center" wrapText="1"/>
    </xf>
    <xf numFmtId="166" fontId="9" fillId="11" borderId="6" xfId="4" applyNumberFormat="1" applyFont="1" applyFill="1" applyBorder="1">
      <alignment vertical="center"/>
    </xf>
    <xf numFmtId="40" fontId="9" fillId="11" borderId="5" xfId="4" applyNumberFormat="1" applyFont="1" applyFill="1" applyAlignment="1">
      <alignment vertical="center" wrapText="1"/>
    </xf>
    <xf numFmtId="44" fontId="19" fillId="11" borderId="20" xfId="13" applyNumberFormat="1" applyFont="1" applyFill="1" applyBorder="1" applyAlignment="1">
      <alignment vertical="center"/>
    </xf>
    <xf numFmtId="44" fontId="9" fillId="11" borderId="20" xfId="13" applyNumberFormat="1" applyFont="1" applyFill="1" applyBorder="1" applyAlignment="1">
      <alignment vertical="center"/>
    </xf>
    <xf numFmtId="44" fontId="19" fillId="11" borderId="14" xfId="13" applyNumberFormat="1" applyFont="1" applyFill="1" applyBorder="1" applyAlignment="1">
      <alignment vertical="center" wrapText="1"/>
    </xf>
    <xf numFmtId="44" fontId="19" fillId="11" borderId="20" xfId="13" applyNumberFormat="1" applyFont="1" applyFill="1" applyBorder="1" applyAlignment="1">
      <alignment vertical="center" wrapText="1"/>
    </xf>
    <xf numFmtId="44" fontId="19" fillId="11" borderId="23" xfId="13" applyNumberFormat="1" applyFont="1" applyFill="1" applyBorder="1" applyAlignment="1">
      <alignment vertical="center" wrapText="1"/>
    </xf>
    <xf numFmtId="40" fontId="9" fillId="4" borderId="6" xfId="4" applyNumberFormat="1" applyFont="1" applyFill="1" applyBorder="1" applyAlignment="1">
      <alignment horizontal="left" vertical="top" wrapText="1"/>
    </xf>
    <xf numFmtId="40" fontId="9" fillId="4" borderId="9" xfId="4" applyNumberFormat="1" applyFont="1" applyFill="1" applyBorder="1" applyAlignment="1">
      <alignment horizontal="left" vertical="top" wrapText="1"/>
    </xf>
    <xf numFmtId="40" fontId="9" fillId="4" borderId="7" xfId="4" applyNumberFormat="1" applyFont="1" applyFill="1" applyBorder="1" applyAlignment="1">
      <alignment horizontal="left" vertical="top" wrapText="1"/>
    </xf>
    <xf numFmtId="40" fontId="16" fillId="4" borderId="6" xfId="4" applyNumberFormat="1" applyFont="1" applyFill="1" applyBorder="1" applyAlignment="1">
      <alignment horizontal="left" vertical="top" wrapText="1"/>
    </xf>
    <xf numFmtId="40" fontId="16" fillId="4" borderId="9" xfId="4" applyNumberFormat="1" applyFont="1" applyFill="1" applyBorder="1" applyAlignment="1">
      <alignment horizontal="left" vertical="top" wrapText="1"/>
    </xf>
    <xf numFmtId="40" fontId="16" fillId="4" borderId="7" xfId="4" applyNumberFormat="1" applyFont="1" applyFill="1" applyBorder="1" applyAlignment="1">
      <alignment horizontal="left" vertical="top" wrapText="1"/>
    </xf>
    <xf numFmtId="40" fontId="9" fillId="11" borderId="6" xfId="4" applyNumberFormat="1" applyFont="1" applyFill="1" applyBorder="1" applyAlignment="1">
      <alignment horizontal="left" vertical="top" wrapText="1"/>
    </xf>
    <xf numFmtId="40" fontId="9" fillId="11" borderId="9" xfId="4" applyNumberFormat="1" applyFont="1" applyFill="1" applyBorder="1" applyAlignment="1">
      <alignment horizontal="left" vertical="top" wrapText="1"/>
    </xf>
    <xf numFmtId="40" fontId="9" fillId="11" borderId="7" xfId="4" applyNumberFormat="1" applyFont="1" applyFill="1" applyBorder="1" applyAlignment="1">
      <alignment horizontal="left" vertical="top" wrapText="1"/>
    </xf>
    <xf numFmtId="0" fontId="16" fillId="4" borderId="6" xfId="5" applyFont="1" applyFill="1" applyBorder="1" applyAlignment="1">
      <alignment horizontal="right" vertical="center" wrapText="1"/>
    </xf>
    <xf numFmtId="0" fontId="16" fillId="4" borderId="9" xfId="5" applyFont="1" applyFill="1" applyBorder="1" applyAlignment="1">
      <alignment horizontal="right" vertical="center" wrapText="1"/>
    </xf>
    <xf numFmtId="0" fontId="16" fillId="4" borderId="7" xfId="5" applyFont="1" applyFill="1" applyBorder="1" applyAlignment="1">
      <alignment horizontal="right" vertical="center" wrapText="1"/>
    </xf>
    <xf numFmtId="0" fontId="49" fillId="9" borderId="0" xfId="1" applyFont="1" applyFill="1" applyAlignment="1">
      <alignment horizontal="left" vertical="center" wrapText="1"/>
    </xf>
    <xf numFmtId="0" fontId="46" fillId="9" borderId="0" xfId="1" applyFont="1" applyFill="1" applyAlignment="1">
      <alignment horizontal="left" vertical="center" wrapText="1"/>
    </xf>
    <xf numFmtId="0" fontId="46" fillId="9" borderId="0" xfId="13" applyFont="1" applyFill="1" applyAlignment="1">
      <alignment horizontal="left" vertical="center" wrapText="1"/>
    </xf>
    <xf numFmtId="40" fontId="28" fillId="0" borderId="14" xfId="15" applyNumberFormat="1" applyFont="1" applyFill="1" applyBorder="1" applyAlignment="1">
      <alignment horizontal="left" vertical="center" wrapText="1"/>
    </xf>
    <xf numFmtId="0" fontId="0" fillId="10" borderId="35" xfId="0" applyFill="1" applyBorder="1" applyAlignment="1"/>
    <xf numFmtId="0" fontId="0" fillId="10" borderId="36" xfId="0" applyFill="1" applyBorder="1" applyAlignment="1"/>
    <xf numFmtId="0" fontId="0" fillId="10" borderId="0" xfId="0" applyFill="1" applyAlignment="1"/>
    <xf numFmtId="0" fontId="0" fillId="10" borderId="32" xfId="0" applyFill="1" applyBorder="1" applyAlignment="1"/>
    <xf numFmtId="169" fontId="9" fillId="10" borderId="11" xfId="4" applyNumberFormat="1" applyFont="1" applyFill="1" applyBorder="1" applyAlignment="1">
      <alignment vertical="center"/>
    </xf>
    <xf numFmtId="169" fontId="9" fillId="10" borderId="27" xfId="4" applyNumberFormat="1" applyFont="1" applyFill="1" applyBorder="1" applyAlignment="1">
      <alignment vertical="center"/>
    </xf>
    <xf numFmtId="169" fontId="9" fillId="10" borderId="29" xfId="4" applyNumberFormat="1" applyFont="1" applyFill="1" applyBorder="1" applyAlignment="1">
      <alignment vertical="top"/>
    </xf>
    <xf numFmtId="169" fontId="9" fillId="10" borderId="30" xfId="4" applyNumberFormat="1" applyFont="1" applyFill="1" applyBorder="1" applyAlignment="1">
      <alignment vertical="top"/>
    </xf>
    <xf numFmtId="169" fontId="9" fillId="10" borderId="31" xfId="4" applyNumberFormat="1" applyFont="1" applyFill="1" applyBorder="1" applyAlignment="1">
      <alignment vertical="top"/>
    </xf>
    <xf numFmtId="169" fontId="9" fillId="10" borderId="27" xfId="4" applyNumberFormat="1" applyFont="1" applyFill="1" applyBorder="1" applyAlignment="1">
      <alignment vertical="top"/>
    </xf>
    <xf numFmtId="169" fontId="9" fillId="10" borderId="0" xfId="4" applyNumberFormat="1" applyFont="1" applyFill="1" applyBorder="1" applyAlignment="1">
      <alignment vertical="top"/>
    </xf>
    <xf numFmtId="169" fontId="9" fillId="10" borderId="32" xfId="4" applyNumberFormat="1" applyFont="1" applyFill="1" applyBorder="1" applyAlignment="1">
      <alignment vertical="top"/>
    </xf>
    <xf numFmtId="169" fontId="9" fillId="10" borderId="28" xfId="4" applyNumberFormat="1" applyFont="1" applyFill="1" applyBorder="1" applyAlignment="1">
      <alignment vertical="top"/>
    </xf>
    <xf numFmtId="169" fontId="9" fillId="10" borderId="33" xfId="4" applyNumberFormat="1" applyFont="1" applyFill="1" applyBorder="1" applyAlignment="1">
      <alignment vertical="top"/>
    </xf>
    <xf numFmtId="169" fontId="9" fillId="10" borderId="34" xfId="4" applyNumberFormat="1" applyFont="1" applyFill="1" applyBorder="1" applyAlignment="1">
      <alignment vertical="top"/>
    </xf>
    <xf numFmtId="0" fontId="38" fillId="9" borderId="37" xfId="15" applyFont="1" applyFill="1" applyBorder="1" applyAlignment="1">
      <alignment vertical="center" wrapText="1"/>
    </xf>
    <xf numFmtId="0" fontId="38" fillId="9" borderId="0" xfId="15" applyFont="1" applyFill="1" applyBorder="1" applyAlignment="1">
      <alignment vertical="center" wrapText="1"/>
    </xf>
    <xf numFmtId="0" fontId="38" fillId="9" borderId="38" xfId="15" applyFont="1" applyFill="1" applyBorder="1" applyAlignment="1">
      <alignment vertical="center" wrapText="1"/>
    </xf>
    <xf numFmtId="40" fontId="16" fillId="11" borderId="5" xfId="4" applyNumberFormat="1" applyFont="1" applyFill="1" applyAlignment="1">
      <alignment vertical="top" wrapText="1"/>
    </xf>
    <xf numFmtId="0" fontId="43" fillId="9" borderId="39" xfId="15" applyFont="1" applyFill="1" applyBorder="1" applyAlignment="1">
      <alignment horizontal="left" vertical="center" wrapText="1"/>
    </xf>
    <xf numFmtId="0" fontId="44" fillId="9" borderId="40" xfId="15" applyFont="1" applyFill="1" applyBorder="1" applyAlignment="1">
      <alignment horizontal="left" vertical="center" wrapText="1"/>
    </xf>
    <xf numFmtId="0" fontId="44" fillId="9" borderId="41" xfId="15" applyFont="1" applyFill="1" applyBorder="1" applyAlignment="1">
      <alignment horizontal="left" vertical="center" wrapText="1"/>
    </xf>
    <xf numFmtId="0" fontId="21" fillId="8" borderId="21" xfId="15" applyFont="1" applyFill="1" applyBorder="1" applyAlignment="1">
      <alignment horizontal="center" vertical="center"/>
    </xf>
    <xf numFmtId="0" fontId="31" fillId="11" borderId="22" xfId="15" applyFont="1" applyFill="1" applyBorder="1" applyAlignment="1">
      <alignment vertical="center"/>
    </xf>
    <xf numFmtId="0" fontId="31" fillId="11" borderId="23" xfId="15" applyFont="1" applyFill="1" applyBorder="1" applyAlignment="1">
      <alignment vertical="center"/>
    </xf>
  </cellXfs>
  <cellStyles count="17">
    <cellStyle name="Comma" xfId="12" builtinId="3"/>
    <cellStyle name="Comma 3 3 3" xfId="8" xr:uid="{637A3417-F36E-4379-AAEE-3C0D872C0749}"/>
    <cellStyle name="Currency" xfId="6" builtinId="4"/>
    <cellStyle name="Currency 2" xfId="2" xr:uid="{6440B9EB-6E3F-4090-8D76-2FB7BD26157F}"/>
    <cellStyle name="Currency 3" xfId="14" xr:uid="{CC1B2415-AF99-4098-B9EF-B8572576542F}"/>
    <cellStyle name="Currency 4" xfId="16" xr:uid="{46D791A0-62A4-4CC0-9ED8-EE32BA9AD9EA}"/>
    <cellStyle name="MBM H1" xfId="1" xr:uid="{455ABBD8-8929-452A-8859-36442C6012EE}"/>
    <cellStyle name="MBM H1 2" xfId="11" xr:uid="{4FBC9A8D-B548-4F4B-AC1D-0215DC658DC1}"/>
    <cellStyle name="MBM L1" xfId="3" xr:uid="{A673DB94-6CCF-4F82-8B1B-6BFF96F812A4}"/>
    <cellStyle name="MBM L2" xfId="5" xr:uid="{05980E64-3CB8-4DFF-B780-0F3803CB21D3}"/>
    <cellStyle name="MBM L3" xfId="4" xr:uid="{E751C316-D4AA-47C6-9112-FAD8C94D9509}"/>
    <cellStyle name="Normal" xfId="0" builtinId="0"/>
    <cellStyle name="Normal 14 4 6" xfId="10" xr:uid="{8B031CCE-7E26-432D-B8E0-D6738AA49D82}"/>
    <cellStyle name="Normal 2" xfId="13" xr:uid="{070050DC-7DDD-4311-9FA5-E322DF6C7CE8}"/>
    <cellStyle name="Normal 2 2 4 2" xfId="7" xr:uid="{C8957A4C-06C5-4AAB-88CC-36CD910A09AA}"/>
    <cellStyle name="Normal 3" xfId="15" xr:uid="{2972CA59-82E7-453D-BBDE-CBF623392E92}"/>
    <cellStyle name="Normal 7 2 2 2 10" xfId="9" xr:uid="{D5A96317-C729-4CCB-867E-53E35ABC878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externalLink" Target="externalLinks/externalLink6.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1408578</xdr:colOff>
      <xdr:row>1</xdr:row>
      <xdr:rowOff>33617</xdr:rowOff>
    </xdr:from>
    <xdr:to>
      <xdr:col>3</xdr:col>
      <xdr:colOff>2246778</xdr:colOff>
      <xdr:row>2</xdr:row>
      <xdr:rowOff>1232</xdr:rowOff>
    </xdr:to>
    <xdr:pic>
      <xdr:nvPicPr>
        <xdr:cNvPr id="2" name="Picture 1">
          <a:extLst>
            <a:ext uri="{FF2B5EF4-FFF2-40B4-BE49-F238E27FC236}">
              <a16:creationId xmlns:a16="http://schemas.microsoft.com/office/drawing/2014/main" id="{40198C41-97D3-4E5B-B394-D3F56D34114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1" r="59885" b="-6251"/>
        <a:stretch/>
      </xdr:blipFill>
      <xdr:spPr>
        <a:xfrm>
          <a:off x="7851960" y="123264"/>
          <a:ext cx="838200" cy="7296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1759884</xdr:colOff>
      <xdr:row>0</xdr:row>
      <xdr:rowOff>39780</xdr:rowOff>
    </xdr:from>
    <xdr:to>
      <xdr:col>7</xdr:col>
      <xdr:colOff>2514612</xdr:colOff>
      <xdr:row>0</xdr:row>
      <xdr:rowOff>717176</xdr:rowOff>
    </xdr:to>
    <xdr:pic>
      <xdr:nvPicPr>
        <xdr:cNvPr id="2" name="Picture 1">
          <a:extLst>
            <a:ext uri="{FF2B5EF4-FFF2-40B4-BE49-F238E27FC236}">
              <a16:creationId xmlns:a16="http://schemas.microsoft.com/office/drawing/2014/main" id="{566CBE7B-B37A-484D-D916-7F98CCF2F4EC}"/>
            </a:ext>
          </a:extLst>
        </xdr:cNvPr>
        <xdr:cNvPicPr>
          <a:picLocks noChangeAspect="1"/>
        </xdr:cNvPicPr>
      </xdr:nvPicPr>
      <xdr:blipFill>
        <a:blip xmlns:r="http://schemas.openxmlformats.org/officeDocument/2006/relationships" r:embed="rId1"/>
        <a:stretch>
          <a:fillRect/>
        </a:stretch>
      </xdr:blipFill>
      <xdr:spPr>
        <a:xfrm>
          <a:off x="8292913" y="39780"/>
          <a:ext cx="754728" cy="6773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1289866</xdr:colOff>
      <xdr:row>0</xdr:row>
      <xdr:rowOff>22412</xdr:rowOff>
    </xdr:from>
    <xdr:to>
      <xdr:col>5</xdr:col>
      <xdr:colOff>2047374</xdr:colOff>
      <xdr:row>0</xdr:row>
      <xdr:rowOff>693772</xdr:rowOff>
    </xdr:to>
    <xdr:pic>
      <xdr:nvPicPr>
        <xdr:cNvPr id="2" name="Picture 1">
          <a:extLst>
            <a:ext uri="{FF2B5EF4-FFF2-40B4-BE49-F238E27FC236}">
              <a16:creationId xmlns:a16="http://schemas.microsoft.com/office/drawing/2014/main" id="{1B4E6D9B-FF38-4FAE-8C90-2B676AA8F28B}"/>
            </a:ext>
          </a:extLst>
        </xdr:cNvPr>
        <xdr:cNvPicPr>
          <a:picLocks noChangeAspect="1"/>
        </xdr:cNvPicPr>
      </xdr:nvPicPr>
      <xdr:blipFill>
        <a:blip xmlns:r="http://schemas.openxmlformats.org/officeDocument/2006/relationships" r:embed="rId1"/>
        <a:stretch>
          <a:fillRect/>
        </a:stretch>
      </xdr:blipFill>
      <xdr:spPr>
        <a:xfrm>
          <a:off x="10344219" y="22412"/>
          <a:ext cx="757508" cy="6713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2209800</xdr:colOff>
      <xdr:row>0</xdr:row>
      <xdr:rowOff>57151</xdr:rowOff>
    </xdr:from>
    <xdr:to>
      <xdr:col>3</xdr:col>
      <xdr:colOff>2931049</xdr:colOff>
      <xdr:row>0</xdr:row>
      <xdr:rowOff>704851</xdr:rowOff>
    </xdr:to>
    <xdr:pic>
      <xdr:nvPicPr>
        <xdr:cNvPr id="2" name="Picture 1">
          <a:extLst>
            <a:ext uri="{FF2B5EF4-FFF2-40B4-BE49-F238E27FC236}">
              <a16:creationId xmlns:a16="http://schemas.microsoft.com/office/drawing/2014/main" id="{9180C1D4-F121-48BA-AF2B-8F229F7D3B6C}"/>
            </a:ext>
          </a:extLst>
        </xdr:cNvPr>
        <xdr:cNvPicPr>
          <a:picLocks noChangeAspect="1"/>
        </xdr:cNvPicPr>
      </xdr:nvPicPr>
      <xdr:blipFill>
        <a:blip xmlns:r="http://schemas.openxmlformats.org/officeDocument/2006/relationships" r:embed="rId1"/>
        <a:stretch>
          <a:fillRect/>
        </a:stretch>
      </xdr:blipFill>
      <xdr:spPr>
        <a:xfrm>
          <a:off x="10601325" y="57151"/>
          <a:ext cx="721249"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971550</xdr:colOff>
      <xdr:row>0</xdr:row>
      <xdr:rowOff>38099</xdr:rowOff>
    </xdr:from>
    <xdr:to>
      <xdr:col>7</xdr:col>
      <xdr:colOff>51174</xdr:colOff>
      <xdr:row>0</xdr:row>
      <xdr:rowOff>647074</xdr:rowOff>
    </xdr:to>
    <xdr:pic>
      <xdr:nvPicPr>
        <xdr:cNvPr id="2" name="Picture 1">
          <a:extLst>
            <a:ext uri="{FF2B5EF4-FFF2-40B4-BE49-F238E27FC236}">
              <a16:creationId xmlns:a16="http://schemas.microsoft.com/office/drawing/2014/main" id="{F1F74918-5148-4502-A1F5-D5E293F0427B}"/>
            </a:ext>
          </a:extLst>
        </xdr:cNvPr>
        <xdr:cNvPicPr>
          <a:picLocks noChangeAspect="1"/>
        </xdr:cNvPicPr>
      </xdr:nvPicPr>
      <xdr:blipFill>
        <a:blip xmlns:r="http://schemas.openxmlformats.org/officeDocument/2006/relationships" r:embed="rId1"/>
        <a:stretch>
          <a:fillRect/>
        </a:stretch>
      </xdr:blipFill>
      <xdr:spPr>
        <a:xfrm>
          <a:off x="6686550" y="38099"/>
          <a:ext cx="685800" cy="608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971550</xdr:colOff>
      <xdr:row>0</xdr:row>
      <xdr:rowOff>38099</xdr:rowOff>
    </xdr:from>
    <xdr:to>
      <xdr:col>6</xdr:col>
      <xdr:colOff>1657350</xdr:colOff>
      <xdr:row>0</xdr:row>
      <xdr:rowOff>647074</xdr:rowOff>
    </xdr:to>
    <xdr:pic>
      <xdr:nvPicPr>
        <xdr:cNvPr id="2" name="Picture 1">
          <a:extLst>
            <a:ext uri="{FF2B5EF4-FFF2-40B4-BE49-F238E27FC236}">
              <a16:creationId xmlns:a16="http://schemas.microsoft.com/office/drawing/2014/main" id="{CD9EFE17-5CE6-41C8-82E2-4999C6FD957E}"/>
            </a:ext>
          </a:extLst>
        </xdr:cNvPr>
        <xdr:cNvPicPr>
          <a:picLocks noChangeAspect="1"/>
        </xdr:cNvPicPr>
      </xdr:nvPicPr>
      <xdr:blipFill>
        <a:blip xmlns:r="http://schemas.openxmlformats.org/officeDocument/2006/relationships" r:embed="rId1"/>
        <a:stretch>
          <a:fillRect/>
        </a:stretch>
      </xdr:blipFill>
      <xdr:spPr>
        <a:xfrm>
          <a:off x="11353800" y="38099"/>
          <a:ext cx="685800" cy="6089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971550</xdr:colOff>
      <xdr:row>0</xdr:row>
      <xdr:rowOff>38099</xdr:rowOff>
    </xdr:from>
    <xdr:to>
      <xdr:col>6</xdr:col>
      <xdr:colOff>1657350</xdr:colOff>
      <xdr:row>0</xdr:row>
      <xdr:rowOff>647074</xdr:rowOff>
    </xdr:to>
    <xdr:pic>
      <xdr:nvPicPr>
        <xdr:cNvPr id="2" name="Picture 1">
          <a:extLst>
            <a:ext uri="{FF2B5EF4-FFF2-40B4-BE49-F238E27FC236}">
              <a16:creationId xmlns:a16="http://schemas.microsoft.com/office/drawing/2014/main" id="{A9E2AEBF-9E5F-4854-8F09-55F67F33CF52}"/>
            </a:ext>
          </a:extLst>
        </xdr:cNvPr>
        <xdr:cNvPicPr>
          <a:picLocks noChangeAspect="1"/>
        </xdr:cNvPicPr>
      </xdr:nvPicPr>
      <xdr:blipFill>
        <a:blip xmlns:r="http://schemas.openxmlformats.org/officeDocument/2006/relationships" r:embed="rId1"/>
        <a:stretch>
          <a:fillRect/>
        </a:stretch>
      </xdr:blipFill>
      <xdr:spPr>
        <a:xfrm>
          <a:off x="6686550" y="38099"/>
          <a:ext cx="685800" cy="6089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2609850</xdr:colOff>
      <xdr:row>0</xdr:row>
      <xdr:rowOff>66676</xdr:rowOff>
    </xdr:from>
    <xdr:to>
      <xdr:col>3</xdr:col>
      <xdr:colOff>673618</xdr:colOff>
      <xdr:row>0</xdr:row>
      <xdr:rowOff>674371</xdr:rowOff>
    </xdr:to>
    <xdr:pic>
      <xdr:nvPicPr>
        <xdr:cNvPr id="2" name="Picture 1">
          <a:extLst>
            <a:ext uri="{FF2B5EF4-FFF2-40B4-BE49-F238E27FC236}">
              <a16:creationId xmlns:a16="http://schemas.microsoft.com/office/drawing/2014/main" id="{FE1771A7-35AB-413C-B00C-C97313D52885}"/>
            </a:ext>
          </a:extLst>
        </xdr:cNvPr>
        <xdr:cNvPicPr>
          <a:picLocks noChangeAspect="1"/>
        </xdr:cNvPicPr>
      </xdr:nvPicPr>
      <xdr:blipFill>
        <a:blip xmlns:r="http://schemas.openxmlformats.org/officeDocument/2006/relationships" r:embed="rId1"/>
        <a:stretch>
          <a:fillRect/>
        </a:stretch>
      </xdr:blipFill>
      <xdr:spPr>
        <a:xfrm>
          <a:off x="8201025" y="66676"/>
          <a:ext cx="675523" cy="609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2552700</xdr:colOff>
      <xdr:row>0</xdr:row>
      <xdr:rowOff>28576</xdr:rowOff>
    </xdr:from>
    <xdr:to>
      <xdr:col>2</xdr:col>
      <xdr:colOff>3295364</xdr:colOff>
      <xdr:row>0</xdr:row>
      <xdr:rowOff>697231</xdr:rowOff>
    </xdr:to>
    <xdr:pic>
      <xdr:nvPicPr>
        <xdr:cNvPr id="2" name="Picture 1">
          <a:extLst>
            <a:ext uri="{FF2B5EF4-FFF2-40B4-BE49-F238E27FC236}">
              <a16:creationId xmlns:a16="http://schemas.microsoft.com/office/drawing/2014/main" id="{649574F2-AD9E-4766-AF60-0F886ED017C1}"/>
            </a:ext>
          </a:extLst>
        </xdr:cNvPr>
        <xdr:cNvPicPr>
          <a:picLocks noChangeAspect="1"/>
        </xdr:cNvPicPr>
      </xdr:nvPicPr>
      <xdr:blipFill>
        <a:blip xmlns:r="http://schemas.openxmlformats.org/officeDocument/2006/relationships" r:embed="rId1"/>
        <a:stretch>
          <a:fillRect/>
        </a:stretch>
      </xdr:blipFill>
      <xdr:spPr>
        <a:xfrm>
          <a:off x="8143875" y="28576"/>
          <a:ext cx="738854" cy="6667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2552700</xdr:colOff>
      <xdr:row>0</xdr:row>
      <xdr:rowOff>38100</xdr:rowOff>
    </xdr:from>
    <xdr:to>
      <xdr:col>2</xdr:col>
      <xdr:colOff>3284809</xdr:colOff>
      <xdr:row>0</xdr:row>
      <xdr:rowOff>701040</xdr:rowOff>
    </xdr:to>
    <xdr:pic>
      <xdr:nvPicPr>
        <xdr:cNvPr id="2" name="Picture 1">
          <a:extLst>
            <a:ext uri="{FF2B5EF4-FFF2-40B4-BE49-F238E27FC236}">
              <a16:creationId xmlns:a16="http://schemas.microsoft.com/office/drawing/2014/main" id="{3F34CA74-FF3D-473E-AD74-A76B13FE6C33}"/>
            </a:ext>
          </a:extLst>
        </xdr:cNvPr>
        <xdr:cNvPicPr>
          <a:picLocks noChangeAspect="1"/>
        </xdr:cNvPicPr>
      </xdr:nvPicPr>
      <xdr:blipFill>
        <a:blip xmlns:r="http://schemas.openxmlformats.org/officeDocument/2006/relationships" r:embed="rId1"/>
        <a:stretch>
          <a:fillRect/>
        </a:stretch>
      </xdr:blipFill>
      <xdr:spPr>
        <a:xfrm>
          <a:off x="8143875" y="38100"/>
          <a:ext cx="728299" cy="6572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2057400</xdr:colOff>
      <xdr:row>0</xdr:row>
      <xdr:rowOff>66675</xdr:rowOff>
    </xdr:from>
    <xdr:to>
      <xdr:col>2</xdr:col>
      <xdr:colOff>2814332</xdr:colOff>
      <xdr:row>0</xdr:row>
      <xdr:rowOff>742950</xdr:rowOff>
    </xdr:to>
    <xdr:pic>
      <xdr:nvPicPr>
        <xdr:cNvPr id="2" name="Picture 1">
          <a:extLst>
            <a:ext uri="{FF2B5EF4-FFF2-40B4-BE49-F238E27FC236}">
              <a16:creationId xmlns:a16="http://schemas.microsoft.com/office/drawing/2014/main" id="{3D537B9C-46C2-4E6A-A8F5-C5C1A795C07A}"/>
            </a:ext>
          </a:extLst>
        </xdr:cNvPr>
        <xdr:cNvPicPr>
          <a:picLocks noChangeAspect="1"/>
        </xdr:cNvPicPr>
      </xdr:nvPicPr>
      <xdr:blipFill>
        <a:blip xmlns:r="http://schemas.openxmlformats.org/officeDocument/2006/relationships" r:embed="rId1"/>
        <a:stretch>
          <a:fillRect/>
        </a:stretch>
      </xdr:blipFill>
      <xdr:spPr>
        <a:xfrm>
          <a:off x="7905750" y="66675"/>
          <a:ext cx="756932" cy="6762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790574</xdr:colOff>
      <xdr:row>0</xdr:row>
      <xdr:rowOff>19050</xdr:rowOff>
    </xdr:from>
    <xdr:to>
      <xdr:col>4</xdr:col>
      <xdr:colOff>1504949</xdr:colOff>
      <xdr:row>0</xdr:row>
      <xdr:rowOff>657225</xdr:rowOff>
    </xdr:to>
    <xdr:pic>
      <xdr:nvPicPr>
        <xdr:cNvPr id="2" name="Picture 1">
          <a:extLst>
            <a:ext uri="{FF2B5EF4-FFF2-40B4-BE49-F238E27FC236}">
              <a16:creationId xmlns:a16="http://schemas.microsoft.com/office/drawing/2014/main" id="{A14C950F-0F6B-4D0B-BE08-85ACE71C0BE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1" r="59885" b="-6251"/>
        <a:stretch/>
      </xdr:blipFill>
      <xdr:spPr>
        <a:xfrm>
          <a:off x="8353424" y="19050"/>
          <a:ext cx="714375" cy="6381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728383</xdr:colOff>
      <xdr:row>0</xdr:row>
      <xdr:rowOff>44823</xdr:rowOff>
    </xdr:from>
    <xdr:to>
      <xdr:col>5</xdr:col>
      <xdr:colOff>1456765</xdr:colOff>
      <xdr:row>0</xdr:row>
      <xdr:rowOff>728382</xdr:rowOff>
    </xdr:to>
    <xdr:pic>
      <xdr:nvPicPr>
        <xdr:cNvPr id="2" name="Picture 1">
          <a:extLst>
            <a:ext uri="{FF2B5EF4-FFF2-40B4-BE49-F238E27FC236}">
              <a16:creationId xmlns:a16="http://schemas.microsoft.com/office/drawing/2014/main" id="{D4345889-7D87-41CF-A42B-6AC4A9E5C819}"/>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1" r="59885" b="-6251"/>
        <a:stretch/>
      </xdr:blipFill>
      <xdr:spPr>
        <a:xfrm>
          <a:off x="8639736" y="44823"/>
          <a:ext cx="728382" cy="68355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965387</xdr:colOff>
      <xdr:row>0</xdr:row>
      <xdr:rowOff>11205</xdr:rowOff>
    </xdr:from>
    <xdr:to>
      <xdr:col>3</xdr:col>
      <xdr:colOff>1804147</xdr:colOff>
      <xdr:row>1</xdr:row>
      <xdr:rowOff>3361</xdr:rowOff>
    </xdr:to>
    <xdr:pic>
      <xdr:nvPicPr>
        <xdr:cNvPr id="2" name="Picture 1">
          <a:extLst>
            <a:ext uri="{FF2B5EF4-FFF2-40B4-BE49-F238E27FC236}">
              <a16:creationId xmlns:a16="http://schemas.microsoft.com/office/drawing/2014/main" id="{4A0D9D0B-86F6-4A6F-BEAB-33E2E1B1E81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1" r="59885" b="-6251"/>
        <a:stretch/>
      </xdr:blipFill>
      <xdr:spPr>
        <a:xfrm>
          <a:off x="6400240" y="11205"/>
          <a:ext cx="838760" cy="7541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choolsnsw-my.sharepoint.com/Documents%20and%20Settings/ahanna3/Local%20Settings/Temporary%20Internet%20Files/OLK5F/DLNZ%209400%20-%209499/9463%20Westlake%20Boys%20School%20Auditorium/080-089%20Cost%20Reports%20-%20CR/9463%20Cashflow%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choolsnsw-my.sharepoint.com/Documents%20and%20Settings/Tony%20Makin/My%20Documents/0401%20KENS/132%20KENS%20Certificates/Claim%2023%20Nov04/Progress%20Claim%2020%20August%20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DATA\Projects\1997\200_299\97_207&amp;208%20Western%20PGU&amp;SECU\Contract%20admin\Cost%20reports\97_207COSRP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NZ.corp.local\citrix\Documents%20and%20Settings\Tony%20Makin\My%20Documents\0401%20KENS\132%20KENS%20Certificates\Claim%2023%20Nov04\Progress%20Claim%2020%20August%2020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choolsnsw-my.sharepoint.com/Project%20files/MBM0416%20Aurora%20Project/001%20Penrith%20Health%20Campus%20Redevelopment%20(Stage%203)/Cost%20Report/June%202009/CP%20No.3%20v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EL-FS-01\Group$\PROJECT%20EFFICIENCY\Template\DATA\Projects\1997\100_199\97_100%20Western\Cost%20Reports\97_100-cr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choolsnsw-my.sharepoint.com/Project%20files/MBM2067%20School%20Infrastructure/0040%20Speers%20Point%20and%20Wangi%20Wangi%20PS/35%20Cost%20Reporting/01%20CR01%20-%20March/20190321_SP_CR0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bmsbs08\company\DOCUME~1\DavidM\LOCALS~1\Temp\2725%20WCG%20Claim%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DATA\Projects\1997\100_199\97_100%20Western\Cost%20Reports\97_100-cr2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bmsbs08\company\PKP_Sydney\pkp1546\UTSBS-P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EL-FS-01\Group$\DATA\Projects\2007\100_199\07_157%20Caulfield%20GMC%20Stage%202\PCG%20Reports\QS%20PCG%20Status%20Report%20(DLP)\Cost%20Report%20Dec%2009\07157%20CGMC%20Stage%202%20PCG%20Report%20December%202009%20Rev.00.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c2radmin.sharepoint.com/Shared%20Documents/PR0113A%20Leppington%20HS/06%20Tender%20Analysis/Price%20Schedules%20-%20Tender/SINSW06928-24B-Part%20B%20Tender%20Schedule%203%20-%20Price%20LHS_v4.0_250211.xlsx" TargetMode="External"/><Relationship Id="rId1" Type="http://schemas.openxmlformats.org/officeDocument/2006/relationships/externalLinkPath" Target="/Shared%20Documents/PR0113A%20Leppington%20HS/06%20Tender%20Analysis/Price%20Schedules%20-%20Tender/SINSW06928-24B-Part%20B%20Tender%20Schedule%203%20-%20Price%20LHS_v4.0_2502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sheetName val="Workings"/>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ct sum claim"/>
      <sheetName val="owner payment sch"/>
      <sheetName val="finance payments sch"/>
      <sheetName val="master-proj exp sch"/>
      <sheetName val="Fitout Summary Page"/>
      <sheetName val="Summary"/>
      <sheetName val="WBC Fitout Design"/>
      <sheetName val="JPW"/>
      <sheetName val="Webb"/>
      <sheetName val="Connell"/>
      <sheetName val="G Floth"/>
      <sheetName val="S Grubitts"/>
      <sheetName val="Windtech"/>
      <sheetName val="DA Fees"/>
      <sheetName val="Variations"/>
      <sheetName val="Stowe"/>
      <sheetName val="Security"/>
      <sheetName val="Access Floor"/>
      <sheetName val="D Gen"/>
      <sheetName val="Allstaff"/>
      <sheetName val="Sheet5"/>
      <sheetName val="Sheet4"/>
      <sheetName val="Sheet3"/>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SUMMARY"/>
      <sheetName val="CASHFLOWS"/>
      <sheetName val="VARIATIONS"/>
      <sheetName val="PROV SUMS"/>
      <sheetName val="PROV QUANTITIES"/>
      <sheetName val="Drop-down List"/>
      <sheetName val="NAMES"/>
      <sheetName val="Report Details"/>
      <sheetName val="Cost Report Summary"/>
      <sheetName val="1. Authority Fees"/>
      <sheetName val="2. Network NSW  HI Costs"/>
      <sheetName val="3. Professional Fees"/>
      <sheetName val="4. Land"/>
      <sheetName val="5. Early Works &amp; Decanting"/>
      <sheetName val="6. Construction"/>
      <sheetName val="8. Escalation"/>
      <sheetName val="7. Major Equipment and FF&amp;E"/>
      <sheetName val="9. Commissioning &amp; Relocation"/>
      <sheetName val="10. Other"/>
      <sheetName val="11. Contingency"/>
      <sheetName val="Cashflow"/>
      <sheetName val="Cashflow-SS"/>
      <sheetName val="Master Sheet"/>
      <sheetName val="HI_Expenditure"/>
      <sheetName val="SS-CF"/>
    </sheetNames>
    <sheetDataSet>
      <sheetData sheetId="0"/>
      <sheetData sheetId="1"/>
      <sheetData sheetId="2"/>
      <sheetData sheetId="3"/>
      <sheetData sheetId="4"/>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ct sum claim"/>
      <sheetName val="owner payment sch"/>
      <sheetName val="finance payments sch"/>
      <sheetName val="master-proj exp sch"/>
      <sheetName val="Fitout Summary Page"/>
      <sheetName val="Summary"/>
      <sheetName val="WBC Fitout Design"/>
      <sheetName val="JPW"/>
      <sheetName val="Webb"/>
      <sheetName val="Connell"/>
      <sheetName val="G Floth"/>
      <sheetName val="S Grubitts"/>
      <sheetName val="Windtech"/>
      <sheetName val="DA Fees"/>
      <sheetName val="Variations"/>
      <sheetName val="Stowe"/>
      <sheetName val="Security"/>
      <sheetName val="Access Floor"/>
      <sheetName val="D Gen"/>
      <sheetName val="Allstaff"/>
      <sheetName val="Sheet5"/>
      <sheetName val="Sheet4"/>
      <sheetName val="Sheet3"/>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Report Executive Summary"/>
      <sheetName val="payment recommendations"/>
      <sheetName val="Package A"/>
      <sheetName val="Package B"/>
      <sheetName val="Package C"/>
      <sheetName val="Package D"/>
      <sheetName val="Package E"/>
      <sheetName val="Package F"/>
      <sheetName val="Package G"/>
      <sheetName val="Package H"/>
      <sheetName val="Cost Plan B (Reference-Not Use)"/>
      <sheetName val="Cod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Intro"/>
      <sheetName val="Summary"/>
      <sheetName val="Budget"/>
      <sheetName val="Cashflow"/>
      <sheetName val="Dax"/>
      <sheetName val="Temp"/>
      <sheetName val="Fees"/>
      <sheetName val="Hosp"/>
      <sheetName val="Appen"/>
      <sheetName val="Reg"/>
      <sheetName val="VO"/>
      <sheetName val="APM"/>
      <sheetName val="FRONT END"/>
      <sheetName val="Cost Report Summary"/>
      <sheetName val="Authority Fees"/>
      <sheetName val="Consultants"/>
      <sheetName val="Contractors"/>
      <sheetName val="Land"/>
      <sheetName val="Escalation"/>
      <sheetName val="Other"/>
      <sheetName val="Internal SINSW Costs"/>
      <sheetName val="Contingency"/>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Details"/>
      <sheetName val="Cost Report"/>
      <sheetName val="Cost Report Summary"/>
      <sheetName val="1. Authority Fees"/>
      <sheetName val="2. Consultants"/>
      <sheetName val="3. Construction"/>
      <sheetName val="4. FF&amp;E"/>
      <sheetName val="5. Internal Costs"/>
      <sheetName val="6. Contingency"/>
      <sheetName val="CH Cashflow"/>
      <sheetName val="Master Sheet"/>
      <sheetName val="Consultants"/>
      <sheetName val="Contractors"/>
      <sheetName val="4. Land"/>
      <sheetName val="5. Early Works &amp; Decanting"/>
      <sheetName val="8. Escalation"/>
      <sheetName val="9. Commissioning &amp; Relocation"/>
      <sheetName val="10. Other"/>
      <sheetName val="Cashflow"/>
      <sheetName val="HI_Expenditure"/>
    </sheetNames>
    <sheetDataSet>
      <sheetData sheetId="0"/>
      <sheetData sheetId="1"/>
      <sheetData sheetId="2"/>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tificate"/>
      <sheetName val="SUMMARY"/>
      <sheetName val="CLAIM ANALYSIS"/>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Exec. Summary"/>
      <sheetName val="PCG Issues"/>
      <sheetName val="Contingency"/>
      <sheetName val="Summary"/>
      <sheetName val="Cashflow"/>
      <sheetName val="Trades"/>
      <sheetName val="Fees"/>
      <sheetName val="Reg"/>
      <sheetName val="Transfers"/>
      <sheetName val="Trades d"/>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SBSPC1"/>
      <sheetName val="CASHFLOW"/>
      <sheetName val="Claim 6"/>
      <sheetName val="CASHFLOW-ORIG. CS"/>
    </sheetNames>
    <sheetDataSet>
      <sheetData sheetId="0" refreshError="1"/>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port"/>
      <sheetName val="A1.Cost Summary"/>
      <sheetName val="A2.Contract Summary"/>
      <sheetName val="B.Cashflow"/>
      <sheetName val="C.Cashflow Chart"/>
      <sheetName val="Control"/>
      <sheetName val="CFTable2"/>
      <sheetName val="vo &amp; ps"/>
      <sheetName val="Xan"/>
      <sheetName val="David P"/>
      <sheetName val="Selma "/>
      <sheetName val="Matt Mead"/>
      <sheetName val="David S"/>
      <sheetName val="Alan"/>
      <sheetName val="Helga"/>
      <sheetName val="Mike"/>
      <sheetName val="ER"/>
      <sheetName val="Stoyan"/>
      <sheetName val="Gary"/>
      <sheetName val="Kelvin"/>
      <sheetName val="SF &amp; PJ"/>
      <sheetName val="Jina"/>
      <sheetName val="David M"/>
      <sheetName val="Caroline K"/>
      <sheetName val="Chris"/>
      <sheetName val="Lloyd"/>
      <sheetName val="Luke"/>
      <sheetName val="Ian"/>
      <sheetName val="Justin &amp; Scott"/>
      <sheetName val="Ujwal"/>
      <sheetName val="James"/>
      <sheetName val="Richard"/>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3.0 Summary"/>
      <sheetName val="3.1 Preliminaries"/>
      <sheetName val="3.2 Trades - Delivery"/>
      <sheetName val="3.3 Delivery Consultants"/>
      <sheetName val="3.4 Schedule of Rates (MW)"/>
      <sheetName val="3.5 Labour Rates"/>
      <sheetName val="3.6 Equipment Rates "/>
      <sheetName val="3.7 Fire Services"/>
      <sheetName val="3.7.1 Schedule of Rates (FS)"/>
      <sheetName val="3.8 Electrical Services"/>
      <sheetName val="3.9 Hydraulic Services"/>
      <sheetName val="3.9.1 Schedule of Rates (HS)"/>
      <sheetName val="3.10 Mechanical Services"/>
    </sheetNames>
    <sheetDataSet>
      <sheetData sheetId="0"/>
      <sheetData sheetId="1">
        <row r="6">
          <cell r="B6" t="str">
            <v xml:space="preserve">MAIN WORKS </v>
          </cell>
        </row>
      </sheetData>
      <sheetData sheetId="2"/>
      <sheetData sheetId="3">
        <row r="6">
          <cell r="B6" t="str">
            <v xml:space="preserve">MAIN WORKS </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D4ED-2908-4F69-92FE-EACA7F284FED}">
  <sheetPr>
    <tabColor rgb="FFFFC000"/>
  </sheetPr>
  <dimension ref="B1:F30"/>
  <sheetViews>
    <sheetView tabSelected="1" zoomScale="85" zoomScaleNormal="85" zoomScaleSheetLayoutView="50" workbookViewId="0">
      <selection activeCell="C25" sqref="C25"/>
    </sheetView>
  </sheetViews>
  <sheetFormatPr defaultColWidth="9" defaultRowHeight="15.5"/>
  <cols>
    <col min="1" max="1" width="2.1796875" style="87" customWidth="1"/>
    <col min="2" max="2" width="19.08984375" style="86" customWidth="1"/>
    <col min="3" max="3" width="82" style="87" customWidth="1"/>
    <col min="4" max="4" width="34.1796875" style="87" customWidth="1"/>
    <col min="5" max="5" width="9" style="87"/>
    <col min="6" max="6" width="40.26953125" style="87" customWidth="1"/>
    <col min="7" max="16384" width="9" style="87"/>
  </cols>
  <sheetData>
    <row r="1" spans="2:6" ht="6.75" customHeight="1" thickBot="1"/>
    <row r="2" spans="2:6" s="81" customFormat="1" ht="60" customHeight="1">
      <c r="B2" s="196" t="s">
        <v>474</v>
      </c>
      <c r="C2" s="197"/>
      <c r="D2" s="198"/>
    </row>
    <row r="3" spans="2:6" s="83" customFormat="1" ht="30" customHeight="1" thickBot="1">
      <c r="B3" s="199" t="s">
        <v>467</v>
      </c>
      <c r="C3" s="200" t="s">
        <v>468</v>
      </c>
      <c r="D3" s="201"/>
    </row>
    <row r="4" spans="2:6" ht="10" customHeight="1"/>
    <row r="5" spans="2:6" s="85" customFormat="1" ht="25" customHeight="1">
      <c r="B5" s="84" t="s">
        <v>0</v>
      </c>
    </row>
    <row r="6" spans="2:6" ht="10" customHeight="1" thickBot="1"/>
    <row r="7" spans="2:6" ht="35.15" customHeight="1">
      <c r="B7" s="120" t="s">
        <v>1</v>
      </c>
      <c r="C7" s="121" t="s">
        <v>2</v>
      </c>
      <c r="D7" s="122" t="s">
        <v>3</v>
      </c>
      <c r="F7" s="88"/>
    </row>
    <row r="8" spans="2:6" ht="25" customHeight="1">
      <c r="B8" s="89">
        <v>1</v>
      </c>
      <c r="C8" s="90" t="s">
        <v>4</v>
      </c>
      <c r="D8" s="115">
        <f>Preliminaries!F81</f>
        <v>0</v>
      </c>
    </row>
    <row r="9" spans="2:6" ht="25" customHeight="1">
      <c r="B9" s="89">
        <f>++B8+1</f>
        <v>2</v>
      </c>
      <c r="C9" s="90" t="s">
        <v>5</v>
      </c>
      <c r="D9" s="115">
        <f>'Main Works'!H65</f>
        <v>0</v>
      </c>
      <c r="F9" s="92"/>
    </row>
    <row r="10" spans="2:6" ht="25" customHeight="1">
      <c r="B10" s="89">
        <f t="shared" ref="B10:B11" si="0">++B9+1</f>
        <v>3</v>
      </c>
      <c r="C10" s="90" t="s">
        <v>6</v>
      </c>
      <c r="D10" s="115">
        <f>Consultants!D38</f>
        <v>0</v>
      </c>
    </row>
    <row r="11" spans="2:6" ht="25" customHeight="1">
      <c r="B11" s="89">
        <f t="shared" si="0"/>
        <v>4</v>
      </c>
      <c r="C11" s="90" t="s">
        <v>7</v>
      </c>
      <c r="D11" s="115">
        <f>'Main Works'!H62</f>
        <v>0</v>
      </c>
    </row>
    <row r="12" spans="2:6" ht="35.15" customHeight="1">
      <c r="B12" s="102"/>
      <c r="C12" s="103" t="s">
        <v>8</v>
      </c>
      <c r="D12" s="118">
        <f>++SUBTOTAL(9,D8:D11)</f>
        <v>0</v>
      </c>
      <c r="F12" s="92"/>
    </row>
    <row r="13" spans="2:6" ht="25" customHeight="1">
      <c r="B13" s="89">
        <f>++B11+1</f>
        <v>5</v>
      </c>
      <c r="C13" s="90" t="s">
        <v>9</v>
      </c>
      <c r="D13" s="115">
        <f>++D12*10%</f>
        <v>0</v>
      </c>
      <c r="F13" s="93"/>
    </row>
    <row r="14" spans="2:6" ht="35.15" customHeight="1" thickBot="1">
      <c r="B14" s="104"/>
      <c r="C14" s="105" t="s">
        <v>10</v>
      </c>
      <c r="D14" s="119">
        <f>++SUBTOTAL(9,D8:D13)</f>
        <v>0</v>
      </c>
    </row>
    <row r="15" spans="2:6" ht="19.5" customHeight="1">
      <c r="B15" s="98"/>
      <c r="C15" s="99"/>
      <c r="D15" s="100"/>
    </row>
    <row r="16" spans="2:6" ht="25" customHeight="1">
      <c r="B16" s="84" t="s">
        <v>11</v>
      </c>
      <c r="C16" s="99"/>
      <c r="D16" s="100"/>
    </row>
    <row r="17" spans="2:4" ht="10" customHeight="1" thickBot="1">
      <c r="B17" s="84"/>
      <c r="C17" s="99"/>
      <c r="D17" s="100"/>
    </row>
    <row r="18" spans="2:4" ht="35.15" customHeight="1" thickBot="1">
      <c r="B18" s="120" t="s">
        <v>1</v>
      </c>
      <c r="C18" s="121" t="s">
        <v>2</v>
      </c>
      <c r="D18" s="122" t="s">
        <v>3</v>
      </c>
    </row>
    <row r="19" spans="2:4" ht="25" customHeight="1">
      <c r="B19" s="94" t="s">
        <v>12</v>
      </c>
      <c r="C19" s="97" t="str">
        <f>'Sched 4 PPO'!B6</f>
        <v xml:space="preserve">Stage 2 FHR infrastructure supply </v>
      </c>
      <c r="D19" s="95">
        <f>'Sched 4 PPO'!G6</f>
        <v>0</v>
      </c>
    </row>
    <row r="20" spans="2:4" ht="25" customHeight="1">
      <c r="B20" s="89" t="s">
        <v>13</v>
      </c>
      <c r="C20" s="96" t="str">
        <f>'Sched 4 PPO'!B7</f>
        <v>Stage 2 Water Services Infrastructure supply</v>
      </c>
      <c r="D20" s="91">
        <f>'Sched 4 PPO'!G7</f>
        <v>0</v>
      </c>
    </row>
    <row r="21" spans="2:4" ht="25" customHeight="1">
      <c r="B21" s="89" t="s">
        <v>14</v>
      </c>
      <c r="C21" s="96" t="str">
        <f>'Sched 4 PPO'!B8</f>
        <v>Stage 2 Power, Comm and Security infrastructure supply</v>
      </c>
      <c r="D21" s="91">
        <f>'Sched 4 PPO'!G8</f>
        <v>0</v>
      </c>
    </row>
    <row r="22" spans="2:4" ht="25" customHeight="1">
      <c r="B22" s="89" t="s">
        <v>15</v>
      </c>
      <c r="C22" s="96" t="str">
        <f>'Sched 4 PPO'!B9</f>
        <v>Deletion of Hose Reel and associated underground reticulation to all buildings.</v>
      </c>
      <c r="D22" s="91">
        <f>'Sched 4 PPO'!G9</f>
        <v>0</v>
      </c>
    </row>
    <row r="23" spans="2:4" ht="25" customHeight="1">
      <c r="B23" s="89" t="s">
        <v>16</v>
      </c>
      <c r="C23" s="96" t="str">
        <f>'Sched 4 PPO'!B10</f>
        <v>50kVA Diesel Generator to Preschool, including day tank and all the associated works</v>
      </c>
      <c r="D23" s="91">
        <f>'Sched 4 PPO'!G10</f>
        <v>0</v>
      </c>
    </row>
    <row r="24" spans="2:4" ht="25" customHeight="1">
      <c r="B24" s="89" t="s">
        <v>17</v>
      </c>
      <c r="C24" s="96" t="str">
        <f>'Sched 4 PPO'!B11</f>
        <v>Canopy to Admin (approx. 120sqm)</v>
      </c>
      <c r="D24" s="91">
        <f>'Sched 4 PPO'!G11</f>
        <v>0</v>
      </c>
    </row>
    <row r="25" spans="2:4" ht="25" customHeight="1">
      <c r="B25" s="89" t="s">
        <v>18</v>
      </c>
      <c r="C25" s="176" t="str">
        <f>'Sched 4 PPO'!B12</f>
        <v>Sandblast stencil finish to main pathway, currently brushed coloured concrete (approx. 630 sqm)</v>
      </c>
      <c r="D25" s="91">
        <f>'Sched 4 PPO'!G12</f>
        <v>0</v>
      </c>
    </row>
    <row r="26" spans="2:4" ht="25" customHeight="1">
      <c r="B26" s="89" t="s">
        <v>19</v>
      </c>
      <c r="C26" s="96" t="str">
        <f>'Sched 4 PPO'!B13</f>
        <v>Allow 3 x 800L trees and 27 x 400L trees in lieu of 75L trees, including tree pit.</v>
      </c>
      <c r="D26" s="91">
        <f>'Sched 4 PPO'!G13</f>
        <v>0</v>
      </c>
    </row>
    <row r="27" spans="2:4" ht="35.15" customHeight="1">
      <c r="B27" s="102"/>
      <c r="C27" s="103" t="s">
        <v>20</v>
      </c>
      <c r="D27" s="123">
        <f>SUM(D19:D26)</f>
        <v>0</v>
      </c>
    </row>
    <row r="28" spans="2:4" ht="25" customHeight="1">
      <c r="B28" s="89"/>
      <c r="C28" s="90" t="s">
        <v>9</v>
      </c>
      <c r="D28" s="91">
        <f>++D27*10%</f>
        <v>0</v>
      </c>
    </row>
    <row r="29" spans="2:4" ht="35.15" customHeight="1" thickBot="1">
      <c r="B29" s="104"/>
      <c r="C29" s="105" t="s">
        <v>21</v>
      </c>
      <c r="D29" s="124">
        <f>D27+D28</f>
        <v>0</v>
      </c>
    </row>
    <row r="30" spans="2:4" ht="19.5" customHeight="1"/>
  </sheetData>
  <mergeCells count="2">
    <mergeCell ref="B2:D2"/>
    <mergeCell ref="C3:D3"/>
  </mergeCells>
  <phoneticPr fontId="26" type="noConversion"/>
  <pageMargins left="0.70866141732283472" right="0.70866141732283472" top="0.74803149606299213" bottom="0.74803149606299213" header="0.31496062992125984" footer="0.31496062992125984"/>
  <pageSetup paperSize="8" scale="72" fitToHeight="3" orientation="portrait" r:id="rId1"/>
  <headerFooter>
    <oddFooter>&amp;LCalderwood PS - Main Works Tender&amp;RPage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D3DC-1C9A-482B-ACAE-11FB71F4BEF9}">
  <sheetPr>
    <tabColor theme="7"/>
  </sheetPr>
  <dimension ref="A1:K85"/>
  <sheetViews>
    <sheetView zoomScale="55" zoomScaleNormal="55" workbookViewId="0">
      <selection activeCell="B14" sqref="B14"/>
    </sheetView>
  </sheetViews>
  <sheetFormatPr defaultColWidth="8.7265625" defaultRowHeight="12.5"/>
  <cols>
    <col min="1" max="1" width="9.81640625" customWidth="1"/>
    <col min="2" max="2" width="88" style="18" customWidth="1"/>
    <col min="3" max="7" width="25.7265625" customWidth="1"/>
    <col min="8" max="8" width="38.1796875" style="3" customWidth="1"/>
    <col min="9" max="9" width="4.453125" customWidth="1"/>
    <col min="10" max="10" width="11.81640625" customWidth="1"/>
    <col min="11" max="11" width="13.26953125" customWidth="1"/>
  </cols>
  <sheetData>
    <row r="1" spans="1:8" ht="60" customHeight="1">
      <c r="A1" s="192" t="s">
        <v>475</v>
      </c>
      <c r="B1" s="193"/>
      <c r="C1" s="193"/>
      <c r="D1" s="193"/>
      <c r="E1" s="193"/>
      <c r="F1" s="193"/>
      <c r="G1" s="193"/>
      <c r="H1" s="194"/>
    </row>
    <row r="2" spans="1:8" ht="10" customHeight="1">
      <c r="A2" s="1"/>
      <c r="B2" s="2"/>
    </row>
    <row r="3" spans="1:8" ht="22.5">
      <c r="A3" s="4"/>
      <c r="B3" s="101" t="str">
        <f>' Summary'!C3</f>
        <v>[Insert]</v>
      </c>
    </row>
    <row r="4" spans="1:8" ht="10" customHeight="1">
      <c r="A4" s="6"/>
      <c r="B4" s="7"/>
      <c r="H4"/>
    </row>
    <row r="5" spans="1:8" ht="18.75" customHeight="1">
      <c r="A5" s="125" t="s">
        <v>22</v>
      </c>
      <c r="B5" s="7"/>
      <c r="H5"/>
    </row>
    <row r="6" spans="1:8" ht="10" customHeight="1">
      <c r="A6" s="6"/>
      <c r="B6" s="8"/>
      <c r="H6" s="9"/>
    </row>
    <row r="7" spans="1:8" ht="54" customHeight="1">
      <c r="A7" s="106" t="s">
        <v>23</v>
      </c>
      <c r="B7" s="107" t="s">
        <v>2</v>
      </c>
      <c r="C7" s="109" t="s">
        <v>25</v>
      </c>
      <c r="D7" s="109" t="s">
        <v>26</v>
      </c>
      <c r="E7" s="109" t="s">
        <v>27</v>
      </c>
      <c r="F7" s="109" t="s">
        <v>28</v>
      </c>
      <c r="G7" s="109" t="s">
        <v>29</v>
      </c>
      <c r="H7" s="108" t="s">
        <v>24</v>
      </c>
    </row>
    <row r="8" spans="1:8" ht="18" customHeight="1">
      <c r="A8" s="10">
        <v>1</v>
      </c>
      <c r="B8" s="11" t="s">
        <v>30</v>
      </c>
      <c r="C8" s="183"/>
      <c r="D8" s="184"/>
      <c r="E8" s="184"/>
      <c r="F8" s="185"/>
      <c r="G8" s="147">
        <v>0</v>
      </c>
      <c r="H8" s="110">
        <f>G8</f>
        <v>0</v>
      </c>
    </row>
    <row r="9" spans="1:8" ht="18" customHeight="1">
      <c r="A9" s="10">
        <f t="shared" ref="A9:A12" si="0">A8+1</f>
        <v>2</v>
      </c>
      <c r="B9" s="11" t="s">
        <v>31</v>
      </c>
      <c r="C9" s="186"/>
      <c r="D9" s="187"/>
      <c r="E9" s="187"/>
      <c r="F9" s="188"/>
      <c r="G9" s="147">
        <v>0</v>
      </c>
      <c r="H9" s="110">
        <f>G9</f>
        <v>0</v>
      </c>
    </row>
    <row r="10" spans="1:8" ht="18" customHeight="1">
      <c r="A10" s="10">
        <f t="shared" si="0"/>
        <v>3</v>
      </c>
      <c r="B10" s="11" t="s">
        <v>32</v>
      </c>
      <c r="C10" s="189"/>
      <c r="D10" s="190"/>
      <c r="E10" s="190"/>
      <c r="F10" s="191"/>
      <c r="G10" s="147">
        <v>0</v>
      </c>
      <c r="H10" s="110">
        <f>G10</f>
        <v>0</v>
      </c>
    </row>
    <row r="11" spans="1:8" ht="18" customHeight="1">
      <c r="A11" s="10">
        <f t="shared" si="0"/>
        <v>4</v>
      </c>
      <c r="B11" s="11" t="s">
        <v>33</v>
      </c>
      <c r="C11" s="147">
        <v>0</v>
      </c>
      <c r="D11" s="147">
        <v>0</v>
      </c>
      <c r="E11" s="147">
        <v>0</v>
      </c>
      <c r="F11" s="147">
        <v>0</v>
      </c>
      <c r="G11" s="147">
        <v>0</v>
      </c>
      <c r="H11" s="111">
        <f>C11+D11+E11+F11+G11</f>
        <v>0</v>
      </c>
    </row>
    <row r="12" spans="1:8" ht="18" customHeight="1">
      <c r="A12" s="10">
        <f t="shared" si="0"/>
        <v>5</v>
      </c>
      <c r="B12" s="11" t="s">
        <v>34</v>
      </c>
      <c r="C12" s="147">
        <v>0</v>
      </c>
      <c r="D12" s="147">
        <v>0</v>
      </c>
      <c r="E12" s="147">
        <v>0</v>
      </c>
      <c r="F12" s="147">
        <v>0</v>
      </c>
      <c r="G12" s="181"/>
      <c r="H12" s="111">
        <f>C12+D12+E12+F12</f>
        <v>0</v>
      </c>
    </row>
    <row r="13" spans="1:8" ht="18" customHeight="1">
      <c r="A13" s="10">
        <v>6.1</v>
      </c>
      <c r="B13" s="11" t="s">
        <v>35</v>
      </c>
      <c r="C13" s="147">
        <v>0</v>
      </c>
      <c r="D13" s="147">
        <v>0</v>
      </c>
      <c r="E13" s="147">
        <v>0</v>
      </c>
      <c r="F13" s="147">
        <v>0</v>
      </c>
      <c r="G13" s="182"/>
      <c r="H13" s="111">
        <f>C13+D13+E13+F13</f>
        <v>0</v>
      </c>
    </row>
    <row r="14" spans="1:8" ht="18" customHeight="1">
      <c r="A14" s="10">
        <v>6.2</v>
      </c>
      <c r="B14" s="11" t="s">
        <v>36</v>
      </c>
      <c r="C14" s="147">
        <v>0</v>
      </c>
      <c r="D14" s="147">
        <v>0</v>
      </c>
      <c r="E14" s="147">
        <v>0</v>
      </c>
      <c r="F14" s="147">
        <v>0</v>
      </c>
      <c r="G14" s="182"/>
      <c r="H14" s="111">
        <f>C14+D14+E14+F14</f>
        <v>0</v>
      </c>
    </row>
    <row r="15" spans="1:8" ht="18" customHeight="1">
      <c r="A15" s="10">
        <v>6.3</v>
      </c>
      <c r="B15" s="11" t="s">
        <v>37</v>
      </c>
      <c r="C15" s="147">
        <v>0</v>
      </c>
      <c r="D15" s="147">
        <v>0</v>
      </c>
      <c r="E15" s="147">
        <v>0</v>
      </c>
      <c r="F15" s="147">
        <v>0</v>
      </c>
      <c r="G15" s="182"/>
      <c r="H15" s="111">
        <f>C15+D15+E15+F15</f>
        <v>0</v>
      </c>
    </row>
    <row r="16" spans="1:8" ht="18" customHeight="1">
      <c r="A16" s="10">
        <v>6.4</v>
      </c>
      <c r="B16" s="11" t="s">
        <v>38</v>
      </c>
      <c r="C16" s="147">
        <v>0</v>
      </c>
      <c r="D16" s="147">
        <v>0</v>
      </c>
      <c r="E16" s="147">
        <v>0</v>
      </c>
      <c r="F16" s="147">
        <v>0</v>
      </c>
      <c r="G16" s="182"/>
      <c r="H16" s="111">
        <f>C16+D16+E16+F16</f>
        <v>0</v>
      </c>
    </row>
    <row r="17" spans="1:11" ht="18" customHeight="1">
      <c r="A17" s="10">
        <v>7</v>
      </c>
      <c r="B17" s="11" t="s">
        <v>39</v>
      </c>
      <c r="C17" s="147">
        <v>0</v>
      </c>
      <c r="D17" s="147">
        <v>0</v>
      </c>
      <c r="E17" s="147">
        <v>0</v>
      </c>
      <c r="F17" s="147">
        <v>0</v>
      </c>
      <c r="G17" s="182"/>
      <c r="H17" s="111">
        <f>C17+D17+E17+F17</f>
        <v>0</v>
      </c>
    </row>
    <row r="18" spans="1:11" ht="18" customHeight="1">
      <c r="A18" s="10">
        <f>A17+1</f>
        <v>8</v>
      </c>
      <c r="B18" s="11" t="s">
        <v>40</v>
      </c>
      <c r="C18" s="147">
        <v>0</v>
      </c>
      <c r="D18" s="147">
        <v>0</v>
      </c>
      <c r="E18" s="147">
        <v>0</v>
      </c>
      <c r="F18" s="147">
        <v>0</v>
      </c>
      <c r="G18" s="182"/>
      <c r="H18" s="111">
        <f>C18+D18+E18+F18</f>
        <v>0</v>
      </c>
    </row>
    <row r="19" spans="1:11" ht="18" customHeight="1">
      <c r="A19" s="10">
        <f t="shared" ref="A19:A45" si="1">A18+1</f>
        <v>9</v>
      </c>
      <c r="B19" s="11" t="s">
        <v>41</v>
      </c>
      <c r="C19" s="147">
        <v>0</v>
      </c>
      <c r="D19" s="147">
        <v>0</v>
      </c>
      <c r="E19" s="147">
        <v>0</v>
      </c>
      <c r="F19" s="147">
        <v>0</v>
      </c>
      <c r="G19" s="182"/>
      <c r="H19" s="111">
        <f>C19+D19+E19+F19</f>
        <v>0</v>
      </c>
    </row>
    <row r="20" spans="1:11" ht="18" customHeight="1">
      <c r="A20" s="10">
        <f t="shared" si="1"/>
        <v>10</v>
      </c>
      <c r="B20" s="11" t="s">
        <v>42</v>
      </c>
      <c r="C20" s="147">
        <v>0</v>
      </c>
      <c r="D20" s="147">
        <v>0</v>
      </c>
      <c r="E20" s="147">
        <v>0</v>
      </c>
      <c r="F20" s="147">
        <v>0</v>
      </c>
      <c r="G20" s="182"/>
      <c r="H20" s="111">
        <f>C20+D20+E20+F20</f>
        <v>0</v>
      </c>
    </row>
    <row r="21" spans="1:11" ht="18" customHeight="1">
      <c r="A21" s="10">
        <f t="shared" si="1"/>
        <v>11</v>
      </c>
      <c r="B21" s="11" t="s">
        <v>43</v>
      </c>
      <c r="C21" s="147">
        <v>0</v>
      </c>
      <c r="D21" s="147">
        <v>0</v>
      </c>
      <c r="E21" s="147">
        <v>0</v>
      </c>
      <c r="F21" s="147">
        <v>0</v>
      </c>
      <c r="G21" s="182"/>
      <c r="H21" s="111">
        <f>C21+D21+E21+F21</f>
        <v>0</v>
      </c>
    </row>
    <row r="22" spans="1:11" ht="18" customHeight="1">
      <c r="A22" s="10">
        <f t="shared" si="1"/>
        <v>12</v>
      </c>
      <c r="B22" s="11" t="s">
        <v>44</v>
      </c>
      <c r="C22" s="147">
        <v>0</v>
      </c>
      <c r="D22" s="147">
        <v>0</v>
      </c>
      <c r="E22" s="147">
        <v>0</v>
      </c>
      <c r="F22" s="147">
        <v>0</v>
      </c>
      <c r="G22" s="182"/>
      <c r="H22" s="111">
        <f>C22+D22+E22+F22</f>
        <v>0</v>
      </c>
    </row>
    <row r="23" spans="1:11" ht="18" customHeight="1">
      <c r="A23" s="10">
        <f t="shared" si="1"/>
        <v>13</v>
      </c>
      <c r="B23" s="11" t="s">
        <v>45</v>
      </c>
      <c r="C23" s="147">
        <v>0</v>
      </c>
      <c r="D23" s="147">
        <v>0</v>
      </c>
      <c r="E23" s="147">
        <v>0</v>
      </c>
      <c r="F23" s="147">
        <v>0</v>
      </c>
      <c r="G23" s="182"/>
      <c r="H23" s="111">
        <f>C23+D23+E23+F23</f>
        <v>0</v>
      </c>
    </row>
    <row r="24" spans="1:11" ht="18" customHeight="1">
      <c r="A24" s="10">
        <f t="shared" si="1"/>
        <v>14</v>
      </c>
      <c r="B24" s="11" t="s">
        <v>46</v>
      </c>
      <c r="C24" s="147">
        <v>0</v>
      </c>
      <c r="D24" s="147">
        <v>0</v>
      </c>
      <c r="E24" s="147">
        <v>0</v>
      </c>
      <c r="F24" s="147">
        <v>0</v>
      </c>
      <c r="G24" s="182"/>
      <c r="H24" s="111">
        <f>C24+D24+E24+F24</f>
        <v>0</v>
      </c>
    </row>
    <row r="25" spans="1:11" ht="18" customHeight="1">
      <c r="A25" s="10">
        <f t="shared" si="1"/>
        <v>15</v>
      </c>
      <c r="B25" s="11" t="s">
        <v>47</v>
      </c>
      <c r="C25" s="147">
        <v>0</v>
      </c>
      <c r="D25" s="147">
        <v>0</v>
      </c>
      <c r="E25" s="147">
        <v>0</v>
      </c>
      <c r="F25" s="147">
        <v>0</v>
      </c>
      <c r="G25" s="182"/>
      <c r="H25" s="111">
        <f>C25+D25+E25+F25</f>
        <v>0</v>
      </c>
    </row>
    <row r="26" spans="1:11" ht="18" customHeight="1">
      <c r="A26" s="10">
        <f t="shared" si="1"/>
        <v>16</v>
      </c>
      <c r="B26" s="11" t="s">
        <v>48</v>
      </c>
      <c r="C26" s="147">
        <v>0</v>
      </c>
      <c r="D26" s="147">
        <v>0</v>
      </c>
      <c r="E26" s="147">
        <v>0</v>
      </c>
      <c r="F26" s="147">
        <v>0</v>
      </c>
      <c r="G26" s="182"/>
      <c r="H26" s="111">
        <f>C26+D26+E26+F26</f>
        <v>0</v>
      </c>
    </row>
    <row r="27" spans="1:11" ht="18" customHeight="1">
      <c r="A27" s="10">
        <f t="shared" si="1"/>
        <v>17</v>
      </c>
      <c r="B27" s="11" t="s">
        <v>49</v>
      </c>
      <c r="C27" s="147">
        <v>0</v>
      </c>
      <c r="D27" s="147">
        <v>0</v>
      </c>
      <c r="E27" s="147">
        <v>0</v>
      </c>
      <c r="F27" s="147">
        <v>0</v>
      </c>
      <c r="G27" s="182"/>
      <c r="H27" s="111">
        <f>C27+D27+E27+F27</f>
        <v>0</v>
      </c>
    </row>
    <row r="28" spans="1:11" ht="18" customHeight="1">
      <c r="A28" s="10">
        <f t="shared" si="1"/>
        <v>18</v>
      </c>
      <c r="B28" s="11" t="s">
        <v>50</v>
      </c>
      <c r="C28" s="147">
        <v>0</v>
      </c>
      <c r="D28" s="147">
        <v>0</v>
      </c>
      <c r="E28" s="147">
        <v>0</v>
      </c>
      <c r="F28" s="147">
        <v>0</v>
      </c>
      <c r="G28" s="182"/>
      <c r="H28" s="111">
        <f>C28+D28+E28+F28</f>
        <v>0</v>
      </c>
      <c r="K28" s="32"/>
    </row>
    <row r="29" spans="1:11" ht="18" customHeight="1">
      <c r="A29" s="10">
        <f t="shared" si="1"/>
        <v>19</v>
      </c>
      <c r="B29" s="11" t="s">
        <v>51</v>
      </c>
      <c r="C29" s="147">
        <v>0</v>
      </c>
      <c r="D29" s="147">
        <v>0</v>
      </c>
      <c r="E29" s="147">
        <v>0</v>
      </c>
      <c r="F29" s="147">
        <v>0</v>
      </c>
      <c r="G29" s="182"/>
      <c r="H29" s="111">
        <f>C29+D29+E29+F29</f>
        <v>0</v>
      </c>
    </row>
    <row r="30" spans="1:11" ht="18" customHeight="1">
      <c r="A30" s="10">
        <f t="shared" si="1"/>
        <v>20</v>
      </c>
      <c r="B30" s="11" t="s">
        <v>52</v>
      </c>
      <c r="C30" s="147">
        <v>0</v>
      </c>
      <c r="D30" s="147">
        <v>0</v>
      </c>
      <c r="E30" s="147">
        <v>0</v>
      </c>
      <c r="F30" s="147">
        <v>0</v>
      </c>
      <c r="G30" s="182"/>
      <c r="H30" s="111">
        <f>C30+D30+E30+F30</f>
        <v>0</v>
      </c>
    </row>
    <row r="31" spans="1:11" ht="18" customHeight="1">
      <c r="A31" s="10">
        <f t="shared" si="1"/>
        <v>21</v>
      </c>
      <c r="B31" s="11" t="s">
        <v>53</v>
      </c>
      <c r="C31" s="147">
        <v>0</v>
      </c>
      <c r="D31" s="147">
        <v>0</v>
      </c>
      <c r="E31" s="147">
        <v>0</v>
      </c>
      <c r="F31" s="147">
        <v>0</v>
      </c>
      <c r="G31" s="182"/>
      <c r="H31" s="111">
        <f>C31+D31+E31+F31</f>
        <v>0</v>
      </c>
    </row>
    <row r="32" spans="1:11" ht="18" customHeight="1">
      <c r="A32" s="10">
        <f t="shared" si="1"/>
        <v>22</v>
      </c>
      <c r="B32" s="11" t="s">
        <v>54</v>
      </c>
      <c r="C32" s="147">
        <v>0</v>
      </c>
      <c r="D32" s="147">
        <v>0</v>
      </c>
      <c r="E32" s="147">
        <v>0</v>
      </c>
      <c r="F32" s="147">
        <v>0</v>
      </c>
      <c r="G32" s="182"/>
      <c r="H32" s="111">
        <f>C32+D32+E32+F32</f>
        <v>0</v>
      </c>
    </row>
    <row r="33" spans="1:9" ht="18" customHeight="1">
      <c r="A33" s="10">
        <f t="shared" si="1"/>
        <v>23</v>
      </c>
      <c r="B33" s="11" t="s">
        <v>55</v>
      </c>
      <c r="C33" s="147">
        <v>0</v>
      </c>
      <c r="D33" s="147">
        <v>0</v>
      </c>
      <c r="E33" s="147">
        <v>0</v>
      </c>
      <c r="F33" s="147">
        <v>0</v>
      </c>
      <c r="G33" s="182"/>
      <c r="H33" s="111">
        <f>C33+D33+E33+F33</f>
        <v>0</v>
      </c>
    </row>
    <row r="34" spans="1:9" ht="18" customHeight="1">
      <c r="A34" s="10">
        <f t="shared" si="1"/>
        <v>24</v>
      </c>
      <c r="B34" s="11" t="s">
        <v>56</v>
      </c>
      <c r="C34" s="147">
        <v>0</v>
      </c>
      <c r="D34" s="147">
        <v>0</v>
      </c>
      <c r="E34" s="147">
        <v>0</v>
      </c>
      <c r="F34" s="147">
        <v>0</v>
      </c>
      <c r="G34" s="182"/>
      <c r="H34" s="111">
        <f>C34+D34+E34+F34</f>
        <v>0</v>
      </c>
    </row>
    <row r="35" spans="1:9" ht="18" customHeight="1">
      <c r="A35" s="10">
        <f t="shared" si="1"/>
        <v>25</v>
      </c>
      <c r="B35" s="11" t="s">
        <v>57</v>
      </c>
      <c r="C35" s="147">
        <v>0</v>
      </c>
      <c r="D35" s="147">
        <v>0</v>
      </c>
      <c r="E35" s="147">
        <v>0</v>
      </c>
      <c r="F35" s="147">
        <v>0</v>
      </c>
      <c r="G35" s="182"/>
      <c r="H35" s="111">
        <f>C35+D35+E35+F35</f>
        <v>0</v>
      </c>
    </row>
    <row r="36" spans="1:9" ht="18" customHeight="1">
      <c r="A36" s="10">
        <f t="shared" si="1"/>
        <v>26</v>
      </c>
      <c r="B36" s="11" t="s">
        <v>58</v>
      </c>
      <c r="C36" s="147">
        <v>0</v>
      </c>
      <c r="D36" s="147">
        <v>0</v>
      </c>
      <c r="E36" s="147">
        <v>0</v>
      </c>
      <c r="F36" s="147">
        <v>0</v>
      </c>
      <c r="G36" s="182"/>
      <c r="H36" s="111">
        <f>C36+D36+E36+F36</f>
        <v>0</v>
      </c>
    </row>
    <row r="37" spans="1:9" ht="18" customHeight="1">
      <c r="A37" s="10">
        <f t="shared" si="1"/>
        <v>27</v>
      </c>
      <c r="B37" s="11" t="s">
        <v>59</v>
      </c>
      <c r="C37" s="147">
        <v>0</v>
      </c>
      <c r="D37" s="147">
        <v>0</v>
      </c>
      <c r="E37" s="147">
        <v>0</v>
      </c>
      <c r="F37" s="147">
        <v>0</v>
      </c>
      <c r="G37" s="182"/>
      <c r="H37" s="111">
        <f>C37+D37+E37+F37</f>
        <v>0</v>
      </c>
    </row>
    <row r="38" spans="1:9" ht="18" customHeight="1">
      <c r="A38" s="10">
        <f t="shared" si="1"/>
        <v>28</v>
      </c>
      <c r="B38" s="11" t="s">
        <v>60</v>
      </c>
      <c r="C38" s="147">
        <v>0</v>
      </c>
      <c r="D38" s="147">
        <v>0</v>
      </c>
      <c r="E38" s="147">
        <v>0</v>
      </c>
      <c r="F38" s="147">
        <v>0</v>
      </c>
      <c r="G38" s="182"/>
      <c r="H38" s="111">
        <f>C38+D38+E38+F38</f>
        <v>0</v>
      </c>
    </row>
    <row r="39" spans="1:9" ht="18" customHeight="1">
      <c r="A39" s="10">
        <f t="shared" si="1"/>
        <v>29</v>
      </c>
      <c r="B39" s="11" t="s">
        <v>61</v>
      </c>
      <c r="C39" s="147">
        <v>0</v>
      </c>
      <c r="D39" s="147">
        <v>0</v>
      </c>
      <c r="E39" s="147">
        <v>0</v>
      </c>
      <c r="F39" s="147">
        <v>0</v>
      </c>
      <c r="G39" s="182"/>
      <c r="H39" s="111">
        <f>C39+D39+E39+F39</f>
        <v>0</v>
      </c>
    </row>
    <row r="40" spans="1:9" ht="18" customHeight="1">
      <c r="A40" s="10">
        <f t="shared" si="1"/>
        <v>30</v>
      </c>
      <c r="B40" s="11" t="s">
        <v>62</v>
      </c>
      <c r="C40" s="147">
        <v>0</v>
      </c>
      <c r="D40" s="147">
        <v>0</v>
      </c>
      <c r="E40" s="147">
        <v>0</v>
      </c>
      <c r="F40" s="147">
        <v>0</v>
      </c>
      <c r="G40" s="182"/>
      <c r="H40" s="111">
        <f>C40+D40+E40+F40</f>
        <v>0</v>
      </c>
      <c r="I40" s="25"/>
    </row>
    <row r="41" spans="1:9" ht="18" customHeight="1">
      <c r="A41" s="10">
        <f t="shared" si="1"/>
        <v>31</v>
      </c>
      <c r="B41" s="11" t="s">
        <v>63</v>
      </c>
      <c r="C41" s="147">
        <v>0</v>
      </c>
      <c r="D41" s="147">
        <v>0</v>
      </c>
      <c r="E41" s="147">
        <v>0</v>
      </c>
      <c r="F41" s="147">
        <v>0</v>
      </c>
      <c r="G41" s="182"/>
      <c r="H41" s="111">
        <f>C41+D41+E41+F41</f>
        <v>0</v>
      </c>
    </row>
    <row r="42" spans="1:9" ht="18" customHeight="1">
      <c r="A42" s="10">
        <f t="shared" si="1"/>
        <v>32</v>
      </c>
      <c r="B42" s="11" t="s">
        <v>64</v>
      </c>
      <c r="C42" s="147">
        <v>0</v>
      </c>
      <c r="D42" s="147">
        <v>0</v>
      </c>
      <c r="E42" s="147">
        <v>0</v>
      </c>
      <c r="F42" s="147">
        <v>0</v>
      </c>
      <c r="G42" s="182"/>
      <c r="H42" s="111">
        <f>C42+D42+E42+F42</f>
        <v>0</v>
      </c>
    </row>
    <row r="43" spans="1:9" ht="18" customHeight="1">
      <c r="A43" s="10">
        <f t="shared" si="1"/>
        <v>33</v>
      </c>
      <c r="B43" s="27" t="s">
        <v>65</v>
      </c>
      <c r="C43" s="147">
        <v>0</v>
      </c>
      <c r="D43" s="147">
        <v>0</v>
      </c>
      <c r="E43" s="147">
        <v>0</v>
      </c>
      <c r="F43" s="147">
        <v>0</v>
      </c>
      <c r="G43" s="182"/>
      <c r="H43" s="111">
        <f>C43+D43+E43+F43</f>
        <v>0</v>
      </c>
    </row>
    <row r="44" spans="1:9" ht="18" customHeight="1">
      <c r="A44" s="10">
        <f t="shared" si="1"/>
        <v>34</v>
      </c>
      <c r="B44" s="11" t="s">
        <v>66</v>
      </c>
      <c r="C44" s="147">
        <v>0</v>
      </c>
      <c r="D44" s="147">
        <v>0</v>
      </c>
      <c r="E44" s="147">
        <v>0</v>
      </c>
      <c r="F44" s="147">
        <v>0</v>
      </c>
      <c r="G44" s="182"/>
      <c r="H44" s="111">
        <f>C44+D44+E44+F44</f>
        <v>0</v>
      </c>
    </row>
    <row r="45" spans="1:9" ht="18" customHeight="1">
      <c r="A45" s="10">
        <f t="shared" si="1"/>
        <v>35</v>
      </c>
      <c r="B45" s="11" t="s">
        <v>67</v>
      </c>
      <c r="C45" s="147">
        <v>0</v>
      </c>
      <c r="D45" s="147">
        <v>0</v>
      </c>
      <c r="E45" s="147">
        <v>0</v>
      </c>
      <c r="F45" s="147">
        <v>0</v>
      </c>
      <c r="G45" s="182"/>
      <c r="H45" s="111">
        <f>C45+D45+E45+F45</f>
        <v>0</v>
      </c>
      <c r="I45" s="25"/>
    </row>
    <row r="46" spans="1:9" ht="18" customHeight="1">
      <c r="A46" s="10">
        <v>36.1</v>
      </c>
      <c r="B46" s="11" t="s">
        <v>68</v>
      </c>
      <c r="C46" s="147">
        <v>0</v>
      </c>
      <c r="D46" s="147">
        <v>0</v>
      </c>
      <c r="E46" s="147">
        <v>0</v>
      </c>
      <c r="F46" s="147">
        <v>0</v>
      </c>
      <c r="G46" s="182"/>
      <c r="H46" s="111">
        <f>C46+D46+E46+F46</f>
        <v>0</v>
      </c>
    </row>
    <row r="47" spans="1:9" ht="18" customHeight="1">
      <c r="A47" s="10">
        <v>36.200000000000003</v>
      </c>
      <c r="B47" s="11" t="s">
        <v>69</v>
      </c>
      <c r="C47" s="147">
        <v>0</v>
      </c>
      <c r="D47" s="147">
        <v>0</v>
      </c>
      <c r="E47" s="147">
        <v>0</v>
      </c>
      <c r="F47" s="147">
        <v>0</v>
      </c>
      <c r="G47" s="182"/>
      <c r="H47" s="111">
        <f>C47+D47+E47+F47</f>
        <v>0</v>
      </c>
    </row>
    <row r="48" spans="1:9" ht="18" customHeight="1">
      <c r="A48" s="10">
        <v>37</v>
      </c>
      <c r="B48" s="11" t="s">
        <v>70</v>
      </c>
      <c r="C48" s="177"/>
      <c r="D48" s="177"/>
      <c r="E48" s="177"/>
      <c r="F48" s="178"/>
      <c r="G48" s="147">
        <v>0</v>
      </c>
      <c r="H48" s="111">
        <f>G48</f>
        <v>0</v>
      </c>
    </row>
    <row r="49" spans="1:8" ht="18" customHeight="1">
      <c r="A49" s="10">
        <f t="shared" ref="A49:A55" si="2">A48+1</f>
        <v>38</v>
      </c>
      <c r="B49" s="11" t="s">
        <v>71</v>
      </c>
      <c r="C49" s="179"/>
      <c r="D49" s="179"/>
      <c r="E49" s="179"/>
      <c r="F49" s="180"/>
      <c r="G49" s="147">
        <v>0</v>
      </c>
      <c r="H49" s="111">
        <f>G49</f>
        <v>0</v>
      </c>
    </row>
    <row r="50" spans="1:8" ht="18" customHeight="1">
      <c r="A50" s="10">
        <f t="shared" si="2"/>
        <v>39</v>
      </c>
      <c r="B50" s="11" t="s">
        <v>72</v>
      </c>
      <c r="C50" s="179"/>
      <c r="D50" s="179"/>
      <c r="E50" s="179"/>
      <c r="F50" s="180"/>
      <c r="G50" s="147">
        <v>0</v>
      </c>
      <c r="H50" s="111">
        <f>G50</f>
        <v>0</v>
      </c>
    </row>
    <row r="51" spans="1:8" ht="18" customHeight="1">
      <c r="A51" s="10">
        <f t="shared" si="2"/>
        <v>40</v>
      </c>
      <c r="B51" s="11" t="s">
        <v>73</v>
      </c>
      <c r="C51" s="179"/>
      <c r="D51" s="179"/>
      <c r="E51" s="179"/>
      <c r="F51" s="180"/>
      <c r="G51" s="147">
        <v>0</v>
      </c>
      <c r="H51" s="111">
        <f>G51</f>
        <v>0</v>
      </c>
    </row>
    <row r="52" spans="1:8" ht="18" customHeight="1">
      <c r="A52" s="10">
        <f t="shared" si="2"/>
        <v>41</v>
      </c>
      <c r="B52" s="11" t="s">
        <v>74</v>
      </c>
      <c r="C52" s="179"/>
      <c r="D52" s="179"/>
      <c r="E52" s="179"/>
      <c r="F52" s="180"/>
      <c r="G52" s="147">
        <v>0</v>
      </c>
      <c r="H52" s="111">
        <f>G52</f>
        <v>0</v>
      </c>
    </row>
    <row r="53" spans="1:8" ht="18" customHeight="1">
      <c r="A53" s="10">
        <f t="shared" si="2"/>
        <v>42</v>
      </c>
      <c r="B53" s="11" t="s">
        <v>75</v>
      </c>
      <c r="C53" s="179"/>
      <c r="D53" s="179"/>
      <c r="E53" s="179"/>
      <c r="F53" s="180"/>
      <c r="G53" s="147">
        <v>0</v>
      </c>
      <c r="H53" s="111">
        <f>G53</f>
        <v>0</v>
      </c>
    </row>
    <row r="54" spans="1:8" ht="18" customHeight="1">
      <c r="A54" s="10">
        <f t="shared" si="2"/>
        <v>43</v>
      </c>
      <c r="B54" s="11" t="s">
        <v>76</v>
      </c>
      <c r="C54" s="179"/>
      <c r="D54" s="179"/>
      <c r="E54" s="179"/>
      <c r="F54" s="180"/>
      <c r="G54" s="147">
        <v>0</v>
      </c>
      <c r="H54" s="111">
        <f>G54</f>
        <v>0</v>
      </c>
    </row>
    <row r="55" spans="1:8" ht="18" customHeight="1">
      <c r="A55" s="10">
        <f t="shared" si="2"/>
        <v>44</v>
      </c>
      <c r="B55" s="11" t="s">
        <v>77</v>
      </c>
      <c r="C55" s="179"/>
      <c r="D55" s="179"/>
      <c r="E55" s="179"/>
      <c r="F55" s="180"/>
      <c r="G55" s="147">
        <v>0</v>
      </c>
      <c r="H55" s="111">
        <f>G55</f>
        <v>0</v>
      </c>
    </row>
    <row r="56" spans="1:8" ht="18" customHeight="1">
      <c r="A56" s="10">
        <v>45</v>
      </c>
      <c r="B56" s="11" t="s">
        <v>78</v>
      </c>
      <c r="C56" s="179"/>
      <c r="D56" s="179"/>
      <c r="E56" s="179"/>
      <c r="F56" s="180"/>
      <c r="G56" s="147">
        <v>0</v>
      </c>
      <c r="H56" s="111">
        <f>G56</f>
        <v>0</v>
      </c>
    </row>
    <row r="57" spans="1:8" ht="18" customHeight="1">
      <c r="A57" s="10">
        <v>46</v>
      </c>
      <c r="B57" s="11" t="s">
        <v>79</v>
      </c>
      <c r="C57" s="179"/>
      <c r="D57" s="179"/>
      <c r="E57" s="179"/>
      <c r="F57" s="180"/>
      <c r="G57" s="147">
        <v>0</v>
      </c>
      <c r="H57" s="111">
        <f>G57</f>
        <v>0</v>
      </c>
    </row>
    <row r="58" spans="1:8" ht="18" customHeight="1">
      <c r="A58" s="10">
        <v>47</v>
      </c>
      <c r="B58" s="11" t="s">
        <v>80</v>
      </c>
      <c r="C58" s="179"/>
      <c r="D58" s="179"/>
      <c r="E58" s="179"/>
      <c r="F58" s="180"/>
      <c r="G58" s="147">
        <v>0</v>
      </c>
      <c r="H58" s="111">
        <f>G58</f>
        <v>0</v>
      </c>
    </row>
    <row r="59" spans="1:8" ht="18" customHeight="1">
      <c r="A59" s="10">
        <v>48</v>
      </c>
      <c r="B59" s="11" t="s">
        <v>81</v>
      </c>
      <c r="C59" s="179"/>
      <c r="D59" s="179"/>
      <c r="E59" s="179"/>
      <c r="F59" s="180"/>
      <c r="G59" s="147">
        <v>0</v>
      </c>
      <c r="H59" s="111">
        <f>G59</f>
        <v>0</v>
      </c>
    </row>
    <row r="60" spans="1:8" ht="18" customHeight="1">
      <c r="A60" s="117">
        <v>49</v>
      </c>
      <c r="B60" s="11" t="s">
        <v>82</v>
      </c>
      <c r="C60" s="179"/>
      <c r="D60" s="179"/>
      <c r="E60" s="179"/>
      <c r="F60" s="179"/>
      <c r="G60" s="179"/>
      <c r="H60" s="148">
        <v>0</v>
      </c>
    </row>
    <row r="61" spans="1:8" ht="18" customHeight="1">
      <c r="A61" s="117">
        <v>50</v>
      </c>
      <c r="B61" s="149" t="s">
        <v>83</v>
      </c>
      <c r="C61" s="179"/>
      <c r="D61" s="179"/>
      <c r="E61" s="179"/>
      <c r="F61" s="179"/>
      <c r="G61" s="179"/>
      <c r="H61" s="148">
        <v>0</v>
      </c>
    </row>
    <row r="62" spans="1:8" ht="18" customHeight="1">
      <c r="A62" s="117">
        <f>A61+1</f>
        <v>51</v>
      </c>
      <c r="B62" s="13" t="s">
        <v>84</v>
      </c>
      <c r="C62" s="112">
        <f t="shared" ref="C62:G62" si="3">SUM(C8:C61)</f>
        <v>0</v>
      </c>
      <c r="D62" s="112">
        <f t="shared" si="3"/>
        <v>0</v>
      </c>
      <c r="E62" s="112">
        <f t="shared" si="3"/>
        <v>0</v>
      </c>
      <c r="F62" s="112">
        <f t="shared" si="3"/>
        <v>0</v>
      </c>
      <c r="G62" s="112">
        <f t="shared" si="3"/>
        <v>0</v>
      </c>
      <c r="H62" s="112">
        <f>SUM(H8:H61)</f>
        <v>0</v>
      </c>
    </row>
    <row r="63" spans="1:8" ht="18" customHeight="1">
      <c r="A63" s="10">
        <f t="shared" ref="A63:A70" si="4">A62+1</f>
        <v>52</v>
      </c>
      <c r="B63" s="15" t="s">
        <v>85</v>
      </c>
      <c r="C63" s="179"/>
      <c r="D63" s="179"/>
      <c r="E63" s="179"/>
      <c r="F63" s="179"/>
      <c r="G63" s="179"/>
      <c r="H63" s="110"/>
    </row>
    <row r="64" spans="1:8" ht="18" customHeight="1">
      <c r="A64" s="10">
        <f t="shared" si="4"/>
        <v>53</v>
      </c>
      <c r="B64" s="11" t="s">
        <v>86</v>
      </c>
      <c r="C64" s="179"/>
      <c r="D64" s="179"/>
      <c r="E64" s="179"/>
      <c r="F64" s="179"/>
      <c r="G64" s="179"/>
      <c r="H64" s="110">
        <f>Preliminaries!F81</f>
        <v>0</v>
      </c>
    </row>
    <row r="65" spans="1:9" ht="18" customHeight="1">
      <c r="A65" s="10">
        <f t="shared" si="4"/>
        <v>54</v>
      </c>
      <c r="B65" s="11" t="s">
        <v>87</v>
      </c>
      <c r="C65" s="179"/>
      <c r="D65" s="179"/>
      <c r="E65" s="179"/>
      <c r="F65" s="179"/>
      <c r="G65" s="179"/>
      <c r="H65" s="148">
        <v>0</v>
      </c>
      <c r="I65" s="25"/>
    </row>
    <row r="66" spans="1:9" ht="18" customHeight="1">
      <c r="A66" s="10">
        <f t="shared" si="4"/>
        <v>55</v>
      </c>
      <c r="B66" s="13" t="s">
        <v>88</v>
      </c>
      <c r="C66" s="179"/>
      <c r="D66" s="179"/>
      <c r="E66" s="179"/>
      <c r="F66" s="179"/>
      <c r="G66" s="179"/>
      <c r="H66" s="113">
        <f>SUM(H64:H65)</f>
        <v>0</v>
      </c>
    </row>
    <row r="67" spans="1:9" ht="18" customHeight="1">
      <c r="A67" s="10">
        <f t="shared" si="4"/>
        <v>56</v>
      </c>
      <c r="B67" s="15" t="s">
        <v>89</v>
      </c>
      <c r="C67" s="179"/>
      <c r="D67" s="179"/>
      <c r="E67" s="179"/>
      <c r="F67" s="179"/>
      <c r="G67" s="179"/>
      <c r="H67" s="110"/>
    </row>
    <row r="68" spans="1:9" ht="18" customHeight="1">
      <c r="A68" s="10">
        <f t="shared" si="4"/>
        <v>57</v>
      </c>
      <c r="B68" s="11" t="s">
        <v>89</v>
      </c>
      <c r="C68" s="179"/>
      <c r="D68" s="179"/>
      <c r="E68" s="179"/>
      <c r="F68" s="179"/>
      <c r="G68" s="179"/>
      <c r="H68" s="110">
        <f>Consultants!D38</f>
        <v>0</v>
      </c>
    </row>
    <row r="69" spans="1:9" ht="18" customHeight="1">
      <c r="A69" s="10">
        <f t="shared" si="4"/>
        <v>58</v>
      </c>
      <c r="B69" s="13" t="s">
        <v>90</v>
      </c>
      <c r="C69" s="179"/>
      <c r="D69" s="179"/>
      <c r="E69" s="179"/>
      <c r="F69" s="179"/>
      <c r="G69" s="179"/>
      <c r="H69" s="113">
        <f>SUM(H68)</f>
        <v>0</v>
      </c>
    </row>
    <row r="70" spans="1:9" ht="40" customHeight="1" thickBot="1">
      <c r="A70" s="28">
        <f t="shared" si="4"/>
        <v>59</v>
      </c>
      <c r="B70" s="116" t="s">
        <v>91</v>
      </c>
      <c r="C70" s="179"/>
      <c r="D70" s="179"/>
      <c r="E70" s="179"/>
      <c r="F70" s="179"/>
      <c r="G70" s="179"/>
      <c r="H70" s="114">
        <f>H62+H66+H69</f>
        <v>0</v>
      </c>
    </row>
    <row r="71" spans="1:9" ht="16" thickTop="1">
      <c r="A71" s="16"/>
      <c r="B71" s="17"/>
    </row>
    <row r="80" spans="1:9" ht="21" customHeight="1"/>
    <row r="85" ht="20.25" customHeight="1"/>
  </sheetData>
  <mergeCells count="1">
    <mergeCell ref="A1:H1"/>
  </mergeCells>
  <phoneticPr fontId="26" type="noConversion"/>
  <pageMargins left="0.70866141732283472" right="0.70866141732283472" top="0.74803149606299213" bottom="0.74803149606299213" header="0.31496062992125984" footer="0.31496062992125984"/>
  <pageSetup paperSize="9" scale="72" fitToHeight="0" orientation="portrait" r:id="rId1"/>
  <headerFooter>
    <oddFooter>&amp;LCalderwood PS - Main Works Tender&amp;RPage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358E9-5C9C-4ECC-84BE-9DDFFBA34B88}">
  <sheetPr>
    <tabColor theme="7"/>
  </sheetPr>
  <dimension ref="A1:G86"/>
  <sheetViews>
    <sheetView zoomScale="55" zoomScaleNormal="55" workbookViewId="0">
      <pane xSplit="1" ySplit="7" topLeftCell="B8" activePane="bottomRight" state="frozen"/>
      <selection pane="topRight" activeCell="J57" sqref="J57"/>
      <selection pane="bottomLeft" activeCell="J57" sqref="J57"/>
      <selection pane="bottomRight" activeCell="B69" sqref="B69:E69"/>
    </sheetView>
  </sheetViews>
  <sheetFormatPr defaultColWidth="8.7265625" defaultRowHeight="12.5"/>
  <cols>
    <col min="1" max="1" width="9.81640625" customWidth="1"/>
    <col min="2" max="2" width="65.453125" style="18" customWidth="1"/>
    <col min="3" max="4" width="20.7265625" style="18" customWidth="1"/>
    <col min="5" max="5" width="19.1796875" style="18" customWidth="1"/>
    <col min="6" max="6" width="31" style="3" customWidth="1"/>
    <col min="7" max="7" width="55" customWidth="1"/>
  </cols>
  <sheetData>
    <row r="1" spans="1:7" ht="60" customHeight="1">
      <c r="A1" s="131" t="str">
        <f>'Main Works'!A1</f>
        <v>SINSW08089/25
 New Primary School in Calderwood - Tender Schedules 3 - (Lump Sum)</v>
      </c>
      <c r="B1" s="126"/>
      <c r="C1" s="126"/>
      <c r="D1" s="126"/>
      <c r="E1" s="126"/>
      <c r="F1" s="126"/>
    </row>
    <row r="2" spans="1:7" ht="10" customHeight="1">
      <c r="A2" s="1"/>
      <c r="B2" s="2"/>
      <c r="C2" s="2"/>
      <c r="D2" s="2"/>
      <c r="E2" s="2"/>
    </row>
    <row r="3" spans="1:7" ht="25">
      <c r="A3" s="4"/>
      <c r="B3" s="82" t="str">
        <f>' Summary'!C3</f>
        <v>[Insert]</v>
      </c>
      <c r="C3" s="5"/>
      <c r="D3" s="5"/>
      <c r="E3" s="5"/>
    </row>
    <row r="4" spans="1:7" ht="10" customHeight="1">
      <c r="A4" s="4"/>
      <c r="B4" s="5"/>
      <c r="C4" s="5"/>
      <c r="D4" s="5"/>
      <c r="E4" s="5"/>
    </row>
    <row r="5" spans="1:7" ht="20">
      <c r="A5" s="125" t="s">
        <v>4</v>
      </c>
      <c r="B5" s="5"/>
      <c r="C5" s="5"/>
      <c r="D5" s="5"/>
      <c r="E5" s="5"/>
    </row>
    <row r="6" spans="1:7" ht="10" customHeight="1">
      <c r="A6" s="6"/>
      <c r="B6" s="8"/>
      <c r="C6" s="8"/>
      <c r="D6" s="2"/>
      <c r="E6" s="8"/>
      <c r="F6" s="9"/>
    </row>
    <row r="7" spans="1:7" ht="39" customHeight="1">
      <c r="A7" s="106" t="s">
        <v>23</v>
      </c>
      <c r="B7" s="107" t="s">
        <v>2</v>
      </c>
      <c r="C7" s="127" t="s">
        <v>92</v>
      </c>
      <c r="D7" s="128" t="s">
        <v>93</v>
      </c>
      <c r="E7" s="129" t="s">
        <v>94</v>
      </c>
      <c r="F7" s="108" t="s">
        <v>24</v>
      </c>
      <c r="G7" s="20"/>
    </row>
    <row r="8" spans="1:7" ht="18" customHeight="1">
      <c r="A8" s="10">
        <v>1</v>
      </c>
      <c r="B8" s="15" t="s">
        <v>95</v>
      </c>
      <c r="C8" s="14"/>
      <c r="D8" s="14"/>
      <c r="E8" s="14"/>
      <c r="F8" s="12"/>
    </row>
    <row r="9" spans="1:7" ht="18" customHeight="1">
      <c r="A9" s="10">
        <f>A8+1</f>
        <v>2</v>
      </c>
      <c r="B9" s="11" t="s">
        <v>96</v>
      </c>
      <c r="C9" s="195"/>
      <c r="D9" s="195"/>
      <c r="E9" s="195"/>
      <c r="F9" s="150">
        <f>C9*D9*E9</f>
        <v>0</v>
      </c>
    </row>
    <row r="10" spans="1:7" ht="18" customHeight="1">
      <c r="A10" s="10">
        <f t="shared" ref="A10:A79" si="0">A9+1</f>
        <v>3</v>
      </c>
      <c r="B10" s="11" t="s">
        <v>97</v>
      </c>
      <c r="C10" s="195"/>
      <c r="D10" s="195"/>
      <c r="E10" s="195"/>
      <c r="F10" s="150">
        <f t="shared" ref="F10:F27" si="1">C10*D10*E10</f>
        <v>0</v>
      </c>
    </row>
    <row r="11" spans="1:7" ht="18" customHeight="1">
      <c r="A11" s="10">
        <f t="shared" si="0"/>
        <v>4</v>
      </c>
      <c r="B11" s="11" t="s">
        <v>98</v>
      </c>
      <c r="C11" s="195"/>
      <c r="D11" s="195"/>
      <c r="E11" s="195"/>
      <c r="F11" s="150">
        <f t="shared" si="1"/>
        <v>0</v>
      </c>
    </row>
    <row r="12" spans="1:7" ht="18" customHeight="1">
      <c r="A12" s="10">
        <f t="shared" si="0"/>
        <v>5</v>
      </c>
      <c r="B12" s="11" t="s">
        <v>99</v>
      </c>
      <c r="C12" s="195"/>
      <c r="D12" s="195"/>
      <c r="E12" s="195"/>
      <c r="F12" s="150">
        <f t="shared" si="1"/>
        <v>0</v>
      </c>
    </row>
    <row r="13" spans="1:7" ht="18" customHeight="1">
      <c r="A13" s="10">
        <f t="shared" si="0"/>
        <v>6</v>
      </c>
      <c r="B13" s="11" t="s">
        <v>100</v>
      </c>
      <c r="C13" s="195"/>
      <c r="D13" s="195"/>
      <c r="E13" s="195"/>
      <c r="F13" s="150">
        <f t="shared" si="1"/>
        <v>0</v>
      </c>
    </row>
    <row r="14" spans="1:7" ht="18" customHeight="1">
      <c r="A14" s="10">
        <f t="shared" si="0"/>
        <v>7</v>
      </c>
      <c r="B14" s="11" t="s">
        <v>101</v>
      </c>
      <c r="C14" s="195"/>
      <c r="D14" s="195"/>
      <c r="E14" s="195"/>
      <c r="F14" s="150">
        <f t="shared" si="1"/>
        <v>0</v>
      </c>
    </row>
    <row r="15" spans="1:7" ht="18" customHeight="1">
      <c r="A15" s="10">
        <f t="shared" si="0"/>
        <v>8</v>
      </c>
      <c r="B15" s="15" t="s">
        <v>102</v>
      </c>
      <c r="C15" s="14"/>
      <c r="D15" s="14"/>
      <c r="E15" s="14"/>
      <c r="F15" s="12"/>
    </row>
    <row r="16" spans="1:7" ht="18" customHeight="1">
      <c r="A16" s="10">
        <f t="shared" si="0"/>
        <v>9</v>
      </c>
      <c r="B16" s="11" t="s">
        <v>97</v>
      </c>
      <c r="C16" s="195"/>
      <c r="D16" s="195"/>
      <c r="E16" s="195"/>
      <c r="F16" s="150">
        <f t="shared" si="1"/>
        <v>0</v>
      </c>
    </row>
    <row r="17" spans="1:6" ht="18" customHeight="1">
      <c r="A17" s="10">
        <f t="shared" si="0"/>
        <v>10</v>
      </c>
      <c r="B17" s="11" t="s">
        <v>98</v>
      </c>
      <c r="C17" s="195"/>
      <c r="D17" s="195"/>
      <c r="E17" s="195"/>
      <c r="F17" s="150">
        <f t="shared" si="1"/>
        <v>0</v>
      </c>
    </row>
    <row r="18" spans="1:6" ht="18" customHeight="1">
      <c r="A18" s="10">
        <f t="shared" si="0"/>
        <v>11</v>
      </c>
      <c r="B18" s="11" t="s">
        <v>103</v>
      </c>
      <c r="C18" s="195"/>
      <c r="D18" s="195"/>
      <c r="E18" s="195"/>
      <c r="F18" s="150">
        <f t="shared" si="1"/>
        <v>0</v>
      </c>
    </row>
    <row r="19" spans="1:6" ht="18" customHeight="1">
      <c r="A19" s="10">
        <f t="shared" si="0"/>
        <v>12</v>
      </c>
      <c r="B19" s="11" t="s">
        <v>104</v>
      </c>
      <c r="C19" s="195"/>
      <c r="D19" s="195"/>
      <c r="E19" s="195"/>
      <c r="F19" s="150">
        <f t="shared" si="1"/>
        <v>0</v>
      </c>
    </row>
    <row r="20" spans="1:6" ht="18" customHeight="1">
      <c r="A20" s="10">
        <f t="shared" si="0"/>
        <v>13</v>
      </c>
      <c r="B20" s="11" t="s">
        <v>105</v>
      </c>
      <c r="C20" s="195"/>
      <c r="D20" s="195"/>
      <c r="E20" s="195"/>
      <c r="F20" s="150">
        <f t="shared" si="1"/>
        <v>0</v>
      </c>
    </row>
    <row r="21" spans="1:6" ht="18" customHeight="1">
      <c r="A21" s="10">
        <f t="shared" si="0"/>
        <v>14</v>
      </c>
      <c r="B21" s="11" t="s">
        <v>106</v>
      </c>
      <c r="C21" s="195"/>
      <c r="D21" s="195"/>
      <c r="E21" s="195"/>
      <c r="F21" s="150">
        <f t="shared" ref="F21:F26" si="2">C21*D21*E21</f>
        <v>0</v>
      </c>
    </row>
    <row r="22" spans="1:6" ht="18" customHeight="1">
      <c r="A22" s="10">
        <f t="shared" si="0"/>
        <v>15</v>
      </c>
      <c r="B22" s="11" t="s">
        <v>107</v>
      </c>
      <c r="C22" s="195"/>
      <c r="D22" s="195"/>
      <c r="E22" s="195"/>
      <c r="F22" s="150">
        <f t="shared" si="2"/>
        <v>0</v>
      </c>
    </row>
    <row r="23" spans="1:6" ht="18" customHeight="1">
      <c r="A23" s="10">
        <f t="shared" si="0"/>
        <v>16</v>
      </c>
      <c r="B23" s="11" t="s">
        <v>108</v>
      </c>
      <c r="C23" s="195"/>
      <c r="D23" s="195"/>
      <c r="E23" s="195"/>
      <c r="F23" s="150">
        <f t="shared" si="2"/>
        <v>0</v>
      </c>
    </row>
    <row r="24" spans="1:6" ht="18" customHeight="1">
      <c r="A24" s="10">
        <f t="shared" si="0"/>
        <v>17</v>
      </c>
      <c r="B24" s="11" t="s">
        <v>109</v>
      </c>
      <c r="C24" s="195"/>
      <c r="D24" s="195"/>
      <c r="E24" s="195"/>
      <c r="F24" s="150">
        <f t="shared" ref="F24" si="3">C24*D24*E24</f>
        <v>0</v>
      </c>
    </row>
    <row r="25" spans="1:6" ht="18" customHeight="1">
      <c r="A25" s="10">
        <f t="shared" si="0"/>
        <v>18</v>
      </c>
      <c r="B25" s="11" t="s">
        <v>110</v>
      </c>
      <c r="C25" s="195"/>
      <c r="D25" s="195"/>
      <c r="E25" s="195"/>
      <c r="F25" s="150">
        <f t="shared" si="2"/>
        <v>0</v>
      </c>
    </row>
    <row r="26" spans="1:6" ht="18" customHeight="1">
      <c r="A26" s="10">
        <f>A25+1</f>
        <v>19</v>
      </c>
      <c r="B26" s="11" t="s">
        <v>101</v>
      </c>
      <c r="C26" s="195"/>
      <c r="D26" s="195"/>
      <c r="E26" s="195"/>
      <c r="F26" s="150">
        <f t="shared" si="2"/>
        <v>0</v>
      </c>
    </row>
    <row r="27" spans="1:6" ht="18" customHeight="1">
      <c r="A27" s="10">
        <f t="shared" si="0"/>
        <v>20</v>
      </c>
      <c r="B27" s="11" t="s">
        <v>101</v>
      </c>
      <c r="C27" s="195"/>
      <c r="D27" s="195"/>
      <c r="E27" s="195"/>
      <c r="F27" s="150">
        <f t="shared" si="1"/>
        <v>0</v>
      </c>
    </row>
    <row r="28" spans="1:6" ht="18" customHeight="1">
      <c r="A28" s="10">
        <f t="shared" si="0"/>
        <v>21</v>
      </c>
      <c r="B28" s="164" t="s">
        <v>111</v>
      </c>
      <c r="C28" s="165"/>
      <c r="D28" s="165"/>
      <c r="E28" s="166"/>
      <c r="F28" s="12"/>
    </row>
    <row r="29" spans="1:6" ht="18" customHeight="1">
      <c r="A29" s="10">
        <f t="shared" si="0"/>
        <v>22</v>
      </c>
      <c r="B29" s="161" t="s">
        <v>112</v>
      </c>
      <c r="C29" s="162"/>
      <c r="D29" s="162"/>
      <c r="E29" s="163"/>
      <c r="F29" s="150">
        <v>0</v>
      </c>
    </row>
    <row r="30" spans="1:6" ht="18" customHeight="1">
      <c r="A30" s="10">
        <f t="shared" si="0"/>
        <v>23</v>
      </c>
      <c r="B30" s="161" t="s">
        <v>113</v>
      </c>
      <c r="C30" s="162"/>
      <c r="D30" s="162"/>
      <c r="E30" s="163"/>
      <c r="F30" s="150">
        <v>0</v>
      </c>
    </row>
    <row r="31" spans="1:6" ht="18" customHeight="1">
      <c r="A31" s="10">
        <f t="shared" si="0"/>
        <v>24</v>
      </c>
      <c r="B31" s="161" t="s">
        <v>114</v>
      </c>
      <c r="C31" s="162"/>
      <c r="D31" s="162"/>
      <c r="E31" s="163"/>
      <c r="F31" s="150">
        <v>0</v>
      </c>
    </row>
    <row r="32" spans="1:6" ht="18" customHeight="1">
      <c r="A32" s="10">
        <f t="shared" si="0"/>
        <v>25</v>
      </c>
      <c r="B32" s="161" t="s">
        <v>115</v>
      </c>
      <c r="C32" s="162"/>
      <c r="D32" s="162"/>
      <c r="E32" s="163"/>
      <c r="F32" s="150">
        <v>0</v>
      </c>
    </row>
    <row r="33" spans="1:6" ht="18" customHeight="1">
      <c r="A33" s="10">
        <f t="shared" si="0"/>
        <v>26</v>
      </c>
      <c r="B33" s="19" t="s">
        <v>116</v>
      </c>
      <c r="C33" s="22"/>
      <c r="D33" s="22"/>
      <c r="E33" s="23"/>
      <c r="F33" s="150">
        <v>0</v>
      </c>
    </row>
    <row r="34" spans="1:6" ht="18" customHeight="1">
      <c r="A34" s="10">
        <f t="shared" si="0"/>
        <v>27</v>
      </c>
      <c r="B34" s="161" t="s">
        <v>117</v>
      </c>
      <c r="C34" s="162"/>
      <c r="D34" s="162"/>
      <c r="E34" s="163"/>
      <c r="F34" s="150">
        <v>0</v>
      </c>
    </row>
    <row r="35" spans="1:6" ht="18" customHeight="1">
      <c r="A35" s="10">
        <f t="shared" si="0"/>
        <v>28</v>
      </c>
      <c r="B35" s="164" t="s">
        <v>118</v>
      </c>
      <c r="C35" s="165"/>
      <c r="D35" s="165"/>
      <c r="E35" s="166"/>
      <c r="F35" s="14"/>
    </row>
    <row r="36" spans="1:6" ht="18" customHeight="1">
      <c r="A36" s="10">
        <f t="shared" si="0"/>
        <v>29</v>
      </c>
      <c r="B36" s="161" t="s">
        <v>119</v>
      </c>
      <c r="C36" s="162"/>
      <c r="D36" s="162"/>
      <c r="E36" s="163"/>
      <c r="F36" s="150">
        <v>0</v>
      </c>
    </row>
    <row r="37" spans="1:6" ht="18" customHeight="1">
      <c r="A37" s="10">
        <f t="shared" si="0"/>
        <v>30</v>
      </c>
      <c r="B37" s="161" t="s">
        <v>120</v>
      </c>
      <c r="C37" s="162"/>
      <c r="D37" s="162"/>
      <c r="E37" s="163"/>
      <c r="F37" s="150">
        <v>0</v>
      </c>
    </row>
    <row r="38" spans="1:6" ht="18" customHeight="1">
      <c r="A38" s="10">
        <f t="shared" si="0"/>
        <v>31</v>
      </c>
      <c r="B38" s="161" t="s">
        <v>121</v>
      </c>
      <c r="C38" s="162"/>
      <c r="D38" s="162"/>
      <c r="E38" s="163"/>
      <c r="F38" s="150">
        <v>0</v>
      </c>
    </row>
    <row r="39" spans="1:6" ht="18" customHeight="1">
      <c r="A39" s="10">
        <f t="shared" si="0"/>
        <v>32</v>
      </c>
      <c r="B39" s="161" t="s">
        <v>122</v>
      </c>
      <c r="C39" s="162"/>
      <c r="D39" s="162"/>
      <c r="E39" s="163"/>
      <c r="F39" s="150">
        <v>0</v>
      </c>
    </row>
    <row r="40" spans="1:6" ht="18" customHeight="1">
      <c r="A40" s="10">
        <f t="shared" si="0"/>
        <v>33</v>
      </c>
      <c r="B40" s="161" t="s">
        <v>123</v>
      </c>
      <c r="C40" s="162"/>
      <c r="D40" s="162"/>
      <c r="E40" s="163"/>
      <c r="F40" s="150">
        <v>0</v>
      </c>
    </row>
    <row r="41" spans="1:6" ht="18" customHeight="1">
      <c r="A41" s="10">
        <f t="shared" si="0"/>
        <v>34</v>
      </c>
      <c r="B41" s="164" t="s">
        <v>124</v>
      </c>
      <c r="C41" s="165"/>
      <c r="D41" s="165"/>
      <c r="E41" s="166"/>
      <c r="F41" s="12"/>
    </row>
    <row r="42" spans="1:6" ht="18" customHeight="1">
      <c r="A42" s="10">
        <f t="shared" si="0"/>
        <v>35</v>
      </c>
      <c r="B42" s="161" t="s">
        <v>125</v>
      </c>
      <c r="C42" s="162"/>
      <c r="D42" s="162"/>
      <c r="E42" s="163"/>
      <c r="F42" s="150">
        <v>0</v>
      </c>
    </row>
    <row r="43" spans="1:6" ht="18" customHeight="1">
      <c r="A43" s="10">
        <f t="shared" si="0"/>
        <v>36</v>
      </c>
      <c r="B43" s="161" t="s">
        <v>126</v>
      </c>
      <c r="C43" s="162"/>
      <c r="D43" s="162"/>
      <c r="E43" s="163"/>
      <c r="F43" s="150">
        <v>0</v>
      </c>
    </row>
    <row r="44" spans="1:6" ht="18" customHeight="1">
      <c r="A44" s="10">
        <f t="shared" si="0"/>
        <v>37</v>
      </c>
      <c r="B44" s="161" t="s">
        <v>127</v>
      </c>
      <c r="C44" s="162"/>
      <c r="D44" s="162"/>
      <c r="E44" s="163"/>
      <c r="F44" s="150">
        <v>0</v>
      </c>
    </row>
    <row r="45" spans="1:6" ht="18" customHeight="1">
      <c r="A45" s="10">
        <f t="shared" si="0"/>
        <v>38</v>
      </c>
      <c r="B45" s="161" t="s">
        <v>128</v>
      </c>
      <c r="C45" s="162"/>
      <c r="D45" s="162"/>
      <c r="E45" s="163"/>
      <c r="F45" s="150">
        <v>0</v>
      </c>
    </row>
    <row r="46" spans="1:6" ht="18" customHeight="1">
      <c r="A46" s="10">
        <f t="shared" si="0"/>
        <v>39</v>
      </c>
      <c r="B46" s="161" t="s">
        <v>129</v>
      </c>
      <c r="C46" s="162"/>
      <c r="D46" s="162"/>
      <c r="E46" s="163"/>
      <c r="F46" s="150">
        <v>0</v>
      </c>
    </row>
    <row r="47" spans="1:6" ht="18" customHeight="1">
      <c r="A47" s="10">
        <f t="shared" si="0"/>
        <v>40</v>
      </c>
      <c r="B47" s="164" t="s">
        <v>130</v>
      </c>
      <c r="C47" s="165"/>
      <c r="D47" s="165"/>
      <c r="E47" s="166"/>
      <c r="F47" s="12"/>
    </row>
    <row r="48" spans="1:6" ht="18" customHeight="1">
      <c r="A48" s="10">
        <f t="shared" si="0"/>
        <v>41</v>
      </c>
      <c r="B48" s="161" t="s">
        <v>131</v>
      </c>
      <c r="C48" s="162"/>
      <c r="D48" s="162"/>
      <c r="E48" s="163"/>
      <c r="F48" s="150">
        <v>0</v>
      </c>
    </row>
    <row r="49" spans="1:6" ht="18" customHeight="1">
      <c r="A49" s="10">
        <f t="shared" si="0"/>
        <v>42</v>
      </c>
      <c r="B49" s="19" t="s">
        <v>132</v>
      </c>
      <c r="C49" s="22"/>
      <c r="D49" s="22"/>
      <c r="E49" s="23"/>
      <c r="F49" s="150">
        <v>0</v>
      </c>
    </row>
    <row r="50" spans="1:6" ht="18" customHeight="1">
      <c r="A50" s="10">
        <f t="shared" si="0"/>
        <v>43</v>
      </c>
      <c r="B50" s="19" t="s">
        <v>133</v>
      </c>
      <c r="C50" s="22"/>
      <c r="D50" s="22"/>
      <c r="E50" s="23"/>
      <c r="F50" s="150">
        <v>0</v>
      </c>
    </row>
    <row r="51" spans="1:6" ht="18" customHeight="1">
      <c r="A51" s="10">
        <f t="shared" si="0"/>
        <v>44</v>
      </c>
      <c r="B51" s="161" t="s">
        <v>134</v>
      </c>
      <c r="C51" s="162"/>
      <c r="D51" s="162"/>
      <c r="E51" s="163"/>
      <c r="F51" s="150">
        <v>0</v>
      </c>
    </row>
    <row r="52" spans="1:6" ht="18" customHeight="1">
      <c r="A52" s="10">
        <f t="shared" si="0"/>
        <v>45</v>
      </c>
      <c r="B52" s="161" t="s">
        <v>135</v>
      </c>
      <c r="C52" s="162"/>
      <c r="D52" s="162"/>
      <c r="E52" s="163"/>
      <c r="F52" s="150">
        <v>0</v>
      </c>
    </row>
    <row r="53" spans="1:6" s="21" customFormat="1" ht="18" customHeight="1">
      <c r="A53" s="10">
        <f t="shared" si="0"/>
        <v>46</v>
      </c>
      <c r="B53" s="164" t="s">
        <v>136</v>
      </c>
      <c r="C53" s="165"/>
      <c r="D53" s="165"/>
      <c r="E53" s="166"/>
      <c r="F53" s="12"/>
    </row>
    <row r="54" spans="1:6" s="21" customFormat="1" ht="18" customHeight="1">
      <c r="A54" s="10">
        <f t="shared" si="0"/>
        <v>47</v>
      </c>
      <c r="B54" s="161" t="s">
        <v>137</v>
      </c>
      <c r="C54" s="162"/>
      <c r="D54" s="162"/>
      <c r="E54" s="163"/>
      <c r="F54" s="150">
        <v>0</v>
      </c>
    </row>
    <row r="55" spans="1:6" s="21" customFormat="1" ht="18" customHeight="1">
      <c r="A55" s="10">
        <f t="shared" si="0"/>
        <v>48</v>
      </c>
      <c r="B55" s="161" t="s">
        <v>138</v>
      </c>
      <c r="C55" s="162"/>
      <c r="D55" s="162"/>
      <c r="E55" s="163"/>
      <c r="F55" s="150">
        <v>0</v>
      </c>
    </row>
    <row r="56" spans="1:6" s="21" customFormat="1" ht="18" customHeight="1">
      <c r="A56" s="10">
        <f t="shared" si="0"/>
        <v>49</v>
      </c>
      <c r="B56" s="164" t="s">
        <v>139</v>
      </c>
      <c r="C56" s="165"/>
      <c r="D56" s="165"/>
      <c r="E56" s="166"/>
      <c r="F56" s="14"/>
    </row>
    <row r="57" spans="1:6" s="21" customFormat="1" ht="18" customHeight="1">
      <c r="A57" s="10">
        <f t="shared" si="0"/>
        <v>50</v>
      </c>
      <c r="B57" s="161" t="s">
        <v>140</v>
      </c>
      <c r="C57" s="162"/>
      <c r="D57" s="162"/>
      <c r="E57" s="163"/>
      <c r="F57" s="150">
        <v>0</v>
      </c>
    </row>
    <row r="58" spans="1:6" s="21" customFormat="1" ht="18" customHeight="1">
      <c r="A58" s="10">
        <f t="shared" si="0"/>
        <v>51</v>
      </c>
      <c r="B58" s="161" t="s">
        <v>141</v>
      </c>
      <c r="C58" s="162"/>
      <c r="D58" s="162"/>
      <c r="E58" s="163"/>
      <c r="F58" s="150">
        <v>0</v>
      </c>
    </row>
    <row r="59" spans="1:6" ht="18" customHeight="1">
      <c r="A59" s="10">
        <f t="shared" si="0"/>
        <v>52</v>
      </c>
      <c r="B59" s="161" t="s">
        <v>142</v>
      </c>
      <c r="C59" s="162"/>
      <c r="D59" s="162"/>
      <c r="E59" s="163"/>
      <c r="F59" s="150">
        <v>0</v>
      </c>
    </row>
    <row r="60" spans="1:6" ht="18" customHeight="1">
      <c r="A60" s="10">
        <f t="shared" si="0"/>
        <v>53</v>
      </c>
      <c r="B60" s="161" t="s">
        <v>143</v>
      </c>
      <c r="C60" s="162"/>
      <c r="D60" s="162"/>
      <c r="E60" s="163"/>
      <c r="F60" s="150">
        <v>0</v>
      </c>
    </row>
    <row r="61" spans="1:6" ht="18" customHeight="1">
      <c r="A61" s="10">
        <f t="shared" si="0"/>
        <v>54</v>
      </c>
      <c r="B61" s="161" t="s">
        <v>144</v>
      </c>
      <c r="C61" s="162"/>
      <c r="D61" s="162"/>
      <c r="E61" s="163"/>
      <c r="F61" s="150">
        <v>0</v>
      </c>
    </row>
    <row r="62" spans="1:6" ht="18" customHeight="1">
      <c r="A62" s="10">
        <f t="shared" si="0"/>
        <v>55</v>
      </c>
      <c r="B62" s="161" t="s">
        <v>145</v>
      </c>
      <c r="C62" s="162"/>
      <c r="D62" s="162"/>
      <c r="E62" s="163"/>
      <c r="F62" s="150">
        <v>0</v>
      </c>
    </row>
    <row r="63" spans="1:6" ht="18" customHeight="1">
      <c r="A63" s="10">
        <f t="shared" si="0"/>
        <v>56</v>
      </c>
      <c r="B63" s="164" t="s">
        <v>146</v>
      </c>
      <c r="C63" s="165"/>
      <c r="D63" s="165"/>
      <c r="E63" s="166"/>
      <c r="F63" s="14"/>
    </row>
    <row r="64" spans="1:6" ht="18" customHeight="1">
      <c r="A64" s="10">
        <f t="shared" si="0"/>
        <v>57</v>
      </c>
      <c r="B64" s="161" t="s">
        <v>147</v>
      </c>
      <c r="C64" s="162"/>
      <c r="D64" s="162"/>
      <c r="E64" s="163"/>
      <c r="F64" s="150">
        <v>0</v>
      </c>
    </row>
    <row r="65" spans="1:6" ht="18" customHeight="1">
      <c r="A65" s="10">
        <f t="shared" si="0"/>
        <v>58</v>
      </c>
      <c r="B65" s="161" t="s">
        <v>148</v>
      </c>
      <c r="C65" s="162"/>
      <c r="D65" s="162"/>
      <c r="E65" s="163"/>
      <c r="F65" s="150">
        <v>0</v>
      </c>
    </row>
    <row r="66" spans="1:6" ht="18" customHeight="1">
      <c r="A66" s="10">
        <f t="shared" si="0"/>
        <v>59</v>
      </c>
      <c r="B66" s="164" t="s">
        <v>149</v>
      </c>
      <c r="C66" s="165"/>
      <c r="D66" s="165"/>
      <c r="E66" s="166"/>
      <c r="F66" s="14"/>
    </row>
    <row r="67" spans="1:6" ht="18" customHeight="1">
      <c r="A67" s="10">
        <f t="shared" si="0"/>
        <v>60</v>
      </c>
      <c r="B67" s="161" t="s">
        <v>150</v>
      </c>
      <c r="C67" s="162"/>
      <c r="D67" s="162"/>
      <c r="E67" s="163"/>
      <c r="F67" s="150">
        <v>0</v>
      </c>
    </row>
    <row r="68" spans="1:6" ht="18" customHeight="1">
      <c r="A68" s="10">
        <f t="shared" si="0"/>
        <v>61</v>
      </c>
      <c r="B68" s="164" t="s">
        <v>151</v>
      </c>
      <c r="C68" s="165"/>
      <c r="D68" s="165"/>
      <c r="E68" s="166"/>
      <c r="F68" s="14"/>
    </row>
    <row r="69" spans="1:6" ht="18" customHeight="1">
      <c r="A69" s="10">
        <f t="shared" si="0"/>
        <v>62</v>
      </c>
      <c r="B69" s="161" t="s">
        <v>152</v>
      </c>
      <c r="C69" s="162"/>
      <c r="D69" s="162"/>
      <c r="E69" s="163"/>
      <c r="F69" s="150">
        <v>0</v>
      </c>
    </row>
    <row r="70" spans="1:6" ht="18" customHeight="1">
      <c r="A70" s="10">
        <f t="shared" si="0"/>
        <v>63</v>
      </c>
      <c r="B70" s="161" t="s">
        <v>153</v>
      </c>
      <c r="C70" s="162"/>
      <c r="D70" s="162"/>
      <c r="E70" s="163"/>
      <c r="F70" s="150">
        <v>0</v>
      </c>
    </row>
    <row r="71" spans="1:6" ht="18" customHeight="1">
      <c r="A71" s="10">
        <f t="shared" si="0"/>
        <v>64</v>
      </c>
      <c r="B71" s="164" t="s">
        <v>154</v>
      </c>
      <c r="C71" s="165"/>
      <c r="D71" s="165"/>
      <c r="E71" s="166"/>
      <c r="F71" s="14"/>
    </row>
    <row r="72" spans="1:6" ht="18" customHeight="1">
      <c r="A72" s="10">
        <f t="shared" si="0"/>
        <v>65</v>
      </c>
      <c r="B72" s="161" t="s">
        <v>155</v>
      </c>
      <c r="C72" s="162"/>
      <c r="D72" s="162"/>
      <c r="E72" s="163"/>
      <c r="F72" s="150">
        <v>0</v>
      </c>
    </row>
    <row r="73" spans="1:6" ht="18" customHeight="1">
      <c r="A73" s="10">
        <f t="shared" si="0"/>
        <v>66</v>
      </c>
      <c r="B73" s="161" t="s">
        <v>156</v>
      </c>
      <c r="C73" s="162"/>
      <c r="D73" s="162"/>
      <c r="E73" s="163"/>
      <c r="F73" s="150">
        <v>0</v>
      </c>
    </row>
    <row r="74" spans="1:6" ht="18" customHeight="1">
      <c r="A74" s="10">
        <f t="shared" si="0"/>
        <v>67</v>
      </c>
      <c r="B74" s="161" t="s">
        <v>157</v>
      </c>
      <c r="C74" s="162"/>
      <c r="D74" s="162"/>
      <c r="E74" s="163"/>
      <c r="F74" s="150">
        <v>0</v>
      </c>
    </row>
    <row r="75" spans="1:6" ht="18" customHeight="1">
      <c r="A75" s="10">
        <f t="shared" si="0"/>
        <v>68</v>
      </c>
      <c r="B75" s="164" t="s">
        <v>158</v>
      </c>
      <c r="C75" s="165"/>
      <c r="D75" s="165"/>
      <c r="E75" s="166"/>
      <c r="F75" s="14"/>
    </row>
    <row r="76" spans="1:6" ht="18" customHeight="1">
      <c r="A76" s="10">
        <f t="shared" si="0"/>
        <v>69</v>
      </c>
      <c r="B76" s="161" t="s">
        <v>159</v>
      </c>
      <c r="C76" s="162"/>
      <c r="D76" s="162"/>
      <c r="E76" s="163"/>
      <c r="F76" s="150">
        <v>0</v>
      </c>
    </row>
    <row r="77" spans="1:6" ht="18" customHeight="1">
      <c r="A77" s="10">
        <f t="shared" si="0"/>
        <v>70</v>
      </c>
      <c r="B77" s="161" t="s">
        <v>160</v>
      </c>
      <c r="C77" s="162"/>
      <c r="D77" s="162"/>
      <c r="E77" s="163"/>
      <c r="F77" s="150">
        <v>0</v>
      </c>
    </row>
    <row r="78" spans="1:6" ht="18" customHeight="1">
      <c r="A78" s="10">
        <f t="shared" si="0"/>
        <v>71</v>
      </c>
      <c r="B78" s="161" t="s">
        <v>161</v>
      </c>
      <c r="C78" s="162"/>
      <c r="D78" s="162"/>
      <c r="E78" s="163"/>
      <c r="F78" s="150">
        <v>0</v>
      </c>
    </row>
    <row r="79" spans="1:6" ht="18" customHeight="1">
      <c r="A79" s="10">
        <f t="shared" si="0"/>
        <v>72</v>
      </c>
      <c r="B79" s="161" t="s">
        <v>162</v>
      </c>
      <c r="C79" s="162"/>
      <c r="D79" s="162"/>
      <c r="E79" s="163"/>
      <c r="F79" s="150">
        <v>0</v>
      </c>
    </row>
    <row r="80" spans="1:6" ht="18" customHeight="1">
      <c r="A80" s="10">
        <f t="shared" ref="A80" si="4">A79+1</f>
        <v>73</v>
      </c>
      <c r="B80" s="167" t="s">
        <v>135</v>
      </c>
      <c r="C80" s="168"/>
      <c r="D80" s="168"/>
      <c r="E80" s="169"/>
      <c r="F80" s="150">
        <v>0</v>
      </c>
    </row>
    <row r="81" spans="1:6" ht="28.9" customHeight="1" thickBot="1">
      <c r="A81" s="28">
        <f>A80+1</f>
        <v>74</v>
      </c>
      <c r="B81" s="170" t="s">
        <v>163</v>
      </c>
      <c r="C81" s="171"/>
      <c r="D81" s="171"/>
      <c r="E81" s="172"/>
      <c r="F81" s="31">
        <f>SUM(F9:F80)</f>
        <v>0</v>
      </c>
    </row>
    <row r="82" spans="1:6" ht="13" thickTop="1"/>
    <row r="86" spans="1:6" ht="20.25" customHeight="1"/>
  </sheetData>
  <mergeCells count="51">
    <mergeCell ref="B78:E78"/>
    <mergeCell ref="B79:E79"/>
    <mergeCell ref="B80:E80"/>
    <mergeCell ref="B81:E81"/>
    <mergeCell ref="B72:E72"/>
    <mergeCell ref="B73:E73"/>
    <mergeCell ref="B74:E74"/>
    <mergeCell ref="B75:E75"/>
    <mergeCell ref="B76:E76"/>
    <mergeCell ref="B77:E77"/>
    <mergeCell ref="B71:E71"/>
    <mergeCell ref="B60:E60"/>
    <mergeCell ref="B61:E61"/>
    <mergeCell ref="B62:E62"/>
    <mergeCell ref="B63:E63"/>
    <mergeCell ref="B64:E64"/>
    <mergeCell ref="B65:E65"/>
    <mergeCell ref="B66:E66"/>
    <mergeCell ref="B67:E67"/>
    <mergeCell ref="B68:E68"/>
    <mergeCell ref="B69:E69"/>
    <mergeCell ref="B70:E70"/>
    <mergeCell ref="B59:E59"/>
    <mergeCell ref="B46:E46"/>
    <mergeCell ref="B47:E47"/>
    <mergeCell ref="B48:E48"/>
    <mergeCell ref="B51:E51"/>
    <mergeCell ref="B52:E52"/>
    <mergeCell ref="B53:E53"/>
    <mergeCell ref="B54:E54"/>
    <mergeCell ref="B55:E55"/>
    <mergeCell ref="B56:E56"/>
    <mergeCell ref="B57:E57"/>
    <mergeCell ref="B58:E58"/>
    <mergeCell ref="B45:E45"/>
    <mergeCell ref="B34:E34"/>
    <mergeCell ref="B35:E35"/>
    <mergeCell ref="B36:E36"/>
    <mergeCell ref="B37:E37"/>
    <mergeCell ref="B38:E38"/>
    <mergeCell ref="B39:E39"/>
    <mergeCell ref="B40:E40"/>
    <mergeCell ref="B41:E41"/>
    <mergeCell ref="B42:E42"/>
    <mergeCell ref="B43:E43"/>
    <mergeCell ref="B44:E44"/>
    <mergeCell ref="B32:E32"/>
    <mergeCell ref="B28:E28"/>
    <mergeCell ref="B29:E29"/>
    <mergeCell ref="B30:E30"/>
    <mergeCell ref="B31:E31"/>
  </mergeCells>
  <pageMargins left="0.70866141732283472" right="0.70866141732283472" top="0.74803149606299213" bottom="0.74803149606299213" header="0.31496062992125984" footer="0.31496062992125984"/>
  <pageSetup paperSize="9" scale="72" fitToHeight="0" orientation="portrait" r:id="rId1"/>
  <headerFooter>
    <oddFooter>&amp;LCalderwood PS - Main Works Tender&amp;RPage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D982-052E-4B4E-8B3D-D222B32C58CE}">
  <sheetPr>
    <tabColor theme="7"/>
  </sheetPr>
  <dimension ref="A1:E39"/>
  <sheetViews>
    <sheetView zoomScale="70" zoomScaleNormal="70" workbookViewId="0">
      <selection activeCell="D15" sqref="D15"/>
    </sheetView>
  </sheetViews>
  <sheetFormatPr defaultColWidth="8.7265625" defaultRowHeight="12.5"/>
  <cols>
    <col min="1" max="1" width="9.81640625" customWidth="1"/>
    <col min="2" max="2" width="74" style="18" customWidth="1"/>
    <col min="3" max="3" width="46.54296875" style="18" customWidth="1"/>
    <col min="4" max="4" width="44.7265625" style="3" customWidth="1"/>
    <col min="5" max="5" width="55" customWidth="1"/>
  </cols>
  <sheetData>
    <row r="1" spans="1:5" ht="60" customHeight="1">
      <c r="A1" s="131" t="str">
        <f>'Main Works'!A1</f>
        <v>SINSW08089/25
 New Primary School in Calderwood - Tender Schedules 3 - (Lump Sum)</v>
      </c>
      <c r="B1" s="126"/>
      <c r="C1" s="126"/>
      <c r="D1" s="126"/>
    </row>
    <row r="2" spans="1:5" ht="10" customHeight="1">
      <c r="A2" s="1"/>
      <c r="B2" s="2"/>
      <c r="C2" s="2"/>
    </row>
    <row r="3" spans="1:5" ht="25">
      <c r="A3" s="4"/>
      <c r="B3" s="82" t="str">
        <f>' Summary'!C3</f>
        <v>[Insert]</v>
      </c>
      <c r="C3" s="5"/>
    </row>
    <row r="4" spans="1:5" ht="10" customHeight="1">
      <c r="A4" s="4"/>
      <c r="B4" s="5"/>
      <c r="C4" s="5"/>
    </row>
    <row r="5" spans="1:5" ht="20">
      <c r="A5" s="125" t="s">
        <v>164</v>
      </c>
      <c r="B5" s="5"/>
      <c r="C5" s="5"/>
    </row>
    <row r="6" spans="1:5" ht="10" customHeight="1">
      <c r="A6" s="6"/>
      <c r="B6" s="8"/>
      <c r="C6" s="8"/>
      <c r="D6" s="9"/>
    </row>
    <row r="7" spans="1:5" ht="39" customHeight="1">
      <c r="A7" s="106" t="s">
        <v>23</v>
      </c>
      <c r="B7" s="107" t="s">
        <v>165</v>
      </c>
      <c r="C7" s="130" t="s">
        <v>166</v>
      </c>
      <c r="D7" s="108" t="s">
        <v>24</v>
      </c>
      <c r="E7" s="20"/>
    </row>
    <row r="8" spans="1:5" ht="15.5">
      <c r="A8" s="10">
        <v>1</v>
      </c>
      <c r="B8" s="11" t="s">
        <v>167</v>
      </c>
      <c r="C8" s="149"/>
      <c r="D8" s="150"/>
    </row>
    <row r="9" spans="1:5" ht="15.5">
      <c r="A9" s="10">
        <f t="shared" ref="A9:A38" si="0">A8+1</f>
        <v>2</v>
      </c>
      <c r="B9" s="11" t="s">
        <v>168</v>
      </c>
      <c r="C9" s="149"/>
      <c r="D9" s="150"/>
    </row>
    <row r="10" spans="1:5" ht="15.5">
      <c r="A10" s="10">
        <f t="shared" si="0"/>
        <v>3</v>
      </c>
      <c r="B10" s="11" t="s">
        <v>169</v>
      </c>
      <c r="C10" s="149"/>
      <c r="D10" s="150"/>
    </row>
    <row r="11" spans="1:5" ht="15.5">
      <c r="A11" s="10">
        <f t="shared" si="0"/>
        <v>4</v>
      </c>
      <c r="B11" s="11" t="s">
        <v>170</v>
      </c>
      <c r="C11" s="149"/>
      <c r="D11" s="150"/>
    </row>
    <row r="12" spans="1:5" ht="15.5">
      <c r="A12" s="10">
        <f t="shared" si="0"/>
        <v>5</v>
      </c>
      <c r="B12" s="11" t="s">
        <v>171</v>
      </c>
      <c r="C12" s="149"/>
      <c r="D12" s="150"/>
    </row>
    <row r="13" spans="1:5" ht="15.5">
      <c r="A13" s="10">
        <f t="shared" si="0"/>
        <v>6</v>
      </c>
      <c r="B13" s="11" t="s">
        <v>172</v>
      </c>
      <c r="C13" s="149"/>
      <c r="D13" s="150"/>
    </row>
    <row r="14" spans="1:5" ht="15.5">
      <c r="A14" s="10">
        <f t="shared" si="0"/>
        <v>7</v>
      </c>
      <c r="B14" s="11" t="s">
        <v>173</v>
      </c>
      <c r="C14" s="149"/>
      <c r="D14" s="150"/>
    </row>
    <row r="15" spans="1:5" ht="15.5">
      <c r="A15" s="10">
        <f t="shared" si="0"/>
        <v>8</v>
      </c>
      <c r="B15" s="11" t="s">
        <v>174</v>
      </c>
      <c r="C15" s="149"/>
      <c r="D15" s="150"/>
    </row>
    <row r="16" spans="1:5" s="21" customFormat="1" ht="15.5">
      <c r="A16" s="10">
        <f t="shared" si="0"/>
        <v>9</v>
      </c>
      <c r="B16" s="11" t="s">
        <v>175</v>
      </c>
      <c r="C16" s="149"/>
      <c r="D16" s="150"/>
    </row>
    <row r="17" spans="1:4" ht="15.5">
      <c r="A17" s="10">
        <f t="shared" si="0"/>
        <v>10</v>
      </c>
      <c r="B17" s="11" t="s">
        <v>176</v>
      </c>
      <c r="C17" s="149"/>
      <c r="D17" s="150"/>
    </row>
    <row r="18" spans="1:4" ht="15.5">
      <c r="A18" s="10">
        <f t="shared" si="0"/>
        <v>11</v>
      </c>
      <c r="B18" s="11" t="s">
        <v>177</v>
      </c>
      <c r="C18" s="149"/>
      <c r="D18" s="150"/>
    </row>
    <row r="19" spans="1:4" ht="15.5">
      <c r="A19" s="10">
        <f t="shared" si="0"/>
        <v>12</v>
      </c>
      <c r="B19" s="11" t="s">
        <v>178</v>
      </c>
      <c r="C19" s="149"/>
      <c r="D19" s="150"/>
    </row>
    <row r="20" spans="1:4" ht="15.5">
      <c r="A20" s="10">
        <f t="shared" si="0"/>
        <v>13</v>
      </c>
      <c r="B20" s="11" t="s">
        <v>179</v>
      </c>
      <c r="C20" s="149"/>
      <c r="D20" s="150"/>
    </row>
    <row r="21" spans="1:4" ht="15.5">
      <c r="A21" s="10">
        <f t="shared" si="0"/>
        <v>14</v>
      </c>
      <c r="B21" s="11" t="s">
        <v>180</v>
      </c>
      <c r="C21" s="149"/>
      <c r="D21" s="150"/>
    </row>
    <row r="22" spans="1:4" ht="15.5">
      <c r="A22" s="10">
        <f t="shared" si="0"/>
        <v>15</v>
      </c>
      <c r="B22" s="11" t="s">
        <v>181</v>
      </c>
      <c r="C22" s="149"/>
      <c r="D22" s="150"/>
    </row>
    <row r="23" spans="1:4" ht="15.5">
      <c r="A23" s="10">
        <f t="shared" si="0"/>
        <v>16</v>
      </c>
      <c r="B23" s="11" t="s">
        <v>182</v>
      </c>
      <c r="C23" s="149"/>
      <c r="D23" s="150"/>
    </row>
    <row r="24" spans="1:4" ht="15.5">
      <c r="A24" s="10">
        <f t="shared" si="0"/>
        <v>17</v>
      </c>
      <c r="B24" s="11" t="s">
        <v>183</v>
      </c>
      <c r="C24" s="149"/>
      <c r="D24" s="150"/>
    </row>
    <row r="25" spans="1:4" ht="15.5">
      <c r="A25" s="10">
        <f t="shared" si="0"/>
        <v>18</v>
      </c>
      <c r="B25" s="11" t="s">
        <v>184</v>
      </c>
      <c r="C25" s="149"/>
      <c r="D25" s="150"/>
    </row>
    <row r="26" spans="1:4" ht="15.5">
      <c r="A26" s="10">
        <f t="shared" si="0"/>
        <v>19</v>
      </c>
      <c r="B26" s="11" t="s">
        <v>185</v>
      </c>
      <c r="C26" s="149"/>
      <c r="D26" s="150"/>
    </row>
    <row r="27" spans="1:4" ht="15.5">
      <c r="A27" s="10">
        <f t="shared" si="0"/>
        <v>20</v>
      </c>
      <c r="B27" s="11" t="s">
        <v>186</v>
      </c>
      <c r="C27" s="149"/>
      <c r="D27" s="150"/>
    </row>
    <row r="28" spans="1:4" ht="15.5">
      <c r="A28" s="10">
        <f t="shared" si="0"/>
        <v>21</v>
      </c>
      <c r="B28" s="11" t="s">
        <v>187</v>
      </c>
      <c r="C28" s="149"/>
      <c r="D28" s="150"/>
    </row>
    <row r="29" spans="1:4" ht="15.5">
      <c r="A29" s="10">
        <f t="shared" si="0"/>
        <v>22</v>
      </c>
      <c r="B29" s="11" t="s">
        <v>188</v>
      </c>
      <c r="C29" s="149"/>
      <c r="D29" s="150"/>
    </row>
    <row r="30" spans="1:4" ht="15.5">
      <c r="A30" s="10">
        <f t="shared" si="0"/>
        <v>23</v>
      </c>
      <c r="B30" s="11" t="s">
        <v>189</v>
      </c>
      <c r="C30" s="149"/>
      <c r="D30" s="150"/>
    </row>
    <row r="31" spans="1:4" ht="15.5">
      <c r="A31" s="10">
        <f t="shared" si="0"/>
        <v>24</v>
      </c>
      <c r="B31" s="11" t="s">
        <v>190</v>
      </c>
      <c r="C31" s="149"/>
      <c r="D31" s="150"/>
    </row>
    <row r="32" spans="1:4" ht="15.5">
      <c r="A32" s="10">
        <f t="shared" si="0"/>
        <v>25</v>
      </c>
      <c r="B32" s="19" t="s">
        <v>191</v>
      </c>
      <c r="C32" s="149"/>
      <c r="D32" s="150"/>
    </row>
    <row r="33" spans="1:4" ht="15.5">
      <c r="A33" s="10">
        <f t="shared" si="0"/>
        <v>26</v>
      </c>
      <c r="B33" s="19" t="s">
        <v>135</v>
      </c>
      <c r="C33" s="149"/>
      <c r="D33" s="150"/>
    </row>
    <row r="34" spans="1:4" ht="15.5">
      <c r="A34" s="10">
        <f t="shared" si="0"/>
        <v>27</v>
      </c>
      <c r="B34" s="19" t="s">
        <v>135</v>
      </c>
      <c r="C34" s="149"/>
      <c r="D34" s="150"/>
    </row>
    <row r="35" spans="1:4" ht="15.5">
      <c r="A35" s="10">
        <f t="shared" si="0"/>
        <v>28</v>
      </c>
      <c r="B35" s="19" t="s">
        <v>135</v>
      </c>
      <c r="C35" s="149"/>
      <c r="D35" s="150"/>
    </row>
    <row r="36" spans="1:4" ht="15.5">
      <c r="A36" s="10">
        <f t="shared" si="0"/>
        <v>29</v>
      </c>
      <c r="B36" s="19" t="s">
        <v>135</v>
      </c>
      <c r="C36" s="149"/>
      <c r="D36" s="150"/>
    </row>
    <row r="37" spans="1:4" ht="15.75" customHeight="1">
      <c r="A37" s="10">
        <f t="shared" si="0"/>
        <v>30</v>
      </c>
      <c r="B37" s="19" t="s">
        <v>135</v>
      </c>
      <c r="C37" s="151"/>
      <c r="D37" s="150"/>
    </row>
    <row r="38" spans="1:4" ht="27" customHeight="1" thickBot="1">
      <c r="A38" s="28">
        <f t="shared" si="0"/>
        <v>31</v>
      </c>
      <c r="B38" s="170" t="s">
        <v>192</v>
      </c>
      <c r="C38" s="172"/>
      <c r="D38" s="31">
        <f>SUM(D8:D37)</f>
        <v>0</v>
      </c>
    </row>
    <row r="39" spans="1:4" ht="13" thickTop="1"/>
  </sheetData>
  <mergeCells count="1">
    <mergeCell ref="B38:C38"/>
  </mergeCells>
  <pageMargins left="0.70866141732283472" right="0.70866141732283472" top="0.74803149606299213" bottom="0.74803149606299213" header="0.31496062992125984" footer="0.31496062992125984"/>
  <pageSetup paperSize="9" scale="72" fitToHeight="0" orientation="portrait" r:id="rId1"/>
  <headerFooter>
    <oddFooter>&amp;LCalderwood PS - Main Works Tender&amp;RPage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DEE04-1834-4EF0-A808-496DEE468431}">
  <sheetPr>
    <tabColor theme="7"/>
  </sheetPr>
  <dimension ref="A1:H15"/>
  <sheetViews>
    <sheetView zoomScale="85" zoomScaleNormal="85" workbookViewId="0">
      <selection activeCell="C39" sqref="C39"/>
    </sheetView>
  </sheetViews>
  <sheetFormatPr defaultColWidth="8.7265625" defaultRowHeight="12.5"/>
  <cols>
    <col min="1" max="1" width="5.7265625" customWidth="1"/>
    <col min="2" max="2" width="80" style="18" customWidth="1"/>
    <col min="3" max="6" width="15.7265625" customWidth="1"/>
    <col min="7" max="7" width="23" style="3" customWidth="1"/>
    <col min="8" max="8" width="7.7265625" customWidth="1"/>
    <col min="9" max="10" width="15.7265625" customWidth="1"/>
  </cols>
  <sheetData>
    <row r="1" spans="1:8" ht="57" customHeight="1">
      <c r="A1" s="173" t="s">
        <v>466</v>
      </c>
      <c r="B1" s="173"/>
      <c r="C1" s="173"/>
      <c r="D1" s="173"/>
      <c r="E1" s="173"/>
      <c r="F1" s="173"/>
      <c r="G1" s="173"/>
    </row>
    <row r="2" spans="1:8" ht="10" customHeight="1">
      <c r="A2" s="1"/>
      <c r="B2" s="2"/>
    </row>
    <row r="3" spans="1:8" ht="22.5">
      <c r="A3" s="4"/>
      <c r="B3" s="101" t="str">
        <f>'Main Works'!B3</f>
        <v>[Insert]</v>
      </c>
    </row>
    <row r="4" spans="1:8" ht="10" customHeight="1">
      <c r="A4" s="6"/>
      <c r="B4" s="8"/>
      <c r="G4" s="9"/>
    </row>
    <row r="5" spans="1:8" ht="25.5" customHeight="1">
      <c r="A5" s="106" t="s">
        <v>23</v>
      </c>
      <c r="B5" s="107" t="s">
        <v>193</v>
      </c>
      <c r="C5" s="109" t="s">
        <v>194</v>
      </c>
      <c r="D5" s="109" t="s">
        <v>4</v>
      </c>
      <c r="E5" s="109" t="s">
        <v>5</v>
      </c>
      <c r="F5" s="109" t="s">
        <v>195</v>
      </c>
      <c r="G5" s="108" t="s">
        <v>24</v>
      </c>
    </row>
    <row r="6" spans="1:8" ht="18" customHeight="1">
      <c r="A6" s="28">
        <v>1</v>
      </c>
      <c r="B6" s="27" t="s">
        <v>196</v>
      </c>
      <c r="C6" s="152"/>
      <c r="D6" s="152"/>
      <c r="E6" s="152"/>
      <c r="F6" s="152"/>
      <c r="G6" s="29">
        <f>C6+D6+E6+F6</f>
        <v>0</v>
      </c>
      <c r="H6" s="137" t="s">
        <v>197</v>
      </c>
    </row>
    <row r="7" spans="1:8" ht="18" customHeight="1">
      <c r="A7" s="28">
        <v>2</v>
      </c>
      <c r="B7" s="27" t="s">
        <v>198</v>
      </c>
      <c r="C7" s="152"/>
      <c r="D7" s="152"/>
      <c r="E7" s="152"/>
      <c r="F7" s="152"/>
      <c r="G7" s="29">
        <f>C7+D7+E7+F7</f>
        <v>0</v>
      </c>
      <c r="H7" s="137" t="s">
        <v>197</v>
      </c>
    </row>
    <row r="8" spans="1:8" ht="18" customHeight="1">
      <c r="A8" s="28">
        <f t="shared" ref="A8:A13" si="0">A7+1</f>
        <v>3</v>
      </c>
      <c r="B8" s="27" t="s">
        <v>199</v>
      </c>
      <c r="C8" s="152"/>
      <c r="D8" s="152"/>
      <c r="E8" s="152"/>
      <c r="F8" s="152"/>
      <c r="G8" s="29">
        <f>C8+D8+E8+F8</f>
        <v>0</v>
      </c>
      <c r="H8" s="137" t="s">
        <v>197</v>
      </c>
    </row>
    <row r="9" spans="1:8" ht="18" customHeight="1">
      <c r="A9" s="28">
        <f t="shared" si="0"/>
        <v>4</v>
      </c>
      <c r="B9" s="27" t="s">
        <v>465</v>
      </c>
      <c r="C9" s="152"/>
      <c r="D9" s="152"/>
      <c r="E9" s="152"/>
      <c r="F9" s="152"/>
      <c r="G9" s="29">
        <f>C9+D9+E9+F9</f>
        <v>0</v>
      </c>
      <c r="H9" s="137" t="s">
        <v>197</v>
      </c>
    </row>
    <row r="10" spans="1:8" ht="35.15" customHeight="1">
      <c r="A10" s="28">
        <f t="shared" si="0"/>
        <v>5</v>
      </c>
      <c r="B10" s="27" t="s">
        <v>200</v>
      </c>
      <c r="C10" s="152"/>
      <c r="D10" s="152"/>
      <c r="E10" s="152"/>
      <c r="F10" s="152"/>
      <c r="G10" s="29">
        <f>C10+D10+E10+F10</f>
        <v>0</v>
      </c>
      <c r="H10" s="137" t="s">
        <v>197</v>
      </c>
    </row>
    <row r="11" spans="1:8" ht="18" customHeight="1">
      <c r="A11" s="28">
        <f t="shared" si="0"/>
        <v>6</v>
      </c>
      <c r="B11" s="27" t="s">
        <v>201</v>
      </c>
      <c r="C11" s="152"/>
      <c r="D11" s="152"/>
      <c r="E11" s="152"/>
      <c r="F11" s="152"/>
      <c r="G11" s="29">
        <f>C11+D11+E11+F11</f>
        <v>0</v>
      </c>
      <c r="H11" s="137" t="s">
        <v>202</v>
      </c>
    </row>
    <row r="12" spans="1:8" ht="37.5" customHeight="1">
      <c r="A12" s="28">
        <f>A11+1</f>
        <v>7</v>
      </c>
      <c r="B12" s="27" t="s">
        <v>203</v>
      </c>
      <c r="C12" s="152"/>
      <c r="D12" s="152"/>
      <c r="E12" s="152"/>
      <c r="F12" s="152"/>
      <c r="G12" s="29">
        <f>C12+D12+E12+F12</f>
        <v>0</v>
      </c>
      <c r="H12" s="137" t="s">
        <v>202</v>
      </c>
    </row>
    <row r="13" spans="1:8" ht="34.5" customHeight="1">
      <c r="A13" s="28">
        <f t="shared" si="0"/>
        <v>8</v>
      </c>
      <c r="B13" s="27" t="s">
        <v>204</v>
      </c>
      <c r="C13" s="152"/>
      <c r="D13" s="152"/>
      <c r="E13" s="152"/>
      <c r="F13" s="152"/>
      <c r="G13" s="29">
        <f>C13+D13+E13+F13</f>
        <v>0</v>
      </c>
      <c r="H13" s="137" t="s">
        <v>202</v>
      </c>
    </row>
    <row r="14" spans="1:8" ht="33" customHeight="1" thickBot="1">
      <c r="A14" s="28"/>
      <c r="B14" s="116" t="s">
        <v>205</v>
      </c>
      <c r="C14" s="31">
        <f>SUM(C6:C13)</f>
        <v>0</v>
      </c>
      <c r="D14" s="31">
        <f>SUM(D6:D13)</f>
        <v>0</v>
      </c>
      <c r="E14" s="31">
        <f>SUM(E6:E13)</f>
        <v>0</v>
      </c>
      <c r="F14" s="31">
        <f>SUM(F6:F13)</f>
        <v>0</v>
      </c>
      <c r="G14" s="31">
        <f>SUM(G6:G13)</f>
        <v>0</v>
      </c>
      <c r="H14" s="137"/>
    </row>
    <row r="15" spans="1:8" ht="13" thickTop="1">
      <c r="A15" s="137"/>
      <c r="B15" s="138"/>
      <c r="C15" s="137"/>
      <c r="D15" s="137"/>
      <c r="E15" s="137"/>
      <c r="F15" s="137"/>
      <c r="G15" s="139"/>
      <c r="H15" s="137"/>
    </row>
  </sheetData>
  <mergeCells count="1">
    <mergeCell ref="A1:G1"/>
  </mergeCells>
  <pageMargins left="0.70866141732283472" right="0.70866141732283472" top="0.74803149606299213" bottom="0.74803149606299213" header="0.31496062992125984" footer="0.31496062992125984"/>
  <pageSetup paperSize="9" scale="72" fitToHeight="0" orientation="portrait" r:id="rId1"/>
  <headerFooter>
    <oddFooter>&amp;LCalderwood PS - Main Works Tender&amp;RPage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1FD5-828F-4639-8F7D-E7A43A06035A}">
  <sheetPr>
    <tabColor theme="7"/>
  </sheetPr>
  <dimension ref="A1:H19"/>
  <sheetViews>
    <sheetView zoomScale="85" zoomScaleNormal="85" workbookViewId="0">
      <selection activeCell="B12" sqref="B12"/>
    </sheetView>
  </sheetViews>
  <sheetFormatPr defaultColWidth="8.7265625" defaultRowHeight="12.5"/>
  <cols>
    <col min="1" max="1" width="5.7265625" customWidth="1"/>
    <col min="2" max="2" width="80" style="18" customWidth="1"/>
    <col min="3" max="6" width="15.7265625" customWidth="1"/>
    <col min="7" max="7" width="25.1796875" style="3" customWidth="1"/>
    <col min="8" max="8" width="12.7265625" customWidth="1"/>
    <col min="9" max="10" width="15.7265625" customWidth="1"/>
  </cols>
  <sheetData>
    <row r="1" spans="1:8" ht="57" customHeight="1">
      <c r="A1" s="173" t="s">
        <v>469</v>
      </c>
      <c r="B1" s="173"/>
      <c r="C1" s="173"/>
      <c r="D1" s="173"/>
      <c r="E1" s="173"/>
      <c r="F1" s="173"/>
      <c r="G1" s="173"/>
    </row>
    <row r="2" spans="1:8" ht="10" customHeight="1">
      <c r="A2" s="1"/>
      <c r="B2" s="2"/>
    </row>
    <row r="3" spans="1:8" ht="22.5">
      <c r="A3" s="4"/>
      <c r="B3" s="101" t="str">
        <f>'Main Works'!B3</f>
        <v>[Insert]</v>
      </c>
    </row>
    <row r="4" spans="1:8" ht="10" customHeight="1">
      <c r="A4" s="6"/>
      <c r="B4" s="8"/>
      <c r="G4" s="9"/>
    </row>
    <row r="5" spans="1:8" ht="25.5" customHeight="1">
      <c r="A5" s="106" t="s">
        <v>23</v>
      </c>
      <c r="B5" s="107" t="s">
        <v>470</v>
      </c>
      <c r="C5" s="109" t="s">
        <v>194</v>
      </c>
      <c r="D5" s="109" t="s">
        <v>4</v>
      </c>
      <c r="E5" s="109" t="s">
        <v>5</v>
      </c>
      <c r="F5" s="109" t="s">
        <v>195</v>
      </c>
      <c r="G5" s="108" t="s">
        <v>24</v>
      </c>
    </row>
    <row r="6" spans="1:8" ht="18" customHeight="1">
      <c r="A6" s="28">
        <v>1</v>
      </c>
      <c r="B6" s="136" t="s">
        <v>207</v>
      </c>
      <c r="C6" s="152"/>
      <c r="D6" s="152"/>
      <c r="E6" s="152"/>
      <c r="F6" s="152"/>
      <c r="G6" s="29">
        <f>C6+D6+E6+F6</f>
        <v>0</v>
      </c>
      <c r="H6" s="137"/>
    </row>
    <row r="7" spans="1:8" ht="32.25" customHeight="1">
      <c r="A7" s="28">
        <f>A6+1</f>
        <v>2</v>
      </c>
      <c r="B7" s="27" t="s">
        <v>208</v>
      </c>
      <c r="C7" s="152"/>
      <c r="D7" s="152"/>
      <c r="E7" s="152"/>
      <c r="F7" s="152"/>
      <c r="G7" s="29">
        <f>C7+D7+E7+F7</f>
        <v>0</v>
      </c>
      <c r="H7" s="137"/>
    </row>
    <row r="8" spans="1:8" ht="18" customHeight="1">
      <c r="A8" s="28">
        <f>A7+1</f>
        <v>3</v>
      </c>
      <c r="B8" s="27" t="s">
        <v>209</v>
      </c>
      <c r="C8" s="152"/>
      <c r="D8" s="152"/>
      <c r="E8" s="152"/>
      <c r="F8" s="152"/>
      <c r="G8" s="29">
        <f>C8+D8+E8+F8</f>
        <v>0</v>
      </c>
      <c r="H8" s="137"/>
    </row>
    <row r="9" spans="1:8" ht="18" customHeight="1">
      <c r="A9" s="28">
        <f t="shared" ref="A9:A17" si="0">A8+1</f>
        <v>4</v>
      </c>
      <c r="B9" s="27" t="s">
        <v>210</v>
      </c>
      <c r="C9" s="152"/>
      <c r="D9" s="152"/>
      <c r="E9" s="152"/>
      <c r="F9" s="152"/>
      <c r="G9" s="29">
        <f>C9+D9+E9+F9</f>
        <v>0</v>
      </c>
      <c r="H9" s="137"/>
    </row>
    <row r="10" spans="1:8" ht="18" customHeight="1">
      <c r="A10" s="28">
        <f t="shared" si="0"/>
        <v>5</v>
      </c>
      <c r="B10" s="27" t="s">
        <v>211</v>
      </c>
      <c r="C10" s="152"/>
      <c r="D10" s="152"/>
      <c r="E10" s="152"/>
      <c r="F10" s="152"/>
      <c r="G10" s="29">
        <f>C10+D10+E10+F10</f>
        <v>0</v>
      </c>
      <c r="H10" s="137"/>
    </row>
    <row r="11" spans="1:8" ht="34.9" customHeight="1">
      <c r="A11" s="28">
        <f t="shared" si="0"/>
        <v>6</v>
      </c>
      <c r="B11" s="27" t="s">
        <v>212</v>
      </c>
      <c r="C11" s="152"/>
      <c r="D11" s="152"/>
      <c r="E11" s="152"/>
      <c r="F11" s="152"/>
      <c r="G11" s="29">
        <f>C11+D11+E11+F11</f>
        <v>0</v>
      </c>
      <c r="H11" s="137"/>
    </row>
    <row r="12" spans="1:8" ht="42.65" customHeight="1">
      <c r="A12" s="28">
        <f t="shared" si="0"/>
        <v>7</v>
      </c>
      <c r="B12" s="27" t="s">
        <v>213</v>
      </c>
      <c r="C12" s="152"/>
      <c r="D12" s="152"/>
      <c r="E12" s="152"/>
      <c r="F12" s="152"/>
      <c r="G12" s="29">
        <f>C12+D12+E12+F12</f>
        <v>0</v>
      </c>
      <c r="H12" s="137"/>
    </row>
    <row r="13" spans="1:8" ht="45" customHeight="1">
      <c r="A13" s="28">
        <f t="shared" si="0"/>
        <v>8</v>
      </c>
      <c r="B13" s="27" t="s">
        <v>214</v>
      </c>
      <c r="C13" s="152"/>
      <c r="D13" s="152"/>
      <c r="E13" s="152"/>
      <c r="F13" s="152"/>
      <c r="G13" s="29">
        <f>C13+D13+E13+F13</f>
        <v>0</v>
      </c>
      <c r="H13" s="137"/>
    </row>
    <row r="14" spans="1:8" ht="34.15" customHeight="1">
      <c r="A14" s="28">
        <f t="shared" si="0"/>
        <v>9</v>
      </c>
      <c r="B14" s="27" t="s">
        <v>215</v>
      </c>
      <c r="C14" s="152"/>
      <c r="D14" s="152"/>
      <c r="E14" s="152"/>
      <c r="F14" s="152"/>
      <c r="G14" s="29">
        <f>C14+D14+E14+F14</f>
        <v>0</v>
      </c>
      <c r="H14" s="137"/>
    </row>
    <row r="15" spans="1:8" ht="43.9" customHeight="1">
      <c r="A15" s="28">
        <f t="shared" si="0"/>
        <v>10</v>
      </c>
      <c r="B15" s="27" t="s">
        <v>216</v>
      </c>
      <c r="C15" s="152"/>
      <c r="D15" s="152"/>
      <c r="E15" s="152"/>
      <c r="F15" s="152"/>
      <c r="G15" s="29">
        <f>C15+D15+E15+F15</f>
        <v>0</v>
      </c>
      <c r="H15" s="137"/>
    </row>
    <row r="16" spans="1:8" ht="51" customHeight="1">
      <c r="A16" s="28">
        <f t="shared" si="0"/>
        <v>11</v>
      </c>
      <c r="B16" s="27" t="s">
        <v>217</v>
      </c>
      <c r="C16" s="152"/>
      <c r="D16" s="152"/>
      <c r="E16" s="152"/>
      <c r="F16" s="152"/>
      <c r="G16" s="29">
        <f>C16+D16+E16+F16</f>
        <v>0</v>
      </c>
      <c r="H16" s="137"/>
    </row>
    <row r="17" spans="1:8" ht="49.5" customHeight="1">
      <c r="A17" s="28">
        <f t="shared" si="0"/>
        <v>12</v>
      </c>
      <c r="B17" s="11" t="s">
        <v>218</v>
      </c>
      <c r="C17" s="152"/>
      <c r="D17" s="152"/>
      <c r="E17" s="152"/>
      <c r="F17" s="152"/>
      <c r="G17" s="29">
        <f>C17+D17+E17+F17</f>
        <v>0</v>
      </c>
      <c r="H17" s="137"/>
    </row>
    <row r="18" spans="1:8" ht="33" customHeight="1" thickBot="1">
      <c r="A18" s="28"/>
      <c r="B18" s="116" t="s">
        <v>471</v>
      </c>
      <c r="C18" s="31">
        <f>SUM(C6:C17)</f>
        <v>0</v>
      </c>
      <c r="D18" s="31">
        <f>SUM(D6:D17)</f>
        <v>0</v>
      </c>
      <c r="E18" s="31">
        <f>SUM(E6:E17)</f>
        <v>0</v>
      </c>
      <c r="F18" s="31">
        <f>SUM(F6:F17)</f>
        <v>0</v>
      </c>
      <c r="G18" s="31">
        <f>SUM(G6:G17)</f>
        <v>0</v>
      </c>
      <c r="H18" s="137"/>
    </row>
    <row r="19" spans="1:8" ht="13" thickTop="1">
      <c r="A19" s="137"/>
      <c r="B19" s="138"/>
      <c r="C19" s="137"/>
      <c r="D19" s="137"/>
      <c r="E19" s="137"/>
      <c r="F19" s="137"/>
      <c r="G19" s="139"/>
      <c r="H19" s="137"/>
    </row>
  </sheetData>
  <mergeCells count="1">
    <mergeCell ref="A1:G1"/>
  </mergeCells>
  <pageMargins left="0.70866141732283472" right="0.70866141732283472" top="0.74803149606299213" bottom="0.74803149606299213" header="0.31496062992125984" footer="0.31496062992125984"/>
  <pageSetup paperSize="9" scale="72" fitToHeight="0" orientation="portrait" r:id="rId1"/>
  <headerFooter>
    <oddFooter>&amp;LCalderwood PS - Main Works Tender&amp;RPage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E5593-D8B4-4708-B1FE-15516062E398}">
  <sheetPr>
    <tabColor theme="7"/>
  </sheetPr>
  <dimension ref="A1:H23"/>
  <sheetViews>
    <sheetView zoomScale="85" zoomScaleNormal="85" workbookViewId="0">
      <selection activeCell="B3" sqref="B3"/>
    </sheetView>
  </sheetViews>
  <sheetFormatPr defaultColWidth="8.7265625" defaultRowHeight="12.5"/>
  <cols>
    <col min="1" max="1" width="5.7265625" customWidth="1"/>
    <col min="2" max="2" width="80" style="18" customWidth="1"/>
    <col min="3" max="6" width="15.7265625" customWidth="1"/>
    <col min="7" max="7" width="25.1796875" style="3" customWidth="1"/>
    <col min="8" max="8" width="12.7265625" customWidth="1"/>
    <col min="9" max="10" width="15.7265625" customWidth="1"/>
  </cols>
  <sheetData>
    <row r="1" spans="1:8" ht="57" customHeight="1">
      <c r="A1" s="173" t="s">
        <v>472</v>
      </c>
      <c r="B1" s="173"/>
      <c r="C1" s="173"/>
      <c r="D1" s="173"/>
      <c r="E1" s="173"/>
      <c r="F1" s="173"/>
      <c r="G1" s="173"/>
    </row>
    <row r="2" spans="1:8" ht="10" customHeight="1">
      <c r="A2" s="1"/>
      <c r="B2" s="2"/>
    </row>
    <row r="3" spans="1:8" ht="22.5">
      <c r="A3" s="4"/>
      <c r="B3" s="101" t="str">
        <f>'Main Works'!B3</f>
        <v>[Insert]</v>
      </c>
    </row>
    <row r="4" spans="1:8" ht="10" customHeight="1">
      <c r="A4" s="6"/>
      <c r="B4" s="8"/>
      <c r="G4" s="9"/>
    </row>
    <row r="5" spans="1:8" ht="25.5" customHeight="1">
      <c r="A5" s="106" t="s">
        <v>23</v>
      </c>
      <c r="B5" s="107" t="s">
        <v>206</v>
      </c>
      <c r="C5" s="109" t="s">
        <v>194</v>
      </c>
      <c r="D5" s="109" t="s">
        <v>4</v>
      </c>
      <c r="E5" s="109" t="s">
        <v>5</v>
      </c>
      <c r="F5" s="109" t="s">
        <v>195</v>
      </c>
      <c r="G5" s="108" t="s">
        <v>24</v>
      </c>
    </row>
    <row r="6" spans="1:8" ht="18" customHeight="1">
      <c r="A6" s="28">
        <v>1</v>
      </c>
      <c r="B6" s="153" t="s">
        <v>219</v>
      </c>
      <c r="C6" s="152"/>
      <c r="D6" s="152"/>
      <c r="E6" s="152"/>
      <c r="F6" s="152"/>
      <c r="G6" s="29">
        <f>C6+D6+E6+F6</f>
        <v>0</v>
      </c>
      <c r="H6" s="137"/>
    </row>
    <row r="7" spans="1:8" ht="32.25" customHeight="1">
      <c r="A7" s="28">
        <f>A6+1</f>
        <v>2</v>
      </c>
      <c r="B7" s="153" t="s">
        <v>219</v>
      </c>
      <c r="C7" s="152"/>
      <c r="D7" s="152"/>
      <c r="E7" s="152"/>
      <c r="F7" s="152"/>
      <c r="G7" s="29">
        <f>C7+D7+E7+F7</f>
        <v>0</v>
      </c>
      <c r="H7" s="137"/>
    </row>
    <row r="8" spans="1:8" ht="18" customHeight="1">
      <c r="A8" s="28">
        <f>A7+1</f>
        <v>3</v>
      </c>
      <c r="B8" s="153" t="s">
        <v>219</v>
      </c>
      <c r="C8" s="152"/>
      <c r="D8" s="152"/>
      <c r="E8" s="152"/>
      <c r="F8" s="152"/>
      <c r="G8" s="29">
        <f>C8+D8+E8+F8</f>
        <v>0</v>
      </c>
      <c r="H8" s="137"/>
    </row>
    <row r="9" spans="1:8" ht="18" customHeight="1">
      <c r="A9" s="28">
        <f t="shared" ref="A9:A21" si="0">A8+1</f>
        <v>4</v>
      </c>
      <c r="B9" s="153" t="s">
        <v>219</v>
      </c>
      <c r="C9" s="152"/>
      <c r="D9" s="152"/>
      <c r="E9" s="152"/>
      <c r="F9" s="152"/>
      <c r="G9" s="29">
        <f>C9+D9+E9+F9</f>
        <v>0</v>
      </c>
      <c r="H9" s="137"/>
    </row>
    <row r="10" spans="1:8" ht="18" customHeight="1">
      <c r="A10" s="28">
        <f t="shared" si="0"/>
        <v>5</v>
      </c>
      <c r="B10" s="153" t="s">
        <v>219</v>
      </c>
      <c r="C10" s="152"/>
      <c r="D10" s="152"/>
      <c r="E10" s="152"/>
      <c r="F10" s="152"/>
      <c r="G10" s="29">
        <f>C10+D10+E10+F10</f>
        <v>0</v>
      </c>
      <c r="H10" s="137"/>
    </row>
    <row r="11" spans="1:8" ht="34.9" customHeight="1">
      <c r="A11" s="28">
        <f t="shared" si="0"/>
        <v>6</v>
      </c>
      <c r="B11" s="153" t="s">
        <v>219</v>
      </c>
      <c r="C11" s="152"/>
      <c r="D11" s="152"/>
      <c r="E11" s="152"/>
      <c r="F11" s="152"/>
      <c r="G11" s="29">
        <f>C11+D11+E11+F11</f>
        <v>0</v>
      </c>
      <c r="H11" s="137"/>
    </row>
    <row r="12" spans="1:8" ht="42.65" customHeight="1">
      <c r="A12" s="28">
        <f t="shared" si="0"/>
        <v>7</v>
      </c>
      <c r="B12" s="153" t="s">
        <v>219</v>
      </c>
      <c r="C12" s="152"/>
      <c r="D12" s="152"/>
      <c r="E12" s="152"/>
      <c r="F12" s="152"/>
      <c r="G12" s="29">
        <f>C12+D12+E12+F12</f>
        <v>0</v>
      </c>
      <c r="H12" s="137"/>
    </row>
    <row r="13" spans="1:8" ht="45" customHeight="1">
      <c r="A13" s="28">
        <f t="shared" si="0"/>
        <v>8</v>
      </c>
      <c r="B13" s="153" t="s">
        <v>219</v>
      </c>
      <c r="C13" s="152"/>
      <c r="D13" s="152"/>
      <c r="E13" s="152"/>
      <c r="F13" s="152"/>
      <c r="G13" s="29">
        <f>C13+D13+E13+F13</f>
        <v>0</v>
      </c>
      <c r="H13" s="137"/>
    </row>
    <row r="14" spans="1:8" ht="34.15" customHeight="1">
      <c r="A14" s="28">
        <f t="shared" si="0"/>
        <v>9</v>
      </c>
      <c r="B14" s="153" t="s">
        <v>219</v>
      </c>
      <c r="C14" s="152"/>
      <c r="D14" s="152"/>
      <c r="E14" s="152"/>
      <c r="F14" s="152"/>
      <c r="G14" s="29">
        <f>C14+D14+E14+F14</f>
        <v>0</v>
      </c>
      <c r="H14" s="137"/>
    </row>
    <row r="15" spans="1:8" ht="43.9" customHeight="1">
      <c r="A15" s="28">
        <f t="shared" si="0"/>
        <v>10</v>
      </c>
      <c r="B15" s="153" t="s">
        <v>219</v>
      </c>
      <c r="C15" s="152"/>
      <c r="D15" s="152"/>
      <c r="E15" s="152"/>
      <c r="F15" s="152"/>
      <c r="G15" s="29">
        <f>C15+D15+E15+F15</f>
        <v>0</v>
      </c>
      <c r="H15" s="137"/>
    </row>
    <row r="16" spans="1:8" ht="51" customHeight="1">
      <c r="A16" s="28">
        <f t="shared" si="0"/>
        <v>11</v>
      </c>
      <c r="B16" s="153" t="s">
        <v>219</v>
      </c>
      <c r="C16" s="152"/>
      <c r="D16" s="152"/>
      <c r="E16" s="152"/>
      <c r="F16" s="152"/>
      <c r="G16" s="29">
        <f>C16+D16+E16+F16</f>
        <v>0</v>
      </c>
      <c r="H16" s="137"/>
    </row>
    <row r="17" spans="1:8" ht="49.5" customHeight="1">
      <c r="A17" s="28">
        <f t="shared" si="0"/>
        <v>12</v>
      </c>
      <c r="B17" s="153" t="s">
        <v>219</v>
      </c>
      <c r="C17" s="152"/>
      <c r="D17" s="152"/>
      <c r="E17" s="152"/>
      <c r="F17" s="152"/>
      <c r="G17" s="29">
        <f>C17+D17+E17+F17</f>
        <v>0</v>
      </c>
      <c r="H17" s="137"/>
    </row>
    <row r="18" spans="1:8" ht="18" customHeight="1">
      <c r="A18" s="28">
        <f t="shared" si="0"/>
        <v>13</v>
      </c>
      <c r="B18" s="153" t="s">
        <v>219</v>
      </c>
      <c r="C18" s="152"/>
      <c r="D18" s="152"/>
      <c r="E18" s="152"/>
      <c r="F18" s="152"/>
      <c r="G18" s="29">
        <f>C18+D18+E18+F18</f>
        <v>0</v>
      </c>
      <c r="H18" s="137"/>
    </row>
    <row r="19" spans="1:8" ht="18" customHeight="1">
      <c r="A19" s="28">
        <f t="shared" si="0"/>
        <v>14</v>
      </c>
      <c r="B19" s="153" t="s">
        <v>219</v>
      </c>
      <c r="C19" s="152"/>
      <c r="D19" s="152"/>
      <c r="E19" s="152"/>
      <c r="F19" s="152"/>
      <c r="G19" s="29">
        <f>C19+D19+E19+F19</f>
        <v>0</v>
      </c>
      <c r="H19" s="137"/>
    </row>
    <row r="20" spans="1:8" ht="18" customHeight="1">
      <c r="A20" s="28">
        <f t="shared" si="0"/>
        <v>15</v>
      </c>
      <c r="B20" s="153" t="s">
        <v>219</v>
      </c>
      <c r="C20" s="152"/>
      <c r="D20" s="152"/>
      <c r="E20" s="152"/>
      <c r="F20" s="152"/>
      <c r="G20" s="29">
        <v>0</v>
      </c>
      <c r="H20" s="137"/>
    </row>
    <row r="21" spans="1:8" ht="18" customHeight="1">
      <c r="A21" s="28">
        <f t="shared" si="0"/>
        <v>16</v>
      </c>
      <c r="B21" s="153" t="s">
        <v>219</v>
      </c>
      <c r="C21" s="152"/>
      <c r="D21" s="152"/>
      <c r="E21" s="152"/>
      <c r="F21" s="152"/>
      <c r="G21" s="29">
        <f>C21+D21+E21+F21</f>
        <v>0</v>
      </c>
      <c r="H21" s="137"/>
    </row>
    <row r="22" spans="1:8" ht="33" customHeight="1" thickBot="1">
      <c r="A22" s="28"/>
      <c r="B22" s="116" t="s">
        <v>220</v>
      </c>
      <c r="C22" s="31">
        <f t="shared" ref="C22:F22" si="1">SUM(C6:C21)</f>
        <v>0</v>
      </c>
      <c r="D22" s="31">
        <f t="shared" si="1"/>
        <v>0</v>
      </c>
      <c r="E22" s="31">
        <f t="shared" si="1"/>
        <v>0</v>
      </c>
      <c r="F22" s="31">
        <f t="shared" si="1"/>
        <v>0</v>
      </c>
      <c r="G22" s="31">
        <f>SUM(G6:G21)</f>
        <v>0</v>
      </c>
      <c r="H22" s="137"/>
    </row>
    <row r="23" spans="1:8" ht="13" thickTop="1">
      <c r="A23" s="137"/>
      <c r="B23" s="138"/>
      <c r="C23" s="137"/>
      <c r="D23" s="137"/>
      <c r="E23" s="137"/>
      <c r="F23" s="137"/>
      <c r="G23" s="139"/>
      <c r="H23" s="137"/>
    </row>
  </sheetData>
  <mergeCells count="1">
    <mergeCell ref="A1:G1"/>
  </mergeCells>
  <pageMargins left="0.70866141732283472" right="0.70866141732283472" top="0.74803149606299213" bottom="0.74803149606299213" header="0.31496062992125984" footer="0.31496062992125984"/>
  <pageSetup paperSize="9" scale="72" fitToHeight="0" orientation="portrait" r:id="rId1"/>
  <headerFooter>
    <oddFooter>&amp;LCalderwood PS - Main Works Tender&amp;RPage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C76C-5E61-44FB-A942-0737B083E1AD}">
  <sheetPr>
    <tabColor theme="9" tint="0.79998168889431442"/>
  </sheetPr>
  <dimension ref="A1:D37"/>
  <sheetViews>
    <sheetView zoomScaleNormal="100" workbookViewId="0">
      <selection activeCell="B3" sqref="B3"/>
    </sheetView>
  </sheetViews>
  <sheetFormatPr defaultColWidth="8.7265625" defaultRowHeight="12.5"/>
  <cols>
    <col min="1" max="1" width="9.81640625" customWidth="1"/>
    <col min="2" max="2" width="84" style="18" customWidth="1"/>
    <col min="3" max="3" width="33.1796875" style="3" customWidth="1"/>
    <col min="4" max="4" width="55" customWidth="1"/>
  </cols>
  <sheetData>
    <row r="1" spans="1:4" ht="57" customHeight="1">
      <c r="A1" s="174" t="str">
        <f>'Main Works'!A1</f>
        <v>SINSW08089/25
 New Primary School in Calderwood - Tender Schedules 3 - (Lump Sum)</v>
      </c>
      <c r="B1" s="174"/>
      <c r="C1" s="133"/>
    </row>
    <row r="2" spans="1:4" ht="10" customHeight="1">
      <c r="A2" s="1"/>
      <c r="B2" s="2"/>
    </row>
    <row r="3" spans="1:4" ht="22.5">
      <c r="A3" s="4"/>
      <c r="B3" s="101" t="str">
        <f>'Main Works'!B3</f>
        <v>[Insert]</v>
      </c>
    </row>
    <row r="4" spans="1:4" ht="10" customHeight="1">
      <c r="A4" s="4"/>
      <c r="B4" s="5"/>
    </row>
    <row r="5" spans="1:4" ht="18">
      <c r="A5" s="6" t="s">
        <v>221</v>
      </c>
      <c r="B5" s="5"/>
    </row>
    <row r="6" spans="1:4" ht="10" customHeight="1">
      <c r="A6" s="6"/>
      <c r="B6" s="8"/>
      <c r="C6" s="9"/>
    </row>
    <row r="7" spans="1:4" ht="39" customHeight="1">
      <c r="A7" s="106" t="s">
        <v>23</v>
      </c>
      <c r="B7" s="107" t="s">
        <v>165</v>
      </c>
      <c r="C7" s="108" t="s">
        <v>24</v>
      </c>
      <c r="D7" s="20"/>
    </row>
    <row r="8" spans="1:4" ht="18" customHeight="1">
      <c r="A8" s="28">
        <v>1</v>
      </c>
      <c r="B8" s="27" t="s">
        <v>222</v>
      </c>
      <c r="C8" s="154"/>
    </row>
    <row r="9" spans="1:4" ht="18" customHeight="1">
      <c r="A9" s="28">
        <f>A8+1</f>
        <v>2</v>
      </c>
      <c r="B9" s="27" t="s">
        <v>80</v>
      </c>
      <c r="C9" s="154"/>
    </row>
    <row r="10" spans="1:4" ht="18" customHeight="1">
      <c r="A10" s="28">
        <f t="shared" ref="A10:A36" si="0">A9+1</f>
        <v>3</v>
      </c>
      <c r="B10" s="27" t="s">
        <v>223</v>
      </c>
      <c r="C10" s="154"/>
    </row>
    <row r="11" spans="1:4" ht="18" customHeight="1">
      <c r="A11" s="28">
        <f t="shared" si="0"/>
        <v>4</v>
      </c>
      <c r="B11" s="27" t="s">
        <v>224</v>
      </c>
      <c r="C11" s="154"/>
    </row>
    <row r="12" spans="1:4" ht="18" customHeight="1">
      <c r="A12" s="28">
        <f t="shared" si="0"/>
        <v>5</v>
      </c>
      <c r="B12" s="27" t="s">
        <v>225</v>
      </c>
      <c r="C12" s="154"/>
    </row>
    <row r="13" spans="1:4" ht="18" customHeight="1">
      <c r="A13" s="28">
        <f t="shared" si="0"/>
        <v>6</v>
      </c>
      <c r="B13" s="27" t="s">
        <v>226</v>
      </c>
      <c r="C13" s="154"/>
    </row>
    <row r="14" spans="1:4" ht="18" customHeight="1">
      <c r="A14" s="28">
        <f t="shared" si="0"/>
        <v>7</v>
      </c>
      <c r="B14" s="27" t="s">
        <v>227</v>
      </c>
      <c r="C14" s="154"/>
    </row>
    <row r="15" spans="1:4" ht="18" customHeight="1">
      <c r="A15" s="28">
        <f t="shared" si="0"/>
        <v>8</v>
      </c>
      <c r="B15" s="27" t="s">
        <v>228</v>
      </c>
      <c r="C15" s="154"/>
    </row>
    <row r="16" spans="1:4" s="21" customFormat="1" ht="18" customHeight="1">
      <c r="A16" s="28">
        <f t="shared" si="0"/>
        <v>9</v>
      </c>
      <c r="B16" s="27" t="s">
        <v>229</v>
      </c>
      <c r="C16" s="154"/>
    </row>
    <row r="17" spans="1:3" ht="18" customHeight="1">
      <c r="A17" s="28">
        <f t="shared" si="0"/>
        <v>10</v>
      </c>
      <c r="B17" s="27" t="s">
        <v>230</v>
      </c>
      <c r="C17" s="154"/>
    </row>
    <row r="18" spans="1:3" ht="18" customHeight="1">
      <c r="A18" s="28">
        <f t="shared" si="0"/>
        <v>11</v>
      </c>
      <c r="B18" s="27" t="s">
        <v>231</v>
      </c>
      <c r="C18" s="154"/>
    </row>
    <row r="19" spans="1:3" ht="18" customHeight="1">
      <c r="A19" s="28">
        <f t="shared" si="0"/>
        <v>12</v>
      </c>
      <c r="B19" s="27" t="s">
        <v>232</v>
      </c>
      <c r="C19" s="154"/>
    </row>
    <row r="20" spans="1:3" ht="18" customHeight="1">
      <c r="A20" s="28">
        <f t="shared" si="0"/>
        <v>13</v>
      </c>
      <c r="B20" s="27" t="s">
        <v>233</v>
      </c>
      <c r="C20" s="154"/>
    </row>
    <row r="21" spans="1:3" ht="18" customHeight="1">
      <c r="A21" s="28">
        <f t="shared" si="0"/>
        <v>14</v>
      </c>
      <c r="B21" s="27" t="s">
        <v>234</v>
      </c>
      <c r="C21" s="154"/>
    </row>
    <row r="22" spans="1:3" ht="18" customHeight="1">
      <c r="A22" s="28">
        <f t="shared" si="0"/>
        <v>15</v>
      </c>
      <c r="B22" s="27" t="s">
        <v>235</v>
      </c>
      <c r="C22" s="154"/>
    </row>
    <row r="23" spans="1:3" ht="18" customHeight="1">
      <c r="A23" s="28">
        <f t="shared" si="0"/>
        <v>16</v>
      </c>
      <c r="B23" s="27" t="s">
        <v>236</v>
      </c>
      <c r="C23" s="154"/>
    </row>
    <row r="24" spans="1:3" ht="40" customHeight="1">
      <c r="A24" s="28">
        <f t="shared" si="0"/>
        <v>17</v>
      </c>
      <c r="B24" s="27" t="s">
        <v>237</v>
      </c>
      <c r="C24" s="154"/>
    </row>
    <row r="25" spans="1:3" ht="40" customHeight="1">
      <c r="A25" s="28">
        <f t="shared" si="0"/>
        <v>18</v>
      </c>
      <c r="B25" s="27" t="s">
        <v>238</v>
      </c>
      <c r="C25" s="154"/>
    </row>
    <row r="26" spans="1:3" ht="40" customHeight="1">
      <c r="A26" s="28">
        <f t="shared" si="0"/>
        <v>19</v>
      </c>
      <c r="B26" s="27" t="s">
        <v>239</v>
      </c>
      <c r="C26" s="154"/>
    </row>
    <row r="27" spans="1:3" ht="40" customHeight="1">
      <c r="A27" s="28">
        <f t="shared" si="0"/>
        <v>20</v>
      </c>
      <c r="B27" s="27" t="s">
        <v>240</v>
      </c>
      <c r="C27" s="154"/>
    </row>
    <row r="28" spans="1:3" ht="18" customHeight="1">
      <c r="A28" s="28">
        <f t="shared" si="0"/>
        <v>21</v>
      </c>
      <c r="B28" s="27" t="s">
        <v>241</v>
      </c>
      <c r="C28" s="154"/>
    </row>
    <row r="29" spans="1:3" ht="18" customHeight="1">
      <c r="A29" s="28">
        <f t="shared" si="0"/>
        <v>22</v>
      </c>
      <c r="B29" s="27" t="s">
        <v>242</v>
      </c>
      <c r="C29" s="154"/>
    </row>
    <row r="30" spans="1:3" ht="40" customHeight="1">
      <c r="A30" s="28">
        <f t="shared" si="0"/>
        <v>23</v>
      </c>
      <c r="B30" s="27" t="s">
        <v>243</v>
      </c>
      <c r="C30" s="154"/>
    </row>
    <row r="31" spans="1:3" ht="18" customHeight="1">
      <c r="A31" s="28">
        <f t="shared" si="0"/>
        <v>24</v>
      </c>
      <c r="B31" s="27" t="s">
        <v>64</v>
      </c>
      <c r="C31" s="154"/>
    </row>
    <row r="32" spans="1:3" ht="18" customHeight="1">
      <c r="A32" s="28">
        <f t="shared" si="0"/>
        <v>25</v>
      </c>
      <c r="B32" s="27" t="s">
        <v>66</v>
      </c>
      <c r="C32" s="154"/>
    </row>
    <row r="33" spans="1:4" ht="18" customHeight="1">
      <c r="A33" s="28">
        <f t="shared" si="0"/>
        <v>26</v>
      </c>
      <c r="B33" s="27" t="s">
        <v>244</v>
      </c>
      <c r="C33" s="154"/>
    </row>
    <row r="34" spans="1:4" ht="18" customHeight="1">
      <c r="A34" s="28">
        <f t="shared" si="0"/>
        <v>27</v>
      </c>
      <c r="B34" s="27" t="s">
        <v>245</v>
      </c>
      <c r="C34" s="154"/>
    </row>
    <row r="35" spans="1:4" ht="18" customHeight="1">
      <c r="A35" s="28">
        <f t="shared" si="0"/>
        <v>28</v>
      </c>
      <c r="B35" s="27" t="s">
        <v>246</v>
      </c>
      <c r="C35" s="154"/>
    </row>
    <row r="36" spans="1:4" ht="30.75" customHeight="1" thickBot="1">
      <c r="A36" s="28">
        <f t="shared" si="0"/>
        <v>29</v>
      </c>
      <c r="B36" s="24" t="s">
        <v>247</v>
      </c>
      <c r="C36" s="31">
        <f>SUM(C8:C35)</f>
        <v>0</v>
      </c>
      <c r="D36" s="135" t="s">
        <v>248</v>
      </c>
    </row>
    <row r="37" spans="1:4" ht="13" thickTop="1"/>
  </sheetData>
  <mergeCells count="1">
    <mergeCell ref="A1:B1"/>
  </mergeCells>
  <pageMargins left="0.70866141732283472" right="0.70866141732283472" top="0.74803149606299213" bottom="0.74803149606299213" header="0.31496062992125984" footer="0.31496062992125984"/>
  <pageSetup paperSize="9" scale="72" fitToHeight="0" orientation="portrait" r:id="rId1"/>
  <headerFooter>
    <oddFooter>&amp;LCalderwood PS - Main Works Tender&amp;RPage &amp;P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AD803-C8D6-4E3A-B801-8DB1BEE9B8D5}">
  <sheetPr>
    <tabColor theme="9" tint="0.79998168889431442"/>
  </sheetPr>
  <dimension ref="A1:D18"/>
  <sheetViews>
    <sheetView workbookViewId="0">
      <selection activeCell="B3" sqref="B3"/>
    </sheetView>
  </sheetViews>
  <sheetFormatPr defaultColWidth="8.7265625" defaultRowHeight="12.5"/>
  <cols>
    <col min="1" max="1" width="9.81640625" customWidth="1"/>
    <col min="2" max="2" width="74" style="18" customWidth="1"/>
    <col min="3" max="3" width="49.81640625" style="3" customWidth="1"/>
    <col min="4" max="4" width="55" customWidth="1"/>
  </cols>
  <sheetData>
    <row r="1" spans="1:4" ht="57" customHeight="1">
      <c r="A1" s="174" t="str">
        <f>'Main Works'!A1</f>
        <v>SINSW08089/25
 New Primary School in Calderwood - Tender Schedules 3 - (Lump Sum)</v>
      </c>
      <c r="B1" s="174"/>
      <c r="C1" s="132"/>
    </row>
    <row r="2" spans="1:4" ht="10" customHeight="1">
      <c r="A2" s="1"/>
      <c r="B2" s="2"/>
    </row>
    <row r="3" spans="1:4" ht="22.5">
      <c r="A3" s="4"/>
      <c r="B3" s="101" t="str">
        <f>'Main Works'!B3</f>
        <v>[Insert]</v>
      </c>
    </row>
    <row r="4" spans="1:4" ht="10" customHeight="1">
      <c r="A4" s="4"/>
      <c r="B4" s="5"/>
    </row>
    <row r="5" spans="1:4" ht="18">
      <c r="A5" s="6" t="s">
        <v>67</v>
      </c>
      <c r="B5" s="5"/>
    </row>
    <row r="6" spans="1:4" ht="10" customHeight="1">
      <c r="A6" s="1"/>
      <c r="B6" s="2"/>
    </row>
    <row r="7" spans="1:4" ht="39" customHeight="1">
      <c r="A7" s="106" t="s">
        <v>23</v>
      </c>
      <c r="B7" s="107" t="s">
        <v>165</v>
      </c>
      <c r="C7" s="108" t="s">
        <v>24</v>
      </c>
      <c r="D7" s="20"/>
    </row>
    <row r="8" spans="1:4" ht="18" customHeight="1">
      <c r="A8" s="28">
        <v>1</v>
      </c>
      <c r="B8" s="27" t="s">
        <v>249</v>
      </c>
      <c r="C8" s="154"/>
    </row>
    <row r="9" spans="1:4" ht="18" customHeight="1">
      <c r="A9" s="28">
        <f t="shared" ref="A9:A17" si="0">A8+1</f>
        <v>2</v>
      </c>
      <c r="B9" s="27" t="s">
        <v>250</v>
      </c>
      <c r="C9" s="154"/>
    </row>
    <row r="10" spans="1:4" ht="18" customHeight="1">
      <c r="A10" s="28">
        <f t="shared" si="0"/>
        <v>3</v>
      </c>
      <c r="B10" s="27" t="s">
        <v>251</v>
      </c>
      <c r="C10" s="154"/>
    </row>
    <row r="11" spans="1:4" ht="18" customHeight="1">
      <c r="A11" s="28">
        <f t="shared" si="0"/>
        <v>4</v>
      </c>
      <c r="B11" s="27" t="s">
        <v>252</v>
      </c>
      <c r="C11" s="154"/>
    </row>
    <row r="12" spans="1:4" ht="18" customHeight="1">
      <c r="A12" s="28">
        <f t="shared" si="0"/>
        <v>5</v>
      </c>
      <c r="B12" s="27" t="s">
        <v>253</v>
      </c>
      <c r="C12" s="154"/>
    </row>
    <row r="13" spans="1:4" ht="18" customHeight="1">
      <c r="A13" s="28">
        <f t="shared" si="0"/>
        <v>6</v>
      </c>
      <c r="B13" s="27" t="s">
        <v>254</v>
      </c>
      <c r="C13" s="154"/>
    </row>
    <row r="14" spans="1:4" ht="18" customHeight="1">
      <c r="A14" s="28">
        <f t="shared" si="0"/>
        <v>7</v>
      </c>
      <c r="B14" s="27" t="s">
        <v>244</v>
      </c>
      <c r="C14" s="154"/>
    </row>
    <row r="15" spans="1:4" ht="18" customHeight="1">
      <c r="A15" s="28">
        <f t="shared" si="0"/>
        <v>8</v>
      </c>
      <c r="B15" s="27" t="s">
        <v>245</v>
      </c>
      <c r="C15" s="154"/>
    </row>
    <row r="16" spans="1:4" ht="18" customHeight="1">
      <c r="A16" s="28">
        <f t="shared" si="0"/>
        <v>9</v>
      </c>
      <c r="B16" s="27" t="s">
        <v>246</v>
      </c>
      <c r="C16" s="154"/>
    </row>
    <row r="17" spans="1:4" ht="30.75" customHeight="1" thickBot="1">
      <c r="A17" s="28">
        <f t="shared" si="0"/>
        <v>10</v>
      </c>
      <c r="B17" s="24" t="s">
        <v>255</v>
      </c>
      <c r="C17" s="31">
        <f>SUM(C8:C16)</f>
        <v>0</v>
      </c>
      <c r="D17" s="135" t="s">
        <v>256</v>
      </c>
    </row>
    <row r="18" spans="1:4" ht="13" thickTop="1"/>
  </sheetData>
  <mergeCells count="1">
    <mergeCell ref="A1:B1"/>
  </mergeCells>
  <pageMargins left="0.70866141732283472" right="0.70866141732283472" top="0.74803149606299213" bottom="0.74803149606299213" header="0.31496062992125984" footer="0.31496062992125984"/>
  <pageSetup paperSize="9" scale="72" fitToHeight="0" orientation="portrait" r:id="rId1"/>
  <headerFooter>
    <oddFooter>&amp;LCalderwood PS - Main Works Tender&amp;RPage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2944-B60C-446F-89A4-96A175E8E1F5}">
  <sheetPr>
    <tabColor theme="9" tint="0.79998168889431442"/>
  </sheetPr>
  <dimension ref="A1:D29"/>
  <sheetViews>
    <sheetView workbookViewId="0">
      <selection activeCell="B3" sqref="B3"/>
    </sheetView>
  </sheetViews>
  <sheetFormatPr defaultColWidth="8.7265625" defaultRowHeight="12.5"/>
  <cols>
    <col min="1" max="1" width="9.81640625" customWidth="1"/>
    <col min="2" max="2" width="74" style="18" customWidth="1"/>
    <col min="3" max="3" width="49.81640625" style="3" customWidth="1"/>
    <col min="4" max="4" width="55" customWidth="1"/>
  </cols>
  <sheetData>
    <row r="1" spans="1:4" ht="57" customHeight="1">
      <c r="A1" s="174" t="str">
        <f>'Main Works'!A1</f>
        <v>SINSW08089/25
 New Primary School in Calderwood - Tender Schedules 3 - (Lump Sum)</v>
      </c>
      <c r="B1" s="174"/>
      <c r="C1" s="126"/>
    </row>
    <row r="2" spans="1:4" ht="10" customHeight="1">
      <c r="A2" s="1"/>
      <c r="B2" s="2"/>
    </row>
    <row r="3" spans="1:4" ht="22.5">
      <c r="A3" s="4"/>
      <c r="B3" s="101" t="str">
        <f>'Main Works'!B3</f>
        <v>[Insert]</v>
      </c>
    </row>
    <row r="4" spans="1:4" ht="10" customHeight="1">
      <c r="A4" s="4"/>
      <c r="B4" s="5"/>
    </row>
    <row r="5" spans="1:4" ht="18">
      <c r="A5" s="6" t="s">
        <v>61</v>
      </c>
      <c r="B5" s="5"/>
    </row>
    <row r="6" spans="1:4" ht="10" customHeight="1">
      <c r="A6" s="1"/>
      <c r="B6" s="2"/>
    </row>
    <row r="7" spans="1:4" ht="39" customHeight="1">
      <c r="A7" s="106" t="s">
        <v>23</v>
      </c>
      <c r="B7" s="107" t="s">
        <v>165</v>
      </c>
      <c r="C7" s="108" t="s">
        <v>24</v>
      </c>
      <c r="D7" s="20"/>
    </row>
    <row r="8" spans="1:4" ht="18" customHeight="1">
      <c r="A8" s="28">
        <v>1</v>
      </c>
      <c r="B8" s="27" t="s">
        <v>257</v>
      </c>
      <c r="C8" s="154"/>
    </row>
    <row r="9" spans="1:4" ht="18" customHeight="1">
      <c r="A9" s="28">
        <f>A8+1</f>
        <v>2</v>
      </c>
      <c r="B9" s="27" t="s">
        <v>258</v>
      </c>
      <c r="C9" s="154"/>
    </row>
    <row r="10" spans="1:4" ht="18" customHeight="1">
      <c r="A10" s="28">
        <f t="shared" ref="A10:A28" si="0">A9+1</f>
        <v>3</v>
      </c>
      <c r="B10" s="27" t="s">
        <v>259</v>
      </c>
      <c r="C10" s="154"/>
    </row>
    <row r="11" spans="1:4" ht="18" customHeight="1">
      <c r="A11" s="28">
        <f t="shared" si="0"/>
        <v>4</v>
      </c>
      <c r="B11" s="27" t="s">
        <v>260</v>
      </c>
      <c r="C11" s="154"/>
    </row>
    <row r="12" spans="1:4" ht="18" customHeight="1">
      <c r="A12" s="28">
        <f t="shared" si="0"/>
        <v>5</v>
      </c>
      <c r="B12" s="27" t="s">
        <v>261</v>
      </c>
      <c r="C12" s="154"/>
    </row>
    <row r="13" spans="1:4" ht="18" customHeight="1">
      <c r="A13" s="28">
        <f t="shared" si="0"/>
        <v>6</v>
      </c>
      <c r="B13" s="27" t="s">
        <v>74</v>
      </c>
      <c r="C13" s="154"/>
    </row>
    <row r="14" spans="1:4" ht="35.15" customHeight="1">
      <c r="A14" s="28">
        <f t="shared" si="0"/>
        <v>7</v>
      </c>
      <c r="B14" s="27" t="s">
        <v>262</v>
      </c>
      <c r="C14" s="154"/>
    </row>
    <row r="15" spans="1:4" ht="35.15" customHeight="1">
      <c r="A15" s="28">
        <f t="shared" si="0"/>
        <v>8</v>
      </c>
      <c r="B15" s="27" t="s">
        <v>263</v>
      </c>
      <c r="C15" s="154"/>
    </row>
    <row r="16" spans="1:4" ht="35.15" customHeight="1">
      <c r="A16" s="28">
        <f t="shared" si="0"/>
        <v>9</v>
      </c>
      <c r="B16" s="27" t="s">
        <v>264</v>
      </c>
      <c r="C16" s="154"/>
    </row>
    <row r="17" spans="1:4" ht="18" customHeight="1">
      <c r="A17" s="28">
        <f t="shared" si="0"/>
        <v>10</v>
      </c>
      <c r="B17" s="27" t="s">
        <v>265</v>
      </c>
      <c r="C17" s="154"/>
    </row>
    <row r="18" spans="1:4" ht="18" customHeight="1">
      <c r="A18" s="28">
        <f t="shared" si="0"/>
        <v>11</v>
      </c>
      <c r="B18" s="27" t="s">
        <v>266</v>
      </c>
      <c r="C18" s="154"/>
    </row>
    <row r="19" spans="1:4" ht="18" customHeight="1">
      <c r="A19" s="28">
        <f t="shared" si="0"/>
        <v>12</v>
      </c>
      <c r="B19" s="155" t="s">
        <v>246</v>
      </c>
      <c r="C19" s="154"/>
    </row>
    <row r="20" spans="1:4" s="26" customFormat="1" ht="18" customHeight="1">
      <c r="A20" s="28">
        <f t="shared" si="0"/>
        <v>13</v>
      </c>
      <c r="B20" s="30" t="s">
        <v>267</v>
      </c>
      <c r="C20" s="134">
        <f>SUM(C8:C19)</f>
        <v>0</v>
      </c>
    </row>
    <row r="21" spans="1:4" ht="18" customHeight="1">
      <c r="A21" s="28">
        <f t="shared" si="0"/>
        <v>14</v>
      </c>
      <c r="B21" s="27" t="s">
        <v>268</v>
      </c>
      <c r="C21" s="154"/>
    </row>
    <row r="22" spans="1:4" ht="18" customHeight="1">
      <c r="A22" s="28">
        <f t="shared" si="0"/>
        <v>15</v>
      </c>
      <c r="B22" s="27" t="s">
        <v>269</v>
      </c>
      <c r="C22" s="154"/>
    </row>
    <row r="23" spans="1:4" ht="18" customHeight="1">
      <c r="A23" s="28">
        <f t="shared" si="0"/>
        <v>16</v>
      </c>
      <c r="B23" s="27" t="s">
        <v>270</v>
      </c>
      <c r="C23" s="154"/>
    </row>
    <row r="24" spans="1:4" ht="18" customHeight="1">
      <c r="A24" s="28">
        <f t="shared" si="0"/>
        <v>17</v>
      </c>
      <c r="B24" s="155" t="s">
        <v>246</v>
      </c>
      <c r="C24" s="154"/>
    </row>
    <row r="25" spans="1:4" s="26" customFormat="1" ht="18" customHeight="1">
      <c r="A25" s="28">
        <f t="shared" si="0"/>
        <v>18</v>
      </c>
      <c r="B25" s="30" t="s">
        <v>271</v>
      </c>
      <c r="C25" s="134">
        <f>SUM(C21:C24)</f>
        <v>0</v>
      </c>
    </row>
    <row r="26" spans="1:4" s="26" customFormat="1" ht="18" customHeight="1">
      <c r="A26" s="28">
        <f t="shared" si="0"/>
        <v>19</v>
      </c>
      <c r="B26" s="27" t="s">
        <v>245</v>
      </c>
      <c r="C26" s="154"/>
    </row>
    <row r="27" spans="1:4" s="26" customFormat="1" ht="18" customHeight="1">
      <c r="A27" s="28">
        <f t="shared" si="0"/>
        <v>20</v>
      </c>
      <c r="B27" s="155" t="s">
        <v>246</v>
      </c>
      <c r="C27" s="154"/>
    </row>
    <row r="28" spans="1:4" ht="30.75" customHeight="1" thickBot="1">
      <c r="A28" s="28">
        <f t="shared" si="0"/>
        <v>21</v>
      </c>
      <c r="B28" s="24" t="s">
        <v>272</v>
      </c>
      <c r="C28" s="31">
        <f>C20+C25+C26+C27</f>
        <v>0</v>
      </c>
      <c r="D28" s="135" t="s">
        <v>273</v>
      </c>
    </row>
    <row r="29" spans="1:4" ht="13" thickTop="1"/>
  </sheetData>
  <mergeCells count="1">
    <mergeCell ref="A1:B1"/>
  </mergeCells>
  <pageMargins left="0.70866141732283472" right="0.70866141732283472" top="0.74803149606299213" bottom="0.74803149606299213" header="0.31496062992125984" footer="0.31496062992125984"/>
  <pageSetup paperSize="9" scale="72" fitToHeight="0" orientation="portrait" r:id="rId1"/>
  <headerFooter>
    <oddFooter>&amp;LCalderwood PS - Main Works Tender&amp;RPage &amp;P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081A5-E3E7-4776-B92D-3232E3062DA5}">
  <sheetPr>
    <tabColor theme="9" tint="0.79998168889431442"/>
  </sheetPr>
  <dimension ref="A1:D17"/>
  <sheetViews>
    <sheetView workbookViewId="0">
      <selection activeCell="B3" sqref="B3"/>
    </sheetView>
  </sheetViews>
  <sheetFormatPr defaultColWidth="8.7265625" defaultRowHeight="12.5"/>
  <cols>
    <col min="1" max="1" width="9.81640625" customWidth="1"/>
    <col min="2" max="2" width="77.81640625" style="18" customWidth="1"/>
    <col min="3" max="3" width="42.81640625" style="3" customWidth="1"/>
    <col min="4" max="4" width="55" customWidth="1"/>
  </cols>
  <sheetData>
    <row r="1" spans="1:4" ht="63" customHeight="1">
      <c r="A1" s="174" t="str">
        <f>'Main Works'!A1</f>
        <v>SINSW08089/25
 New Primary School in Calderwood - Tender Schedules 3 - (Lump Sum)</v>
      </c>
      <c r="B1" s="174"/>
      <c r="C1" s="126"/>
    </row>
    <row r="2" spans="1:4" ht="10" customHeight="1">
      <c r="A2" s="1"/>
      <c r="B2" s="2"/>
    </row>
    <row r="3" spans="1:4" ht="22.5">
      <c r="A3" s="4"/>
      <c r="B3" s="101" t="str">
        <f>'Main Works'!B3</f>
        <v>[Insert]</v>
      </c>
    </row>
    <row r="4" spans="1:4" ht="10" customHeight="1">
      <c r="A4" s="4"/>
      <c r="B4" s="5"/>
    </row>
    <row r="5" spans="1:4" ht="18">
      <c r="A5" s="6" t="s">
        <v>274</v>
      </c>
      <c r="B5" s="5"/>
    </row>
    <row r="6" spans="1:4" ht="10" customHeight="1">
      <c r="A6" s="1"/>
      <c r="B6" s="2"/>
    </row>
    <row r="7" spans="1:4" ht="39" customHeight="1">
      <c r="A7" s="106" t="s">
        <v>23</v>
      </c>
      <c r="B7" s="107" t="s">
        <v>165</v>
      </c>
      <c r="C7" s="108" t="s">
        <v>24</v>
      </c>
      <c r="D7" s="20"/>
    </row>
    <row r="8" spans="1:4" ht="18" customHeight="1">
      <c r="A8" s="28">
        <v>1</v>
      </c>
      <c r="B8" s="27" t="s">
        <v>275</v>
      </c>
      <c r="C8" s="154"/>
    </row>
    <row r="9" spans="1:4" ht="18" customHeight="1">
      <c r="A9" s="28">
        <f>A8+1</f>
        <v>2</v>
      </c>
      <c r="B9" s="27" t="s">
        <v>276</v>
      </c>
      <c r="C9" s="154"/>
    </row>
    <row r="10" spans="1:4" ht="18" customHeight="1">
      <c r="A10" s="28">
        <f t="shared" ref="A10:A16" si="0">A9+1</f>
        <v>3</v>
      </c>
      <c r="B10" s="27" t="s">
        <v>277</v>
      </c>
      <c r="C10" s="154"/>
    </row>
    <row r="11" spans="1:4" ht="18" customHeight="1">
      <c r="A11" s="28">
        <f t="shared" si="0"/>
        <v>4</v>
      </c>
      <c r="B11" s="27" t="s">
        <v>278</v>
      </c>
      <c r="C11" s="154"/>
    </row>
    <row r="12" spans="1:4" ht="35.15" customHeight="1">
      <c r="A12" s="28">
        <f t="shared" si="0"/>
        <v>5</v>
      </c>
      <c r="B12" s="27" t="s">
        <v>279</v>
      </c>
      <c r="C12" s="154"/>
    </row>
    <row r="13" spans="1:4" ht="18" customHeight="1">
      <c r="A13" s="28">
        <f t="shared" si="0"/>
        <v>6</v>
      </c>
      <c r="B13" s="27" t="s">
        <v>244</v>
      </c>
      <c r="C13" s="154"/>
    </row>
    <row r="14" spans="1:4" ht="18" customHeight="1">
      <c r="A14" s="28">
        <f t="shared" si="0"/>
        <v>7</v>
      </c>
      <c r="B14" s="27" t="s">
        <v>245</v>
      </c>
      <c r="C14" s="154"/>
    </row>
    <row r="15" spans="1:4" ht="18" customHeight="1">
      <c r="A15" s="28">
        <f t="shared" si="0"/>
        <v>8</v>
      </c>
      <c r="B15" s="155" t="s">
        <v>246</v>
      </c>
      <c r="C15" s="154"/>
    </row>
    <row r="16" spans="1:4" ht="30.65" customHeight="1" thickBot="1">
      <c r="A16" s="28">
        <f t="shared" si="0"/>
        <v>9</v>
      </c>
      <c r="B16" s="24" t="s">
        <v>280</v>
      </c>
      <c r="C16" s="31">
        <f>SUM(C8:C15)</f>
        <v>0</v>
      </c>
      <c r="D16" s="135" t="s">
        <v>281</v>
      </c>
    </row>
    <row r="17" ht="13" thickTop="1"/>
  </sheetData>
  <mergeCells count="1">
    <mergeCell ref="A1:B1"/>
  </mergeCells>
  <pageMargins left="0.70866141732283472" right="0.70866141732283472" top="0.74803149606299213" bottom="0.74803149606299213" header="0.31496062992125984" footer="0.31496062992125984"/>
  <pageSetup paperSize="9" scale="72" fitToHeight="0" orientation="portrait" r:id="rId1"/>
  <headerFooter>
    <oddFooter>&amp;LCalderwood PS - Main Works Tender&amp;RPage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AD5C-8056-4F70-8316-BC5024B3F6F7}">
  <sheetPr>
    <tabColor rgb="FF7030A0"/>
  </sheetPr>
  <dimension ref="A1:G86"/>
  <sheetViews>
    <sheetView zoomScaleNormal="100" zoomScaleSheetLayoutView="50" workbookViewId="0">
      <selection sqref="A1:D1"/>
    </sheetView>
  </sheetViews>
  <sheetFormatPr defaultColWidth="9" defaultRowHeight="15.5"/>
  <cols>
    <col min="1" max="1" width="3.7265625" style="40" customWidth="1"/>
    <col min="2" max="2" width="11.26953125" style="54" customWidth="1"/>
    <col min="3" max="3" width="86.26953125" style="40" customWidth="1"/>
    <col min="4" max="4" width="12.1796875" style="54" customWidth="1"/>
    <col min="5" max="5" width="22.81640625" style="40" customWidth="1"/>
    <col min="6" max="16384" width="9" style="40"/>
  </cols>
  <sheetData>
    <row r="1" spans="1:5" ht="53.25" customHeight="1">
      <c r="A1" s="175" t="s">
        <v>473</v>
      </c>
      <c r="B1" s="175"/>
      <c r="C1" s="175"/>
      <c r="D1" s="175"/>
      <c r="E1" s="140"/>
    </row>
    <row r="2" spans="1:5" ht="10" customHeight="1">
      <c r="B2" s="60"/>
    </row>
    <row r="3" spans="1:5" s="35" customFormat="1" ht="30" customHeight="1">
      <c r="B3" s="33"/>
      <c r="C3" s="34" t="str">
        <f>' Summary'!C3</f>
        <v>[Insert]</v>
      </c>
      <c r="D3" s="61"/>
    </row>
    <row r="4" spans="1:5" ht="10" customHeight="1"/>
    <row r="5" spans="1:5" s="37" customFormat="1" ht="20.25" customHeight="1">
      <c r="B5" s="36" t="str">
        <f>'[12]3.3 Delivery Consultants'!B6</f>
        <v xml:space="preserve">MAIN WORKS </v>
      </c>
      <c r="D5" s="62"/>
    </row>
    <row r="6" spans="1:5" s="39" customFormat="1" ht="20.25" customHeight="1">
      <c r="B6" s="38" t="s">
        <v>282</v>
      </c>
      <c r="D6" s="63"/>
    </row>
    <row r="7" spans="1:5" ht="10" customHeight="1" thickBot="1"/>
    <row r="8" spans="1:5" ht="37.5" customHeight="1">
      <c r="B8" s="141" t="s">
        <v>1</v>
      </c>
      <c r="C8" s="142" t="s">
        <v>2</v>
      </c>
      <c r="D8" s="143" t="s">
        <v>283</v>
      </c>
      <c r="E8" s="144" t="s">
        <v>284</v>
      </c>
    </row>
    <row r="9" spans="1:5" ht="16.5" customHeight="1">
      <c r="B9" s="41" t="s">
        <v>285</v>
      </c>
      <c r="C9" s="42" t="s">
        <v>286</v>
      </c>
      <c r="D9" s="64"/>
      <c r="E9" s="47"/>
    </row>
    <row r="10" spans="1:5">
      <c r="B10" s="43"/>
      <c r="C10" s="44" t="s">
        <v>287</v>
      </c>
      <c r="D10" s="65"/>
      <c r="E10" s="45"/>
    </row>
    <row r="11" spans="1:5" ht="86.25" customHeight="1">
      <c r="B11" s="43"/>
      <c r="C11" s="44" t="s">
        <v>288</v>
      </c>
      <c r="D11" s="65"/>
      <c r="E11" s="45"/>
    </row>
    <row r="12" spans="1:5" ht="31">
      <c r="B12" s="43"/>
      <c r="C12" s="44" t="s">
        <v>289</v>
      </c>
      <c r="D12" s="65"/>
      <c r="E12" s="45"/>
    </row>
    <row r="13" spans="1:5">
      <c r="B13" s="43"/>
      <c r="C13" s="46" t="s">
        <v>290</v>
      </c>
      <c r="D13" s="65"/>
      <c r="E13" s="45"/>
    </row>
    <row r="14" spans="1:5" ht="16.5" customHeight="1">
      <c r="B14" s="43"/>
      <c r="C14" s="44"/>
      <c r="D14" s="65"/>
      <c r="E14" s="45"/>
    </row>
    <row r="15" spans="1:5" ht="16.5" customHeight="1">
      <c r="B15" s="66">
        <v>1</v>
      </c>
      <c r="C15" s="67" t="s">
        <v>291</v>
      </c>
      <c r="D15" s="68"/>
      <c r="E15" s="69"/>
    </row>
    <row r="16" spans="1:5" ht="16.5" customHeight="1">
      <c r="B16" s="43">
        <f t="shared" ref="B16:B23" si="0">B15+0.01</f>
        <v>1.01</v>
      </c>
      <c r="C16" s="44" t="s">
        <v>292</v>
      </c>
      <c r="D16" s="65" t="s">
        <v>293</v>
      </c>
      <c r="E16" s="156">
        <v>0</v>
      </c>
    </row>
    <row r="17" spans="2:7" ht="16.5" customHeight="1">
      <c r="B17" s="43">
        <f t="shared" si="0"/>
        <v>1.02</v>
      </c>
      <c r="C17" s="44" t="s">
        <v>294</v>
      </c>
      <c r="D17" s="65" t="s">
        <v>293</v>
      </c>
      <c r="E17" s="156">
        <v>0</v>
      </c>
    </row>
    <row r="18" spans="2:7" ht="16.5" customHeight="1">
      <c r="B18" s="43">
        <f t="shared" si="0"/>
        <v>1.03</v>
      </c>
      <c r="C18" s="44" t="s">
        <v>295</v>
      </c>
      <c r="D18" s="65" t="s">
        <v>296</v>
      </c>
      <c r="E18" s="156">
        <v>0</v>
      </c>
    </row>
    <row r="19" spans="2:7" ht="16.5" customHeight="1">
      <c r="B19" s="43">
        <f t="shared" si="0"/>
        <v>1.04</v>
      </c>
      <c r="C19" s="44" t="s">
        <v>297</v>
      </c>
      <c r="D19" s="65" t="s">
        <v>296</v>
      </c>
      <c r="E19" s="156">
        <v>0</v>
      </c>
    </row>
    <row r="20" spans="2:7" ht="16.5" customHeight="1">
      <c r="B20" s="43">
        <f t="shared" si="0"/>
        <v>1.05</v>
      </c>
      <c r="C20" s="44" t="s">
        <v>298</v>
      </c>
      <c r="D20" s="65" t="s">
        <v>296</v>
      </c>
      <c r="E20" s="156">
        <v>0</v>
      </c>
      <c r="G20" s="70"/>
    </row>
    <row r="21" spans="2:7" ht="16.5" customHeight="1">
      <c r="B21" s="43">
        <f t="shared" si="0"/>
        <v>1.06</v>
      </c>
      <c r="C21" s="44" t="s">
        <v>299</v>
      </c>
      <c r="D21" s="65" t="s">
        <v>296</v>
      </c>
      <c r="E21" s="156">
        <v>0</v>
      </c>
    </row>
    <row r="22" spans="2:7" ht="16.5" customHeight="1">
      <c r="B22" s="43">
        <f t="shared" si="0"/>
        <v>1.07</v>
      </c>
      <c r="C22" s="44" t="s">
        <v>300</v>
      </c>
      <c r="D22" s="65" t="s">
        <v>296</v>
      </c>
      <c r="E22" s="156">
        <v>0</v>
      </c>
      <c r="G22" s="70"/>
    </row>
    <row r="23" spans="2:7" ht="16.5" customHeight="1">
      <c r="B23" s="43">
        <f t="shared" si="0"/>
        <v>1.08</v>
      </c>
      <c r="C23" s="44" t="s">
        <v>301</v>
      </c>
      <c r="D23" s="65" t="s">
        <v>296</v>
      </c>
      <c r="E23" s="156">
        <v>0</v>
      </c>
    </row>
    <row r="24" spans="2:7" ht="16.5" customHeight="1">
      <c r="B24" s="43">
        <f>B23+0.01</f>
        <v>1.0900000000000001</v>
      </c>
      <c r="C24" s="44" t="s">
        <v>302</v>
      </c>
      <c r="D24" s="65" t="s">
        <v>296</v>
      </c>
      <c r="E24" s="156">
        <v>0</v>
      </c>
    </row>
    <row r="25" spans="2:7" ht="16.5" customHeight="1">
      <c r="B25" s="43">
        <f t="shared" ref="B25:B28" si="1">B24+0.01</f>
        <v>1.1000000000000001</v>
      </c>
      <c r="C25" s="44" t="s">
        <v>303</v>
      </c>
      <c r="D25" s="65" t="s">
        <v>296</v>
      </c>
      <c r="E25" s="156">
        <v>0</v>
      </c>
      <c r="G25" s="70"/>
    </row>
    <row r="26" spans="2:7" ht="31">
      <c r="B26" s="43">
        <f t="shared" si="1"/>
        <v>1.1100000000000001</v>
      </c>
      <c r="C26" s="44" t="s">
        <v>304</v>
      </c>
      <c r="D26" s="65" t="s">
        <v>296</v>
      </c>
      <c r="E26" s="156">
        <v>0</v>
      </c>
    </row>
    <row r="27" spans="2:7">
      <c r="B27" s="43">
        <f t="shared" si="1"/>
        <v>1.1200000000000001</v>
      </c>
      <c r="C27" s="71" t="s">
        <v>305</v>
      </c>
      <c r="D27" s="72" t="s">
        <v>293</v>
      </c>
      <c r="E27" s="157">
        <v>0</v>
      </c>
    </row>
    <row r="28" spans="2:7">
      <c r="B28" s="43">
        <f t="shared" si="1"/>
        <v>1.1300000000000001</v>
      </c>
      <c r="C28" s="71" t="s">
        <v>306</v>
      </c>
      <c r="D28" s="72" t="s">
        <v>296</v>
      </c>
      <c r="E28" s="157">
        <v>0</v>
      </c>
    </row>
    <row r="29" spans="2:7" ht="16.5" customHeight="1">
      <c r="B29" s="66">
        <v>2</v>
      </c>
      <c r="C29" s="67" t="s">
        <v>307</v>
      </c>
      <c r="D29" s="68"/>
      <c r="E29" s="69"/>
    </row>
    <row r="30" spans="2:7" ht="16.5" customHeight="1">
      <c r="B30" s="43">
        <f>B29+0.01</f>
        <v>2.0099999999999998</v>
      </c>
      <c r="C30" s="44" t="s">
        <v>308</v>
      </c>
      <c r="D30" s="65" t="s">
        <v>309</v>
      </c>
      <c r="E30" s="156">
        <v>0</v>
      </c>
    </row>
    <row r="31" spans="2:7" ht="16.5" customHeight="1">
      <c r="B31" s="43">
        <f t="shared" ref="B31:B37" si="2">B30+0.01</f>
        <v>2.0199999999999996</v>
      </c>
      <c r="C31" s="44" t="s">
        <v>310</v>
      </c>
      <c r="D31" s="65" t="s">
        <v>311</v>
      </c>
      <c r="E31" s="156">
        <v>0</v>
      </c>
    </row>
    <row r="32" spans="2:7" ht="16.5" customHeight="1">
      <c r="B32" s="43">
        <f t="shared" si="2"/>
        <v>2.0299999999999994</v>
      </c>
      <c r="C32" s="44" t="s">
        <v>312</v>
      </c>
      <c r="D32" s="65" t="s">
        <v>311</v>
      </c>
      <c r="E32" s="156">
        <v>0</v>
      </c>
    </row>
    <row r="33" spans="2:5" ht="31">
      <c r="B33" s="43">
        <f t="shared" si="2"/>
        <v>2.0399999999999991</v>
      </c>
      <c r="C33" s="44" t="s">
        <v>313</v>
      </c>
      <c r="D33" s="65" t="s">
        <v>296</v>
      </c>
      <c r="E33" s="156">
        <v>0</v>
      </c>
    </row>
    <row r="34" spans="2:5" ht="31">
      <c r="B34" s="43">
        <f t="shared" si="2"/>
        <v>2.0499999999999989</v>
      </c>
      <c r="C34" s="44" t="s">
        <v>314</v>
      </c>
      <c r="D34" s="65" t="s">
        <v>296</v>
      </c>
      <c r="E34" s="156">
        <v>0</v>
      </c>
    </row>
    <row r="35" spans="2:5">
      <c r="B35" s="73">
        <f t="shared" si="2"/>
        <v>2.0599999999999987</v>
      </c>
      <c r="C35" s="71" t="s">
        <v>315</v>
      </c>
      <c r="D35" s="72" t="s">
        <v>296</v>
      </c>
      <c r="E35" s="157">
        <v>0</v>
      </c>
    </row>
    <row r="36" spans="2:5">
      <c r="B36" s="43">
        <f t="shared" si="2"/>
        <v>2.0699999999999985</v>
      </c>
      <c r="C36" s="44" t="s">
        <v>316</v>
      </c>
      <c r="D36" s="65" t="s">
        <v>311</v>
      </c>
      <c r="E36" s="156">
        <v>0</v>
      </c>
    </row>
    <row r="37" spans="2:5">
      <c r="B37" s="43">
        <f t="shared" si="2"/>
        <v>2.0799999999999983</v>
      </c>
      <c r="C37" s="44" t="s">
        <v>317</v>
      </c>
      <c r="D37" s="65" t="s">
        <v>311</v>
      </c>
      <c r="E37" s="156">
        <v>0</v>
      </c>
    </row>
    <row r="38" spans="2:5" ht="16.5" customHeight="1">
      <c r="B38" s="66">
        <v>3</v>
      </c>
      <c r="C38" s="67" t="s">
        <v>318</v>
      </c>
      <c r="D38" s="68"/>
      <c r="E38" s="69"/>
    </row>
    <row r="39" spans="2:5" ht="16.5" customHeight="1">
      <c r="B39" s="43">
        <f>B38+0.01</f>
        <v>3.01</v>
      </c>
      <c r="C39" s="44" t="s">
        <v>319</v>
      </c>
      <c r="D39" s="65" t="s">
        <v>311</v>
      </c>
      <c r="E39" s="156">
        <v>0</v>
      </c>
    </row>
    <row r="40" spans="2:5" ht="16.5" customHeight="1">
      <c r="B40" s="43">
        <f t="shared" ref="B40:B42" si="3">B39+0.01</f>
        <v>3.0199999999999996</v>
      </c>
      <c r="C40" s="44" t="s">
        <v>320</v>
      </c>
      <c r="D40" s="65" t="s">
        <v>311</v>
      </c>
      <c r="E40" s="156">
        <v>0</v>
      </c>
    </row>
    <row r="41" spans="2:5" ht="16.5" customHeight="1">
      <c r="B41" s="43">
        <f t="shared" si="3"/>
        <v>3.0299999999999994</v>
      </c>
      <c r="C41" s="44" t="s">
        <v>321</v>
      </c>
      <c r="D41" s="65" t="s">
        <v>311</v>
      </c>
      <c r="E41" s="156">
        <v>0</v>
      </c>
    </row>
    <row r="42" spans="2:5" ht="16.5" customHeight="1">
      <c r="B42" s="43">
        <f t="shared" si="3"/>
        <v>3.0399999999999991</v>
      </c>
      <c r="C42" s="44" t="s">
        <v>322</v>
      </c>
      <c r="D42" s="65" t="s">
        <v>311</v>
      </c>
      <c r="E42" s="156">
        <v>0</v>
      </c>
    </row>
    <row r="43" spans="2:5" ht="16.5" customHeight="1">
      <c r="B43" s="66">
        <v>4</v>
      </c>
      <c r="C43" s="67" t="s">
        <v>323</v>
      </c>
      <c r="D43" s="68"/>
      <c r="E43" s="69"/>
    </row>
    <row r="44" spans="2:5" ht="16.5" customHeight="1">
      <c r="B44" s="43">
        <f t="shared" ref="B44:B57" si="4">B43+0.01</f>
        <v>4.01</v>
      </c>
      <c r="C44" s="74" t="s">
        <v>324</v>
      </c>
      <c r="D44" s="75"/>
      <c r="E44" s="76"/>
    </row>
    <row r="45" spans="2:5" ht="16.5" customHeight="1">
      <c r="B45" s="43">
        <f t="shared" si="4"/>
        <v>4.0199999999999996</v>
      </c>
      <c r="C45" s="49" t="s">
        <v>325</v>
      </c>
      <c r="D45" s="75" t="s">
        <v>293</v>
      </c>
      <c r="E45" s="156">
        <v>0</v>
      </c>
    </row>
    <row r="46" spans="2:5">
      <c r="B46" s="43">
        <f t="shared" si="4"/>
        <v>4.0299999999999994</v>
      </c>
      <c r="C46" s="49" t="s">
        <v>326</v>
      </c>
      <c r="D46" s="75" t="s">
        <v>293</v>
      </c>
      <c r="E46" s="156">
        <v>0</v>
      </c>
    </row>
    <row r="47" spans="2:5">
      <c r="B47" s="43">
        <f t="shared" si="4"/>
        <v>4.0399999999999991</v>
      </c>
      <c r="C47" s="49" t="s">
        <v>327</v>
      </c>
      <c r="D47" s="75" t="s">
        <v>293</v>
      </c>
      <c r="E47" s="156">
        <v>0</v>
      </c>
    </row>
    <row r="48" spans="2:5" ht="16.5" customHeight="1">
      <c r="B48" s="43">
        <f t="shared" si="4"/>
        <v>4.0499999999999989</v>
      </c>
      <c r="C48" s="74" t="s">
        <v>328</v>
      </c>
      <c r="D48" s="75"/>
      <c r="E48" s="76"/>
    </row>
    <row r="49" spans="2:5" ht="16.5" customHeight="1">
      <c r="B49" s="43">
        <f t="shared" si="4"/>
        <v>4.0599999999999987</v>
      </c>
      <c r="C49" s="49" t="s">
        <v>329</v>
      </c>
      <c r="D49" s="75" t="s">
        <v>296</v>
      </c>
      <c r="E49" s="156">
        <v>0</v>
      </c>
    </row>
    <row r="50" spans="2:5" ht="16.5" customHeight="1">
      <c r="B50" s="43">
        <f t="shared" si="4"/>
        <v>4.0699999999999985</v>
      </c>
      <c r="C50" s="49" t="s">
        <v>330</v>
      </c>
      <c r="D50" s="75" t="s">
        <v>296</v>
      </c>
      <c r="E50" s="156">
        <v>0</v>
      </c>
    </row>
    <row r="51" spans="2:5" ht="16.5" customHeight="1">
      <c r="B51" s="43">
        <f t="shared" si="4"/>
        <v>4.0799999999999983</v>
      </c>
      <c r="C51" s="74" t="s">
        <v>36</v>
      </c>
      <c r="D51" s="75"/>
      <c r="E51" s="76"/>
    </row>
    <row r="52" spans="2:5" ht="16.5" customHeight="1">
      <c r="B52" s="43">
        <f t="shared" si="4"/>
        <v>4.0899999999999981</v>
      </c>
      <c r="C52" s="49" t="s">
        <v>331</v>
      </c>
      <c r="D52" s="75" t="s">
        <v>332</v>
      </c>
      <c r="E52" s="156">
        <v>0</v>
      </c>
    </row>
    <row r="53" spans="2:5" ht="16.5" customHeight="1">
      <c r="B53" s="43">
        <f t="shared" si="4"/>
        <v>4.0999999999999979</v>
      </c>
      <c r="C53" s="49" t="s">
        <v>333</v>
      </c>
      <c r="D53" s="75" t="s">
        <v>334</v>
      </c>
      <c r="E53" s="156">
        <v>0</v>
      </c>
    </row>
    <row r="54" spans="2:5" ht="16.5" customHeight="1">
      <c r="B54" s="43">
        <f t="shared" si="4"/>
        <v>4.1099999999999977</v>
      </c>
      <c r="C54" s="49" t="s">
        <v>335</v>
      </c>
      <c r="D54" s="75" t="s">
        <v>332</v>
      </c>
      <c r="E54" s="156">
        <v>0</v>
      </c>
    </row>
    <row r="55" spans="2:5" ht="16.5" customHeight="1">
      <c r="B55" s="43">
        <f t="shared" si="4"/>
        <v>4.1199999999999974</v>
      </c>
      <c r="C55" s="49" t="s">
        <v>336</v>
      </c>
      <c r="D55" s="75" t="s">
        <v>332</v>
      </c>
      <c r="E55" s="156">
        <v>0</v>
      </c>
    </row>
    <row r="56" spans="2:5" ht="16.5" customHeight="1">
      <c r="B56" s="43">
        <f t="shared" si="4"/>
        <v>4.1299999999999972</v>
      </c>
      <c r="C56" s="74" t="s">
        <v>40</v>
      </c>
      <c r="D56" s="75"/>
      <c r="E56" s="76"/>
    </row>
    <row r="57" spans="2:5" ht="16.5" customHeight="1">
      <c r="B57" s="43">
        <f t="shared" si="4"/>
        <v>4.139999999999997</v>
      </c>
      <c r="C57" s="49" t="s">
        <v>40</v>
      </c>
      <c r="D57" s="75" t="s">
        <v>296</v>
      </c>
      <c r="E57" s="156">
        <v>0</v>
      </c>
    </row>
    <row r="58" spans="2:5" ht="16" thickBot="1">
      <c r="B58" s="77"/>
      <c r="C58" s="78"/>
      <c r="D58" s="79"/>
      <c r="E58" s="80"/>
    </row>
    <row r="86" spans="3:7" s="54" customFormat="1" ht="14.25" customHeight="1">
      <c r="C86" s="40"/>
      <c r="E86" s="40"/>
      <c r="F86" s="40"/>
      <c r="G86" s="40"/>
    </row>
  </sheetData>
  <mergeCells count="1">
    <mergeCell ref="A1:D1"/>
  </mergeCells>
  <phoneticPr fontId="26" type="noConversion"/>
  <pageMargins left="0.70866141732283472" right="0.70866141732283472" top="0.74803149606299213" bottom="0.74803149606299213" header="0.31496062992125984" footer="0.31496062992125984"/>
  <pageSetup paperSize="8" scale="72" fitToHeight="3" orientation="portrait" r:id="rId1"/>
  <headerFooter>
    <oddFooter>&amp;LCalderwood PS - Main Works Tender&amp;RPage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408C5-9A94-4F5B-8CB2-67CFA7F154CA}">
  <sheetPr>
    <tabColor rgb="FF7030A0"/>
  </sheetPr>
  <dimension ref="A1:F123"/>
  <sheetViews>
    <sheetView zoomScale="85" zoomScaleNormal="85" zoomScaleSheetLayoutView="50" workbookViewId="0">
      <selection sqref="A1:E1"/>
    </sheetView>
  </sheetViews>
  <sheetFormatPr defaultColWidth="9" defaultRowHeight="15.5"/>
  <cols>
    <col min="1" max="1" width="3.7265625" style="40" customWidth="1"/>
    <col min="2" max="2" width="9" style="54"/>
    <col min="3" max="3" width="60.81640625" style="40" customWidth="1"/>
    <col min="4" max="5" width="22.54296875" style="40" customWidth="1"/>
    <col min="6" max="6" width="22.26953125" style="40" customWidth="1"/>
    <col min="7" max="16384" width="9" style="40"/>
  </cols>
  <sheetData>
    <row r="1" spans="1:6" ht="60" customHeight="1">
      <c r="A1" s="175" t="str">
        <f>SOR!A1</f>
        <v>SINSW08089-25
New Primary School in Calderwood - Contract Schedule</v>
      </c>
      <c r="B1" s="175"/>
      <c r="C1" s="175"/>
      <c r="D1" s="175"/>
      <c r="E1" s="175"/>
      <c r="F1" s="145"/>
    </row>
    <row r="2" spans="1:6" ht="10" customHeight="1"/>
    <row r="3" spans="1:6" ht="25">
      <c r="C3" s="34" t="str">
        <f>' Summary'!C3</f>
        <v>[Insert]</v>
      </c>
    </row>
    <row r="4" spans="1:6" ht="10" customHeight="1">
      <c r="C4" s="146"/>
    </row>
    <row r="5" spans="1:6" s="37" customFormat="1" ht="20.25" customHeight="1">
      <c r="B5" s="36" t="str">
        <f>'[12]3.1 Preliminaries'!B6</f>
        <v xml:space="preserve">MAIN WORKS </v>
      </c>
    </row>
    <row r="6" spans="1:6" s="39" customFormat="1" ht="20.25" customHeight="1">
      <c r="B6" s="38" t="s">
        <v>337</v>
      </c>
    </row>
    <row r="7" spans="1:6" s="39" customFormat="1" ht="10" customHeight="1" thickBot="1">
      <c r="B7" s="38"/>
    </row>
    <row r="8" spans="1:6" ht="33.75" customHeight="1">
      <c r="B8" s="141" t="s">
        <v>1</v>
      </c>
      <c r="C8" s="142" t="s">
        <v>2</v>
      </c>
      <c r="D8" s="143" t="s">
        <v>338</v>
      </c>
      <c r="E8" s="143" t="s">
        <v>339</v>
      </c>
      <c r="F8" s="144" t="s">
        <v>340</v>
      </c>
    </row>
    <row r="9" spans="1:6">
      <c r="B9" s="41" t="s">
        <v>285</v>
      </c>
      <c r="C9" s="42" t="s">
        <v>286</v>
      </c>
      <c r="D9" s="42"/>
      <c r="E9" s="42"/>
      <c r="F9" s="42"/>
    </row>
    <row r="10" spans="1:6">
      <c r="B10" s="43"/>
      <c r="C10" s="44" t="s">
        <v>287</v>
      </c>
      <c r="D10" s="44"/>
      <c r="E10" s="44"/>
      <c r="F10" s="45"/>
    </row>
    <row r="11" spans="1:6" ht="108.5">
      <c r="B11" s="43"/>
      <c r="C11" s="44" t="s">
        <v>288</v>
      </c>
      <c r="D11" s="44"/>
      <c r="E11" s="44"/>
      <c r="F11" s="45"/>
    </row>
    <row r="12" spans="1:6" ht="31">
      <c r="B12" s="43"/>
      <c r="C12" s="44" t="s">
        <v>289</v>
      </c>
      <c r="D12" s="44"/>
      <c r="E12" s="44"/>
      <c r="F12" s="45"/>
    </row>
    <row r="13" spans="1:6">
      <c r="B13" s="43"/>
      <c r="C13" s="46" t="s">
        <v>290</v>
      </c>
      <c r="D13" s="44"/>
      <c r="E13" s="44"/>
      <c r="F13" s="45"/>
    </row>
    <row r="14" spans="1:6">
      <c r="B14" s="43"/>
      <c r="C14" s="44"/>
      <c r="D14" s="44"/>
      <c r="E14" s="44"/>
      <c r="F14" s="45"/>
    </row>
    <row r="15" spans="1:6" ht="16.5" customHeight="1">
      <c r="B15" s="41" t="s">
        <v>341</v>
      </c>
      <c r="C15" s="42" t="s">
        <v>342</v>
      </c>
      <c r="D15" s="42"/>
      <c r="E15" s="42"/>
      <c r="F15" s="47"/>
    </row>
    <row r="16" spans="1:6" ht="16.5" customHeight="1">
      <c r="B16" s="43">
        <v>1.01</v>
      </c>
      <c r="C16" s="46" t="s">
        <v>343</v>
      </c>
      <c r="D16" s="48"/>
      <c r="E16" s="48"/>
      <c r="F16" s="45"/>
    </row>
    <row r="17" spans="2:6" ht="16.5" customHeight="1">
      <c r="B17" s="43">
        <f>B16+0.01</f>
        <v>1.02</v>
      </c>
      <c r="C17" s="44" t="s">
        <v>344</v>
      </c>
      <c r="D17" s="158">
        <v>0</v>
      </c>
      <c r="E17" s="158">
        <v>0</v>
      </c>
      <c r="F17" s="156">
        <v>0</v>
      </c>
    </row>
    <row r="18" spans="2:6" ht="16.5" customHeight="1">
      <c r="B18" s="43">
        <f t="shared" ref="B18:B81" si="0">B17+0.01</f>
        <v>1.03</v>
      </c>
      <c r="C18" s="44" t="s">
        <v>103</v>
      </c>
      <c r="D18" s="158">
        <v>0</v>
      </c>
      <c r="E18" s="158">
        <v>0</v>
      </c>
      <c r="F18" s="156">
        <v>0</v>
      </c>
    </row>
    <row r="19" spans="2:6" ht="16.5" customHeight="1">
      <c r="B19" s="43">
        <f t="shared" si="0"/>
        <v>1.04</v>
      </c>
      <c r="C19" s="44" t="s">
        <v>345</v>
      </c>
      <c r="D19" s="158">
        <v>0</v>
      </c>
      <c r="E19" s="158">
        <v>0</v>
      </c>
      <c r="F19" s="156">
        <v>0</v>
      </c>
    </row>
    <row r="20" spans="2:6" ht="16.5" customHeight="1">
      <c r="B20" s="43">
        <f t="shared" si="0"/>
        <v>1.05</v>
      </c>
      <c r="C20" s="44" t="s">
        <v>97</v>
      </c>
      <c r="D20" s="158">
        <v>0</v>
      </c>
      <c r="E20" s="158">
        <v>0</v>
      </c>
      <c r="F20" s="156">
        <v>0</v>
      </c>
    </row>
    <row r="21" spans="2:6" ht="16.5" customHeight="1">
      <c r="B21" s="43">
        <f t="shared" si="0"/>
        <v>1.06</v>
      </c>
      <c r="C21" s="44" t="s">
        <v>346</v>
      </c>
      <c r="D21" s="158">
        <v>0</v>
      </c>
      <c r="E21" s="158">
        <v>0</v>
      </c>
      <c r="F21" s="156">
        <v>0</v>
      </c>
    </row>
    <row r="22" spans="2:6" ht="16.5" customHeight="1">
      <c r="B22" s="43">
        <f t="shared" si="0"/>
        <v>1.07</v>
      </c>
      <c r="C22" s="44" t="s">
        <v>347</v>
      </c>
      <c r="D22" s="158">
        <v>0</v>
      </c>
      <c r="E22" s="158">
        <v>0</v>
      </c>
      <c r="F22" s="156">
        <v>0</v>
      </c>
    </row>
    <row r="23" spans="2:6" ht="16.5" customHeight="1">
      <c r="B23" s="43">
        <f t="shared" si="0"/>
        <v>1.08</v>
      </c>
      <c r="C23" s="44" t="s">
        <v>348</v>
      </c>
      <c r="D23" s="158">
        <v>0</v>
      </c>
      <c r="E23" s="158">
        <v>0</v>
      </c>
      <c r="F23" s="156">
        <v>0</v>
      </c>
    </row>
    <row r="24" spans="2:6" ht="16.5" customHeight="1">
      <c r="B24" s="43">
        <f t="shared" si="0"/>
        <v>1.0900000000000001</v>
      </c>
      <c r="C24" s="44" t="s">
        <v>349</v>
      </c>
      <c r="D24" s="158">
        <v>0</v>
      </c>
      <c r="E24" s="158">
        <v>0</v>
      </c>
      <c r="F24" s="156">
        <v>0</v>
      </c>
    </row>
    <row r="25" spans="2:6" ht="16.5" customHeight="1">
      <c r="B25" s="43">
        <f t="shared" si="0"/>
        <v>1.1000000000000001</v>
      </c>
      <c r="C25" s="44" t="s">
        <v>98</v>
      </c>
      <c r="D25" s="158">
        <v>0</v>
      </c>
      <c r="E25" s="158">
        <v>0</v>
      </c>
      <c r="F25" s="156">
        <v>0</v>
      </c>
    </row>
    <row r="26" spans="2:6" ht="16.5" customHeight="1">
      <c r="B26" s="43">
        <f t="shared" si="0"/>
        <v>1.1100000000000001</v>
      </c>
      <c r="C26" s="44" t="s">
        <v>350</v>
      </c>
      <c r="D26" s="158">
        <v>0</v>
      </c>
      <c r="E26" s="158">
        <v>0</v>
      </c>
      <c r="F26" s="156">
        <v>0</v>
      </c>
    </row>
    <row r="27" spans="2:6" ht="16.5" customHeight="1">
      <c r="B27" s="43">
        <f t="shared" si="0"/>
        <v>1.1200000000000001</v>
      </c>
      <c r="C27" s="44" t="s">
        <v>351</v>
      </c>
      <c r="D27" s="158">
        <v>0</v>
      </c>
      <c r="E27" s="158">
        <v>0</v>
      </c>
      <c r="F27" s="156">
        <v>0</v>
      </c>
    </row>
    <row r="28" spans="2:6" ht="16.5" customHeight="1">
      <c r="B28" s="43">
        <f t="shared" si="0"/>
        <v>1.1300000000000001</v>
      </c>
      <c r="C28" s="44" t="s">
        <v>352</v>
      </c>
      <c r="D28" s="158">
        <v>0</v>
      </c>
      <c r="E28" s="158">
        <v>0</v>
      </c>
      <c r="F28" s="156">
        <v>0</v>
      </c>
    </row>
    <row r="29" spans="2:6" ht="16.5" customHeight="1">
      <c r="B29" s="43">
        <f t="shared" si="0"/>
        <v>1.1400000000000001</v>
      </c>
      <c r="C29" s="44" t="s">
        <v>353</v>
      </c>
      <c r="D29" s="158">
        <v>0</v>
      </c>
      <c r="E29" s="158">
        <v>0</v>
      </c>
      <c r="F29" s="156">
        <v>0</v>
      </c>
    </row>
    <row r="30" spans="2:6" ht="16.5" customHeight="1">
      <c r="B30" s="43">
        <f t="shared" si="0"/>
        <v>1.1500000000000001</v>
      </c>
      <c r="C30" s="44" t="s">
        <v>354</v>
      </c>
      <c r="D30" s="158">
        <v>0</v>
      </c>
      <c r="E30" s="158">
        <v>0</v>
      </c>
      <c r="F30" s="156">
        <v>0</v>
      </c>
    </row>
    <row r="31" spans="2:6" ht="16.5" customHeight="1">
      <c r="B31" s="43">
        <f t="shared" si="0"/>
        <v>1.1600000000000001</v>
      </c>
      <c r="C31" s="44" t="s">
        <v>355</v>
      </c>
      <c r="D31" s="158">
        <v>0</v>
      </c>
      <c r="E31" s="158">
        <v>0</v>
      </c>
      <c r="F31" s="156">
        <v>0</v>
      </c>
    </row>
    <row r="32" spans="2:6" ht="16.5" customHeight="1">
      <c r="B32" s="43">
        <f t="shared" si="0"/>
        <v>1.1700000000000002</v>
      </c>
      <c r="C32" s="44" t="s">
        <v>356</v>
      </c>
      <c r="D32" s="158">
        <v>0</v>
      </c>
      <c r="E32" s="158">
        <v>0</v>
      </c>
      <c r="F32" s="156">
        <v>0</v>
      </c>
    </row>
    <row r="33" spans="2:6" ht="16.5" customHeight="1">
      <c r="B33" s="43">
        <f t="shared" si="0"/>
        <v>1.1800000000000002</v>
      </c>
      <c r="C33" s="44" t="s">
        <v>357</v>
      </c>
      <c r="D33" s="158">
        <v>0</v>
      </c>
      <c r="E33" s="158">
        <v>0</v>
      </c>
      <c r="F33" s="156">
        <v>0</v>
      </c>
    </row>
    <row r="34" spans="2:6" ht="16.5" customHeight="1">
      <c r="B34" s="43">
        <f t="shared" si="0"/>
        <v>1.1900000000000002</v>
      </c>
      <c r="C34" s="44" t="s">
        <v>358</v>
      </c>
      <c r="D34" s="158">
        <v>0</v>
      </c>
      <c r="E34" s="158">
        <v>0</v>
      </c>
      <c r="F34" s="156">
        <v>0</v>
      </c>
    </row>
    <row r="35" spans="2:6" ht="16.5" customHeight="1">
      <c r="B35" s="43">
        <f t="shared" si="0"/>
        <v>1.2000000000000002</v>
      </c>
      <c r="C35" s="44" t="s">
        <v>359</v>
      </c>
      <c r="D35" s="158">
        <v>0</v>
      </c>
      <c r="E35" s="158">
        <v>0</v>
      </c>
      <c r="F35" s="156">
        <v>0</v>
      </c>
    </row>
    <row r="36" spans="2:6" ht="16.5" customHeight="1">
      <c r="B36" s="43">
        <f t="shared" si="0"/>
        <v>1.2100000000000002</v>
      </c>
      <c r="C36" s="44" t="s">
        <v>360</v>
      </c>
      <c r="D36" s="158">
        <v>0</v>
      </c>
      <c r="E36" s="158">
        <v>0</v>
      </c>
      <c r="F36" s="156">
        <v>0</v>
      </c>
    </row>
    <row r="37" spans="2:6" ht="16.5" customHeight="1">
      <c r="B37" s="43">
        <f t="shared" si="0"/>
        <v>1.2200000000000002</v>
      </c>
      <c r="C37" s="44" t="s">
        <v>361</v>
      </c>
      <c r="D37" s="158">
        <v>0</v>
      </c>
      <c r="E37" s="158">
        <v>0</v>
      </c>
      <c r="F37" s="156">
        <v>0</v>
      </c>
    </row>
    <row r="38" spans="2:6" ht="16.5" customHeight="1">
      <c r="B38" s="43">
        <f t="shared" si="0"/>
        <v>1.2300000000000002</v>
      </c>
      <c r="C38" s="44" t="s">
        <v>362</v>
      </c>
      <c r="D38" s="158">
        <v>0</v>
      </c>
      <c r="E38" s="158">
        <v>0</v>
      </c>
      <c r="F38" s="156">
        <v>0</v>
      </c>
    </row>
    <row r="39" spans="2:6" ht="16.5" customHeight="1">
      <c r="B39" s="43">
        <f t="shared" si="0"/>
        <v>1.2400000000000002</v>
      </c>
      <c r="C39" s="44" t="s">
        <v>363</v>
      </c>
      <c r="D39" s="158">
        <v>0</v>
      </c>
      <c r="E39" s="158">
        <v>0</v>
      </c>
      <c r="F39" s="156">
        <v>0</v>
      </c>
    </row>
    <row r="40" spans="2:6" ht="16.5" customHeight="1">
      <c r="B40" s="43">
        <f t="shared" si="0"/>
        <v>1.2500000000000002</v>
      </c>
      <c r="C40" s="44" t="s">
        <v>364</v>
      </c>
      <c r="D40" s="158">
        <v>0</v>
      </c>
      <c r="E40" s="158">
        <v>0</v>
      </c>
      <c r="F40" s="156">
        <v>0</v>
      </c>
    </row>
    <row r="41" spans="2:6" ht="16.5" customHeight="1">
      <c r="B41" s="43">
        <f t="shared" si="0"/>
        <v>1.2600000000000002</v>
      </c>
      <c r="C41" s="44" t="s">
        <v>365</v>
      </c>
      <c r="D41" s="158">
        <v>0</v>
      </c>
      <c r="E41" s="158">
        <v>0</v>
      </c>
      <c r="F41" s="156">
        <v>0</v>
      </c>
    </row>
    <row r="42" spans="2:6" ht="16.5" customHeight="1">
      <c r="B42" s="43">
        <f t="shared" si="0"/>
        <v>1.2700000000000002</v>
      </c>
      <c r="C42" s="44" t="s">
        <v>366</v>
      </c>
      <c r="D42" s="158">
        <v>0</v>
      </c>
      <c r="E42" s="158">
        <v>0</v>
      </c>
      <c r="F42" s="156">
        <v>0</v>
      </c>
    </row>
    <row r="43" spans="2:6" ht="16.5" customHeight="1">
      <c r="B43" s="43">
        <f t="shared" si="0"/>
        <v>1.2800000000000002</v>
      </c>
      <c r="C43" s="44" t="s">
        <v>367</v>
      </c>
      <c r="D43" s="158">
        <v>0</v>
      </c>
      <c r="E43" s="158">
        <v>0</v>
      </c>
      <c r="F43" s="156">
        <v>0</v>
      </c>
    </row>
    <row r="44" spans="2:6" ht="16.5" customHeight="1">
      <c r="B44" s="43">
        <f t="shared" si="0"/>
        <v>1.2900000000000003</v>
      </c>
      <c r="C44" s="44" t="s">
        <v>368</v>
      </c>
      <c r="D44" s="158">
        <v>0</v>
      </c>
      <c r="E44" s="158">
        <v>0</v>
      </c>
      <c r="F44" s="156">
        <v>0</v>
      </c>
    </row>
    <row r="45" spans="2:6" ht="16.5" customHeight="1">
      <c r="B45" s="43">
        <f t="shared" si="0"/>
        <v>1.3000000000000003</v>
      </c>
      <c r="C45" s="44" t="s">
        <v>369</v>
      </c>
      <c r="D45" s="158">
        <v>0</v>
      </c>
      <c r="E45" s="158">
        <v>0</v>
      </c>
      <c r="F45" s="156">
        <v>0</v>
      </c>
    </row>
    <row r="46" spans="2:6" ht="16.5" customHeight="1">
      <c r="B46" s="43">
        <f t="shared" si="0"/>
        <v>1.3100000000000003</v>
      </c>
      <c r="C46" s="44" t="s">
        <v>370</v>
      </c>
      <c r="D46" s="158">
        <v>0</v>
      </c>
      <c r="E46" s="158">
        <v>0</v>
      </c>
      <c r="F46" s="156">
        <v>0</v>
      </c>
    </row>
    <row r="47" spans="2:6" ht="16.5" customHeight="1">
      <c r="B47" s="43">
        <f t="shared" si="0"/>
        <v>1.3200000000000003</v>
      </c>
      <c r="C47" s="44" t="s">
        <v>104</v>
      </c>
      <c r="D47" s="158">
        <v>0</v>
      </c>
      <c r="E47" s="158">
        <v>0</v>
      </c>
      <c r="F47" s="156">
        <v>0</v>
      </c>
    </row>
    <row r="48" spans="2:6" ht="16.5" customHeight="1">
      <c r="B48" s="43">
        <f t="shared" si="0"/>
        <v>1.3300000000000003</v>
      </c>
      <c r="C48" s="44" t="s">
        <v>371</v>
      </c>
      <c r="D48" s="158">
        <v>0</v>
      </c>
      <c r="E48" s="158">
        <v>0</v>
      </c>
      <c r="F48" s="156">
        <v>0</v>
      </c>
    </row>
    <row r="49" spans="2:6" ht="16.5" customHeight="1">
      <c r="B49" s="43">
        <f t="shared" si="0"/>
        <v>1.3400000000000003</v>
      </c>
      <c r="C49" s="44" t="s">
        <v>372</v>
      </c>
      <c r="D49" s="158">
        <v>0</v>
      </c>
      <c r="E49" s="158">
        <v>0</v>
      </c>
      <c r="F49" s="156">
        <v>0</v>
      </c>
    </row>
    <row r="50" spans="2:6" ht="16.5" customHeight="1">
      <c r="B50" s="43">
        <f t="shared" si="0"/>
        <v>1.3500000000000003</v>
      </c>
      <c r="C50" s="44" t="s">
        <v>373</v>
      </c>
      <c r="D50" s="158">
        <v>0</v>
      </c>
      <c r="E50" s="158">
        <v>0</v>
      </c>
      <c r="F50" s="156">
        <v>0</v>
      </c>
    </row>
    <row r="51" spans="2:6" ht="16.5" customHeight="1">
      <c r="B51" s="43">
        <f t="shared" si="0"/>
        <v>1.3600000000000003</v>
      </c>
      <c r="C51" s="44" t="s">
        <v>374</v>
      </c>
      <c r="D51" s="158">
        <v>0</v>
      </c>
      <c r="E51" s="158">
        <v>0</v>
      </c>
      <c r="F51" s="156">
        <v>0</v>
      </c>
    </row>
    <row r="52" spans="2:6" ht="16.5" customHeight="1">
      <c r="B52" s="43">
        <f t="shared" si="0"/>
        <v>1.3700000000000003</v>
      </c>
      <c r="C52" s="44" t="s">
        <v>375</v>
      </c>
      <c r="D52" s="158">
        <v>0</v>
      </c>
      <c r="E52" s="158">
        <v>0</v>
      </c>
      <c r="F52" s="156">
        <v>0</v>
      </c>
    </row>
    <row r="53" spans="2:6" ht="16.5" customHeight="1">
      <c r="B53" s="43">
        <f t="shared" si="0"/>
        <v>1.3800000000000003</v>
      </c>
      <c r="C53" s="44" t="s">
        <v>376</v>
      </c>
      <c r="D53" s="158">
        <v>0</v>
      </c>
      <c r="E53" s="158">
        <v>0</v>
      </c>
      <c r="F53" s="156">
        <v>0</v>
      </c>
    </row>
    <row r="54" spans="2:6" ht="16.5" customHeight="1">
      <c r="B54" s="43">
        <f t="shared" si="0"/>
        <v>1.3900000000000003</v>
      </c>
      <c r="C54" s="44" t="s">
        <v>377</v>
      </c>
      <c r="D54" s="158">
        <v>0</v>
      </c>
      <c r="E54" s="158">
        <v>0</v>
      </c>
      <c r="F54" s="156">
        <v>0</v>
      </c>
    </row>
    <row r="55" spans="2:6" ht="16.5" customHeight="1">
      <c r="B55" s="43">
        <f t="shared" si="0"/>
        <v>1.4000000000000004</v>
      </c>
      <c r="C55" s="44" t="s">
        <v>378</v>
      </c>
      <c r="D55" s="158">
        <v>0</v>
      </c>
      <c r="E55" s="158">
        <v>0</v>
      </c>
      <c r="F55" s="156">
        <v>0</v>
      </c>
    </row>
    <row r="56" spans="2:6" ht="16.5" customHeight="1">
      <c r="B56" s="43">
        <f t="shared" si="0"/>
        <v>1.4100000000000004</v>
      </c>
      <c r="C56" s="44" t="s">
        <v>379</v>
      </c>
      <c r="D56" s="158">
        <v>0</v>
      </c>
      <c r="E56" s="158">
        <v>0</v>
      </c>
      <c r="F56" s="156">
        <v>0</v>
      </c>
    </row>
    <row r="57" spans="2:6" ht="16.5" customHeight="1">
      <c r="B57" s="43">
        <f t="shared" si="0"/>
        <v>1.4200000000000004</v>
      </c>
      <c r="C57" s="44" t="s">
        <v>380</v>
      </c>
      <c r="D57" s="158">
        <v>0</v>
      </c>
      <c r="E57" s="158">
        <v>0</v>
      </c>
      <c r="F57" s="156">
        <v>0</v>
      </c>
    </row>
    <row r="58" spans="2:6" ht="16.5" customHeight="1">
      <c r="B58" s="43">
        <f t="shared" si="0"/>
        <v>1.4300000000000004</v>
      </c>
      <c r="C58" s="44" t="s">
        <v>381</v>
      </c>
      <c r="D58" s="158">
        <v>0</v>
      </c>
      <c r="E58" s="158">
        <v>0</v>
      </c>
      <c r="F58" s="156">
        <v>0</v>
      </c>
    </row>
    <row r="59" spans="2:6" ht="16.5" customHeight="1">
      <c r="B59" s="43">
        <f t="shared" si="0"/>
        <v>1.4400000000000004</v>
      </c>
      <c r="C59" s="44" t="s">
        <v>382</v>
      </c>
      <c r="D59" s="158">
        <v>0</v>
      </c>
      <c r="E59" s="158">
        <v>0</v>
      </c>
      <c r="F59" s="156">
        <v>0</v>
      </c>
    </row>
    <row r="60" spans="2:6" ht="16.5" customHeight="1">
      <c r="B60" s="43">
        <f t="shared" si="0"/>
        <v>1.4500000000000004</v>
      </c>
      <c r="C60" s="44" t="s">
        <v>383</v>
      </c>
      <c r="D60" s="158">
        <v>0</v>
      </c>
      <c r="E60" s="158">
        <v>0</v>
      </c>
      <c r="F60" s="156">
        <v>0</v>
      </c>
    </row>
    <row r="61" spans="2:6" ht="16.5" customHeight="1">
      <c r="B61" s="43">
        <f t="shared" si="0"/>
        <v>1.4600000000000004</v>
      </c>
      <c r="C61" s="44" t="s">
        <v>384</v>
      </c>
      <c r="D61" s="158">
        <v>0</v>
      </c>
      <c r="E61" s="158">
        <v>0</v>
      </c>
      <c r="F61" s="156">
        <v>0</v>
      </c>
    </row>
    <row r="62" spans="2:6" ht="16.5" customHeight="1">
      <c r="B62" s="43">
        <f t="shared" si="0"/>
        <v>1.4700000000000004</v>
      </c>
      <c r="C62" s="44" t="s">
        <v>385</v>
      </c>
      <c r="D62" s="158">
        <v>0</v>
      </c>
      <c r="E62" s="158">
        <v>0</v>
      </c>
      <c r="F62" s="156">
        <v>0</v>
      </c>
    </row>
    <row r="63" spans="2:6" ht="16.5" customHeight="1">
      <c r="B63" s="43">
        <f t="shared" si="0"/>
        <v>1.4800000000000004</v>
      </c>
      <c r="C63" s="44" t="s">
        <v>386</v>
      </c>
      <c r="D63" s="158">
        <v>0</v>
      </c>
      <c r="E63" s="158">
        <v>0</v>
      </c>
      <c r="F63" s="156">
        <v>0</v>
      </c>
    </row>
    <row r="64" spans="2:6" ht="16.5" customHeight="1">
      <c r="B64" s="43">
        <f t="shared" si="0"/>
        <v>1.4900000000000004</v>
      </c>
      <c r="C64" s="44" t="s">
        <v>387</v>
      </c>
      <c r="D64" s="158">
        <v>0</v>
      </c>
      <c r="E64" s="158">
        <v>0</v>
      </c>
      <c r="F64" s="156">
        <v>0</v>
      </c>
    </row>
    <row r="65" spans="2:6" ht="16.5" customHeight="1">
      <c r="B65" s="43">
        <f t="shared" si="0"/>
        <v>1.5000000000000004</v>
      </c>
      <c r="C65" s="44" t="s">
        <v>388</v>
      </c>
      <c r="D65" s="158">
        <v>0</v>
      </c>
      <c r="E65" s="158">
        <v>0</v>
      </c>
      <c r="F65" s="156">
        <v>0</v>
      </c>
    </row>
    <row r="66" spans="2:6" ht="16.5" customHeight="1">
      <c r="B66" s="43">
        <f t="shared" si="0"/>
        <v>1.5100000000000005</v>
      </c>
      <c r="C66" s="44" t="s">
        <v>389</v>
      </c>
      <c r="D66" s="158">
        <v>0</v>
      </c>
      <c r="E66" s="158">
        <v>0</v>
      </c>
      <c r="F66" s="156">
        <v>0</v>
      </c>
    </row>
    <row r="67" spans="2:6" ht="16.5" customHeight="1">
      <c r="B67" s="43">
        <f t="shared" si="0"/>
        <v>1.5200000000000005</v>
      </c>
      <c r="C67" s="44" t="s">
        <v>390</v>
      </c>
      <c r="D67" s="158">
        <v>0</v>
      </c>
      <c r="E67" s="158">
        <v>0</v>
      </c>
      <c r="F67" s="156">
        <v>0</v>
      </c>
    </row>
    <row r="68" spans="2:6" ht="16.5" customHeight="1">
      <c r="B68" s="43">
        <f t="shared" si="0"/>
        <v>1.5300000000000005</v>
      </c>
      <c r="C68" s="44" t="s">
        <v>391</v>
      </c>
      <c r="D68" s="158">
        <v>0</v>
      </c>
      <c r="E68" s="158">
        <v>0</v>
      </c>
      <c r="F68" s="156">
        <v>0</v>
      </c>
    </row>
    <row r="69" spans="2:6" ht="16.5" customHeight="1">
      <c r="B69" s="43">
        <f t="shared" si="0"/>
        <v>1.5400000000000005</v>
      </c>
      <c r="C69" s="44" t="s">
        <v>392</v>
      </c>
      <c r="D69" s="158">
        <v>0</v>
      </c>
      <c r="E69" s="158">
        <v>0</v>
      </c>
      <c r="F69" s="156">
        <v>0</v>
      </c>
    </row>
    <row r="70" spans="2:6" ht="16.5" customHeight="1">
      <c r="B70" s="43">
        <f t="shared" si="0"/>
        <v>1.5500000000000005</v>
      </c>
      <c r="C70" s="44" t="s">
        <v>393</v>
      </c>
      <c r="D70" s="158">
        <v>0</v>
      </c>
      <c r="E70" s="158">
        <v>0</v>
      </c>
      <c r="F70" s="156">
        <v>0</v>
      </c>
    </row>
    <row r="71" spans="2:6" ht="16.5" customHeight="1">
      <c r="B71" s="43">
        <f t="shared" si="0"/>
        <v>1.5600000000000005</v>
      </c>
      <c r="C71" s="44" t="s">
        <v>394</v>
      </c>
      <c r="D71" s="158">
        <v>0</v>
      </c>
      <c r="E71" s="158">
        <v>0</v>
      </c>
      <c r="F71" s="156">
        <v>0</v>
      </c>
    </row>
    <row r="72" spans="2:6" ht="16.5" customHeight="1">
      <c r="B72" s="43">
        <f t="shared" si="0"/>
        <v>1.5700000000000005</v>
      </c>
      <c r="C72" s="44" t="s">
        <v>395</v>
      </c>
      <c r="D72" s="158">
        <v>0</v>
      </c>
      <c r="E72" s="158">
        <v>0</v>
      </c>
      <c r="F72" s="156">
        <v>0</v>
      </c>
    </row>
    <row r="73" spans="2:6" ht="16.5" customHeight="1">
      <c r="B73" s="43">
        <f t="shared" si="0"/>
        <v>1.5800000000000005</v>
      </c>
      <c r="C73" s="44" t="s">
        <v>396</v>
      </c>
      <c r="D73" s="158">
        <v>0</v>
      </c>
      <c r="E73" s="158">
        <v>0</v>
      </c>
      <c r="F73" s="156">
        <v>0</v>
      </c>
    </row>
    <row r="74" spans="2:6" ht="16.5" customHeight="1">
      <c r="B74" s="43">
        <f t="shared" si="0"/>
        <v>1.5900000000000005</v>
      </c>
      <c r="C74" s="44" t="s">
        <v>397</v>
      </c>
      <c r="D74" s="158">
        <v>0</v>
      </c>
      <c r="E74" s="158">
        <v>0</v>
      </c>
      <c r="F74" s="156">
        <v>0</v>
      </c>
    </row>
    <row r="75" spans="2:6" ht="16.5" customHeight="1">
      <c r="B75" s="43">
        <f t="shared" si="0"/>
        <v>1.6000000000000005</v>
      </c>
      <c r="C75" s="44" t="s">
        <v>398</v>
      </c>
      <c r="D75" s="158">
        <v>0</v>
      </c>
      <c r="E75" s="158">
        <v>0</v>
      </c>
      <c r="F75" s="156">
        <v>0</v>
      </c>
    </row>
    <row r="76" spans="2:6" ht="16.5" customHeight="1">
      <c r="B76" s="43">
        <f t="shared" si="0"/>
        <v>1.6100000000000005</v>
      </c>
      <c r="C76" s="44" t="s">
        <v>399</v>
      </c>
      <c r="D76" s="158">
        <v>0</v>
      </c>
      <c r="E76" s="158">
        <v>0</v>
      </c>
      <c r="F76" s="156">
        <v>0</v>
      </c>
    </row>
    <row r="77" spans="2:6" ht="16.5" customHeight="1">
      <c r="B77" s="43">
        <f t="shared" si="0"/>
        <v>1.6200000000000006</v>
      </c>
      <c r="C77" s="44" t="s">
        <v>400</v>
      </c>
      <c r="D77" s="158">
        <v>0</v>
      </c>
      <c r="E77" s="158">
        <v>0</v>
      </c>
      <c r="F77" s="156">
        <v>0</v>
      </c>
    </row>
    <row r="78" spans="2:6" ht="16.5" customHeight="1">
      <c r="B78" s="43">
        <f t="shared" si="0"/>
        <v>1.6300000000000006</v>
      </c>
      <c r="C78" s="44" t="s">
        <v>401</v>
      </c>
      <c r="D78" s="158">
        <v>0</v>
      </c>
      <c r="E78" s="158">
        <v>0</v>
      </c>
      <c r="F78" s="156">
        <v>0</v>
      </c>
    </row>
    <row r="79" spans="2:6" ht="16.5" customHeight="1">
      <c r="B79" s="43">
        <f t="shared" si="0"/>
        <v>1.6400000000000006</v>
      </c>
      <c r="C79" s="44" t="s">
        <v>402</v>
      </c>
      <c r="D79" s="158">
        <v>0</v>
      </c>
      <c r="E79" s="158">
        <v>0</v>
      </c>
      <c r="F79" s="156">
        <v>0</v>
      </c>
    </row>
    <row r="80" spans="2:6" ht="16.5" customHeight="1">
      <c r="B80" s="43">
        <f t="shared" si="0"/>
        <v>1.6500000000000006</v>
      </c>
      <c r="C80" s="49" t="s">
        <v>403</v>
      </c>
      <c r="D80" s="158">
        <v>0</v>
      </c>
      <c r="E80" s="158">
        <v>0</v>
      </c>
      <c r="F80" s="156">
        <v>0</v>
      </c>
    </row>
    <row r="81" spans="2:6" ht="16.5" customHeight="1">
      <c r="B81" s="43">
        <f t="shared" si="0"/>
        <v>1.6600000000000006</v>
      </c>
      <c r="C81" s="49" t="s">
        <v>404</v>
      </c>
      <c r="D81" s="158">
        <v>0</v>
      </c>
      <c r="E81" s="158">
        <v>0</v>
      </c>
      <c r="F81" s="156">
        <v>0</v>
      </c>
    </row>
    <row r="82" spans="2:6" ht="16.5" customHeight="1">
      <c r="B82" s="43">
        <f t="shared" ref="B82:B93" si="1">B81+0.01</f>
        <v>1.6700000000000006</v>
      </c>
      <c r="C82" s="49" t="s">
        <v>405</v>
      </c>
      <c r="D82" s="158">
        <v>0</v>
      </c>
      <c r="E82" s="158">
        <v>0</v>
      </c>
      <c r="F82" s="156">
        <v>0</v>
      </c>
    </row>
    <row r="83" spans="2:6" ht="16.5" customHeight="1">
      <c r="B83" s="43">
        <f t="shared" si="1"/>
        <v>1.6800000000000006</v>
      </c>
      <c r="C83" s="49" t="s">
        <v>406</v>
      </c>
      <c r="D83" s="158">
        <v>0</v>
      </c>
      <c r="E83" s="158">
        <v>0</v>
      </c>
      <c r="F83" s="156">
        <v>0</v>
      </c>
    </row>
    <row r="84" spans="2:6" ht="16.5" customHeight="1">
      <c r="B84" s="43">
        <f t="shared" si="1"/>
        <v>1.6900000000000006</v>
      </c>
      <c r="C84" s="49" t="s">
        <v>407</v>
      </c>
      <c r="D84" s="158">
        <v>0</v>
      </c>
      <c r="E84" s="158">
        <v>0</v>
      </c>
      <c r="F84" s="156">
        <v>0</v>
      </c>
    </row>
    <row r="85" spans="2:6" ht="16.5" customHeight="1">
      <c r="B85" s="43">
        <f t="shared" si="1"/>
        <v>1.7000000000000006</v>
      </c>
      <c r="C85" s="49" t="s">
        <v>408</v>
      </c>
      <c r="D85" s="158">
        <v>0</v>
      </c>
      <c r="E85" s="158">
        <v>0</v>
      </c>
      <c r="F85" s="156">
        <v>0</v>
      </c>
    </row>
    <row r="86" spans="2:6" ht="16.5" customHeight="1">
      <c r="B86" s="43">
        <f t="shared" si="1"/>
        <v>1.7100000000000006</v>
      </c>
      <c r="C86" s="49" t="s">
        <v>409</v>
      </c>
      <c r="D86" s="158">
        <v>0</v>
      </c>
      <c r="E86" s="158">
        <v>0</v>
      </c>
      <c r="F86" s="156">
        <v>0</v>
      </c>
    </row>
    <row r="87" spans="2:6" ht="16.5" customHeight="1">
      <c r="B87" s="43">
        <f t="shared" si="1"/>
        <v>1.7200000000000006</v>
      </c>
      <c r="C87" s="44" t="s">
        <v>410</v>
      </c>
      <c r="D87" s="158">
        <v>0</v>
      </c>
      <c r="E87" s="158">
        <v>0</v>
      </c>
      <c r="F87" s="156">
        <v>0</v>
      </c>
    </row>
    <row r="88" spans="2:6" ht="16.5" customHeight="1">
      <c r="B88" s="43">
        <f t="shared" si="1"/>
        <v>1.7300000000000006</v>
      </c>
      <c r="C88" s="44" t="s">
        <v>411</v>
      </c>
      <c r="D88" s="158">
        <v>0</v>
      </c>
      <c r="E88" s="158">
        <v>0</v>
      </c>
      <c r="F88" s="156">
        <v>0</v>
      </c>
    </row>
    <row r="89" spans="2:6" ht="16.5" customHeight="1">
      <c r="B89" s="43">
        <f t="shared" si="1"/>
        <v>1.7400000000000007</v>
      </c>
      <c r="C89" s="44" t="s">
        <v>412</v>
      </c>
      <c r="D89" s="158">
        <v>0</v>
      </c>
      <c r="E89" s="158">
        <v>0</v>
      </c>
      <c r="F89" s="156">
        <v>0</v>
      </c>
    </row>
    <row r="90" spans="2:6" ht="16.5" customHeight="1">
      <c r="B90" s="43">
        <f t="shared" si="1"/>
        <v>1.7500000000000007</v>
      </c>
      <c r="C90" s="44" t="s">
        <v>413</v>
      </c>
      <c r="D90" s="158">
        <v>0</v>
      </c>
      <c r="E90" s="158">
        <v>0</v>
      </c>
      <c r="F90" s="156">
        <v>0</v>
      </c>
    </row>
    <row r="91" spans="2:6" ht="16.5" customHeight="1">
      <c r="B91" s="43">
        <f t="shared" si="1"/>
        <v>1.7600000000000007</v>
      </c>
      <c r="C91" s="44" t="s">
        <v>414</v>
      </c>
      <c r="D91" s="158">
        <v>0</v>
      </c>
      <c r="E91" s="158">
        <v>0</v>
      </c>
      <c r="F91" s="156">
        <v>0</v>
      </c>
    </row>
    <row r="92" spans="2:6" ht="16.5" customHeight="1">
      <c r="B92" s="43">
        <f t="shared" si="1"/>
        <v>1.7700000000000007</v>
      </c>
      <c r="C92" s="49" t="s">
        <v>415</v>
      </c>
      <c r="D92" s="158">
        <v>0</v>
      </c>
      <c r="E92" s="158">
        <v>0</v>
      </c>
      <c r="F92" s="156">
        <v>0</v>
      </c>
    </row>
    <row r="93" spans="2:6" ht="16.5" customHeight="1">
      <c r="B93" s="43">
        <f t="shared" si="1"/>
        <v>1.7800000000000007</v>
      </c>
      <c r="C93" s="49" t="s">
        <v>416</v>
      </c>
      <c r="D93" s="158">
        <v>0</v>
      </c>
      <c r="E93" s="158">
        <v>0</v>
      </c>
      <c r="F93" s="156">
        <v>0</v>
      </c>
    </row>
    <row r="94" spans="2:6" ht="16.5" customHeight="1" thickBot="1">
      <c r="B94" s="50"/>
      <c r="C94" s="51"/>
      <c r="D94" s="52"/>
      <c r="E94" s="52"/>
      <c r="F94" s="53"/>
    </row>
    <row r="123" spans="3:6" s="54" customFormat="1" ht="14.25" customHeight="1">
      <c r="C123" s="40"/>
      <c r="D123" s="40"/>
      <c r="E123" s="40"/>
      <c r="F123" s="40"/>
    </row>
  </sheetData>
  <mergeCells count="1">
    <mergeCell ref="A1:E1"/>
  </mergeCells>
  <pageMargins left="0.70866141732283472" right="0.70866141732283472" top="0.74803149606299213" bottom="0.74803149606299213" header="0.31496062992125984" footer="0.31496062992125984"/>
  <pageSetup paperSize="8" scale="72" fitToHeight="3" orientation="portrait" r:id="rId1"/>
  <headerFooter>
    <oddFooter>&amp;LCalderwood PS - Main Works Tender&amp;RPage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C6DC-D3C2-47CD-9B84-794148320A01}">
  <sheetPr>
    <tabColor rgb="FF7030A0"/>
  </sheetPr>
  <dimension ref="A1:D81"/>
  <sheetViews>
    <sheetView topLeftCell="A20" zoomScale="85" zoomScaleNormal="85" zoomScaleSheetLayoutView="50" workbookViewId="0">
      <selection activeCell="G11" sqref="G11"/>
    </sheetView>
  </sheetViews>
  <sheetFormatPr defaultColWidth="9" defaultRowHeight="15.5"/>
  <cols>
    <col min="1" max="1" width="3.7265625" style="40" customWidth="1"/>
    <col min="2" max="2" width="9" style="54"/>
    <col min="3" max="3" width="68.7265625" style="40" customWidth="1"/>
    <col min="4" max="4" width="27.453125" style="40" customWidth="1"/>
    <col min="5" max="16384" width="9" style="40"/>
  </cols>
  <sheetData>
    <row r="1" spans="1:4" ht="60" customHeight="1">
      <c r="A1" s="175" t="s">
        <v>473</v>
      </c>
      <c r="B1" s="175"/>
      <c r="C1" s="175"/>
      <c r="D1" s="175"/>
    </row>
    <row r="3" spans="1:4" ht="25">
      <c r="C3" s="34" t="str">
        <f>' Summary'!C3</f>
        <v>[Insert]</v>
      </c>
    </row>
    <row r="5" spans="1:4" s="37" customFormat="1" ht="20.25" customHeight="1">
      <c r="B5" s="36" t="str">
        <f>'[12]3.1 Preliminaries'!B6</f>
        <v xml:space="preserve">MAIN WORKS </v>
      </c>
    </row>
    <row r="6" spans="1:4" s="39" customFormat="1" ht="20.25" customHeight="1">
      <c r="B6" s="38" t="s">
        <v>417</v>
      </c>
    </row>
    <row r="7" spans="1:4" ht="16" thickBot="1"/>
    <row r="8" spans="1:4" ht="37.5" customHeight="1">
      <c r="B8" s="141" t="s">
        <v>1</v>
      </c>
      <c r="C8" s="142" t="s">
        <v>2</v>
      </c>
      <c r="D8" s="144" t="s">
        <v>418</v>
      </c>
    </row>
    <row r="9" spans="1:4" ht="16.5" customHeight="1">
      <c r="B9" s="41" t="s">
        <v>285</v>
      </c>
      <c r="C9" s="42" t="s">
        <v>419</v>
      </c>
      <c r="D9" s="47"/>
    </row>
    <row r="10" spans="1:4" ht="29.25" customHeight="1">
      <c r="B10" s="43"/>
      <c r="C10" s="44" t="s">
        <v>287</v>
      </c>
      <c r="D10" s="55"/>
    </row>
    <row r="11" spans="1:4" ht="93">
      <c r="B11" s="43"/>
      <c r="C11" s="44" t="s">
        <v>288</v>
      </c>
      <c r="D11" s="55"/>
    </row>
    <row r="12" spans="1:4" ht="31">
      <c r="B12" s="43"/>
      <c r="C12" s="44" t="s">
        <v>289</v>
      </c>
      <c r="D12" s="55"/>
    </row>
    <row r="13" spans="1:4" ht="16.5" customHeight="1">
      <c r="B13" s="43"/>
      <c r="C13" s="46" t="s">
        <v>290</v>
      </c>
      <c r="D13" s="55"/>
    </row>
    <row r="14" spans="1:4" ht="16.5" customHeight="1">
      <c r="B14" s="56"/>
      <c r="C14" s="57"/>
      <c r="D14" s="55"/>
    </row>
    <row r="15" spans="1:4" ht="16.5" customHeight="1">
      <c r="B15" s="41" t="s">
        <v>341</v>
      </c>
      <c r="C15" s="42" t="s">
        <v>342</v>
      </c>
      <c r="D15" s="58" t="s">
        <v>420</v>
      </c>
    </row>
    <row r="16" spans="1:4">
      <c r="B16" s="43">
        <v>1.01</v>
      </c>
      <c r="C16" s="46" t="s">
        <v>421</v>
      </c>
      <c r="D16" s="59"/>
    </row>
    <row r="17" spans="2:4" ht="16.5" customHeight="1">
      <c r="B17" s="43">
        <f>B16+0.01</f>
        <v>1.02</v>
      </c>
      <c r="C17" s="44" t="s">
        <v>422</v>
      </c>
      <c r="D17" s="159">
        <v>0</v>
      </c>
    </row>
    <row r="18" spans="2:4" ht="16.5" customHeight="1">
      <c r="B18" s="43">
        <f t="shared" ref="B18:B57" si="0">B17+0.01</f>
        <v>1.03</v>
      </c>
      <c r="C18" s="44" t="s">
        <v>423</v>
      </c>
      <c r="D18" s="159">
        <v>0</v>
      </c>
    </row>
    <row r="19" spans="2:4" ht="16.5" customHeight="1">
      <c r="B19" s="43">
        <f t="shared" si="0"/>
        <v>1.04</v>
      </c>
      <c r="C19" s="44" t="s">
        <v>424</v>
      </c>
      <c r="D19" s="159">
        <v>0</v>
      </c>
    </row>
    <row r="20" spans="2:4" ht="16.5" customHeight="1">
      <c r="B20" s="43">
        <f t="shared" si="0"/>
        <v>1.05</v>
      </c>
      <c r="C20" s="44" t="s">
        <v>425</v>
      </c>
      <c r="D20" s="159">
        <v>0</v>
      </c>
    </row>
    <row r="21" spans="2:4" ht="16.5" customHeight="1">
      <c r="B21" s="43">
        <f t="shared" si="0"/>
        <v>1.06</v>
      </c>
      <c r="C21" s="44" t="s">
        <v>426</v>
      </c>
      <c r="D21" s="159">
        <v>0</v>
      </c>
    </row>
    <row r="22" spans="2:4" ht="16.5" customHeight="1">
      <c r="B22" s="43">
        <f t="shared" si="0"/>
        <v>1.07</v>
      </c>
      <c r="C22" s="44" t="s">
        <v>427</v>
      </c>
      <c r="D22" s="159">
        <v>0</v>
      </c>
    </row>
    <row r="23" spans="2:4" ht="16.5" customHeight="1">
      <c r="B23" s="43">
        <f t="shared" si="0"/>
        <v>1.08</v>
      </c>
      <c r="C23" s="44" t="s">
        <v>428</v>
      </c>
      <c r="D23" s="159">
        <v>0</v>
      </c>
    </row>
    <row r="24" spans="2:4" ht="16.5" customHeight="1">
      <c r="B24" s="43">
        <f t="shared" si="0"/>
        <v>1.0900000000000001</v>
      </c>
      <c r="C24" s="44" t="s">
        <v>429</v>
      </c>
      <c r="D24" s="159">
        <v>0</v>
      </c>
    </row>
    <row r="25" spans="2:4" ht="16.5" customHeight="1">
      <c r="B25" s="43">
        <f t="shared" si="0"/>
        <v>1.1000000000000001</v>
      </c>
      <c r="C25" s="44" t="s">
        <v>430</v>
      </c>
      <c r="D25" s="159">
        <v>0</v>
      </c>
    </row>
    <row r="26" spans="2:4" ht="16.5" customHeight="1">
      <c r="B26" s="43">
        <f t="shared" si="0"/>
        <v>1.1100000000000001</v>
      </c>
      <c r="C26" s="44" t="s">
        <v>431</v>
      </c>
      <c r="D26" s="159">
        <v>0</v>
      </c>
    </row>
    <row r="27" spans="2:4" ht="16.5" customHeight="1">
      <c r="B27" s="43">
        <f t="shared" si="0"/>
        <v>1.1200000000000001</v>
      </c>
      <c r="C27" s="44" t="s">
        <v>432</v>
      </c>
      <c r="D27" s="159">
        <v>0</v>
      </c>
    </row>
    <row r="28" spans="2:4" ht="16.5" customHeight="1">
      <c r="B28" s="43">
        <f t="shared" si="0"/>
        <v>1.1300000000000001</v>
      </c>
      <c r="C28" s="44" t="s">
        <v>433</v>
      </c>
      <c r="D28" s="159">
        <v>0</v>
      </c>
    </row>
    <row r="29" spans="2:4" ht="16.5" customHeight="1">
      <c r="B29" s="43">
        <f t="shared" si="0"/>
        <v>1.1400000000000001</v>
      </c>
      <c r="C29" s="44" t="s">
        <v>434</v>
      </c>
      <c r="D29" s="159">
        <v>0</v>
      </c>
    </row>
    <row r="30" spans="2:4" ht="16.5" customHeight="1">
      <c r="B30" s="43">
        <f t="shared" si="0"/>
        <v>1.1500000000000001</v>
      </c>
      <c r="C30" s="44" t="s">
        <v>435</v>
      </c>
      <c r="D30" s="159">
        <v>0</v>
      </c>
    </row>
    <row r="31" spans="2:4" ht="16.5" customHeight="1">
      <c r="B31" s="43">
        <f t="shared" si="0"/>
        <v>1.1600000000000001</v>
      </c>
      <c r="C31" s="44" t="s">
        <v>436</v>
      </c>
      <c r="D31" s="159">
        <v>0</v>
      </c>
    </row>
    <row r="32" spans="2:4" ht="16.5" customHeight="1">
      <c r="B32" s="43">
        <f t="shared" si="0"/>
        <v>1.1700000000000002</v>
      </c>
      <c r="C32" s="44" t="s">
        <v>437</v>
      </c>
      <c r="D32" s="159">
        <v>0</v>
      </c>
    </row>
    <row r="33" spans="2:4" ht="16.5" customHeight="1">
      <c r="B33" s="43">
        <f t="shared" si="0"/>
        <v>1.1800000000000002</v>
      </c>
      <c r="C33" s="44" t="s">
        <v>438</v>
      </c>
      <c r="D33" s="159">
        <v>0</v>
      </c>
    </row>
    <row r="34" spans="2:4" ht="16.5" customHeight="1">
      <c r="B34" s="43">
        <f t="shared" si="0"/>
        <v>1.1900000000000002</v>
      </c>
      <c r="C34" s="44" t="s">
        <v>439</v>
      </c>
      <c r="D34" s="159">
        <v>0</v>
      </c>
    </row>
    <row r="35" spans="2:4" ht="16.5" customHeight="1">
      <c r="B35" s="43">
        <f t="shared" si="0"/>
        <v>1.2000000000000002</v>
      </c>
      <c r="C35" s="44" t="s">
        <v>440</v>
      </c>
      <c r="D35" s="159">
        <v>0</v>
      </c>
    </row>
    <row r="36" spans="2:4" ht="16.5" customHeight="1">
      <c r="B36" s="43">
        <f t="shared" si="0"/>
        <v>1.2100000000000002</v>
      </c>
      <c r="C36" s="44" t="s">
        <v>441</v>
      </c>
      <c r="D36" s="159">
        <v>0</v>
      </c>
    </row>
    <row r="37" spans="2:4" ht="16.5" customHeight="1">
      <c r="B37" s="43">
        <f t="shared" si="0"/>
        <v>1.2200000000000002</v>
      </c>
      <c r="C37" s="44" t="s">
        <v>442</v>
      </c>
      <c r="D37" s="159">
        <v>0</v>
      </c>
    </row>
    <row r="38" spans="2:4" ht="16.5" customHeight="1">
      <c r="B38" s="43">
        <f t="shared" si="0"/>
        <v>1.2300000000000002</v>
      </c>
      <c r="C38" s="44" t="s">
        <v>443</v>
      </c>
      <c r="D38" s="159">
        <v>0</v>
      </c>
    </row>
    <row r="39" spans="2:4" ht="16.5" customHeight="1">
      <c r="B39" s="43">
        <f t="shared" si="0"/>
        <v>1.2400000000000002</v>
      </c>
      <c r="C39" s="44" t="s">
        <v>444</v>
      </c>
      <c r="D39" s="159">
        <v>0</v>
      </c>
    </row>
    <row r="40" spans="2:4" ht="16.5" customHeight="1">
      <c r="B40" s="43">
        <f t="shared" si="0"/>
        <v>1.2500000000000002</v>
      </c>
      <c r="C40" s="44" t="s">
        <v>445</v>
      </c>
      <c r="D40" s="159">
        <v>0</v>
      </c>
    </row>
    <row r="41" spans="2:4" ht="16.5" customHeight="1">
      <c r="B41" s="43">
        <f t="shared" si="0"/>
        <v>1.2600000000000002</v>
      </c>
      <c r="C41" s="44" t="s">
        <v>446</v>
      </c>
      <c r="D41" s="159">
        <v>0</v>
      </c>
    </row>
    <row r="42" spans="2:4" ht="16.5" customHeight="1">
      <c r="B42" s="43">
        <f t="shared" si="0"/>
        <v>1.2700000000000002</v>
      </c>
      <c r="C42" s="44" t="s">
        <v>447</v>
      </c>
      <c r="D42" s="159">
        <v>0</v>
      </c>
    </row>
    <row r="43" spans="2:4" ht="16.5" customHeight="1">
      <c r="B43" s="43">
        <f t="shared" si="0"/>
        <v>1.2800000000000002</v>
      </c>
      <c r="C43" s="44" t="s">
        <v>448</v>
      </c>
      <c r="D43" s="159">
        <v>0</v>
      </c>
    </row>
    <row r="44" spans="2:4" ht="16.5" customHeight="1">
      <c r="B44" s="43">
        <f t="shared" si="0"/>
        <v>1.2900000000000003</v>
      </c>
      <c r="C44" s="44" t="s">
        <v>449</v>
      </c>
      <c r="D44" s="159">
        <v>0</v>
      </c>
    </row>
    <row r="45" spans="2:4" ht="16.5" customHeight="1">
      <c r="B45" s="43">
        <f t="shared" si="0"/>
        <v>1.3000000000000003</v>
      </c>
      <c r="C45" s="44" t="s">
        <v>450</v>
      </c>
      <c r="D45" s="159">
        <v>0</v>
      </c>
    </row>
    <row r="46" spans="2:4" ht="16.5" customHeight="1">
      <c r="B46" s="43">
        <f t="shared" si="0"/>
        <v>1.3100000000000003</v>
      </c>
      <c r="C46" s="44" t="s">
        <v>451</v>
      </c>
      <c r="D46" s="159">
        <v>0</v>
      </c>
    </row>
    <row r="47" spans="2:4" ht="16.5" customHeight="1">
      <c r="B47" s="43">
        <f t="shared" si="0"/>
        <v>1.3200000000000003</v>
      </c>
      <c r="C47" s="44" t="s">
        <v>452</v>
      </c>
      <c r="D47" s="159">
        <v>0</v>
      </c>
    </row>
    <row r="48" spans="2:4" ht="16.5" customHeight="1">
      <c r="B48" s="43">
        <f t="shared" si="0"/>
        <v>1.3300000000000003</v>
      </c>
      <c r="C48" s="44" t="s">
        <v>453</v>
      </c>
      <c r="D48" s="159">
        <v>0</v>
      </c>
    </row>
    <row r="49" spans="2:4" ht="16.5" customHeight="1">
      <c r="B49" s="43">
        <f t="shared" si="0"/>
        <v>1.3400000000000003</v>
      </c>
      <c r="C49" s="44" t="s">
        <v>454</v>
      </c>
      <c r="D49" s="159">
        <v>0</v>
      </c>
    </row>
    <row r="50" spans="2:4">
      <c r="B50" s="43">
        <f t="shared" si="0"/>
        <v>1.3500000000000003</v>
      </c>
      <c r="C50" s="44" t="s">
        <v>455</v>
      </c>
      <c r="D50" s="159">
        <v>0</v>
      </c>
    </row>
    <row r="51" spans="2:4">
      <c r="B51" s="43">
        <f t="shared" si="0"/>
        <v>1.3600000000000003</v>
      </c>
      <c r="C51" s="44" t="s">
        <v>456</v>
      </c>
      <c r="D51" s="159">
        <v>0</v>
      </c>
    </row>
    <row r="52" spans="2:4">
      <c r="B52" s="43">
        <f t="shared" si="0"/>
        <v>1.3700000000000003</v>
      </c>
      <c r="C52" s="44" t="s">
        <v>457</v>
      </c>
      <c r="D52" s="159">
        <v>0</v>
      </c>
    </row>
    <row r="53" spans="2:4">
      <c r="B53" s="43">
        <f t="shared" si="0"/>
        <v>1.3800000000000003</v>
      </c>
      <c r="C53" s="44" t="s">
        <v>458</v>
      </c>
      <c r="D53" s="159">
        <v>0</v>
      </c>
    </row>
    <row r="54" spans="2:4">
      <c r="B54" s="43">
        <f t="shared" si="0"/>
        <v>1.3900000000000003</v>
      </c>
      <c r="C54" s="44" t="s">
        <v>459</v>
      </c>
      <c r="D54" s="159">
        <v>0</v>
      </c>
    </row>
    <row r="55" spans="2:4">
      <c r="B55" s="43">
        <f t="shared" si="0"/>
        <v>1.4000000000000004</v>
      </c>
      <c r="C55" s="44" t="s">
        <v>460</v>
      </c>
      <c r="D55" s="159">
        <v>0</v>
      </c>
    </row>
    <row r="56" spans="2:4">
      <c r="B56" s="43">
        <f t="shared" si="0"/>
        <v>1.4100000000000004</v>
      </c>
      <c r="C56" s="44" t="s">
        <v>461</v>
      </c>
      <c r="D56" s="159">
        <v>0</v>
      </c>
    </row>
    <row r="57" spans="2:4">
      <c r="B57" s="43">
        <f t="shared" si="0"/>
        <v>1.4200000000000004</v>
      </c>
      <c r="C57" s="44" t="s">
        <v>462</v>
      </c>
      <c r="D57" s="159">
        <v>0</v>
      </c>
    </row>
    <row r="58" spans="2:4">
      <c r="B58" s="43">
        <v>1.43</v>
      </c>
      <c r="C58" s="44" t="s">
        <v>463</v>
      </c>
      <c r="D58" s="159">
        <v>0</v>
      </c>
    </row>
    <row r="59" spans="2:4" ht="16" thickBot="1">
      <c r="B59" s="50">
        <v>1.44</v>
      </c>
      <c r="C59" s="51" t="s">
        <v>464</v>
      </c>
      <c r="D59" s="160">
        <v>0</v>
      </c>
    </row>
    <row r="81" spans="3:4" s="54" customFormat="1" ht="14.25" customHeight="1">
      <c r="C81" s="40"/>
      <c r="D81" s="40"/>
    </row>
  </sheetData>
  <mergeCells count="1">
    <mergeCell ref="A1:D1"/>
  </mergeCells>
  <pageMargins left="0.70866141732283472" right="0.70866141732283472" top="0.74803149606299213" bottom="0.74803149606299213" header="0.31496062992125984" footer="0.31496062992125984"/>
  <pageSetup paperSize="8" scale="72" fitToHeight="3" orientation="portrait" r:id="rId1"/>
  <headerFooter>
    <oddFooter>&amp;LCalderwood PS - Main Works Tender&amp;RPage &amp;P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F948-5583-4C8E-8932-D9CB1AA1B4AE}">
  <dimension ref="A1"/>
  <sheetViews>
    <sheetView workbookViewId="0"/>
  </sheetViews>
  <sheetFormatPr defaultRowHeight="1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e86b1a-6f45-4762-bfa7-883e71d03e7e">
      <Terms xmlns="http://schemas.microsoft.com/office/infopath/2007/PartnerControls"/>
    </lcf76f155ced4ddcb4097134ff3c332f>
    <TaxCatchAll xmlns="9e2ad427-f7d5-4e7d-8f10-1296c3ab672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724412D153674195A21B620C7224E0" ma:contentTypeVersion="14" ma:contentTypeDescription="Create a new document." ma:contentTypeScope="" ma:versionID="17c8667eaeb42a9c8de55936b8043ec9">
  <xsd:schema xmlns:xsd="http://www.w3.org/2001/XMLSchema" xmlns:xs="http://www.w3.org/2001/XMLSchema" xmlns:p="http://schemas.microsoft.com/office/2006/metadata/properties" xmlns:ns2="e4e86b1a-6f45-4762-bfa7-883e71d03e7e" xmlns:ns3="9e2ad427-f7d5-4e7d-8f10-1296c3ab672f" targetNamespace="http://schemas.microsoft.com/office/2006/metadata/properties" ma:root="true" ma:fieldsID="c093fe60f7a1156bcf2eb5cec7f7a185" ns2:_="" ns3:_="">
    <xsd:import namespace="e4e86b1a-6f45-4762-bfa7-883e71d03e7e"/>
    <xsd:import namespace="9e2ad427-f7d5-4e7d-8f10-1296c3ab67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86b1a-6f45-4762-bfa7-883e71d03e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b5286db-7994-478d-8b34-49b0caa4750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2ad427-f7d5-4e7d-8f10-1296c3ab672f"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ff2ca59-0766-46b2-9ab4-5dcd654ddd5b}" ma:internalName="TaxCatchAll" ma:showField="CatchAllData" ma:web="9e2ad427-f7d5-4e7d-8f10-1296c3ab67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8D06D9-2A93-4F91-B307-06F3687CAA0B}">
  <ds:schemaRefs>
    <ds:schemaRef ds:uri="http://purl.org/dc/terms/"/>
    <ds:schemaRef ds:uri="http://schemas.microsoft.com/office/2006/metadata/properties"/>
    <ds:schemaRef ds:uri="http://schemas.openxmlformats.org/package/2006/metadata/core-properties"/>
    <ds:schemaRef ds:uri="http://purl.org/dc/dcmitype/"/>
    <ds:schemaRef ds:uri="http://www.w3.org/XML/1998/namespace"/>
    <ds:schemaRef ds:uri="http://schemas.microsoft.com/office/infopath/2007/PartnerControls"/>
    <ds:schemaRef ds:uri="4aa49d59-0004-444d-ba63-655ecaf51907"/>
    <ds:schemaRef ds:uri="http://purl.org/dc/elements/1.1/"/>
    <ds:schemaRef ds:uri="http://schemas.microsoft.com/office/2006/documentManagement/types"/>
    <ds:schemaRef ds:uri="c54befa3-be20-4120-aeb6-ece737da2692"/>
  </ds:schemaRefs>
</ds:datastoreItem>
</file>

<file path=customXml/itemProps2.xml><?xml version="1.0" encoding="utf-8"?>
<ds:datastoreItem xmlns:ds="http://schemas.openxmlformats.org/officeDocument/2006/customXml" ds:itemID="{1049CA80-5341-421B-A06F-A8EACBD9544D}"/>
</file>

<file path=customXml/itemProps3.xml><?xml version="1.0" encoding="utf-8"?>
<ds:datastoreItem xmlns:ds="http://schemas.openxmlformats.org/officeDocument/2006/customXml" ds:itemID="{B13287EC-27CB-4DF9-9358-C60DABCBE6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 Summary</vt:lpstr>
      <vt:lpstr>Main Works</vt:lpstr>
      <vt:lpstr>Preliminaries</vt:lpstr>
      <vt:lpstr>Consultants</vt:lpstr>
      <vt:lpstr>Sched 4 PPO</vt:lpstr>
      <vt:lpstr>Sched 7 Mand Alt</vt:lpstr>
      <vt:lpstr>VE</vt:lpstr>
      <vt:lpstr>Elect Breakdown</vt:lpstr>
      <vt:lpstr>Mech Breakdown</vt:lpstr>
      <vt:lpstr>Hydraulic Breakdown</vt:lpstr>
      <vt:lpstr>Dry Fire Breakdown</vt:lpstr>
      <vt:lpstr>SOR</vt:lpstr>
      <vt:lpstr>SoR Labour</vt:lpstr>
      <vt:lpstr>SoR Equipmt</vt:lpstr>
      <vt:lpstr>Sheet3</vt:lpstr>
      <vt:lpstr>SOR!_Hlk54693717</vt:lpstr>
      <vt:lpstr>Consultants!Print_Area</vt:lpstr>
      <vt:lpstr>'Dry Fire Breakdown'!Print_Area</vt:lpstr>
      <vt:lpstr>'Elect Breakdown'!Print_Area</vt:lpstr>
      <vt:lpstr>'Hydraulic Breakdown'!Print_Area</vt:lpstr>
      <vt:lpstr>'Main Works'!Print_Area</vt:lpstr>
      <vt:lpstr>'Mech Breakdown'!Print_Area</vt:lpstr>
      <vt:lpstr>Preliminaries!Print_Area</vt:lpstr>
      <vt:lpstr>'Sched 4 PPO'!Print_Area</vt:lpstr>
      <vt:lpstr>'Sched 7 Mand Alt'!Print_Area</vt:lpstr>
      <vt:lpstr>'SoR Equipmt'!Print_Area</vt:lpstr>
      <vt:lpstr>'SoR Labour'!Print_Area</vt:lpstr>
      <vt:lpstr>VE!Print_Area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Roeleveld</dc:creator>
  <cp:keywords/>
  <dc:description/>
  <cp:lastModifiedBy>Kevin Lawless</cp:lastModifiedBy>
  <cp:revision/>
  <dcterms:created xsi:type="dcterms:W3CDTF">2020-11-19T04:13:59Z</dcterms:created>
  <dcterms:modified xsi:type="dcterms:W3CDTF">2025-09-26T05:31:27Z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0x010100A8724412D153674195A21B620C7224E0</vt:lpwstr>
  </property>
  <property fmtid="{D5CDD505-2E9C-101B-9397-08002B2CF9AE}" pid="3" name="MSIP_Label_b603dfd7-d93a-4381-a340-2995d8282205_Enabled">
    <vt:lpwstr>true</vt:lpwstr>
  </property>
  <property fmtid="{D5CDD505-2E9C-101B-9397-08002B2CF9AE}" pid="4" name="MSIP_Label_b603dfd7-d93a-4381-a340-2995d8282205_SetDate">
    <vt:lpwstr>2023-11-01T03:38:24Z</vt:lpwstr>
  </property>
  <property fmtid="{D5CDD505-2E9C-101B-9397-08002B2CF9AE}" pid="5" name="MSIP_Label_b603dfd7-d93a-4381-a340-2995d8282205_Method">
    <vt:lpwstr>Standard</vt:lpwstr>
  </property>
  <property fmtid="{D5CDD505-2E9C-101B-9397-08002B2CF9AE}" pid="6" name="MSIP_Label_b603dfd7-d93a-4381-a340-2995d8282205_Name">
    <vt:lpwstr>OFFICIAL</vt:lpwstr>
  </property>
  <property fmtid="{D5CDD505-2E9C-101B-9397-08002B2CF9AE}" pid="7" name="MSIP_Label_b603dfd7-d93a-4381-a340-2995d8282205_SiteId">
    <vt:lpwstr>05a0e69a-418a-47c1-9c25-9387261bf991</vt:lpwstr>
  </property>
  <property fmtid="{D5CDD505-2E9C-101B-9397-08002B2CF9AE}" pid="8" name="MSIP_Label_b603dfd7-d93a-4381-a340-2995d8282205_ActionId">
    <vt:lpwstr>6c1881e9-4964-4ecb-80d4-5b546d7c94d9</vt:lpwstr>
  </property>
  <property fmtid="{D5CDD505-2E9C-101B-9397-08002B2CF9AE}" pid="9" name="MSIP_Label_b603dfd7-d93a-4381-a340-2995d8282205_ContentBits">
    <vt:lpwstr>0</vt:lpwstr>
  </property>
  <property fmtid="{D5CDD505-2E9C-101B-9397-08002B2CF9AE}" pid="10" name="MediaServiceImageTags">
    <vt:lpwstr/>
  </property>
</Properties>
</file>