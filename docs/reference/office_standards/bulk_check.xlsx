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showInkAnnotation="0" codeName="ThisWorkbook" defaultThemeVersion="124226"/>
  <mc:AlternateContent xmlns:mc="http://schemas.openxmlformats.org/markup-compatibility/2006">
    <mc:Choice Requires="x15">
      <x15ac:absPath xmlns:x15ac="http://schemas.microsoft.com/office/spreadsheetml/2010/11/ac" url="S:\12 Templates\Internal Procedures\"/>
    </mc:Choice>
  </mc:AlternateContent>
  <xr:revisionPtr revIDLastSave="0" documentId="13_ncr:1_{FB20EC83-F582-4713-9FD8-663BF9F396AC}" xr6:coauthVersionLast="47" xr6:coauthVersionMax="47" xr10:uidLastSave="{00000000-0000-0000-0000-000000000000}"/>
  <bookViews>
    <workbookView xWindow="39420" yWindow="120" windowWidth="17505" windowHeight="15495" tabRatio="872" activeTab="2" xr2:uid="{00000000-000D-0000-FFFF-FFFF00000000}"/>
  </bookViews>
  <sheets>
    <sheet name="General Definitions" sheetId="13" r:id="rId1"/>
    <sheet name="Element Definitions" sheetId="14" r:id="rId2"/>
    <sheet name="&lt;PROJECT NAME&gt;" sheetId="60" r:id="rId3"/>
  </sheets>
  <definedNames>
    <definedName name="_xlnm._FilterDatabase" localSheetId="0" hidden="1">'General Definitions'!$A$1:$B$1</definedName>
    <definedName name="A.10" localSheetId="2">#REF!</definedName>
    <definedName name="A.10">#REF!</definedName>
    <definedName name="A.20" localSheetId="2">#REF!</definedName>
    <definedName name="A.20">#REF!</definedName>
    <definedName name="A.30" localSheetId="2">#REF!</definedName>
    <definedName name="A.30">#REF!</definedName>
    <definedName name="A.40" localSheetId="2">#REF!</definedName>
    <definedName name="A.40">#REF!</definedName>
    <definedName name="Foundations" localSheetId="2">#REF!</definedName>
    <definedName name="Foundations">#REF!</definedName>
    <definedName name="_xlnm.Print_Area" localSheetId="2">'&lt;PROJECT NAME&gt;'!$A$1:$O$119</definedName>
    <definedName name="_xlnm.Print_Area" localSheetId="1">'Element Definitions'!$A$1:$B$49</definedName>
    <definedName name="_xlnm.Print_Area" localSheetId="0">'General Definitions'!$A$1:$B$33</definedName>
    <definedName name="_xlnm.Print_Titles" localSheetId="1">'Element Definitions'!$1:$1</definedName>
    <definedName name="_xlnm.Print_Titles" localSheetId="0">'General Definitions'!$1:$1</definedName>
    <definedName name="Site" localSheetId="2">#REF!</definedName>
    <definedName name="Site">#REF!</definedName>
    <definedName name="Sitework" localSheetId="2">#REF!</definedName>
    <definedName name="Sitework">#REF!</definedName>
    <definedName name="Siteworks" localSheetId="2">#REF!</definedName>
    <definedName name="Sitework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30" i="60" l="1"/>
  <c r="N118" i="60"/>
  <c r="N106" i="60"/>
  <c r="N94" i="60"/>
  <c r="N82" i="60"/>
  <c r="N70" i="60"/>
  <c r="N58" i="60"/>
  <c r="N46" i="60"/>
  <c r="N34" i="60"/>
  <c r="N22" i="60"/>
  <c r="F131" i="60" l="1"/>
  <c r="M130" i="60"/>
  <c r="L130" i="60"/>
  <c r="G130" i="60"/>
  <c r="G131" i="60" s="1"/>
  <c r="F130" i="60"/>
  <c r="D130" i="60"/>
  <c r="C130" i="60"/>
  <c r="B130" i="60"/>
  <c r="H128" i="60"/>
  <c r="H127" i="60"/>
  <c r="H126" i="60"/>
  <c r="H125" i="60"/>
  <c r="H124" i="60"/>
  <c r="H123" i="60"/>
  <c r="H130" i="60" s="1"/>
  <c r="D123" i="60"/>
  <c r="G83" i="60"/>
  <c r="F83" i="60"/>
  <c r="L82" i="60"/>
  <c r="M82" i="60"/>
  <c r="B82" i="60"/>
  <c r="C82" i="60"/>
  <c r="D82" i="60"/>
  <c r="F82" i="60"/>
  <c r="G82" i="60"/>
  <c r="H82" i="60"/>
  <c r="I82" i="60" s="1"/>
  <c r="D79" i="60"/>
  <c r="D78" i="60"/>
  <c r="D77" i="60"/>
  <c r="D76" i="60"/>
  <c r="D92" i="60"/>
  <c r="D91" i="60"/>
  <c r="D90" i="60"/>
  <c r="D89" i="60"/>
  <c r="D75" i="60"/>
  <c r="H75" i="60"/>
  <c r="H76" i="60"/>
  <c r="H77" i="60"/>
  <c r="H78" i="60"/>
  <c r="H79" i="60"/>
  <c r="H80" i="60"/>
  <c r="M34" i="60"/>
  <c r="L34" i="60"/>
  <c r="G34" i="60"/>
  <c r="F34" i="60"/>
  <c r="F35" i="60" s="1"/>
  <c r="C34" i="60"/>
  <c r="B34" i="60"/>
  <c r="H32" i="60"/>
  <c r="H31" i="60"/>
  <c r="H30" i="60"/>
  <c r="H29" i="60"/>
  <c r="H28" i="60"/>
  <c r="D28" i="60"/>
  <c r="H27" i="60"/>
  <c r="D27" i="60"/>
  <c r="M118" i="60"/>
  <c r="L118" i="60"/>
  <c r="G118" i="60"/>
  <c r="F118" i="60"/>
  <c r="C118" i="60"/>
  <c r="B118" i="60"/>
  <c r="H116" i="60"/>
  <c r="H115" i="60"/>
  <c r="H114" i="60"/>
  <c r="H113" i="60"/>
  <c r="H112" i="60"/>
  <c r="H111" i="60"/>
  <c r="D111" i="60"/>
  <c r="M106" i="60"/>
  <c r="L106" i="60"/>
  <c r="G106" i="60"/>
  <c r="F106" i="60"/>
  <c r="C106" i="60"/>
  <c r="B106" i="60"/>
  <c r="H104" i="60"/>
  <c r="H103" i="60"/>
  <c r="H102" i="60"/>
  <c r="H101" i="60"/>
  <c r="H100" i="60"/>
  <c r="H99" i="60"/>
  <c r="D99" i="60"/>
  <c r="M70" i="60"/>
  <c r="L70" i="60"/>
  <c r="G70" i="60"/>
  <c r="F70" i="60"/>
  <c r="C70" i="60"/>
  <c r="B70" i="60"/>
  <c r="H68" i="60"/>
  <c r="H67" i="60"/>
  <c r="H66" i="60"/>
  <c r="H65" i="60"/>
  <c r="D65" i="60"/>
  <c r="H64" i="60"/>
  <c r="D64" i="60"/>
  <c r="H63" i="60"/>
  <c r="D63" i="60"/>
  <c r="H20" i="60"/>
  <c r="H44" i="60"/>
  <c r="H56" i="60"/>
  <c r="H90" i="60"/>
  <c r="M94" i="60"/>
  <c r="L94" i="60"/>
  <c r="G94" i="60"/>
  <c r="F94" i="60"/>
  <c r="C94" i="60"/>
  <c r="B94" i="60"/>
  <c r="H92" i="60"/>
  <c r="H91" i="60"/>
  <c r="H89" i="60"/>
  <c r="H88" i="60"/>
  <c r="D88" i="60"/>
  <c r="H87" i="60"/>
  <c r="D87" i="60"/>
  <c r="M58" i="60"/>
  <c r="L58" i="60"/>
  <c r="M46" i="60"/>
  <c r="L46" i="60"/>
  <c r="G58" i="60"/>
  <c r="F58" i="60"/>
  <c r="C58" i="60"/>
  <c r="B58" i="60"/>
  <c r="H55" i="60"/>
  <c r="H54" i="60"/>
  <c r="H53" i="60"/>
  <c r="H52" i="60"/>
  <c r="D52" i="60"/>
  <c r="H51" i="60"/>
  <c r="D51" i="60"/>
  <c r="G46" i="60"/>
  <c r="F46" i="60"/>
  <c r="C46" i="60"/>
  <c r="B46" i="60"/>
  <c r="H43" i="60"/>
  <c r="H42" i="60"/>
  <c r="H41" i="60"/>
  <c r="H40" i="60"/>
  <c r="D40" i="60"/>
  <c r="H39" i="60"/>
  <c r="D39" i="60"/>
  <c r="G22" i="60"/>
  <c r="F22" i="60"/>
  <c r="C22" i="60"/>
  <c r="B22" i="60"/>
  <c r="H19" i="60"/>
  <c r="H18" i="60"/>
  <c r="H17" i="60"/>
  <c r="H16" i="60"/>
  <c r="H15" i="60"/>
  <c r="D15" i="60"/>
  <c r="D16" i="60"/>
  <c r="J130" i="60" l="1"/>
  <c r="I130" i="60"/>
  <c r="J82" i="60"/>
  <c r="G35" i="60"/>
  <c r="D34" i="60"/>
  <c r="D106" i="60"/>
  <c r="F119" i="60"/>
  <c r="G119" i="60"/>
  <c r="H34" i="60"/>
  <c r="I34" i="60"/>
  <c r="J34" i="60"/>
  <c r="H106" i="60"/>
  <c r="J106" i="60" s="1"/>
  <c r="G23" i="60"/>
  <c r="H46" i="60"/>
  <c r="H94" i="60"/>
  <c r="F107" i="60"/>
  <c r="D118" i="60"/>
  <c r="H58" i="60"/>
  <c r="F71" i="60"/>
  <c r="G107" i="60"/>
  <c r="H118" i="60"/>
  <c r="F23" i="60"/>
  <c r="D70" i="60"/>
  <c r="G71" i="60"/>
  <c r="H70" i="60"/>
  <c r="J70" i="60" s="1"/>
  <c r="H22" i="60"/>
  <c r="D94" i="60"/>
  <c r="F95" i="60"/>
  <c r="G95" i="60"/>
  <c r="D22" i="60"/>
  <c r="G47" i="60"/>
  <c r="F59" i="60"/>
  <c r="G59" i="60"/>
  <c r="D46" i="60"/>
  <c r="F47" i="60"/>
  <c r="D58" i="60"/>
  <c r="J118" i="60" l="1"/>
  <c r="I70" i="60"/>
  <c r="I106" i="60"/>
  <c r="I118" i="60"/>
  <c r="I94" i="60"/>
  <c r="J94" i="60"/>
  <c r="J46" i="60"/>
  <c r="I46" i="60"/>
  <c r="J58" i="60"/>
  <c r="I58" i="60"/>
  <c r="I22" i="60"/>
  <c r="J22" i="60"/>
  <c r="M22" i="60" l="1"/>
  <c r="L22" i="60"/>
</calcChain>
</file>

<file path=xl/sharedStrings.xml><?xml version="1.0" encoding="utf-8"?>
<sst xmlns="http://schemas.openxmlformats.org/spreadsheetml/2006/main" count="298" uniqueCount="220">
  <si>
    <t>Upper Floor</t>
  </si>
  <si>
    <t>External Walls</t>
  </si>
  <si>
    <t>Internal Walls</t>
  </si>
  <si>
    <t>Roof</t>
  </si>
  <si>
    <t>Internal Doors</t>
  </si>
  <si>
    <t>Wall Finishes</t>
  </si>
  <si>
    <t>Floor Finishes</t>
  </si>
  <si>
    <t>Ceiling Finishes</t>
  </si>
  <si>
    <t>Electrical Installation</t>
  </si>
  <si>
    <t>Retaining Walls</t>
  </si>
  <si>
    <t>Landscaping</t>
  </si>
  <si>
    <t>Total</t>
  </si>
  <si>
    <t>Preliminaries</t>
  </si>
  <si>
    <t>Windows &amp; External Doors</t>
  </si>
  <si>
    <t>Location</t>
  </si>
  <si>
    <t>Date of Estimate</t>
  </si>
  <si>
    <t>Land Area</t>
  </si>
  <si>
    <t>Soil Classification</t>
  </si>
  <si>
    <t>Site Slope</t>
  </si>
  <si>
    <t>Job Content</t>
  </si>
  <si>
    <t>Construction Period</t>
  </si>
  <si>
    <t>Annual Rise &amp; Fall</t>
  </si>
  <si>
    <t>Party Walls</t>
  </si>
  <si>
    <t>Demolition</t>
  </si>
  <si>
    <t>Area Loading</t>
  </si>
  <si>
    <t>Garage Area</t>
  </si>
  <si>
    <t>Stair Hall Area</t>
  </si>
  <si>
    <t>Item</t>
  </si>
  <si>
    <t>Definition</t>
  </si>
  <si>
    <t>Profit and Overhead</t>
  </si>
  <si>
    <t>FECA - Building</t>
  </si>
  <si>
    <t>FECA - Ground Floor</t>
  </si>
  <si>
    <t>The FECA of the ground floor measured over internal walls, party walls, stair spaces and garages.</t>
  </si>
  <si>
    <t>Area of garage measured to the inside face of the external walls and over the internal wall bounding the living space area</t>
  </si>
  <si>
    <t>Total area of the land on which the project is contained.  Either measured from drawings or taken direct from survey drawing</t>
  </si>
  <si>
    <t>Building Works</t>
  </si>
  <si>
    <t>Site Works</t>
  </si>
  <si>
    <t>Element</t>
  </si>
  <si>
    <t>Structures that enclose the site boundary and or define individual units open private space, whether timber metal or masonry.  Include any gates within these structures.</t>
  </si>
  <si>
    <t xml:space="preserve">All walls that are required to maintain the site or levels on the site and have application in retaining ground works.  </t>
  </si>
  <si>
    <t>Town name and address of the project.  E.g. WOY WOY 28 Smith Street</t>
  </si>
  <si>
    <t>Date at which the estimate is completed, or the tender closure date.</t>
  </si>
  <si>
    <t>Expressed as a percentage to allow for site establishment and off-site overheads.</t>
  </si>
  <si>
    <t>Expressed as a percentage to allow for expected profit to be realised on the project.  It is also a reflection of market conditions at the time of the tender and a consideration of the location.</t>
  </si>
  <si>
    <t>Fully Enclosed Covered Area (FECA)</t>
  </si>
  <si>
    <t>Area measured between the internal face of the external wall at each floor level</t>
  </si>
  <si>
    <t>The area of the unit containing bedrooms, wet areas, kitchen, cupboards, wardrobes circulation space and stairs within individual units.  Excludes garages and non living areas.  Area is measured over internal wall to the inside face of external walls and to the inside face of internal walls that bound garages or common areas.</t>
  </si>
  <si>
    <t>Common stair access systems separate (not contained within the unit) but attached to the building.  Measured to the inside face of external walls and over party walls bounding units at each floor level.</t>
  </si>
  <si>
    <t>Floor structures above the ground floor slab.  Includes all horizontal structural components comprising the floor structure.  Vertical support structures are to be included in the element in which they reside.  e.g. columns, piers and the like are included in external walls or internal walls.  Slab surface finishes are included in this item.</t>
  </si>
  <si>
    <t>Unenclosed Covered Areas - Building</t>
  </si>
  <si>
    <t>The FECA measured at each floor level, over internal walls, party walls, stair spaces and garages. (Excludes basement areas)</t>
  </si>
  <si>
    <t>Soft Landscape Area</t>
  </si>
  <si>
    <t>Area of soft landscaping within the boundary of the site and the nature strip.  Includes turf, planter beds, area of planter boxes.</t>
  </si>
  <si>
    <t>Job Number</t>
  </si>
  <si>
    <t>Works Outside of Boundary</t>
  </si>
  <si>
    <t>Work prescribed additionally outside the boundary of the site, excluding driveway and crossovers. This item is to capture footpaths, extension or augmentation of services and common drainage to easements, etc.</t>
  </si>
  <si>
    <t>Expressed as number of units by bedroom category, e.g. 2 x 3 bed, 3 x 2 bed by unit type</t>
  </si>
  <si>
    <t>In budget estimates the QS is should refer to TAB "Const. Period" to establish a reasonable construction period for the project.  Tender estimates have the construction period stated in the tender documents and this should be used in lieu of the TAB "Const. Period".</t>
  </si>
  <si>
    <t>Unenclosed covered areas are generally verandas, balconies, porches (out door living spaces) and attached carports.  Area is measured from the outside face of the building's external wall to the full width or length of the unenclosed covered area, including measuring over balustrade walls or structures to the edge of the structural slab which forms an integral part of the building structure.  This approach is to avoid splitting building structural slab into both external works and building works.</t>
  </si>
  <si>
    <t>Site slope is measured as change in height divided by the length at ninety digress to the contours or fall on the site expressed as a percentage.</t>
  </si>
  <si>
    <t>This is a  job number assigned by Housing NSW internal system.  It should be on all documents issued.  If not shown please enquire with QS section for the correct job number for your project.</t>
  </si>
  <si>
    <t>Expressed as a percentage applied to the estimate to allow for increases in Labour and Materials during the construction period on a "S" curve basis.  The percentage to be applied shall be advised by Housing NSW.</t>
  </si>
  <si>
    <t>To dispose of soil or waste water from the outside face of the external wall to and including connection to authorities main, septic tanks or envirocycle systems.  Also include septic tanks. envirocycle systems, gully pits, inspection pits, traps, connections and excavation.</t>
  </si>
  <si>
    <t>To enhancement of the site.  Includes turf, plants and planting beds, edging, staking, garden walls and other soft landscape finishes.  Brick planter boxes, dwarf walls not providing retaining wall solution shall be included in this element.</t>
  </si>
  <si>
    <t>BULK QUANTITY CHECK</t>
  </si>
  <si>
    <t>VARIANCE</t>
  </si>
  <si>
    <t>% VARIANCE</t>
  </si>
  <si>
    <t>ACCEPTABLE VARIANCE</t>
  </si>
  <si>
    <t>TEST</t>
  </si>
  <si>
    <t>Total FECA + UCA</t>
  </si>
  <si>
    <t>Total Floor Finishes</t>
  </si>
  <si>
    <t>Total Floor Area</t>
  </si>
  <si>
    <t>The sum of all floor areas in the building</t>
  </si>
  <si>
    <t>As per the Geotechnical report e.g. class A, S, M, H, H1, H2, E or P</t>
  </si>
  <si>
    <t>Floor Area (Design Requirements)</t>
  </si>
  <si>
    <t>Total No. of Dwellings</t>
  </si>
  <si>
    <t>Standard Dwellings</t>
  </si>
  <si>
    <t>Universal Dwellings</t>
  </si>
  <si>
    <t>Total Floor Area of 1 Bed Dwellings</t>
  </si>
  <si>
    <t>Total Floor Area of 2 Bed Dwellings</t>
  </si>
  <si>
    <t>Total Floor Area of 3 Bed Dwellings</t>
  </si>
  <si>
    <t>Total Floor Area of 4 Bed Dwellings</t>
  </si>
  <si>
    <t>Total Floor Area of 5+ Bed Dwellings</t>
  </si>
  <si>
    <t>Total No. of Ground Floor Dwellings</t>
  </si>
  <si>
    <t>This is applicable to budget estimates only on Cost X.  Budget estimates are to be priced at western Sydney rates and a percentage loading shall be applied for projects outside this area.  Quantity Surveying section will supply loading when requested.  Tender estimates shall be priced with rates applicable to the town or area in which the development is to be constructed and therefore no area loading is to be applied.</t>
  </si>
  <si>
    <t>This is the total number of dwellings on the ground floor of the development</t>
  </si>
  <si>
    <t>The sum of all floor areas for 1 bed dwellings in the project</t>
  </si>
  <si>
    <t>The sum of all floor areas for 2 bed dwellings in the project</t>
  </si>
  <si>
    <t>The sum of all floor areas for 3 bed dwellings in the project</t>
  </si>
  <si>
    <t>The sum of all floor areas for 4 bed dwellings in the project</t>
  </si>
  <si>
    <t>The sum of all floor areas for 5+ bed dwellings in the project</t>
  </si>
  <si>
    <t>Total No. of Dwellings 1 to 5+ bedrooms</t>
  </si>
  <si>
    <t>This is the total number of dwellings broken down by bedroom category.</t>
  </si>
  <si>
    <t>This the total number of dwellings to be constructed on this project</t>
  </si>
  <si>
    <t>Design of products and environments to be usable by all people, to the greatest extent possible, without the need for expensive modifications or specialised design. "Easy Access" means barrier free access to space and outdoor areas.</t>
  </si>
  <si>
    <t>BCA Class 1a (villa) or BCA Class 2 or 3 (unit) not targeted to special needs tenants.</t>
  </si>
  <si>
    <t>Parent Job Number</t>
  </si>
  <si>
    <t>FECA</t>
  </si>
  <si>
    <t>UCA</t>
  </si>
  <si>
    <t>Substructure</t>
  </si>
  <si>
    <t>Basement Construction</t>
  </si>
  <si>
    <t>Columns</t>
  </si>
  <si>
    <t>The vertical structural component separating adjoining units or units adjoining common spaces (stair halls). This excludes vertical structural component in roof space.</t>
  </si>
  <si>
    <r>
      <t xml:space="preserve">The vertical structural components enclosure the perimeter of the buildings, other than windows and doors and gable walls or walls in roof space.  Includes the finish to the external face of the external wall but excludes the finish to the internal face of the external wall.  In addition include in this element the vertical structural supports (columns and piers) supporting balconies, awnings and roofs, balustrades to verandas, porches or balconies. Include privacy screens and building/unit numerals in this element. </t>
    </r>
    <r>
      <rPr>
        <i/>
        <sz val="10"/>
        <rFont val="Arial"/>
        <family val="2"/>
      </rPr>
      <t>Select the main external wall construction category in the description if two or more systems are used. Enter the total ground floor external walls length (in m) and the total gross external wall area (in m2) and do not include balustrades length and area.</t>
    </r>
  </si>
  <si>
    <r>
      <t xml:space="preserve">The structure and covering over the building, rainwater collection and disposal and party walls and gable walls including the finishes.  Includes roof and ceiling insulation, eaves and eaves linings, linings to verandas, porches and balconies and roof plumbing.  Sky lights/tubes  and roof ventilators are included in this element. Solar panels are excluded in the element. </t>
    </r>
    <r>
      <rPr>
        <i/>
        <sz val="10"/>
        <rFont val="Arial"/>
        <family val="2"/>
      </rPr>
      <t>Enter the total roof area (measured flat in m2) and the main roof description if two or more systems are used.</t>
    </r>
  </si>
  <si>
    <r>
      <t xml:space="preserve">Openings in the external wall to provide light, ventilation and egress into or out of the building or unit.  Include flyscreens, and security screen doors, garage doors, louvers, guard grilles, glass blocks, sun protection, sills, linings and hardware. </t>
    </r>
    <r>
      <rPr>
        <i/>
        <sz val="10"/>
        <rFont val="Arial"/>
        <family val="2"/>
      </rPr>
      <t>Enter the total window and external door opening areas (in m2).</t>
    </r>
  </si>
  <si>
    <r>
      <t xml:space="preserve">Contains all structural items below and including the ground floor slab but excluding basement construction and lift pits &amp; foundation.  Includes porches, verandas integral with the ground floor structure.  The surface finish (not floor finish) to the ground floor slab is included in this item. Include termite treatment in this element. </t>
    </r>
    <r>
      <rPr>
        <i/>
        <sz val="10"/>
        <rFont val="Arial"/>
        <family val="2"/>
      </rPr>
      <t>Select the main substructure construction type in the description if two or more systems are used.</t>
    </r>
  </si>
  <si>
    <t>Lift Assemblies</t>
  </si>
  <si>
    <t>Fire Sprinklers</t>
  </si>
  <si>
    <r>
      <t xml:space="preserve">The structural connections between floors including the floor finish, balustrades and handrails. All finishes and services including dry powder/CO2/water based fire extinguishers in the foyer and lobbies are included in this element. </t>
    </r>
    <r>
      <rPr>
        <i/>
        <sz val="10"/>
        <rFont val="Arial"/>
        <family val="2"/>
      </rPr>
      <t>Enter the no. of stairhalls (one staircase servicing two levels of lobbies are to be considered one stairhall)</t>
    </r>
  </si>
  <si>
    <t>Internal Construction includes:</t>
  </si>
  <si>
    <t>Internal Stairs</t>
  </si>
  <si>
    <t>The structural connections between floors including the floor finish, balustrades and handrails in townhouses only. All finishes are included in this sub-element.</t>
  </si>
  <si>
    <t>Fittings &amp; Plumbing - Kitchen</t>
  </si>
  <si>
    <t>Fittings &amp; Plumbing - Bath/Laundry</t>
  </si>
  <si>
    <t>Fittings &amp; Plumbing - Excl. Kitchen/Bath/Laundry</t>
  </si>
  <si>
    <t>Items such as wardrobes in bedroom/s, picture hooks to living room, and window/sliding door curtains or blinds are included in this sub-element.</t>
  </si>
  <si>
    <t>Plumbing</t>
  </si>
  <si>
    <t>Site Clearing</t>
  </si>
  <si>
    <t>Earthwork</t>
  </si>
  <si>
    <t>Prepare the site for building activities including bulk excavation and fill to obtain platform levels.</t>
  </si>
  <si>
    <t>Prepare the site for building activities including the removal of existing vegetation nominated for removal, protection of vegetation nominated to be retained, strip ground cover, strip top soil.</t>
  </si>
  <si>
    <t>Driveways &amp; Parking Lots</t>
  </si>
  <si>
    <t>Footpaths</t>
  </si>
  <si>
    <t>Provide vehicular trafficable areas onto and around the site including driveways, crossover, parking lots, kerb, road marking, vehicle stops and tactile indicators.</t>
  </si>
  <si>
    <t>Provide pedestrian trafficable areas onto and around the site including paths and paving under drying areas, concrete steps and tactile indicators.</t>
  </si>
  <si>
    <t>The demolition and removal of any existing structures on the site.  Includes the removal of existing houses, sheds, garages, driveways, paving, clothes lines, fences, BBQs, pergolas and the like.  Exclude the removal of vegetation.</t>
  </si>
  <si>
    <t>Fencing and Screens</t>
  </si>
  <si>
    <t>Carports/Isolated Garage</t>
  </si>
  <si>
    <t>Free standing carports or isolated garages (not attached to main building)</t>
  </si>
  <si>
    <t>Other Site Improvements</t>
  </si>
  <si>
    <t>Provide structures on the site not attached to the building.  Include are letter boxes and letter box walls, clothes lines, free standing pergolas, BBQs, bin enclosures, gazebos, garden bench, bicycle rack, etc.</t>
  </si>
  <si>
    <t>Stormwater Drainage</t>
  </si>
  <si>
    <t>Stormwater Detention Systems</t>
  </si>
  <si>
    <t>To dispose of rain and surface water from the site and connection to authorities main.  Include piping, grated drains, pits and excavation.  Also include overflow lines from water harvesting tanks.</t>
  </si>
  <si>
    <t>Onsite stormwater detention structural components systems, pits and excavation.</t>
  </si>
  <si>
    <t>Sewer Drainage</t>
  </si>
  <si>
    <t>Portable Water Supply</t>
  </si>
  <si>
    <t>Rainwater Supply</t>
  </si>
  <si>
    <t>Provides cold water from in street service main to the outside face of the building.  Includes all metering, pipework, excavation.  Hose cocks are included in this element.</t>
  </si>
  <si>
    <t>Includes water harvesting tanks, pipework, excavation, pumps and electrical connection to pumps, reticulation from tank into the building.  Also include piping from downpipes or gutter to the water harvesting tanks.</t>
  </si>
  <si>
    <t>Fire Protection Service</t>
  </si>
  <si>
    <t>Provides water from in street fire main to the outside face of the building.  Includes all pipework, excavation, BFP assembly and hydrant riser including tee.</t>
  </si>
  <si>
    <t>Provides gas from in street service main to the outside face of the building.  Includes all metering, pipework, excavation.</t>
  </si>
  <si>
    <t>Gas Supply</t>
  </si>
  <si>
    <t>Electrical Service</t>
  </si>
  <si>
    <t>Mechanical</t>
  </si>
  <si>
    <t>Tel/Data Service</t>
  </si>
  <si>
    <t>Site Lighting</t>
  </si>
  <si>
    <t>To provide area lighting including conduit, cabling and excavation for trenches.</t>
  </si>
  <si>
    <t>Maintain and control temperature, humidity and quality of air within buildings. Includes air-conditioners, ductwork, plant, controls and associated external work, etc.</t>
  </si>
  <si>
    <t>To provide electrical power from authorities connection point to the outside face of the external wall of the building.  Include new connection poles,  consumer mains, main and distribution boards excavation for trenches, MATV service and photovoltaic's system.</t>
  </si>
  <si>
    <t>To provide telephone connection from authorities connection point to the outside face of the external wall of the building including conduit, cabling and excavation for trenches</t>
  </si>
  <si>
    <t>Hot water mixing/tempering valves, gas reticulation and hot water system (electric, gas, solar or heat pump) are included in this sub-element.</t>
  </si>
  <si>
    <t>The upright internal and external supports to upper floors forming part of a framed (load bearing) structure. This excludes columns to non-load bearing structures, columns supporting balconies, awnings and attached covered walkway, columns supporting exposed attached external stairs.</t>
  </si>
  <si>
    <t>Stair Assemblies</t>
  </si>
  <si>
    <r>
      <t xml:space="preserve">The structural components enclosuring the lift including, lift pit &amp; foundation, walls to lift shafts and wells. The lift and all associated electrical works and equipment are included in this element. </t>
    </r>
    <r>
      <rPr>
        <i/>
        <sz val="10"/>
        <rFont val="Arial"/>
        <family val="2"/>
      </rPr>
      <t>Enter the total no. of lift/s and the total no. of floors serviced including basement/roof level if any.</t>
    </r>
  </si>
  <si>
    <t>Fire protection to detect and/or extinguish fire including sprinklers and other automatic extinguishing systems, fire indicator board, fire alarm, hydrant installation, hose reels and cupboards, fire booster pumps but excluding dry powder/CO2/water based fire extinguishers and smoke detectors.</t>
  </si>
  <si>
    <t>The vertical structural components dividing internal spaces into separate rooms. Includes walls and bulkheads.  Excludes wall finishes, internal doors and walls in roof space.</t>
  </si>
  <si>
    <t>Doors providing passage through internal walls. Includes door, door frame, linings, architrave and finishes.  Excludes doors to fixtures, include in Fitments element.</t>
  </si>
  <si>
    <t>Applied finishes to the internal face of external walls and internal walls. Includes sub linings (plywood) behind finishing linings.  Includes water proofing to walls.</t>
  </si>
  <si>
    <t>Applied finishes to ground floor slab and upper floor elements. Includes skirtings, waterproofing and floors.  Excluded is the integral finish to concrete slabs.</t>
  </si>
  <si>
    <t>Applied finishes to underside of roof and upper floors. Includes cornices, linings to roof lights, manholes, framing and finishing to bulkheads.</t>
  </si>
  <si>
    <t>Items and plumbing &amp; fixtures provided to fit out the kitchen with built-up fittings. Includes benches, cupboards, shelving, pantry cupboards and like (including hardware and finishing to the fitments), stoves (electric or gas), rangehood incl. ducting and kitchen sink.</t>
  </si>
  <si>
    <t>Items and plumbing &amp; fixtures provided to fit out the bathroom and laundry with built-up fittings. Includes benches, cupboards, shelving, and like (including hardware and finishing to the fitments), bath, shower, shower screen or curtains, soap holders, toilet paper holders, basin, vanity, WC, mirrors, shaving cabinet, grab rails, towel rail, robe hook, laundry tub and etc.</t>
  </si>
  <si>
    <t>Provision of light and power reticulation within the footprint of the unit  Includes sub boards, GPO's, batten holders, light fittings, smoke detectors, exhaust fans (including ducting), telephone cabling and TV cabling.</t>
  </si>
  <si>
    <t>Maintain and control temperature, humidity and quality of air within buildings. Includes air-conditioners, ductwork, plant, controls and associated external work, etc. Excludes exhaust fan to wet areas and rangehood and carpark ventilation.</t>
  </si>
  <si>
    <r>
      <t xml:space="preserve">Contains all basement structural items including basement excavations, basement walls, steps &amp; ramps, tanking and columns above tops of bases in the basement level. Includes carpark mechanical ventilation. Exclude lift pits &amp; foundation and walls to lift shafts. </t>
    </r>
    <r>
      <rPr>
        <i/>
        <sz val="10"/>
        <rFont val="Arial"/>
        <family val="2"/>
      </rPr>
      <t>Enter the total number of car spaces including visitors or disabled car spaces (in no.). Tick box if basement is fully enclosed covered underground basement.</t>
    </r>
  </si>
  <si>
    <t>Work outside Boundary</t>
  </si>
  <si>
    <t>Additional services required for the site beyond the site boundary such as public footpath to the closest bus stop,  upgrading or new sub-station, extension of stormwater pipe to the nearest pit due to council requirement and sealing of half road along the boundary. Exclusion:- concrete crossover including kerb and gutter, concrete footpath along the boundary, turfing and street planting along the boundary and connection of services.</t>
  </si>
  <si>
    <t>PRETENDER ESTIMATE</t>
  </si>
  <si>
    <t>Less Internal Door Area</t>
  </si>
  <si>
    <t>Less External Door Area</t>
  </si>
  <si>
    <t>REMARKS</t>
  </si>
  <si>
    <t>Less Internal Window Area</t>
  </si>
  <si>
    <t>Less External Window Area</t>
  </si>
  <si>
    <t>Total Ceiling Linings</t>
  </si>
  <si>
    <t>Total Ceiling Finishes</t>
  </si>
  <si>
    <t xml:space="preserve">FLOOR AREAS: </t>
  </si>
  <si>
    <t>L1</t>
  </si>
  <si>
    <t>GF</t>
  </si>
  <si>
    <t>CEILING FINISH</t>
  </si>
  <si>
    <t>External</t>
  </si>
  <si>
    <t>Total FECA + External</t>
  </si>
  <si>
    <t>WALL TYPE</t>
  </si>
  <si>
    <t>Gross External Wall</t>
  </si>
  <si>
    <t>Gross Internal Wall</t>
  </si>
  <si>
    <t>Total Wall Type</t>
  </si>
  <si>
    <t>Total Area of Wall</t>
  </si>
  <si>
    <t>EXTERNAL WALL FINISH</t>
  </si>
  <si>
    <t>Total External Wall Finish</t>
  </si>
  <si>
    <t>INTERNAL WALL FINISH</t>
  </si>
  <si>
    <t>Gross External Wall Finishes</t>
  </si>
  <si>
    <t>Gross Internal Wall Finishes</t>
  </si>
  <si>
    <t>Total Area of Internal Wall Finish</t>
  </si>
  <si>
    <t>Total Area of External Wall Finish</t>
  </si>
  <si>
    <t>Total Internal Wall Finish</t>
  </si>
  <si>
    <t>DOORS</t>
  </si>
  <si>
    <t>Door Count</t>
  </si>
  <si>
    <t>Total No. of Doors</t>
  </si>
  <si>
    <t>WINDOWS</t>
  </si>
  <si>
    <t>Window Count</t>
  </si>
  <si>
    <t>Total No. of Windows</t>
  </si>
  <si>
    <t>Roof Area</t>
  </si>
  <si>
    <t>Total Roof Area</t>
  </si>
  <si>
    <t>Total Roof Sheeting</t>
  </si>
  <si>
    <t>ROOF SHEETING</t>
  </si>
  <si>
    <t>CEILING LININGS</t>
  </si>
  <si>
    <t>Total Formworks Area</t>
  </si>
  <si>
    <t>FORMWORKS - HORIZONTAL</t>
  </si>
  <si>
    <t>Floor Finishes (From workbook)</t>
  </si>
  <si>
    <t>Roof Sheeting (From workbook)</t>
  </si>
  <si>
    <t>Celing Linings (From workbook)</t>
  </si>
  <si>
    <t>Ceiling Finishes (From workbook)</t>
  </si>
  <si>
    <t>External Wall Finishes (From workbook)</t>
  </si>
  <si>
    <t>Internal Wall Finishes (From workbook)</t>
  </si>
  <si>
    <t>Wall Type (From workbook)</t>
  </si>
  <si>
    <t>Door Type Count (From workbook)</t>
  </si>
  <si>
    <t>Window Type Count (From workbook)</t>
  </si>
  <si>
    <t>Formworks Area (From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</si>
</sst>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00%"/>
    <numFmt numFmtId="166" formatCode="d\-mmm\-yyyy"/>
    <numFmt numFmtId="167" formatCode="&quot;+&quot;0.00%"/>
  </numFmts>
  <fonts count="18" x14ac:knownFonts="1">
    <font>
      <sz val="10"/>
      <name val="Arial"/>
    </font>
    <font>
      <sz val="10"/>
      <name val="MS Sans Serif"/>
      <family val="2"/>
    </font>
    <font>
      <sz val="8"/>
      <name val="Arial"/>
      <family val="2"/>
    </font>
    <font>
      <sz val="12"/>
      <name val="Arial"/>
      <family val="2"/>
    </font>
    <font>
      <b/>
      <sz val="12"/>
      <name val="Arial"/>
      <family val="2"/>
    </font>
    <font>
      <b/>
      <sz val="12"/>
      <color indexed="62"/>
      <name val="Arial"/>
      <family val="2"/>
    </font>
    <font>
      <b/>
      <sz val="12"/>
      <color indexed="9"/>
      <name val="Arial"/>
      <family val="2"/>
    </font>
    <font>
      <b/>
      <sz val="14"/>
      <color indexed="9"/>
      <name val="Arial"/>
      <family val="2"/>
    </font>
    <font>
      <b/>
      <sz val="10"/>
      <name val="Arial"/>
      <family val="2"/>
    </font>
    <font>
      <sz val="10"/>
      <name val="Arial"/>
      <family val="2"/>
    </font>
    <font>
      <i/>
      <sz val="10"/>
      <name val="Arial"/>
      <family val="2"/>
    </font>
    <font>
      <sz val="12"/>
      <name val="Times New Roman"/>
      <family val="1"/>
    </font>
    <font>
      <b/>
      <u/>
      <sz val="12"/>
      <color indexed="62"/>
      <name val="Arial"/>
      <family val="2"/>
    </font>
    <font>
      <b/>
      <sz val="20"/>
      <color indexed="62"/>
      <name val="Arial"/>
      <family val="2"/>
    </font>
    <font>
      <b/>
      <sz val="14"/>
      <color indexed="62"/>
      <name val="Arial"/>
      <family val="2"/>
    </font>
    <font>
      <sz val="10"/>
      <name val="Arial"/>
      <family val="2"/>
    </font>
    <font>
      <sz val="8"/>
      <name val="Arial"/>
      <family val="2"/>
    </font>
    <font>
      <sz val="12"/>
      <color rgb="FFFF0000"/>
      <name val="Arial"/>
      <family val="2"/>
    </font>
  </fonts>
  <fills count="6">
    <fill>
      <patternFill patternType="none"/>
    </fill>
    <fill>
      <patternFill patternType="gray125"/>
    </fill>
    <fill>
      <patternFill patternType="solid">
        <fgColor indexed="22"/>
        <bgColor indexed="64"/>
      </patternFill>
    </fill>
    <fill>
      <patternFill patternType="solid">
        <fgColor indexed="62"/>
        <bgColor indexed="64"/>
      </patternFill>
    </fill>
    <fill>
      <patternFill patternType="solid">
        <fgColor indexed="13"/>
        <bgColor indexed="64"/>
      </patternFill>
    </fill>
    <fill>
      <patternFill patternType="solid">
        <fgColor theme="7" tint="0.59999389629810485"/>
        <bgColor indexed="64"/>
      </patternFill>
    </fill>
  </fills>
  <borders count="12">
    <border>
      <left/>
      <right/>
      <top/>
      <bottom/>
      <diagonal/>
    </border>
    <border>
      <left style="thin">
        <color indexed="62"/>
      </left>
      <right style="thin">
        <color indexed="62"/>
      </right>
      <top style="thin">
        <color indexed="62"/>
      </top>
      <bottom style="thin">
        <color indexed="6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8">
    <xf numFmtId="0" fontId="0" fillId="0" borderId="0"/>
    <xf numFmtId="0" fontId="11" fillId="0" borderId="0"/>
    <xf numFmtId="0" fontId="11" fillId="0" borderId="0"/>
    <xf numFmtId="9" fontId="1" fillId="0" borderId="0" applyFont="0" applyFill="0" applyBorder="0" applyAlignment="0" applyProtection="0"/>
    <xf numFmtId="0" fontId="9" fillId="0" borderId="0"/>
    <xf numFmtId="0" fontId="9" fillId="0" borderId="0"/>
    <xf numFmtId="40" fontId="1" fillId="0" borderId="0" applyFont="0" applyFill="0" applyBorder="0" applyAlignment="0" applyProtection="0"/>
    <xf numFmtId="164" fontId="15" fillId="0" borderId="0" applyFont="0" applyFill="0" applyBorder="0" applyAlignment="0" applyProtection="0"/>
  </cellStyleXfs>
  <cellXfs count="70">
    <xf numFmtId="0" fontId="0" fillId="0" borderId="0" xfId="0"/>
    <xf numFmtId="0" fontId="7" fillId="3" borderId="0" xfId="0" applyFont="1" applyFill="1" applyAlignment="1">
      <alignment horizontal="center"/>
    </xf>
    <xf numFmtId="0" fontId="8" fillId="0" borderId="1" xfId="0" applyFont="1" applyBorder="1" applyAlignment="1">
      <alignment vertical="top" wrapText="1"/>
    </xf>
    <xf numFmtId="0" fontId="8" fillId="0" borderId="1" xfId="0" applyFont="1" applyBorder="1" applyAlignment="1">
      <alignment vertical="top"/>
    </xf>
    <xf numFmtId="0" fontId="9" fillId="0" borderId="0" xfId="0" applyFont="1"/>
    <xf numFmtId="0" fontId="9" fillId="0" borderId="1" xfId="0" applyFont="1" applyBorder="1" applyAlignment="1">
      <alignment vertical="top"/>
    </xf>
    <xf numFmtId="0" fontId="9" fillId="0" borderId="1" xfId="0" applyFont="1" applyBorder="1" applyAlignment="1">
      <alignment vertical="top" wrapText="1"/>
    </xf>
    <xf numFmtId="0" fontId="9" fillId="0" borderId="0" xfId="0" applyFont="1" applyAlignment="1">
      <alignment vertical="top"/>
    </xf>
    <xf numFmtId="0" fontId="9" fillId="0" borderId="0" xfId="0" applyFont="1" applyAlignment="1">
      <alignment vertical="top" wrapText="1"/>
    </xf>
    <xf numFmtId="0" fontId="9" fillId="0" borderId="2" xfId="0" applyFont="1" applyBorder="1" applyAlignment="1">
      <alignment vertical="top"/>
    </xf>
    <xf numFmtId="0" fontId="9" fillId="0" borderId="2" xfId="0" applyFont="1" applyBorder="1" applyAlignment="1">
      <alignment vertical="top" wrapText="1"/>
    </xf>
    <xf numFmtId="0" fontId="6" fillId="3" borderId="4" xfId="2" quotePrefix="1" applyFont="1" applyFill="1" applyBorder="1" applyAlignment="1">
      <alignment horizontal="center" vertical="center" wrapText="1"/>
    </xf>
    <xf numFmtId="0" fontId="5" fillId="2" borderId="0" xfId="2" applyFont="1" applyFill="1"/>
    <xf numFmtId="0" fontId="3" fillId="2" borderId="0" xfId="1" applyFont="1" applyFill="1" applyAlignment="1">
      <alignment horizontal="right"/>
    </xf>
    <xf numFmtId="0" fontId="3" fillId="2" borderId="0" xfId="2" applyFont="1" applyFill="1" applyAlignment="1">
      <alignment horizontal="right"/>
    </xf>
    <xf numFmtId="1" fontId="3" fillId="0" borderId="0" xfId="2" applyNumberFormat="1" applyFont="1" applyAlignment="1">
      <alignment horizontal="left" indent="1"/>
    </xf>
    <xf numFmtId="0" fontId="4" fillId="0" borderId="6" xfId="0" applyFont="1" applyBorder="1" applyAlignment="1">
      <alignment horizontal="left"/>
    </xf>
    <xf numFmtId="1" fontId="3" fillId="4" borderId="7" xfId="3" applyNumberFormat="1" applyFont="1" applyFill="1" applyBorder="1" applyAlignment="1">
      <alignment horizontal="right"/>
    </xf>
    <xf numFmtId="10" fontId="3" fillId="4" borderId="7" xfId="3" applyNumberFormat="1" applyFont="1" applyFill="1" applyBorder="1" applyAlignment="1">
      <alignment horizontal="right"/>
    </xf>
    <xf numFmtId="167" fontId="3" fillId="4" borderId="7" xfId="3" applyNumberFormat="1" applyFont="1" applyFill="1" applyBorder="1" applyAlignment="1">
      <alignment horizontal="right"/>
    </xf>
    <xf numFmtId="0" fontId="5" fillId="2" borderId="4" xfId="2" applyFont="1" applyFill="1" applyBorder="1"/>
    <xf numFmtId="0" fontId="14" fillId="0" borderId="0" xfId="0" applyFont="1"/>
    <xf numFmtId="0" fontId="10" fillId="0" borderId="1" xfId="0" applyFont="1" applyBorder="1" applyAlignment="1">
      <alignment horizontal="left" vertical="top" wrapText="1" indent="2"/>
    </xf>
    <xf numFmtId="0" fontId="10" fillId="0" borderId="1" xfId="0" applyFont="1" applyBorder="1" applyAlignment="1">
      <alignment vertical="top" wrapText="1"/>
    </xf>
    <xf numFmtId="165" fontId="3" fillId="4" borderId="7" xfId="3" applyNumberFormat="1" applyFont="1" applyFill="1" applyBorder="1" applyAlignment="1">
      <alignment horizontal="right"/>
    </xf>
    <xf numFmtId="0" fontId="6" fillId="3" borderId="8" xfId="2" applyFont="1" applyFill="1" applyBorder="1" applyAlignment="1">
      <alignment horizontal="center" vertical="center" wrapText="1"/>
    </xf>
    <xf numFmtId="0" fontId="0" fillId="0" borderId="10" xfId="0" applyBorder="1"/>
    <xf numFmtId="0" fontId="4" fillId="0" borderId="5" xfId="0" applyFont="1" applyBorder="1" applyAlignment="1">
      <alignment horizontal="left"/>
    </xf>
    <xf numFmtId="0" fontId="3" fillId="0" borderId="9" xfId="0" applyFont="1" applyBorder="1"/>
    <xf numFmtId="10" fontId="3" fillId="0" borderId="9" xfId="3" applyNumberFormat="1" applyFont="1" applyBorder="1" applyAlignment="1"/>
    <xf numFmtId="0" fontId="6" fillId="3" borderId="4" xfId="2" applyFont="1" applyFill="1" applyBorder="1" applyAlignment="1">
      <alignment horizontal="center" vertical="center" wrapText="1"/>
    </xf>
    <xf numFmtId="1" fontId="4" fillId="0" borderId="0" xfId="2" applyNumberFormat="1" applyFont="1" applyAlignment="1">
      <alignment horizontal="left" indent="1"/>
    </xf>
    <xf numFmtId="2" fontId="4" fillId="0" borderId="0" xfId="0" applyNumberFormat="1" applyFont="1" applyAlignment="1">
      <alignment horizontal="left"/>
    </xf>
    <xf numFmtId="1" fontId="3" fillId="0" borderId="0" xfId="7" applyNumberFormat="1" applyFont="1" applyAlignment="1">
      <alignment horizontal="center" vertical="center"/>
    </xf>
    <xf numFmtId="1" fontId="4" fillId="0" borderId="7" xfId="0" applyNumberFormat="1" applyFont="1" applyBorder="1" applyAlignment="1">
      <alignment horizontal="left"/>
    </xf>
    <xf numFmtId="0" fontId="3" fillId="0" borderId="0" xfId="0" applyFont="1"/>
    <xf numFmtId="10" fontId="3" fillId="0" borderId="0" xfId="3" applyNumberFormat="1" applyFont="1" applyBorder="1" applyAlignment="1"/>
    <xf numFmtId="0" fontId="12" fillId="0" borderId="3" xfId="2" applyFont="1" applyBorder="1"/>
    <xf numFmtId="0" fontId="12" fillId="0" borderId="4" xfId="2" applyFont="1" applyBorder="1"/>
    <xf numFmtId="0" fontId="12" fillId="0" borderId="5" xfId="2" applyFont="1" applyBorder="1"/>
    <xf numFmtId="0" fontId="12" fillId="0" borderId="0" xfId="2" applyFont="1"/>
    <xf numFmtId="1" fontId="3" fillId="5" borderId="0" xfId="7" applyNumberFormat="1" applyFont="1" applyFill="1" applyAlignment="1">
      <alignment horizontal="center" vertical="center"/>
    </xf>
    <xf numFmtId="1" fontId="4" fillId="5" borderId="7" xfId="7" applyNumberFormat="1" applyFont="1" applyFill="1" applyBorder="1" applyAlignment="1">
      <alignment horizontal="center" vertical="center"/>
    </xf>
    <xf numFmtId="2" fontId="4" fillId="0" borderId="0" xfId="7" applyNumberFormat="1" applyFont="1" applyAlignment="1">
      <alignment horizontal="center" vertical="center"/>
    </xf>
    <xf numFmtId="2" fontId="4" fillId="0" borderId="0" xfId="2" applyNumberFormat="1" applyFont="1" applyAlignment="1">
      <alignment horizontal="center"/>
    </xf>
    <xf numFmtId="1" fontId="3" fillId="0" borderId="0" xfId="7" applyNumberFormat="1" applyFont="1" applyFill="1" applyAlignment="1">
      <alignment horizontal="center" vertical="center"/>
    </xf>
    <xf numFmtId="0" fontId="17" fillId="0" borderId="5" xfId="0" applyFont="1" applyBorder="1" applyAlignment="1">
      <alignment horizontal="left"/>
    </xf>
    <xf numFmtId="0" fontId="3" fillId="0" borderId="0" xfId="2" applyFont="1" applyAlignment="1">
      <alignment horizontal="left" indent="1"/>
    </xf>
    <xf numFmtId="166" fontId="3" fillId="0" borderId="0" xfId="2" applyNumberFormat="1" applyFont="1" applyAlignment="1">
      <alignment horizontal="left" indent="1"/>
    </xf>
    <xf numFmtId="0" fontId="5" fillId="0" borderId="0" xfId="2" applyFont="1" applyAlignment="1">
      <alignment horizontal="right" indent="1"/>
    </xf>
    <xf numFmtId="0" fontId="5" fillId="0" borderId="0" xfId="2" applyFont="1"/>
    <xf numFmtId="2" fontId="4" fillId="0" borderId="0" xfId="7" applyNumberFormat="1" applyFont="1" applyBorder="1" applyAlignment="1">
      <alignment vertical="center"/>
    </xf>
    <xf numFmtId="1" fontId="3" fillId="0" borderId="0" xfId="7" applyNumberFormat="1" applyFont="1" applyBorder="1" applyAlignment="1">
      <alignment vertical="center"/>
    </xf>
    <xf numFmtId="1" fontId="4" fillId="5" borderId="7" xfId="7" applyNumberFormat="1" applyFont="1" applyFill="1" applyBorder="1" applyAlignment="1">
      <alignment vertical="center"/>
    </xf>
    <xf numFmtId="0" fontId="3" fillId="0" borderId="0" xfId="2" applyFont="1"/>
    <xf numFmtId="166" fontId="3" fillId="0" borderId="0" xfId="2" applyNumberFormat="1" applyFont="1"/>
    <xf numFmtId="2" fontId="4" fillId="0" borderId="0" xfId="0" applyNumberFormat="1" applyFont="1"/>
    <xf numFmtId="1" fontId="3" fillId="0" borderId="0" xfId="7" applyNumberFormat="1" applyFont="1" applyAlignment="1"/>
    <xf numFmtId="1" fontId="3" fillId="0" borderId="0" xfId="2" applyNumberFormat="1" applyFont="1"/>
    <xf numFmtId="10" fontId="3" fillId="5" borderId="9" xfId="3" applyNumberFormat="1" applyFont="1" applyFill="1" applyBorder="1" applyAlignment="1"/>
    <xf numFmtId="10" fontId="3" fillId="0" borderId="0" xfId="3" applyNumberFormat="1" applyFont="1" applyFill="1" applyBorder="1" applyAlignment="1"/>
    <xf numFmtId="0" fontId="0" fillId="0" borderId="11" xfId="0" applyBorder="1"/>
    <xf numFmtId="0" fontId="12" fillId="0" borderId="5" xfId="2" applyFont="1" applyBorder="1" applyAlignment="1">
      <alignment horizontal="center"/>
    </xf>
    <xf numFmtId="0" fontId="12" fillId="0" borderId="0" xfId="2" applyFont="1" applyAlignment="1">
      <alignment horizontal="center"/>
    </xf>
    <xf numFmtId="0" fontId="3" fillId="0" borderId="0" xfId="2" applyFont="1" applyAlignment="1">
      <alignment horizontal="center"/>
    </xf>
    <xf numFmtId="0" fontId="4" fillId="0" borderId="0" xfId="2" applyFont="1" applyAlignment="1">
      <alignment horizontal="center"/>
    </xf>
    <xf numFmtId="0" fontId="5" fillId="0" borderId="0" xfId="2" applyFont="1"/>
    <xf numFmtId="0" fontId="13" fillId="0" borderId="0" xfId="2" applyFont="1" applyAlignment="1">
      <alignment horizontal="center"/>
    </xf>
    <xf numFmtId="0" fontId="6" fillId="3" borderId="3" xfId="2" applyFont="1" applyFill="1" applyBorder="1" applyAlignment="1">
      <alignment horizontal="center" vertical="center" wrapText="1"/>
    </xf>
    <xf numFmtId="0" fontId="6" fillId="3" borderId="4" xfId="2" applyFont="1" applyFill="1" applyBorder="1" applyAlignment="1">
      <alignment horizontal="center" vertical="center" wrapText="1"/>
    </xf>
  </cellXfs>
  <cellStyles count="8">
    <cellStyle name="Comma" xfId="7" builtinId="3"/>
    <cellStyle name="Comma 2" xfId="6" xr:uid="{00000000-0005-0000-0000-000000000000}"/>
    <cellStyle name="Normal" xfId="0" builtinId="0"/>
    <cellStyle name="Normal 2" xfId="5" xr:uid="{00000000-0005-0000-0000-000004000000}"/>
    <cellStyle name="Normal 3" xfId="4" xr:uid="{00000000-0005-0000-0000-000005000000}"/>
    <cellStyle name="Normal_001dapto_TENDER OR BUDGET ESTIMATE TEMPLATE-GH&amp;SEPP V2.2 (Oct 09)" xfId="1" xr:uid="{00000000-0005-0000-0000-000007000000}"/>
    <cellStyle name="Normal_Info (2)_TENDER OR BUDGET ESTIMATE TEMPLATE-GH&amp;SEPP V2.2 (Oct 09)" xfId="2" xr:uid="{00000000-0005-0000-0000-000009000000}"/>
    <cellStyle name="Percent" xfId="3" builtinId="5"/>
  </cellStyles>
  <dxfs count="8">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10"/>
        </patternFill>
      </fill>
    </dxf>
    <dxf>
      <font>
        <b/>
        <i val="0"/>
        <condense val="0"/>
        <extend val="0"/>
      </font>
      <fill>
        <patternFill>
          <bgColor indexed="1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81643</xdr:colOff>
      <xdr:row>1</xdr:row>
      <xdr:rowOff>90958</xdr:rowOff>
    </xdr:from>
    <xdr:to>
      <xdr:col>1</xdr:col>
      <xdr:colOff>54428</xdr:colOff>
      <xdr:row>6</xdr:row>
      <xdr:rowOff>139065</xdr:rowOff>
    </xdr:to>
    <xdr:pic>
      <xdr:nvPicPr>
        <xdr:cNvPr id="2" name="Graphic 3">
          <a:extLst>
            <a:ext uri="{FF2B5EF4-FFF2-40B4-BE49-F238E27FC236}">
              <a16:creationId xmlns:a16="http://schemas.microsoft.com/office/drawing/2014/main" id="{0191C7D7-6C2E-30D7-F8A2-308BABFF59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643" y="322279"/>
          <a:ext cx="2694214" cy="106864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B52"/>
  <sheetViews>
    <sheetView view="pageLayout" zoomScaleNormal="115" zoomScaleSheetLayoutView="115" workbookViewId="0">
      <selection activeCell="B41" sqref="B41"/>
    </sheetView>
  </sheetViews>
  <sheetFormatPr defaultColWidth="9.140625" defaultRowHeight="12.75" x14ac:dyDescent="0.2"/>
  <cols>
    <col min="1" max="1" width="34.28515625" style="4" customWidth="1"/>
    <col min="2" max="2" width="57.28515625" style="4" customWidth="1"/>
    <col min="3" max="16384" width="9.140625" style="4"/>
  </cols>
  <sheetData>
    <row r="1" spans="1:2" ht="18" x14ac:dyDescent="0.25">
      <c r="A1" s="1" t="s">
        <v>27</v>
      </c>
      <c r="B1" s="1" t="s">
        <v>28</v>
      </c>
    </row>
    <row r="2" spans="1:2" ht="51" x14ac:dyDescent="0.2">
      <c r="A2" s="5" t="s">
        <v>21</v>
      </c>
      <c r="B2" s="6" t="s">
        <v>61</v>
      </c>
    </row>
    <row r="3" spans="1:2" ht="89.25" x14ac:dyDescent="0.2">
      <c r="A3" s="5" t="s">
        <v>24</v>
      </c>
      <c r="B3" s="6" t="s">
        <v>84</v>
      </c>
    </row>
    <row r="4" spans="1:2" ht="63.75" x14ac:dyDescent="0.2">
      <c r="A4" s="5" t="s">
        <v>20</v>
      </c>
      <c r="B4" s="6" t="s">
        <v>57</v>
      </c>
    </row>
    <row r="5" spans="1:2" ht="25.5" x14ac:dyDescent="0.2">
      <c r="A5" s="5" t="s">
        <v>15</v>
      </c>
      <c r="B5" s="6" t="s">
        <v>41</v>
      </c>
    </row>
    <row r="6" spans="1:2" ht="25.5" x14ac:dyDescent="0.2">
      <c r="A6" s="5" t="s">
        <v>30</v>
      </c>
      <c r="B6" s="6" t="s">
        <v>50</v>
      </c>
    </row>
    <row r="7" spans="1:2" ht="25.5" x14ac:dyDescent="0.2">
      <c r="A7" s="5" t="s">
        <v>31</v>
      </c>
      <c r="B7" s="6" t="s">
        <v>32</v>
      </c>
    </row>
    <row r="8" spans="1:2" ht="63.75" x14ac:dyDescent="0.2">
      <c r="A8" s="5" t="s">
        <v>74</v>
      </c>
      <c r="B8" s="6" t="s">
        <v>46</v>
      </c>
    </row>
    <row r="9" spans="1:2" ht="25.5" x14ac:dyDescent="0.2">
      <c r="A9" s="5" t="s">
        <v>44</v>
      </c>
      <c r="B9" s="6" t="s">
        <v>45</v>
      </c>
    </row>
    <row r="10" spans="1:2" ht="25.5" x14ac:dyDescent="0.2">
      <c r="A10" s="5" t="s">
        <v>25</v>
      </c>
      <c r="B10" s="6" t="s">
        <v>33</v>
      </c>
    </row>
    <row r="11" spans="1:2" ht="25.5" x14ac:dyDescent="0.2">
      <c r="A11" s="5" t="s">
        <v>19</v>
      </c>
      <c r="B11" s="6" t="s">
        <v>56</v>
      </c>
    </row>
    <row r="12" spans="1:2" ht="38.25" x14ac:dyDescent="0.2">
      <c r="A12" s="5" t="s">
        <v>53</v>
      </c>
      <c r="B12" s="6" t="s">
        <v>60</v>
      </c>
    </row>
    <row r="13" spans="1:2" ht="25.5" x14ac:dyDescent="0.2">
      <c r="A13" s="5" t="s">
        <v>16</v>
      </c>
      <c r="B13" s="6" t="s">
        <v>34</v>
      </c>
    </row>
    <row r="14" spans="1:2" ht="25.5" x14ac:dyDescent="0.2">
      <c r="A14" s="5" t="s">
        <v>14</v>
      </c>
      <c r="B14" s="6" t="s">
        <v>40</v>
      </c>
    </row>
    <row r="15" spans="1:2" ht="25.5" x14ac:dyDescent="0.2">
      <c r="A15" s="5" t="s">
        <v>12</v>
      </c>
      <c r="B15" s="6" t="s">
        <v>42</v>
      </c>
    </row>
    <row r="16" spans="1:2" ht="38.25" x14ac:dyDescent="0.2">
      <c r="A16" s="5" t="s">
        <v>29</v>
      </c>
      <c r="B16" s="6" t="s">
        <v>43</v>
      </c>
    </row>
    <row r="17" spans="1:2" ht="38.25" x14ac:dyDescent="0.2">
      <c r="A17" s="5" t="s">
        <v>18</v>
      </c>
      <c r="B17" s="6" t="s">
        <v>59</v>
      </c>
    </row>
    <row r="18" spans="1:2" ht="25.5" x14ac:dyDescent="0.2">
      <c r="A18" s="5" t="s">
        <v>51</v>
      </c>
      <c r="B18" s="6" t="s">
        <v>52</v>
      </c>
    </row>
    <row r="19" spans="1:2" ht="25.5" x14ac:dyDescent="0.2">
      <c r="A19" s="5" t="s">
        <v>17</v>
      </c>
      <c r="B19" s="6" t="s">
        <v>73</v>
      </c>
    </row>
    <row r="20" spans="1:2" ht="51" x14ac:dyDescent="0.2">
      <c r="A20" s="5" t="s">
        <v>26</v>
      </c>
      <c r="B20" s="6" t="s">
        <v>47</v>
      </c>
    </row>
    <row r="21" spans="1:2" ht="25.5" x14ac:dyDescent="0.2">
      <c r="A21" s="5" t="s">
        <v>76</v>
      </c>
      <c r="B21" s="6" t="s">
        <v>95</v>
      </c>
    </row>
    <row r="22" spans="1:2" x14ac:dyDescent="0.2">
      <c r="A22" s="5" t="s">
        <v>71</v>
      </c>
      <c r="B22" s="6" t="s">
        <v>72</v>
      </c>
    </row>
    <row r="23" spans="1:2" x14ac:dyDescent="0.2">
      <c r="A23" s="5" t="s">
        <v>78</v>
      </c>
      <c r="B23" s="6" t="s">
        <v>86</v>
      </c>
    </row>
    <row r="24" spans="1:2" x14ac:dyDescent="0.2">
      <c r="A24" s="5" t="s">
        <v>79</v>
      </c>
      <c r="B24" s="6" t="s">
        <v>87</v>
      </c>
    </row>
    <row r="25" spans="1:2" x14ac:dyDescent="0.2">
      <c r="A25" s="5" t="s">
        <v>80</v>
      </c>
      <c r="B25" s="6" t="s">
        <v>88</v>
      </c>
    </row>
    <row r="26" spans="1:2" x14ac:dyDescent="0.2">
      <c r="A26" s="5" t="s">
        <v>81</v>
      </c>
      <c r="B26" s="6" t="s">
        <v>89</v>
      </c>
    </row>
    <row r="27" spans="1:2" x14ac:dyDescent="0.2">
      <c r="A27" s="5" t="s">
        <v>82</v>
      </c>
      <c r="B27" s="6" t="s">
        <v>90</v>
      </c>
    </row>
    <row r="28" spans="1:2" ht="25.5" x14ac:dyDescent="0.2">
      <c r="A28" s="5" t="s">
        <v>83</v>
      </c>
      <c r="B28" s="6" t="s">
        <v>85</v>
      </c>
    </row>
    <row r="29" spans="1:2" ht="25.5" x14ac:dyDescent="0.2">
      <c r="A29" s="5" t="s">
        <v>75</v>
      </c>
      <c r="B29" s="6" t="s">
        <v>93</v>
      </c>
    </row>
    <row r="30" spans="1:2" ht="25.5" x14ac:dyDescent="0.2">
      <c r="A30" s="5" t="s">
        <v>91</v>
      </c>
      <c r="B30" s="6" t="s">
        <v>92</v>
      </c>
    </row>
    <row r="31" spans="1:2" ht="105.75" customHeight="1" x14ac:dyDescent="0.2">
      <c r="A31" s="5" t="s">
        <v>49</v>
      </c>
      <c r="B31" s="6" t="s">
        <v>58</v>
      </c>
    </row>
    <row r="32" spans="1:2" ht="51" x14ac:dyDescent="0.2">
      <c r="A32" s="5" t="s">
        <v>77</v>
      </c>
      <c r="B32" s="6" t="s">
        <v>94</v>
      </c>
    </row>
    <row r="33" spans="1:2" ht="51" x14ac:dyDescent="0.2">
      <c r="A33" s="9" t="s">
        <v>54</v>
      </c>
      <c r="B33" s="10" t="s">
        <v>55</v>
      </c>
    </row>
    <row r="34" spans="1:2" x14ac:dyDescent="0.2">
      <c r="A34" s="7"/>
      <c r="B34" s="8"/>
    </row>
    <row r="35" spans="1:2" x14ac:dyDescent="0.2">
      <c r="A35" s="7"/>
      <c r="B35" s="8"/>
    </row>
    <row r="36" spans="1:2" x14ac:dyDescent="0.2">
      <c r="A36" s="7"/>
      <c r="B36" s="8"/>
    </row>
    <row r="37" spans="1:2" x14ac:dyDescent="0.2">
      <c r="A37" s="7"/>
      <c r="B37" s="8"/>
    </row>
    <row r="38" spans="1:2" x14ac:dyDescent="0.2">
      <c r="A38" s="7"/>
      <c r="B38" s="7"/>
    </row>
    <row r="39" spans="1:2" x14ac:dyDescent="0.2">
      <c r="A39" s="7"/>
      <c r="B39" s="7"/>
    </row>
    <row r="40" spans="1:2" x14ac:dyDescent="0.2">
      <c r="A40" s="7"/>
      <c r="B40" s="7"/>
    </row>
    <row r="41" spans="1:2" x14ac:dyDescent="0.2">
      <c r="A41" s="7"/>
      <c r="B41" s="7"/>
    </row>
    <row r="42" spans="1:2" x14ac:dyDescent="0.2">
      <c r="A42" s="7"/>
      <c r="B42" s="7"/>
    </row>
    <row r="43" spans="1:2" x14ac:dyDescent="0.2">
      <c r="A43" s="7"/>
      <c r="B43" s="7"/>
    </row>
    <row r="44" spans="1:2" x14ac:dyDescent="0.2">
      <c r="A44" s="7"/>
      <c r="B44" s="7"/>
    </row>
    <row r="45" spans="1:2" x14ac:dyDescent="0.2">
      <c r="A45" s="7"/>
      <c r="B45" s="7"/>
    </row>
    <row r="46" spans="1:2" x14ac:dyDescent="0.2">
      <c r="A46" s="7"/>
      <c r="B46" s="7"/>
    </row>
    <row r="47" spans="1:2" x14ac:dyDescent="0.2">
      <c r="A47" s="7"/>
      <c r="B47" s="7"/>
    </row>
    <row r="48" spans="1:2" x14ac:dyDescent="0.2">
      <c r="A48" s="7"/>
      <c r="B48" s="7"/>
    </row>
    <row r="49" spans="1:2" x14ac:dyDescent="0.2">
      <c r="A49" s="7"/>
      <c r="B49" s="7"/>
    </row>
    <row r="50" spans="1:2" x14ac:dyDescent="0.2">
      <c r="A50" s="7"/>
      <c r="B50" s="7"/>
    </row>
    <row r="51" spans="1:2" x14ac:dyDescent="0.2">
      <c r="A51" s="7"/>
      <c r="B51" s="7"/>
    </row>
    <row r="52" spans="1:2" x14ac:dyDescent="0.2">
      <c r="A52" s="7"/>
      <c r="B52" s="7"/>
    </row>
  </sheetData>
  <sheetProtection password="C6D3" sheet="1" objects="1" scenarios="1"/>
  <phoneticPr fontId="2" type="noConversion"/>
  <printOptions horizontalCentered="1"/>
  <pageMargins left="0.51181102362204722" right="0.51181102362204722" top="0.55118110236220474" bottom="0.55118110236220474" header="0.31496062992125984" footer="0.31496062992125984"/>
  <pageSetup paperSize="9" scale="67" orientation="portrait" r:id="rId1"/>
  <headerFooter alignWithMargins="0">
    <oddHeader xml:space="preserve">&amp;C&amp;"Arial,Italic"T_05E
&amp;R&amp;"Times New Roman,Regular"&amp;8
</oddHeader>
    <oddFooter>&amp;L&amp;"Arial,Italic"T_05E&amp;"Arial,Regular" General Definitions page 3 of 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B70"/>
  <sheetViews>
    <sheetView view="pageLayout" topLeftCell="A42" zoomScaleNormal="100" zoomScaleSheetLayoutView="115" workbookViewId="0">
      <selection activeCell="B3" sqref="B3"/>
    </sheetView>
  </sheetViews>
  <sheetFormatPr defaultColWidth="9.140625" defaultRowHeight="12.75" x14ac:dyDescent="0.2"/>
  <cols>
    <col min="1" max="1" width="34.28515625" style="4" customWidth="1"/>
    <col min="2" max="2" width="91.42578125" style="4" customWidth="1"/>
    <col min="3" max="16384" width="9.140625" style="4"/>
  </cols>
  <sheetData>
    <row r="1" spans="1:2" ht="18" x14ac:dyDescent="0.25">
      <c r="A1" s="1" t="s">
        <v>37</v>
      </c>
      <c r="B1" s="1" t="s">
        <v>28</v>
      </c>
    </row>
    <row r="2" spans="1:2" x14ac:dyDescent="0.2">
      <c r="A2" s="2" t="s">
        <v>35</v>
      </c>
      <c r="B2" s="6"/>
    </row>
    <row r="3" spans="1:2" ht="54" customHeight="1" x14ac:dyDescent="0.2">
      <c r="A3" s="6" t="s">
        <v>99</v>
      </c>
      <c r="B3" s="6" t="s">
        <v>106</v>
      </c>
    </row>
    <row r="4" spans="1:2" ht="63.75" x14ac:dyDescent="0.2">
      <c r="A4" s="6" t="s">
        <v>100</v>
      </c>
      <c r="B4" s="6" t="s">
        <v>167</v>
      </c>
    </row>
    <row r="5" spans="1:2" ht="38.25" x14ac:dyDescent="0.2">
      <c r="A5" s="6" t="s">
        <v>101</v>
      </c>
      <c r="B5" s="6" t="s">
        <v>154</v>
      </c>
    </row>
    <row r="6" spans="1:2" ht="39" customHeight="1" x14ac:dyDescent="0.2">
      <c r="A6" s="6" t="s">
        <v>0</v>
      </c>
      <c r="B6" s="6" t="s">
        <v>48</v>
      </c>
    </row>
    <row r="7" spans="1:2" ht="27.75" customHeight="1" x14ac:dyDescent="0.2">
      <c r="A7" s="6" t="s">
        <v>22</v>
      </c>
      <c r="B7" s="6" t="s">
        <v>102</v>
      </c>
    </row>
    <row r="8" spans="1:2" ht="92.25" customHeight="1" x14ac:dyDescent="0.2">
      <c r="A8" s="6" t="s">
        <v>1</v>
      </c>
      <c r="B8" s="6" t="s">
        <v>103</v>
      </c>
    </row>
    <row r="9" spans="1:2" ht="38.25" x14ac:dyDescent="0.2">
      <c r="A9" s="6" t="s">
        <v>13</v>
      </c>
      <c r="B9" s="6" t="s">
        <v>105</v>
      </c>
    </row>
    <row r="10" spans="1:2" ht="63.75" x14ac:dyDescent="0.2">
      <c r="A10" s="6" t="s">
        <v>3</v>
      </c>
      <c r="B10" s="6" t="s">
        <v>104</v>
      </c>
    </row>
    <row r="11" spans="1:2" ht="51" x14ac:dyDescent="0.2">
      <c r="A11" s="6" t="s">
        <v>155</v>
      </c>
      <c r="B11" s="6" t="s">
        <v>109</v>
      </c>
    </row>
    <row r="12" spans="1:2" ht="38.25" x14ac:dyDescent="0.2">
      <c r="A12" s="6" t="s">
        <v>107</v>
      </c>
      <c r="B12" s="6" t="s">
        <v>156</v>
      </c>
    </row>
    <row r="13" spans="1:2" ht="38.25" x14ac:dyDescent="0.2">
      <c r="A13" s="6" t="s">
        <v>108</v>
      </c>
      <c r="B13" s="6" t="s">
        <v>157</v>
      </c>
    </row>
    <row r="14" spans="1:2" ht="38.25" x14ac:dyDescent="0.2">
      <c r="A14" s="6" t="s">
        <v>146</v>
      </c>
      <c r="B14" s="6" t="s">
        <v>166</v>
      </c>
    </row>
    <row r="15" spans="1:2" x14ac:dyDescent="0.2">
      <c r="A15" s="6" t="s">
        <v>110</v>
      </c>
      <c r="B15" s="6"/>
    </row>
    <row r="16" spans="1:2" ht="27" customHeight="1" x14ac:dyDescent="0.2">
      <c r="A16" s="22" t="s">
        <v>2</v>
      </c>
      <c r="B16" s="23" t="s">
        <v>158</v>
      </c>
    </row>
    <row r="17" spans="1:2" ht="27" customHeight="1" x14ac:dyDescent="0.2">
      <c r="A17" s="22" t="s">
        <v>111</v>
      </c>
      <c r="B17" s="23" t="s">
        <v>112</v>
      </c>
    </row>
    <row r="18" spans="1:2" ht="25.5" x14ac:dyDescent="0.2">
      <c r="A18" s="22" t="s">
        <v>4</v>
      </c>
      <c r="B18" s="23" t="s">
        <v>159</v>
      </c>
    </row>
    <row r="19" spans="1:2" ht="25.5" x14ac:dyDescent="0.2">
      <c r="A19" s="22" t="s">
        <v>5</v>
      </c>
      <c r="B19" s="23" t="s">
        <v>160</v>
      </c>
    </row>
    <row r="20" spans="1:2" ht="25.5" x14ac:dyDescent="0.2">
      <c r="A20" s="22" t="s">
        <v>6</v>
      </c>
      <c r="B20" s="23" t="s">
        <v>161</v>
      </c>
    </row>
    <row r="21" spans="1:2" ht="25.5" x14ac:dyDescent="0.2">
      <c r="A21" s="22" t="s">
        <v>7</v>
      </c>
      <c r="B21" s="23" t="s">
        <v>162</v>
      </c>
    </row>
    <row r="22" spans="1:2" ht="38.25" x14ac:dyDescent="0.2">
      <c r="A22" s="22" t="s">
        <v>113</v>
      </c>
      <c r="B22" s="23" t="s">
        <v>163</v>
      </c>
    </row>
    <row r="23" spans="1:2" ht="51" x14ac:dyDescent="0.2">
      <c r="A23" s="22" t="s">
        <v>114</v>
      </c>
      <c r="B23" s="23" t="s">
        <v>164</v>
      </c>
    </row>
    <row r="24" spans="1:2" ht="25.5" x14ac:dyDescent="0.2">
      <c r="A24" s="22" t="s">
        <v>115</v>
      </c>
      <c r="B24" s="23" t="s">
        <v>116</v>
      </c>
    </row>
    <row r="25" spans="1:2" ht="25.5" x14ac:dyDescent="0.2">
      <c r="A25" s="22" t="s">
        <v>117</v>
      </c>
      <c r="B25" s="23" t="s">
        <v>153</v>
      </c>
    </row>
    <row r="26" spans="1:2" ht="30.75" customHeight="1" x14ac:dyDescent="0.2">
      <c r="A26" s="22" t="s">
        <v>8</v>
      </c>
      <c r="B26" s="23" t="s">
        <v>165</v>
      </c>
    </row>
    <row r="27" spans="1:2" x14ac:dyDescent="0.2">
      <c r="A27" s="3" t="s">
        <v>36</v>
      </c>
      <c r="B27" s="6"/>
    </row>
    <row r="28" spans="1:2" ht="39" customHeight="1" x14ac:dyDescent="0.2">
      <c r="A28" s="6" t="s">
        <v>23</v>
      </c>
      <c r="B28" s="6" t="s">
        <v>126</v>
      </c>
    </row>
    <row r="29" spans="1:2" ht="25.5" x14ac:dyDescent="0.2">
      <c r="A29" s="6" t="s">
        <v>118</v>
      </c>
      <c r="B29" s="6" t="s">
        <v>121</v>
      </c>
    </row>
    <row r="30" spans="1:2" x14ac:dyDescent="0.2">
      <c r="A30" s="6" t="s">
        <v>119</v>
      </c>
      <c r="B30" s="6" t="s">
        <v>120</v>
      </c>
    </row>
    <row r="31" spans="1:2" ht="25.5" x14ac:dyDescent="0.2">
      <c r="A31" s="6" t="s">
        <v>122</v>
      </c>
      <c r="B31" s="6" t="s">
        <v>124</v>
      </c>
    </row>
    <row r="32" spans="1:2" ht="25.5" x14ac:dyDescent="0.2">
      <c r="A32" s="6" t="s">
        <v>123</v>
      </c>
      <c r="B32" s="6" t="s">
        <v>125</v>
      </c>
    </row>
    <row r="33" spans="1:2" ht="25.5" x14ac:dyDescent="0.2">
      <c r="A33" s="6" t="s">
        <v>127</v>
      </c>
      <c r="B33" s="6" t="s">
        <v>38</v>
      </c>
    </row>
    <row r="34" spans="1:2" ht="14.25" customHeight="1" x14ac:dyDescent="0.2">
      <c r="A34" s="6" t="s">
        <v>9</v>
      </c>
      <c r="B34" s="6" t="s">
        <v>39</v>
      </c>
    </row>
    <row r="35" spans="1:2" x14ac:dyDescent="0.2">
      <c r="A35" s="6" t="s">
        <v>128</v>
      </c>
      <c r="B35" s="6" t="s">
        <v>129</v>
      </c>
    </row>
    <row r="36" spans="1:2" ht="38.25" x14ac:dyDescent="0.2">
      <c r="A36" s="6" t="s">
        <v>10</v>
      </c>
      <c r="B36" s="6" t="s">
        <v>63</v>
      </c>
    </row>
    <row r="37" spans="1:2" ht="25.5" x14ac:dyDescent="0.2">
      <c r="A37" s="6" t="s">
        <v>130</v>
      </c>
      <c r="B37" s="6" t="s">
        <v>131</v>
      </c>
    </row>
    <row r="38" spans="1:2" ht="25.5" x14ac:dyDescent="0.2">
      <c r="A38" s="6" t="s">
        <v>132</v>
      </c>
      <c r="B38" s="6" t="s">
        <v>134</v>
      </c>
    </row>
    <row r="39" spans="1:2" x14ac:dyDescent="0.2">
      <c r="A39" s="6" t="s">
        <v>133</v>
      </c>
      <c r="B39" s="6" t="s">
        <v>135</v>
      </c>
    </row>
    <row r="40" spans="1:2" ht="38.25" x14ac:dyDescent="0.2">
      <c r="A40" s="6" t="s">
        <v>136</v>
      </c>
      <c r="B40" s="6" t="s">
        <v>62</v>
      </c>
    </row>
    <row r="41" spans="1:2" ht="25.5" x14ac:dyDescent="0.2">
      <c r="A41" s="6" t="s">
        <v>137</v>
      </c>
      <c r="B41" s="6" t="s">
        <v>139</v>
      </c>
    </row>
    <row r="42" spans="1:2" ht="26.25" customHeight="1" x14ac:dyDescent="0.2">
      <c r="A42" s="6" t="s">
        <v>138</v>
      </c>
      <c r="B42" s="6" t="s">
        <v>140</v>
      </c>
    </row>
    <row r="43" spans="1:2" ht="25.5" x14ac:dyDescent="0.2">
      <c r="A43" s="6" t="s">
        <v>141</v>
      </c>
      <c r="B43" s="6" t="s">
        <v>142</v>
      </c>
    </row>
    <row r="44" spans="1:2" ht="25.5" x14ac:dyDescent="0.2">
      <c r="A44" s="6" t="s">
        <v>144</v>
      </c>
      <c r="B44" s="6" t="s">
        <v>143</v>
      </c>
    </row>
    <row r="45" spans="1:2" ht="38.25" x14ac:dyDescent="0.2">
      <c r="A45" s="6" t="s">
        <v>145</v>
      </c>
      <c r="B45" s="6" t="s">
        <v>151</v>
      </c>
    </row>
    <row r="46" spans="1:2" ht="25.5" x14ac:dyDescent="0.2">
      <c r="A46" s="6" t="s">
        <v>146</v>
      </c>
      <c r="B46" s="6" t="s">
        <v>150</v>
      </c>
    </row>
    <row r="47" spans="1:2" ht="25.5" x14ac:dyDescent="0.2">
      <c r="A47" s="6" t="s">
        <v>147</v>
      </c>
      <c r="B47" s="6" t="s">
        <v>152</v>
      </c>
    </row>
    <row r="48" spans="1:2" x14ac:dyDescent="0.2">
      <c r="A48" s="6" t="s">
        <v>148</v>
      </c>
      <c r="B48" s="6" t="s">
        <v>149</v>
      </c>
    </row>
    <row r="49" spans="1:2" ht="55.5" customHeight="1" x14ac:dyDescent="0.2">
      <c r="A49" s="6" t="s">
        <v>168</v>
      </c>
      <c r="B49" s="6" t="s">
        <v>169</v>
      </c>
    </row>
    <row r="50" spans="1:2" x14ac:dyDescent="0.2">
      <c r="A50" s="7"/>
      <c r="B50" s="8"/>
    </row>
    <row r="51" spans="1:2" x14ac:dyDescent="0.2">
      <c r="A51" s="7"/>
      <c r="B51" s="8"/>
    </row>
    <row r="52" spans="1:2" x14ac:dyDescent="0.2">
      <c r="A52" s="7"/>
      <c r="B52" s="8"/>
    </row>
    <row r="53" spans="1:2" x14ac:dyDescent="0.2">
      <c r="A53" s="7"/>
      <c r="B53" s="8"/>
    </row>
    <row r="54" spans="1:2" x14ac:dyDescent="0.2">
      <c r="A54" s="7"/>
      <c r="B54" s="8"/>
    </row>
    <row r="55" spans="1:2" x14ac:dyDescent="0.2">
      <c r="A55" s="7"/>
      <c r="B55" s="8"/>
    </row>
    <row r="56" spans="1:2" x14ac:dyDescent="0.2">
      <c r="A56" s="7"/>
      <c r="B56" s="7"/>
    </row>
    <row r="57" spans="1:2" x14ac:dyDescent="0.2">
      <c r="A57" s="7"/>
      <c r="B57" s="7"/>
    </row>
    <row r="58" spans="1:2" x14ac:dyDescent="0.2">
      <c r="A58" s="7"/>
      <c r="B58" s="7"/>
    </row>
    <row r="59" spans="1:2" x14ac:dyDescent="0.2">
      <c r="A59" s="7"/>
      <c r="B59" s="7"/>
    </row>
    <row r="60" spans="1:2" x14ac:dyDescent="0.2">
      <c r="A60" s="7"/>
      <c r="B60" s="7"/>
    </row>
    <row r="61" spans="1:2" x14ac:dyDescent="0.2">
      <c r="A61" s="7"/>
      <c r="B61" s="7"/>
    </row>
    <row r="62" spans="1:2" x14ac:dyDescent="0.2">
      <c r="A62" s="7"/>
      <c r="B62" s="7"/>
    </row>
    <row r="63" spans="1:2" x14ac:dyDescent="0.2">
      <c r="A63" s="7"/>
      <c r="B63" s="7"/>
    </row>
    <row r="64" spans="1:2" x14ac:dyDescent="0.2">
      <c r="A64" s="7"/>
      <c r="B64" s="7"/>
    </row>
    <row r="65" spans="1:2" x14ac:dyDescent="0.2">
      <c r="A65" s="7"/>
      <c r="B65" s="7"/>
    </row>
    <row r="66" spans="1:2" x14ac:dyDescent="0.2">
      <c r="A66" s="7"/>
      <c r="B66" s="7"/>
    </row>
    <row r="67" spans="1:2" x14ac:dyDescent="0.2">
      <c r="A67" s="7"/>
      <c r="B67" s="7"/>
    </row>
    <row r="68" spans="1:2" x14ac:dyDescent="0.2">
      <c r="A68" s="7"/>
      <c r="B68" s="7"/>
    </row>
    <row r="69" spans="1:2" x14ac:dyDescent="0.2">
      <c r="A69" s="7"/>
      <c r="B69" s="7"/>
    </row>
    <row r="70" spans="1:2" x14ac:dyDescent="0.2">
      <c r="A70" s="7"/>
      <c r="B70" s="7"/>
    </row>
  </sheetData>
  <sheetProtection password="C6D3" sheet="1" objects="1" scenarios="1"/>
  <phoneticPr fontId="2" type="noConversion"/>
  <printOptions horizontalCentered="1"/>
  <pageMargins left="0.51181102362204722" right="0.51181102362204722" top="0.55118110236220474" bottom="0.55118110236220474" header="0.31496062992125984" footer="0.31496062992125984"/>
  <pageSetup paperSize="8" orientation="portrait" r:id="rId1"/>
  <headerFooter alignWithMargins="0">
    <oddHeader xml:space="preserve">&amp;LPretender Estimate Information Data&amp;C&amp;"Arial,Italic"T_05E&amp;R&amp;"Times New Roman,Regular"&amp;8
</oddHeader>
    <oddFooter>&amp;C&amp;"Arial,Italic"T_05E &amp;"Arial,Regular"Element Definitions page 4 of 4</oddFooter>
  </headerFooter>
  <rowBreaks count="1" manualBreakCount="1">
    <brk id="2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505E-1981-42DA-9FF8-75E3D2841491}">
  <sheetPr>
    <tabColor indexed="10"/>
    <pageSetUpPr fitToPage="1"/>
  </sheetPr>
  <dimension ref="A1:O131"/>
  <sheetViews>
    <sheetView tabSelected="1" zoomScale="70" zoomScaleNormal="70" zoomScaleSheetLayoutView="90" workbookViewId="0">
      <selection activeCell="D6" sqref="D6"/>
    </sheetView>
  </sheetViews>
  <sheetFormatPr defaultRowHeight="12.75" x14ac:dyDescent="0.2"/>
  <cols>
    <col min="1" max="1" width="40.7109375" customWidth="1"/>
    <col min="2" max="4" width="15.7109375" customWidth="1"/>
    <col min="5" max="5" width="40.7109375" customWidth="1"/>
    <col min="6" max="8" width="15.7109375" customWidth="1"/>
    <col min="9" max="9" width="13" bestFit="1" customWidth="1"/>
    <col min="10" max="10" width="15.5703125" customWidth="1"/>
    <col min="11" max="11" width="16.85546875" customWidth="1"/>
    <col min="14" max="14" width="12.7109375" customWidth="1"/>
    <col min="15" max="15" width="49" customWidth="1"/>
  </cols>
  <sheetData>
    <row r="1" spans="1:15" ht="18" x14ac:dyDescent="0.25">
      <c r="A1" s="21"/>
      <c r="B1" s="21"/>
      <c r="C1" s="21"/>
      <c r="D1" s="21"/>
      <c r="E1" s="21"/>
      <c r="F1" s="21"/>
      <c r="G1" s="21"/>
      <c r="H1" s="21" t="s">
        <v>170</v>
      </c>
      <c r="I1" s="21"/>
      <c r="J1" s="21"/>
      <c r="K1" s="21"/>
      <c r="L1" s="21"/>
      <c r="M1" s="21"/>
      <c r="N1" s="21"/>
    </row>
    <row r="2" spans="1:15" ht="15.75" x14ac:dyDescent="0.25">
      <c r="A2" s="65"/>
      <c r="B2" s="65"/>
      <c r="C2" s="65"/>
      <c r="D2" s="65"/>
      <c r="E2" s="65"/>
      <c r="F2" s="65"/>
      <c r="G2" s="65"/>
      <c r="H2" s="65"/>
      <c r="I2" s="65"/>
      <c r="J2" s="65"/>
      <c r="K2" s="65"/>
      <c r="L2" s="65"/>
      <c r="M2" s="65"/>
      <c r="N2" s="65"/>
    </row>
    <row r="3" spans="1:15" ht="15.75" x14ac:dyDescent="0.25">
      <c r="B3" s="66" t="s">
        <v>14</v>
      </c>
      <c r="C3" s="66"/>
      <c r="E3" s="49"/>
      <c r="F3" s="54"/>
      <c r="G3" s="54"/>
      <c r="H3" s="47"/>
      <c r="I3" s="47"/>
      <c r="J3" s="47"/>
      <c r="K3" s="47"/>
      <c r="L3" s="47"/>
      <c r="M3" s="47"/>
      <c r="N3" s="47"/>
    </row>
    <row r="4" spans="1:15" ht="15.75" x14ac:dyDescent="0.25">
      <c r="C4" s="50" t="s">
        <v>96</v>
      </c>
      <c r="E4" s="49"/>
      <c r="F4" s="54"/>
      <c r="G4" s="54"/>
      <c r="H4" s="47"/>
      <c r="I4" s="47"/>
      <c r="J4" s="47"/>
      <c r="K4" s="47"/>
      <c r="L4" s="47"/>
      <c r="M4" s="47"/>
      <c r="N4" s="47"/>
    </row>
    <row r="5" spans="1:15" ht="15.75" x14ac:dyDescent="0.25">
      <c r="C5" s="50" t="s">
        <v>19</v>
      </c>
      <c r="E5" s="49"/>
      <c r="F5" s="54"/>
      <c r="G5" s="54"/>
      <c r="H5" s="47"/>
      <c r="I5" s="47"/>
      <c r="J5" s="47"/>
      <c r="K5" s="47"/>
      <c r="L5" s="47"/>
      <c r="M5" s="47"/>
      <c r="N5" s="47"/>
    </row>
    <row r="6" spans="1:15" ht="15.75" x14ac:dyDescent="0.25">
      <c r="C6" s="50" t="s">
        <v>15</v>
      </c>
      <c r="E6" s="49"/>
      <c r="F6" s="55"/>
      <c r="G6" s="55"/>
      <c r="H6" s="48"/>
      <c r="I6" s="48"/>
      <c r="J6" s="48"/>
      <c r="K6" s="48"/>
      <c r="L6" s="48"/>
      <c r="M6" s="48"/>
      <c r="N6" s="48"/>
    </row>
    <row r="7" spans="1:15" ht="15" x14ac:dyDescent="0.2">
      <c r="A7" s="64"/>
      <c r="B7" s="64"/>
      <c r="C7" s="64"/>
      <c r="D7" s="64"/>
      <c r="E7" s="64"/>
      <c r="F7" s="64"/>
      <c r="G7" s="64"/>
      <c r="H7" s="64"/>
      <c r="I7" s="64"/>
      <c r="J7" s="64"/>
      <c r="K7" s="64"/>
      <c r="L7" s="64"/>
      <c r="M7" s="64"/>
      <c r="N7" s="64"/>
    </row>
    <row r="8" spans="1:15" ht="26.25" x14ac:dyDescent="0.4">
      <c r="A8" s="67" t="s">
        <v>64</v>
      </c>
      <c r="B8" s="67"/>
      <c r="C8" s="67"/>
      <c r="D8" s="67"/>
      <c r="E8" s="67"/>
      <c r="F8" s="67"/>
      <c r="G8" s="67"/>
      <c r="H8" s="67"/>
      <c r="I8" s="67"/>
      <c r="J8" s="67"/>
      <c r="K8" s="67"/>
      <c r="L8" s="67"/>
      <c r="M8" s="67"/>
      <c r="N8" s="67"/>
    </row>
    <row r="9" spans="1:15" ht="15" x14ac:dyDescent="0.2">
      <c r="A9" s="64"/>
      <c r="B9" s="64"/>
      <c r="C9" s="64"/>
      <c r="D9" s="64"/>
      <c r="E9" s="64"/>
      <c r="F9" s="64"/>
      <c r="G9" s="64"/>
      <c r="H9" s="64"/>
      <c r="I9" s="64"/>
      <c r="J9" s="64"/>
      <c r="K9" s="64"/>
      <c r="L9" s="64"/>
      <c r="M9" s="64"/>
      <c r="N9" s="64"/>
    </row>
    <row r="10" spans="1:15" ht="15.75" thickBot="1" x14ac:dyDescent="0.25">
      <c r="A10" s="64"/>
      <c r="B10" s="64"/>
      <c r="C10" s="64"/>
      <c r="D10" s="64"/>
      <c r="E10" s="64"/>
      <c r="F10" s="64"/>
      <c r="G10" s="64"/>
      <c r="H10" s="64"/>
      <c r="I10" s="64"/>
      <c r="J10" s="64"/>
      <c r="K10" s="64"/>
      <c r="L10" s="64"/>
      <c r="M10" s="64"/>
      <c r="N10" s="64"/>
    </row>
    <row r="11" spans="1:15" ht="31.5" x14ac:dyDescent="0.2">
      <c r="A11" s="68" t="s">
        <v>64</v>
      </c>
      <c r="B11" s="69"/>
      <c r="C11" s="69"/>
      <c r="D11" s="69"/>
      <c r="E11" s="69"/>
      <c r="F11" s="69"/>
      <c r="G11" s="69"/>
      <c r="H11" s="69"/>
      <c r="I11" s="30" t="s">
        <v>65</v>
      </c>
      <c r="J11" s="30" t="s">
        <v>66</v>
      </c>
      <c r="K11" s="30" t="s">
        <v>67</v>
      </c>
      <c r="L11" s="30"/>
      <c r="M11" s="11"/>
      <c r="N11" s="30" t="s">
        <v>68</v>
      </c>
      <c r="O11" s="25" t="s">
        <v>173</v>
      </c>
    </row>
    <row r="12" spans="1:15" ht="15.75" x14ac:dyDescent="0.25">
      <c r="A12" s="39"/>
      <c r="B12" s="40"/>
      <c r="C12" s="40"/>
      <c r="D12" s="40"/>
      <c r="E12" s="40"/>
      <c r="F12" s="40"/>
      <c r="G12" s="40"/>
      <c r="H12" s="40"/>
      <c r="I12" s="12"/>
      <c r="J12" s="12"/>
      <c r="K12" s="12"/>
      <c r="L12" s="12"/>
      <c r="M12" s="12"/>
      <c r="N12" s="12"/>
      <c r="O12" s="26"/>
    </row>
    <row r="13" spans="1:15" ht="15.75" x14ac:dyDescent="0.25">
      <c r="A13" s="62" t="s">
        <v>178</v>
      </c>
      <c r="B13" s="63"/>
      <c r="C13" s="63"/>
      <c r="D13" s="63"/>
      <c r="E13" s="63"/>
      <c r="F13" s="63"/>
      <c r="G13" s="63"/>
      <c r="H13" s="63"/>
      <c r="I13" s="12"/>
      <c r="J13" s="12"/>
      <c r="K13" s="12"/>
      <c r="L13" s="12"/>
      <c r="M13" s="12"/>
      <c r="N13" s="12"/>
      <c r="O13" s="26"/>
    </row>
    <row r="14" spans="1:15" ht="15.75" x14ac:dyDescent="0.25">
      <c r="A14" s="27"/>
      <c r="B14" s="51" t="s">
        <v>180</v>
      </c>
      <c r="C14" s="51" t="s">
        <v>179</v>
      </c>
      <c r="D14" s="43" t="s">
        <v>11</v>
      </c>
      <c r="E14" s="32" t="s">
        <v>210</v>
      </c>
      <c r="F14" s="56" t="s">
        <v>180</v>
      </c>
      <c r="G14" s="56" t="s">
        <v>179</v>
      </c>
      <c r="H14" s="44" t="s">
        <v>11</v>
      </c>
      <c r="I14" s="13"/>
      <c r="J14" s="14"/>
      <c r="K14" s="14"/>
      <c r="L14" s="14"/>
      <c r="M14" s="14"/>
      <c r="N14" s="14"/>
      <c r="O14" s="26"/>
    </row>
    <row r="15" spans="1:15" ht="15.75" x14ac:dyDescent="0.25">
      <c r="A15" s="27" t="s">
        <v>97</v>
      </c>
      <c r="B15" s="52"/>
      <c r="C15" s="52"/>
      <c r="D15" s="41" t="str">
        <f>IF(SUM(B15:C15)=0,"-",SUM(B15:C15))</f>
        <v>-</v>
      </c>
      <c r="E15" s="15"/>
      <c r="F15" s="57"/>
      <c r="G15" s="57"/>
      <c r="H15" s="41" t="str">
        <f t="shared" ref="H15:H20" si="0">IF(SUM(F15:G15)=0,"-",SUM(F15:G15))</f>
        <v>-</v>
      </c>
      <c r="I15" s="13"/>
      <c r="J15" s="14"/>
      <c r="K15" s="14"/>
      <c r="L15" s="14"/>
      <c r="M15" s="14"/>
      <c r="N15" s="14"/>
      <c r="O15" s="26"/>
    </row>
    <row r="16" spans="1:15" ht="15.75" x14ac:dyDescent="0.25">
      <c r="A16" s="27" t="s">
        <v>182</v>
      </c>
      <c r="B16" s="52"/>
      <c r="C16" s="52"/>
      <c r="D16" s="41" t="str">
        <f>IF(SUM(B16:C16)=0,"-",SUM(B16:C16))</f>
        <v>-</v>
      </c>
      <c r="E16" s="15"/>
      <c r="F16" s="57"/>
      <c r="G16" s="57"/>
      <c r="H16" s="41" t="str">
        <f t="shared" si="0"/>
        <v>-</v>
      </c>
      <c r="I16" s="13"/>
      <c r="J16" s="14"/>
      <c r="K16" s="14"/>
      <c r="L16" s="14"/>
      <c r="M16" s="14"/>
      <c r="N16" s="14"/>
      <c r="O16" s="26"/>
    </row>
    <row r="17" spans="1:15" ht="15.75" x14ac:dyDescent="0.25">
      <c r="A17" s="27"/>
      <c r="B17" s="52"/>
      <c r="C17" s="52"/>
      <c r="D17" s="33"/>
      <c r="E17" s="15"/>
      <c r="F17" s="57"/>
      <c r="G17" s="57"/>
      <c r="H17" s="41" t="str">
        <f t="shared" si="0"/>
        <v>-</v>
      </c>
      <c r="I17" s="13"/>
      <c r="J17" s="14"/>
      <c r="K17" s="14"/>
      <c r="L17" s="14"/>
      <c r="M17" s="14"/>
      <c r="N17" s="14"/>
      <c r="O17" s="26"/>
    </row>
    <row r="18" spans="1:15" ht="15.75" x14ac:dyDescent="0.25">
      <c r="A18" s="27"/>
      <c r="B18" s="52"/>
      <c r="C18" s="52"/>
      <c r="D18" s="33"/>
      <c r="E18" s="15"/>
      <c r="F18" s="57"/>
      <c r="G18" s="57"/>
      <c r="H18" s="41" t="str">
        <f t="shared" si="0"/>
        <v>-</v>
      </c>
      <c r="I18" s="13"/>
      <c r="J18" s="14"/>
      <c r="K18" s="14"/>
      <c r="L18" s="14"/>
      <c r="M18" s="14"/>
      <c r="N18" s="14"/>
      <c r="O18" s="26"/>
    </row>
    <row r="19" spans="1:15" ht="15.75" x14ac:dyDescent="0.25">
      <c r="A19" s="27"/>
      <c r="B19" s="52"/>
      <c r="C19" s="52"/>
      <c r="D19" s="33"/>
      <c r="E19" s="15"/>
      <c r="F19" s="58"/>
      <c r="G19" s="57"/>
      <c r="H19" s="41" t="str">
        <f t="shared" si="0"/>
        <v>-</v>
      </c>
      <c r="I19" s="13"/>
      <c r="J19" s="14"/>
      <c r="K19" s="14"/>
      <c r="L19" s="14"/>
      <c r="M19" s="14"/>
      <c r="N19" s="14"/>
      <c r="O19" s="26"/>
    </row>
    <row r="20" spans="1:15" ht="15.75" x14ac:dyDescent="0.25">
      <c r="A20" s="27"/>
      <c r="B20" s="52"/>
      <c r="C20" s="52"/>
      <c r="D20" s="33"/>
      <c r="E20" s="15"/>
      <c r="F20" s="58"/>
      <c r="G20" s="57"/>
      <c r="H20" s="41" t="str">
        <f t="shared" si="0"/>
        <v>-</v>
      </c>
      <c r="I20" s="13"/>
      <c r="J20" s="14"/>
      <c r="K20" s="14"/>
      <c r="L20" s="14"/>
      <c r="M20" s="14"/>
      <c r="N20" s="14"/>
      <c r="O20" s="26"/>
    </row>
    <row r="21" spans="1:15" ht="15.75" x14ac:dyDescent="0.25">
      <c r="A21" s="27"/>
      <c r="B21" s="52"/>
      <c r="C21" s="52"/>
      <c r="D21" s="33"/>
      <c r="E21" s="15"/>
      <c r="F21" s="58"/>
      <c r="G21" s="57"/>
      <c r="H21" s="33"/>
      <c r="I21" s="13"/>
      <c r="J21" s="14"/>
      <c r="K21" s="14"/>
      <c r="L21" s="14"/>
      <c r="M21" s="14"/>
      <c r="N21" s="14"/>
      <c r="O21" s="26"/>
    </row>
    <row r="22" spans="1:15" ht="16.5" thickBot="1" x14ac:dyDescent="0.3">
      <c r="A22" s="16" t="s">
        <v>183</v>
      </c>
      <c r="B22" s="53" t="str">
        <f>IF(SUM(B15:B21)=0,"-",SUM(B15:B21))</f>
        <v>-</v>
      </c>
      <c r="C22" s="53" t="str">
        <f>IF(SUM(C15:C21)=0,"-",SUM(C15:C21))</f>
        <v>-</v>
      </c>
      <c r="D22" s="42" t="str">
        <f>IF(SUM(D15:D21)=0,"-",SUM(D15:D21))</f>
        <v>-</v>
      </c>
      <c r="E22" s="34" t="s">
        <v>70</v>
      </c>
      <c r="F22" s="53" t="str">
        <f>IF(SUM(F15:F21)=0,"-",SUM(F15:F21))</f>
        <v>-</v>
      </c>
      <c r="G22" s="53" t="str">
        <f>IF(SUM(G15:G21)=0,"-",SUM(G15:G21))</f>
        <v>-</v>
      </c>
      <c r="H22" s="42" t="str">
        <f>IF(SUM(H15:H21)=0,"-",SUM(H15:H21))</f>
        <v>-</v>
      </c>
      <c r="I22" s="17" t="str">
        <f>IFERROR(H22-D22,"-")</f>
        <v>-</v>
      </c>
      <c r="J22" s="18" t="str">
        <f>IF(OR(H22="-",D22="-"),"-",(H22-D22)/D22)</f>
        <v>-</v>
      </c>
      <c r="K22" s="18">
        <v>0.05</v>
      </c>
      <c r="L22" s="19">
        <f>K22*1</f>
        <v>0.05</v>
      </c>
      <c r="M22" s="18">
        <f>K22*-1</f>
        <v>-0.05</v>
      </c>
      <c r="N22" s="24" t="str">
        <f>IF(J22="-","-",IF(OR(J22&gt;L22,J22&lt;M22,COUNTIF(E23:H23,"&gt;"&amp;L22)&gt;0,COUNTIF(E23:H23,"&lt;"&amp;M22)&gt;0),"CHECK","OK"))</f>
        <v>-</v>
      </c>
      <c r="O22" s="26"/>
    </row>
    <row r="23" spans="1:15" ht="15.75" thickBot="1" x14ac:dyDescent="0.25">
      <c r="A23" s="28"/>
      <c r="B23" s="28"/>
      <c r="C23" s="28"/>
      <c r="D23" s="28"/>
      <c r="E23" s="28"/>
      <c r="F23" s="59" t="str">
        <f>IF(OR(F22="-",B22="-"),"-",(F22-B22)/B22)</f>
        <v>-</v>
      </c>
      <c r="G23" s="59" t="str">
        <f>IF(OR(G22="-",C22="-"),"-",(G22-C22)/C22)</f>
        <v>-</v>
      </c>
      <c r="H23" s="29"/>
      <c r="I23" s="28"/>
      <c r="J23" s="28"/>
      <c r="K23" s="28"/>
      <c r="L23" s="28"/>
      <c r="M23" s="28"/>
      <c r="N23" s="28"/>
      <c r="O23" s="26"/>
    </row>
    <row r="24" spans="1:15" ht="15.75" x14ac:dyDescent="0.25">
      <c r="A24" s="39"/>
      <c r="B24" s="40"/>
      <c r="C24" s="40"/>
      <c r="D24" s="40"/>
      <c r="E24" s="40"/>
      <c r="F24" s="40"/>
      <c r="G24" s="40"/>
      <c r="H24" s="40"/>
      <c r="I24" s="12"/>
      <c r="J24" s="12"/>
      <c r="K24" s="12"/>
      <c r="L24" s="12"/>
      <c r="M24" s="12"/>
      <c r="N24" s="12"/>
      <c r="O24" s="26"/>
    </row>
    <row r="25" spans="1:15" ht="15.75" x14ac:dyDescent="0.25">
      <c r="A25" s="62" t="s">
        <v>206</v>
      </c>
      <c r="B25" s="63"/>
      <c r="C25" s="63"/>
      <c r="D25" s="63"/>
      <c r="E25" s="63"/>
      <c r="F25" s="63"/>
      <c r="G25" s="63"/>
      <c r="H25" s="63"/>
      <c r="I25" s="12"/>
      <c r="J25" s="12"/>
      <c r="K25" s="12"/>
      <c r="L25" s="12"/>
      <c r="M25" s="12"/>
      <c r="N25" s="12"/>
      <c r="O25" s="26"/>
    </row>
    <row r="26" spans="1:15" ht="15.75" x14ac:dyDescent="0.25">
      <c r="A26" s="27"/>
      <c r="B26" s="51" t="s">
        <v>180</v>
      </c>
      <c r="C26" s="51" t="s">
        <v>179</v>
      </c>
      <c r="D26" s="43" t="s">
        <v>11</v>
      </c>
      <c r="E26" s="32" t="s">
        <v>211</v>
      </c>
      <c r="F26" s="56" t="s">
        <v>180</v>
      </c>
      <c r="G26" s="56" t="s">
        <v>179</v>
      </c>
      <c r="H26" s="44" t="s">
        <v>11</v>
      </c>
      <c r="I26" s="13"/>
      <c r="J26" s="14"/>
      <c r="K26" s="14"/>
      <c r="L26" s="14"/>
      <c r="M26" s="14"/>
      <c r="N26" s="14"/>
      <c r="O26" s="26"/>
    </row>
    <row r="27" spans="1:15" ht="15.75" x14ac:dyDescent="0.25">
      <c r="A27" s="27" t="s">
        <v>203</v>
      </c>
      <c r="B27" s="52"/>
      <c r="C27" s="52"/>
      <c r="D27" s="41" t="str">
        <f>IF(SUM(B27:C27)=0,"-",SUM(B27:C27))</f>
        <v>-</v>
      </c>
      <c r="E27" s="15"/>
      <c r="F27" s="57"/>
      <c r="G27" s="57"/>
      <c r="H27" s="41" t="str">
        <f t="shared" ref="H27:H32" si="1">IF(SUM(F27:G27)=0,"-",SUM(F27:G27))</f>
        <v>-</v>
      </c>
      <c r="I27" s="13"/>
      <c r="J27" s="14"/>
      <c r="K27" s="14"/>
      <c r="L27" s="14"/>
      <c r="M27" s="14"/>
      <c r="N27" s="14"/>
      <c r="O27" s="26"/>
    </row>
    <row r="28" spans="1:15" ht="15.75" x14ac:dyDescent="0.25">
      <c r="A28" s="27"/>
      <c r="B28" s="52"/>
      <c r="C28" s="52"/>
      <c r="D28" s="41" t="str">
        <f>IF(SUM(B28:C28)=0,"-",SUM(B28:C28))</f>
        <v>-</v>
      </c>
      <c r="E28" s="15"/>
      <c r="F28" s="57"/>
      <c r="G28" s="57"/>
      <c r="H28" s="41" t="str">
        <f t="shared" si="1"/>
        <v>-</v>
      </c>
      <c r="I28" s="13"/>
      <c r="J28" s="14"/>
      <c r="K28" s="14"/>
      <c r="L28" s="14"/>
      <c r="M28" s="14"/>
      <c r="N28" s="14"/>
      <c r="O28" s="26"/>
    </row>
    <row r="29" spans="1:15" ht="15.75" x14ac:dyDescent="0.25">
      <c r="A29" s="27"/>
      <c r="B29" s="52"/>
      <c r="C29" s="52"/>
      <c r="D29" s="33"/>
      <c r="E29" s="15"/>
      <c r="F29" s="57"/>
      <c r="G29" s="57"/>
      <c r="H29" s="41" t="str">
        <f t="shared" si="1"/>
        <v>-</v>
      </c>
      <c r="I29" s="13"/>
      <c r="J29" s="14"/>
      <c r="K29" s="14"/>
      <c r="L29" s="14"/>
      <c r="M29" s="14"/>
      <c r="N29" s="14"/>
      <c r="O29" s="26"/>
    </row>
    <row r="30" spans="1:15" ht="15.75" x14ac:dyDescent="0.25">
      <c r="A30" s="27"/>
      <c r="B30" s="52"/>
      <c r="C30" s="52"/>
      <c r="D30" s="33"/>
      <c r="E30" s="15"/>
      <c r="F30" s="57"/>
      <c r="G30" s="57"/>
      <c r="H30" s="41" t="str">
        <f t="shared" si="1"/>
        <v>-</v>
      </c>
      <c r="I30" s="13"/>
      <c r="J30" s="14"/>
      <c r="K30" s="14"/>
      <c r="L30" s="14"/>
      <c r="M30" s="14"/>
      <c r="N30" s="14"/>
      <c r="O30" s="26"/>
    </row>
    <row r="31" spans="1:15" ht="15.75" x14ac:dyDescent="0.25">
      <c r="A31" s="27"/>
      <c r="B31" s="52"/>
      <c r="C31" s="52"/>
      <c r="D31" s="33"/>
      <c r="E31" s="15"/>
      <c r="F31" s="58"/>
      <c r="G31" s="57"/>
      <c r="H31" s="41" t="str">
        <f t="shared" si="1"/>
        <v>-</v>
      </c>
      <c r="I31" s="13"/>
      <c r="J31" s="14"/>
      <c r="K31" s="14"/>
      <c r="L31" s="14"/>
      <c r="M31" s="14"/>
      <c r="N31" s="14"/>
      <c r="O31" s="26"/>
    </row>
    <row r="32" spans="1:15" ht="15.75" x14ac:dyDescent="0.25">
      <c r="A32" s="27"/>
      <c r="B32" s="52"/>
      <c r="C32" s="52"/>
      <c r="D32" s="33"/>
      <c r="E32" s="15"/>
      <c r="F32" s="58"/>
      <c r="G32" s="57"/>
      <c r="H32" s="41" t="str">
        <f t="shared" si="1"/>
        <v>-</v>
      </c>
      <c r="I32" s="13"/>
      <c r="J32" s="14"/>
      <c r="K32" s="14"/>
      <c r="L32" s="14"/>
      <c r="M32" s="14"/>
      <c r="N32" s="14"/>
      <c r="O32" s="26"/>
    </row>
    <row r="33" spans="1:15" ht="15.75" x14ac:dyDescent="0.25">
      <c r="A33" s="27"/>
      <c r="B33" s="52"/>
      <c r="C33" s="52"/>
      <c r="D33" s="33"/>
      <c r="E33" s="15"/>
      <c r="F33" s="58"/>
      <c r="G33" s="57"/>
      <c r="H33" s="33"/>
      <c r="I33" s="13"/>
      <c r="J33" s="14"/>
      <c r="K33" s="14"/>
      <c r="L33" s="14"/>
      <c r="M33" s="14"/>
      <c r="N33" s="14"/>
      <c r="O33" s="26"/>
    </row>
    <row r="34" spans="1:15" ht="16.5" thickBot="1" x14ac:dyDescent="0.3">
      <c r="A34" s="16" t="s">
        <v>204</v>
      </c>
      <c r="B34" s="53" t="str">
        <f>IF(SUM(B27:B33)=0,"-",SUM(B27:B33))</f>
        <v>-</v>
      </c>
      <c r="C34" s="53" t="str">
        <f>IF(SUM(C27:C33)=0,"-",SUM(C27:C33))</f>
        <v>-</v>
      </c>
      <c r="D34" s="42" t="str">
        <f>IF(SUM(D27:D33)=0,"-",SUM(D27:D33))</f>
        <v>-</v>
      </c>
      <c r="E34" s="34" t="s">
        <v>205</v>
      </c>
      <c r="F34" s="53" t="str">
        <f>IF(SUM(F27:F33)=0,"-",SUM(F27:F33))</f>
        <v>-</v>
      </c>
      <c r="G34" s="53" t="str">
        <f>IF(SUM(G27:G33)=0,"-",SUM(G27:G33))</f>
        <v>-</v>
      </c>
      <c r="H34" s="42" t="str">
        <f>IF(SUM(H27:H33)=0,"-",SUM(H27:H33))</f>
        <v>-</v>
      </c>
      <c r="I34" s="17" t="str">
        <f>IFERROR(H34-D34,"-")</f>
        <v>-</v>
      </c>
      <c r="J34" s="18" t="str">
        <f>IF(OR(H34="-",D34="-"),"-",(H34-D34)/D34)</f>
        <v>-</v>
      </c>
      <c r="K34" s="18">
        <v>0.05</v>
      </c>
      <c r="L34" s="19">
        <f>K34*1</f>
        <v>0.05</v>
      </c>
      <c r="M34" s="18">
        <f>K34*-1</f>
        <v>-0.05</v>
      </c>
      <c r="N34" s="24" t="str">
        <f>IF(J34="-","-",IF(OR(J34&gt;L34,J34&lt;M34,COUNTIF(E35:H35,"&gt;"&amp;L34)&gt;0,COUNTIF(E35:H35,"&lt;"&amp;M34)&gt;0),"CHECK","OK"))</f>
        <v>-</v>
      </c>
      <c r="O34" s="26"/>
    </row>
    <row r="35" spans="1:15" ht="15.75" thickBot="1" x14ac:dyDescent="0.25">
      <c r="A35" s="28"/>
      <c r="B35" s="28"/>
      <c r="C35" s="28"/>
      <c r="D35" s="28"/>
      <c r="E35" s="28"/>
      <c r="F35" s="59" t="str">
        <f>IF(OR(F34="-",B34="-"),"-",(F34-B34)/B34)</f>
        <v>-</v>
      </c>
      <c r="G35" s="59" t="str">
        <f>IF(OR(G34="-",C34="-"),"-",(G34-C34)/C34)</f>
        <v>-</v>
      </c>
      <c r="H35" s="29"/>
      <c r="I35" s="28"/>
      <c r="J35" s="28"/>
      <c r="K35" s="28"/>
      <c r="L35" s="28"/>
      <c r="M35" s="28"/>
      <c r="N35" s="28"/>
      <c r="O35" s="26"/>
    </row>
    <row r="36" spans="1:15" ht="15.75" x14ac:dyDescent="0.25">
      <c r="A36" s="39"/>
      <c r="B36" s="40"/>
      <c r="C36" s="40"/>
      <c r="D36" s="40"/>
      <c r="E36" s="40"/>
      <c r="F36" s="40"/>
      <c r="G36" s="40"/>
      <c r="H36" s="40"/>
      <c r="I36" s="12"/>
      <c r="J36" s="12"/>
      <c r="K36" s="12"/>
      <c r="L36" s="12"/>
      <c r="M36" s="12"/>
      <c r="N36" s="12"/>
      <c r="O36" s="26"/>
    </row>
    <row r="37" spans="1:15" ht="15.75" x14ac:dyDescent="0.25">
      <c r="A37" s="62" t="s">
        <v>207</v>
      </c>
      <c r="B37" s="63"/>
      <c r="C37" s="63"/>
      <c r="D37" s="63"/>
      <c r="E37" s="63"/>
      <c r="F37" s="63"/>
      <c r="G37" s="63"/>
      <c r="H37" s="63"/>
      <c r="I37" s="12"/>
      <c r="J37" s="12"/>
      <c r="K37" s="12"/>
      <c r="L37" s="12"/>
      <c r="M37" s="12"/>
      <c r="N37" s="12"/>
      <c r="O37" s="26"/>
    </row>
    <row r="38" spans="1:15" ht="15.75" x14ac:dyDescent="0.25">
      <c r="A38" s="27"/>
      <c r="B38" s="51" t="s">
        <v>180</v>
      </c>
      <c r="C38" s="51" t="s">
        <v>179</v>
      </c>
      <c r="D38" s="43" t="s">
        <v>11</v>
      </c>
      <c r="E38" s="32" t="s">
        <v>212</v>
      </c>
      <c r="F38" s="56" t="s">
        <v>180</v>
      </c>
      <c r="G38" s="56" t="s">
        <v>179</v>
      </c>
      <c r="H38" s="44" t="s">
        <v>11</v>
      </c>
      <c r="I38" s="13"/>
      <c r="J38" s="14"/>
      <c r="K38" s="14"/>
      <c r="L38" s="14"/>
      <c r="M38" s="14"/>
      <c r="N38" s="14"/>
      <c r="O38" s="26"/>
    </row>
    <row r="39" spans="1:15" ht="15.75" x14ac:dyDescent="0.25">
      <c r="A39" s="27" t="s">
        <v>97</v>
      </c>
      <c r="B39" s="52"/>
      <c r="C39" s="52"/>
      <c r="D39" s="41" t="str">
        <f>IF(SUM(B39:C39)=0,"-",SUM(B39:C39))</f>
        <v>-</v>
      </c>
      <c r="E39" s="15"/>
      <c r="F39" s="57"/>
      <c r="G39" s="57"/>
      <c r="H39" s="41" t="str">
        <f t="shared" ref="H39:H44" si="2">IF(SUM(F39:G39)=0,"-",SUM(F39:G39))</f>
        <v>-</v>
      </c>
      <c r="I39" s="13"/>
      <c r="J39" s="14"/>
      <c r="K39" s="14"/>
      <c r="L39" s="14"/>
      <c r="M39" s="14"/>
      <c r="N39" s="14"/>
      <c r="O39" s="26"/>
    </row>
    <row r="40" spans="1:15" ht="15.75" x14ac:dyDescent="0.25">
      <c r="A40" s="27" t="s">
        <v>98</v>
      </c>
      <c r="B40" s="52"/>
      <c r="C40" s="52"/>
      <c r="D40" s="41" t="str">
        <f>IF(SUM(B40:C40)=0,"-",SUM(B40:C40))</f>
        <v>-</v>
      </c>
      <c r="E40" s="15"/>
      <c r="F40" s="57"/>
      <c r="G40" s="57"/>
      <c r="H40" s="41" t="str">
        <f t="shared" si="2"/>
        <v>-</v>
      </c>
      <c r="I40" s="13"/>
      <c r="J40" s="14"/>
      <c r="K40" s="14"/>
      <c r="L40" s="14"/>
      <c r="M40" s="14"/>
      <c r="N40" s="14"/>
      <c r="O40" s="26"/>
    </row>
    <row r="41" spans="1:15" ht="15.75" x14ac:dyDescent="0.25">
      <c r="A41" s="27"/>
      <c r="B41" s="52"/>
      <c r="C41" s="52"/>
      <c r="D41" s="33"/>
      <c r="E41" s="15"/>
      <c r="F41" s="57"/>
      <c r="G41" s="57"/>
      <c r="H41" s="41" t="str">
        <f t="shared" si="2"/>
        <v>-</v>
      </c>
      <c r="I41" s="13"/>
      <c r="J41" s="14"/>
      <c r="K41" s="14"/>
      <c r="L41" s="14"/>
      <c r="M41" s="14"/>
      <c r="N41" s="14"/>
      <c r="O41" s="26"/>
    </row>
    <row r="42" spans="1:15" ht="15.75" x14ac:dyDescent="0.25">
      <c r="A42" s="27"/>
      <c r="B42" s="52"/>
      <c r="C42" s="52"/>
      <c r="D42" s="33"/>
      <c r="E42" s="15"/>
      <c r="F42" s="57"/>
      <c r="G42" s="57"/>
      <c r="H42" s="41" t="str">
        <f t="shared" si="2"/>
        <v>-</v>
      </c>
      <c r="I42" s="13"/>
      <c r="J42" s="14"/>
      <c r="K42" s="14"/>
      <c r="L42" s="14"/>
      <c r="M42" s="14"/>
      <c r="N42" s="14"/>
      <c r="O42" s="26"/>
    </row>
    <row r="43" spans="1:15" ht="15.75" x14ac:dyDescent="0.25">
      <c r="A43" s="27"/>
      <c r="B43" s="52"/>
      <c r="C43" s="52"/>
      <c r="D43" s="33"/>
      <c r="E43" s="15"/>
      <c r="F43" s="58"/>
      <c r="G43" s="57"/>
      <c r="H43" s="41" t="str">
        <f t="shared" si="2"/>
        <v>-</v>
      </c>
      <c r="I43" s="13"/>
      <c r="J43" s="14"/>
      <c r="K43" s="14"/>
      <c r="L43" s="14"/>
      <c r="M43" s="14"/>
      <c r="N43" s="14"/>
      <c r="O43" s="26"/>
    </row>
    <row r="44" spans="1:15" ht="15.75" x14ac:dyDescent="0.25">
      <c r="A44" s="27"/>
      <c r="B44" s="52"/>
      <c r="C44" s="52"/>
      <c r="D44" s="33"/>
      <c r="E44" s="15"/>
      <c r="F44" s="58"/>
      <c r="G44" s="57"/>
      <c r="H44" s="41" t="str">
        <f t="shared" si="2"/>
        <v>-</v>
      </c>
      <c r="I44" s="13"/>
      <c r="J44" s="14"/>
      <c r="K44" s="14"/>
      <c r="L44" s="14"/>
      <c r="M44" s="14"/>
      <c r="N44" s="14"/>
      <c r="O44" s="26"/>
    </row>
    <row r="45" spans="1:15" ht="15.75" x14ac:dyDescent="0.25">
      <c r="A45" s="27"/>
      <c r="B45" s="52"/>
      <c r="C45" s="52"/>
      <c r="D45" s="33"/>
      <c r="E45" s="15"/>
      <c r="F45" s="58"/>
      <c r="G45" s="57"/>
      <c r="H45" s="33"/>
      <c r="I45" s="13"/>
      <c r="J45" s="14"/>
      <c r="K45" s="14"/>
      <c r="L45" s="14"/>
      <c r="M45" s="14"/>
      <c r="N45" s="14"/>
      <c r="O45" s="26"/>
    </row>
    <row r="46" spans="1:15" ht="16.5" thickBot="1" x14ac:dyDescent="0.3">
      <c r="A46" s="16" t="s">
        <v>69</v>
      </c>
      <c r="B46" s="53" t="str">
        <f>IF(SUM(B39:B45)=0,"-",SUM(B39:B45))</f>
        <v>-</v>
      </c>
      <c r="C46" s="53" t="str">
        <f>IF(SUM(C39:C45)=0,"-",SUM(C39:C45))</f>
        <v>-</v>
      </c>
      <c r="D46" s="42" t="str">
        <f>IF(SUM(D39:D45)=0,"-",SUM(D39:D45))</f>
        <v>-</v>
      </c>
      <c r="E46" s="34" t="s">
        <v>176</v>
      </c>
      <c r="F46" s="53" t="str">
        <f>IF(SUM(F39:F45)=0,"-",SUM(F39:F45))</f>
        <v>-</v>
      </c>
      <c r="G46" s="53" t="str">
        <f>IF(SUM(G39:G45)=0,"-",SUM(G39:G45))</f>
        <v>-</v>
      </c>
      <c r="H46" s="42" t="str">
        <f>IF(SUM(H39:H45)=0,"-",SUM(H39:H45))</f>
        <v>-</v>
      </c>
      <c r="I46" s="17" t="str">
        <f>IFERROR(H46-D46,"-")</f>
        <v>-</v>
      </c>
      <c r="J46" s="18" t="str">
        <f>IF(OR(H46="-",D46="-"),"-",(H46-D46)/D46)</f>
        <v>-</v>
      </c>
      <c r="K46" s="18">
        <v>0.05</v>
      </c>
      <c r="L46" s="19">
        <f>K46*1</f>
        <v>0.05</v>
      </c>
      <c r="M46" s="18">
        <f>K46*-1</f>
        <v>-0.05</v>
      </c>
      <c r="N46" s="24" t="str">
        <f>IF(J46="-","-",IF(OR(J46&gt;L46,J46&lt;M46,COUNTIF(E47:H47,"&gt;"&amp;L46)&gt;0,COUNTIF(E47:H47,"&lt;"&amp;M46)&gt;0),"CHECK","OK"))</f>
        <v>-</v>
      </c>
      <c r="O46" s="26"/>
    </row>
    <row r="47" spans="1:15" ht="15.75" thickBot="1" x14ac:dyDescent="0.25">
      <c r="A47" s="28"/>
      <c r="B47" s="28"/>
      <c r="C47" s="28"/>
      <c r="D47" s="28"/>
      <c r="E47" s="28"/>
      <c r="F47" s="59" t="str">
        <f>IF(OR(F46="-",B46="-"),"-",(F46-B46)/B46)</f>
        <v>-</v>
      </c>
      <c r="G47" s="59" t="str">
        <f>IF(OR(G46="-",C46="-"),"-",(G46-C46)/C46)</f>
        <v>-</v>
      </c>
      <c r="H47" s="29"/>
      <c r="I47" s="28"/>
      <c r="J47" s="28"/>
      <c r="K47" s="28"/>
      <c r="L47" s="28"/>
      <c r="M47" s="28"/>
      <c r="N47" s="28"/>
      <c r="O47" s="26"/>
    </row>
    <row r="48" spans="1:15" ht="15.75" x14ac:dyDescent="0.25">
      <c r="A48" s="39"/>
      <c r="B48" s="40"/>
      <c r="C48" s="40"/>
      <c r="D48" s="40"/>
      <c r="E48" s="40"/>
      <c r="F48" s="40"/>
      <c r="G48" s="40"/>
      <c r="H48" s="40"/>
      <c r="I48" s="12"/>
      <c r="J48" s="12"/>
      <c r="K48" s="12"/>
      <c r="L48" s="12"/>
      <c r="M48" s="12"/>
      <c r="N48" s="12"/>
      <c r="O48" s="26"/>
    </row>
    <row r="49" spans="1:15" ht="15.75" x14ac:dyDescent="0.25">
      <c r="A49" s="62" t="s">
        <v>181</v>
      </c>
      <c r="B49" s="63"/>
      <c r="C49" s="63"/>
      <c r="D49" s="63"/>
      <c r="E49" s="63"/>
      <c r="F49" s="63"/>
      <c r="G49" s="63"/>
      <c r="H49" s="63"/>
      <c r="I49" s="12"/>
      <c r="J49" s="12"/>
      <c r="K49" s="12"/>
      <c r="L49" s="12"/>
      <c r="M49" s="12"/>
      <c r="N49" s="12"/>
      <c r="O49" s="26"/>
    </row>
    <row r="50" spans="1:15" ht="15.75" x14ac:dyDescent="0.25">
      <c r="A50" s="27"/>
      <c r="B50" s="51" t="s">
        <v>180</v>
      </c>
      <c r="C50" s="51" t="s">
        <v>179</v>
      </c>
      <c r="D50" s="43" t="s">
        <v>11</v>
      </c>
      <c r="E50" s="32" t="s">
        <v>213</v>
      </c>
      <c r="F50" s="56" t="s">
        <v>180</v>
      </c>
      <c r="G50" s="56" t="s">
        <v>179</v>
      </c>
      <c r="H50" s="44" t="s">
        <v>11</v>
      </c>
      <c r="I50" s="13"/>
      <c r="J50" s="14"/>
      <c r="K50" s="14"/>
      <c r="L50" s="14"/>
      <c r="M50" s="14"/>
      <c r="N50" s="14"/>
      <c r="O50" s="26"/>
    </row>
    <row r="51" spans="1:15" ht="15.75" x14ac:dyDescent="0.25">
      <c r="A51" s="27" t="s">
        <v>97</v>
      </c>
      <c r="B51" s="52"/>
      <c r="C51" s="52"/>
      <c r="D51" s="41" t="str">
        <f>IF(SUM(B51:C51)=0,"-",SUM(B51:C51))</f>
        <v>-</v>
      </c>
      <c r="E51" s="15"/>
      <c r="F51" s="57"/>
      <c r="G51" s="57"/>
      <c r="H51" s="41" t="str">
        <f t="shared" ref="H51:H56" si="3">IF(SUM(F51:G51)=0,"-",SUM(F51:G51))</f>
        <v>-</v>
      </c>
      <c r="I51" s="13"/>
      <c r="J51" s="14"/>
      <c r="K51" s="14"/>
      <c r="L51" s="14"/>
      <c r="M51" s="14"/>
      <c r="N51" s="14"/>
      <c r="O51" s="26"/>
    </row>
    <row r="52" spans="1:15" ht="15.75" x14ac:dyDescent="0.25">
      <c r="A52" s="27" t="s">
        <v>98</v>
      </c>
      <c r="B52" s="52"/>
      <c r="C52" s="52"/>
      <c r="D52" s="41" t="str">
        <f>IF(SUM(B52:C52)=0,"-",SUM(B52:C52))</f>
        <v>-</v>
      </c>
      <c r="E52" s="15"/>
      <c r="F52" s="57"/>
      <c r="G52" s="57"/>
      <c r="H52" s="41" t="str">
        <f t="shared" si="3"/>
        <v>-</v>
      </c>
      <c r="I52" s="13"/>
      <c r="J52" s="14"/>
      <c r="K52" s="14"/>
      <c r="L52" s="14"/>
      <c r="M52" s="14"/>
      <c r="N52" s="14"/>
      <c r="O52" s="26"/>
    </row>
    <row r="53" spans="1:15" ht="15.75" x14ac:dyDescent="0.25">
      <c r="A53" s="27"/>
      <c r="B53" s="52"/>
      <c r="C53" s="52"/>
      <c r="D53" s="33"/>
      <c r="E53" s="15"/>
      <c r="F53" s="57"/>
      <c r="G53" s="57"/>
      <c r="H53" s="41" t="str">
        <f t="shared" si="3"/>
        <v>-</v>
      </c>
      <c r="I53" s="13"/>
      <c r="J53" s="14"/>
      <c r="K53" s="14"/>
      <c r="L53" s="14"/>
      <c r="M53" s="14"/>
      <c r="N53" s="14"/>
      <c r="O53" s="26"/>
    </row>
    <row r="54" spans="1:15" ht="15.75" x14ac:dyDescent="0.25">
      <c r="A54" s="27"/>
      <c r="B54" s="52"/>
      <c r="C54" s="52"/>
      <c r="D54" s="33"/>
      <c r="E54" s="15"/>
      <c r="F54" s="57"/>
      <c r="G54" s="57"/>
      <c r="H54" s="41" t="str">
        <f t="shared" si="3"/>
        <v>-</v>
      </c>
      <c r="I54" s="13"/>
      <c r="J54" s="14"/>
      <c r="K54" s="14"/>
      <c r="L54" s="14"/>
      <c r="M54" s="14"/>
      <c r="N54" s="14"/>
      <c r="O54" s="26"/>
    </row>
    <row r="55" spans="1:15" ht="15.75" x14ac:dyDescent="0.25">
      <c r="A55" s="27"/>
      <c r="B55" s="52"/>
      <c r="C55" s="52"/>
      <c r="D55" s="33"/>
      <c r="E55" s="15"/>
      <c r="F55" s="58"/>
      <c r="G55" s="57"/>
      <c r="H55" s="41" t="str">
        <f t="shared" si="3"/>
        <v>-</v>
      </c>
      <c r="I55" s="13"/>
      <c r="J55" s="14"/>
      <c r="K55" s="14"/>
      <c r="L55" s="14"/>
      <c r="M55" s="14"/>
      <c r="N55" s="14"/>
      <c r="O55" s="26"/>
    </row>
    <row r="56" spans="1:15" ht="15.75" x14ac:dyDescent="0.25">
      <c r="A56" s="27"/>
      <c r="B56" s="52"/>
      <c r="C56" s="52"/>
      <c r="D56" s="33"/>
      <c r="E56" s="15"/>
      <c r="F56" s="58"/>
      <c r="G56" s="57"/>
      <c r="H56" s="41" t="str">
        <f t="shared" si="3"/>
        <v>-</v>
      </c>
      <c r="I56" s="13"/>
      <c r="J56" s="14"/>
      <c r="K56" s="14"/>
      <c r="L56" s="14"/>
      <c r="M56" s="14"/>
      <c r="N56" s="14"/>
      <c r="O56" s="26"/>
    </row>
    <row r="57" spans="1:15" ht="15.75" x14ac:dyDescent="0.25">
      <c r="A57" s="27"/>
      <c r="B57" s="52"/>
      <c r="C57" s="52"/>
      <c r="D57" s="33"/>
      <c r="E57" s="15"/>
      <c r="F57" s="58"/>
      <c r="G57" s="57"/>
      <c r="H57" s="33"/>
      <c r="I57" s="13"/>
      <c r="J57" s="14"/>
      <c r="K57" s="14"/>
      <c r="L57" s="14"/>
      <c r="M57" s="14"/>
      <c r="N57" s="14"/>
      <c r="O57" s="26"/>
    </row>
    <row r="58" spans="1:15" ht="16.5" thickBot="1" x14ac:dyDescent="0.3">
      <c r="A58" s="16" t="s">
        <v>69</v>
      </c>
      <c r="B58" s="53" t="str">
        <f>IF(SUM(B51:B57)=0,"-",SUM(B51:B57))</f>
        <v>-</v>
      </c>
      <c r="C58" s="53" t="str">
        <f>IF(SUM(C51:C57)=0,"-",SUM(C51:C57))</f>
        <v>-</v>
      </c>
      <c r="D58" s="42" t="str">
        <f>IF(SUM(D51:D57)=0,"-",SUM(D51:D57))</f>
        <v>-</v>
      </c>
      <c r="E58" s="34" t="s">
        <v>177</v>
      </c>
      <c r="F58" s="53" t="str">
        <f>IF(SUM(F51:F57)=0,"-",SUM(F51:F57))</f>
        <v>-</v>
      </c>
      <c r="G58" s="53" t="str">
        <f>IF(SUM(G51:G57)=0,"-",SUM(G51:G57))</f>
        <v>-</v>
      </c>
      <c r="H58" s="42" t="str">
        <f>IF(SUM(H51:H57)=0,"-",SUM(H51:H57))</f>
        <v>-</v>
      </c>
      <c r="I58" s="17" t="str">
        <f>IFERROR(H58-D58,"-")</f>
        <v>-</v>
      </c>
      <c r="J58" s="18" t="str">
        <f>IF(OR(H58="-",D58="-"),"-",(H58-D58)/D58)</f>
        <v>-</v>
      </c>
      <c r="K58" s="18">
        <v>0.05</v>
      </c>
      <c r="L58" s="19">
        <f>K58*1</f>
        <v>0.05</v>
      </c>
      <c r="M58" s="18">
        <f>K58*-1</f>
        <v>-0.05</v>
      </c>
      <c r="N58" s="24" t="str">
        <f>IF(J58="-","-",IF(OR(J58&gt;L58,J58&lt;M58,COUNTIF(E59:H59,"&gt;"&amp;L58)&gt;0,COUNTIF(E59:H59,"&lt;"&amp;M58)&gt;0),"CHECK","OK"))</f>
        <v>-</v>
      </c>
      <c r="O58" s="26"/>
    </row>
    <row r="59" spans="1:15" ht="15.75" thickBot="1" x14ac:dyDescent="0.25">
      <c r="A59" s="28"/>
      <c r="B59" s="28"/>
      <c r="C59" s="28"/>
      <c r="D59" s="28"/>
      <c r="E59" s="28"/>
      <c r="F59" s="59" t="str">
        <f>IF(OR(F58="-",B58="-"),"-",(F58-B58)/B58)</f>
        <v>-</v>
      </c>
      <c r="G59" s="59" t="str">
        <f>IF(OR(G58="-",C58="-"),"-",(G58-C58)/C58)</f>
        <v>-</v>
      </c>
      <c r="H59" s="29"/>
      <c r="I59" s="28"/>
      <c r="J59" s="28"/>
      <c r="K59" s="28"/>
      <c r="L59" s="28"/>
      <c r="M59" s="28"/>
      <c r="N59" s="28"/>
      <c r="O59" s="26"/>
    </row>
    <row r="60" spans="1:15" ht="15.75" x14ac:dyDescent="0.25">
      <c r="A60" s="37"/>
      <c r="B60" s="38"/>
      <c r="C60" s="38"/>
      <c r="D60" s="38"/>
      <c r="E60" s="38"/>
      <c r="F60" s="38"/>
      <c r="G60" s="38"/>
      <c r="H60" s="38"/>
      <c r="I60" s="20"/>
      <c r="J60" s="20"/>
      <c r="K60" s="20"/>
      <c r="L60" s="20"/>
      <c r="M60" s="20"/>
      <c r="N60" s="20"/>
      <c r="O60" s="26"/>
    </row>
    <row r="61" spans="1:15" ht="15.75" x14ac:dyDescent="0.25">
      <c r="A61" s="62" t="s">
        <v>189</v>
      </c>
      <c r="B61" s="63"/>
      <c r="C61" s="63"/>
      <c r="D61" s="63"/>
      <c r="E61" s="63"/>
      <c r="F61" s="63"/>
      <c r="G61" s="63"/>
      <c r="H61" s="63"/>
      <c r="I61" s="12"/>
      <c r="J61" s="12"/>
      <c r="K61" s="12"/>
      <c r="L61" s="12"/>
      <c r="M61" s="12"/>
      <c r="N61" s="12"/>
      <c r="O61" s="26"/>
    </row>
    <row r="62" spans="1:15" ht="15.75" x14ac:dyDescent="0.25">
      <c r="A62" s="27"/>
      <c r="B62" s="51" t="s">
        <v>180</v>
      </c>
      <c r="C62" s="51" t="s">
        <v>179</v>
      </c>
      <c r="D62" s="43" t="s">
        <v>11</v>
      </c>
      <c r="E62" s="32" t="s">
        <v>214</v>
      </c>
      <c r="F62" s="56" t="s">
        <v>180</v>
      </c>
      <c r="G62" s="56" t="s">
        <v>179</v>
      </c>
      <c r="H62" s="44" t="s">
        <v>11</v>
      </c>
      <c r="I62" s="13"/>
      <c r="J62" s="14"/>
      <c r="K62" s="14"/>
      <c r="L62" s="14"/>
      <c r="M62" s="14"/>
      <c r="N62" s="14"/>
      <c r="O62" s="26"/>
    </row>
    <row r="63" spans="1:15" ht="15.75" x14ac:dyDescent="0.25">
      <c r="A63" s="27" t="s">
        <v>192</v>
      </c>
      <c r="B63" s="52"/>
      <c r="C63" s="52"/>
      <c r="D63" s="41" t="str">
        <f>IF(SUM(B63:C63)=0,"-",SUM(B63:C63))</f>
        <v>-</v>
      </c>
      <c r="E63" s="15"/>
      <c r="F63" s="57"/>
      <c r="G63" s="57"/>
      <c r="H63" s="41" t="str">
        <f t="shared" ref="H63:H68" si="4">IF(SUM(F63:G63)=0,"-",SUM(F63:G63))</f>
        <v>-</v>
      </c>
      <c r="I63" s="13"/>
      <c r="J63" s="14"/>
      <c r="K63" s="14"/>
      <c r="L63" s="14"/>
      <c r="M63" s="14"/>
      <c r="N63" s="14"/>
      <c r="O63" s="26"/>
    </row>
    <row r="64" spans="1:15" ht="15" x14ac:dyDescent="0.2">
      <c r="A64" s="46" t="s">
        <v>172</v>
      </c>
      <c r="B64" s="52"/>
      <c r="C64" s="52"/>
      <c r="D64" s="41" t="str">
        <f>IF(SUM(B64:C64)=0,"-",SUM(B64:C64))</f>
        <v>-</v>
      </c>
      <c r="E64" s="15"/>
      <c r="F64" s="57"/>
      <c r="G64" s="57"/>
      <c r="H64" s="41" t="str">
        <f t="shared" si="4"/>
        <v>-</v>
      </c>
      <c r="I64" s="13"/>
      <c r="J64" s="14"/>
      <c r="K64" s="14"/>
      <c r="L64" s="14"/>
      <c r="M64" s="14"/>
      <c r="N64" s="14"/>
      <c r="O64" s="26"/>
    </row>
    <row r="65" spans="1:15" ht="15" x14ac:dyDescent="0.2">
      <c r="A65" s="46" t="s">
        <v>175</v>
      </c>
      <c r="B65" s="52"/>
      <c r="C65" s="52"/>
      <c r="D65" s="41" t="str">
        <f t="shared" ref="D65" si="5">IF(SUM(B65:C65)=0,"-",SUM(B65:C65))</f>
        <v>-</v>
      </c>
      <c r="E65" s="15"/>
      <c r="F65" s="57"/>
      <c r="G65" s="57"/>
      <c r="H65" s="41" t="str">
        <f t="shared" si="4"/>
        <v>-</v>
      </c>
      <c r="I65" s="13"/>
      <c r="J65" s="14"/>
      <c r="K65" s="14"/>
      <c r="L65" s="14"/>
      <c r="M65" s="14"/>
      <c r="N65" s="14"/>
      <c r="O65" s="26"/>
    </row>
    <row r="66" spans="1:15" ht="15.75" x14ac:dyDescent="0.25">
      <c r="A66" s="27"/>
      <c r="B66" s="52"/>
      <c r="C66" s="52"/>
      <c r="D66" s="33"/>
      <c r="E66" s="15"/>
      <c r="F66" s="57"/>
      <c r="G66" s="57"/>
      <c r="H66" s="41" t="str">
        <f t="shared" si="4"/>
        <v>-</v>
      </c>
      <c r="I66" s="13"/>
      <c r="J66" s="14"/>
      <c r="K66" s="14"/>
      <c r="L66" s="14"/>
      <c r="M66" s="14"/>
      <c r="N66" s="14"/>
      <c r="O66" s="26"/>
    </row>
    <row r="67" spans="1:15" ht="15.75" x14ac:dyDescent="0.25">
      <c r="A67" s="27"/>
      <c r="B67" s="52"/>
      <c r="C67" s="52"/>
      <c r="D67" s="33"/>
      <c r="E67" s="15"/>
      <c r="F67" s="58"/>
      <c r="G67" s="57"/>
      <c r="H67" s="41" t="str">
        <f t="shared" si="4"/>
        <v>-</v>
      </c>
      <c r="I67" s="13"/>
      <c r="J67" s="14"/>
      <c r="K67" s="14"/>
      <c r="L67" s="14"/>
      <c r="M67" s="14"/>
      <c r="N67" s="14"/>
      <c r="O67" s="26"/>
    </row>
    <row r="68" spans="1:15" ht="15.75" x14ac:dyDescent="0.25">
      <c r="A68" s="27"/>
      <c r="B68" s="52"/>
      <c r="C68" s="52"/>
      <c r="D68" s="33"/>
      <c r="E68" s="15"/>
      <c r="F68" s="58"/>
      <c r="G68" s="57"/>
      <c r="H68" s="41" t="str">
        <f t="shared" si="4"/>
        <v>-</v>
      </c>
      <c r="I68" s="13"/>
      <c r="J68" s="14"/>
      <c r="K68" s="14"/>
      <c r="L68" s="14"/>
      <c r="M68" s="14"/>
      <c r="N68" s="14"/>
      <c r="O68" s="26"/>
    </row>
    <row r="69" spans="1:15" ht="15.75" x14ac:dyDescent="0.25">
      <c r="A69" s="27"/>
      <c r="B69" s="52"/>
      <c r="C69" s="52"/>
      <c r="D69" s="33"/>
      <c r="E69" s="15"/>
      <c r="F69" s="58"/>
      <c r="G69" s="57"/>
      <c r="H69" s="33"/>
      <c r="I69" s="13"/>
      <c r="J69" s="14"/>
      <c r="K69" s="14"/>
      <c r="L69" s="14"/>
      <c r="M69" s="14"/>
      <c r="N69" s="14"/>
      <c r="O69" s="26"/>
    </row>
    <row r="70" spans="1:15" ht="16.5" thickBot="1" x14ac:dyDescent="0.3">
      <c r="A70" s="16" t="s">
        <v>195</v>
      </c>
      <c r="B70" s="53" t="str">
        <f>IF(SUM(B63:B69)=0,"-",SUM(B63:B69))</f>
        <v>-</v>
      </c>
      <c r="C70" s="53" t="str">
        <f>IF(SUM(C63:C69)=0,"-",SUM(C63:C69))</f>
        <v>-</v>
      </c>
      <c r="D70" s="42" t="str">
        <f>IF(SUM(D63:D69)=0,"-",SUM(D63:D69))</f>
        <v>-</v>
      </c>
      <c r="E70" s="34" t="s">
        <v>190</v>
      </c>
      <c r="F70" s="53" t="str">
        <f>IF(SUM(F63:F69)=0,"-",SUM(F63:F69))</f>
        <v>-</v>
      </c>
      <c r="G70" s="53" t="str">
        <f>IF(SUM(G63:G69)=0,"-",SUM(G63:G69))</f>
        <v>-</v>
      </c>
      <c r="H70" s="42" t="str">
        <f>IF(SUM(H63:H69)=0,"-",SUM(H63:H69))</f>
        <v>-</v>
      </c>
      <c r="I70" s="17" t="str">
        <f>IFERROR(H70-D70,"-")</f>
        <v>-</v>
      </c>
      <c r="J70" s="18" t="str">
        <f>IF(OR(H70="-",D70="-"),"-",(H70-D70)/D70)</f>
        <v>-</v>
      </c>
      <c r="K70" s="18">
        <v>0.05</v>
      </c>
      <c r="L70" s="19">
        <f>K70*1</f>
        <v>0.05</v>
      </c>
      <c r="M70" s="18">
        <f>K70*-1</f>
        <v>-0.05</v>
      </c>
      <c r="N70" s="24" t="str">
        <f>IF(J70="-","-",IF(OR(J70&gt;L70,J70&lt;M70,COUNTIF(E71:H71,"&gt;"&amp;L70)&gt;0,COUNTIF(E71:H71,"&lt;"&amp;M70)&gt;0),"CHECK","OK"))</f>
        <v>-</v>
      </c>
      <c r="O70" s="26"/>
    </row>
    <row r="71" spans="1:15" ht="15.75" thickBot="1" x14ac:dyDescent="0.25">
      <c r="A71" s="28"/>
      <c r="B71" s="28"/>
      <c r="C71" s="28"/>
      <c r="D71" s="28"/>
      <c r="E71" s="28"/>
      <c r="F71" s="59" t="str">
        <f>IF(OR(F70="-",B70="-"),"-",(F70-B70)/B70)</f>
        <v>-</v>
      </c>
      <c r="G71" s="59" t="str">
        <f>IF(OR(G70="-",C70="-"),"-",(G70-C70)/C70)</f>
        <v>-</v>
      </c>
      <c r="H71" s="29"/>
      <c r="I71" s="28"/>
      <c r="J71" s="28"/>
      <c r="K71" s="28"/>
      <c r="L71" s="28"/>
      <c r="M71" s="28"/>
      <c r="N71" s="28"/>
      <c r="O71" s="26"/>
    </row>
    <row r="72" spans="1:15" ht="15.75" x14ac:dyDescent="0.25">
      <c r="A72" s="62"/>
      <c r="B72" s="63"/>
      <c r="C72" s="63"/>
      <c r="D72" s="63"/>
      <c r="E72" s="63"/>
      <c r="F72" s="63"/>
      <c r="G72" s="63"/>
      <c r="H72" s="63"/>
      <c r="I72" s="12"/>
      <c r="J72" s="12"/>
      <c r="K72" s="12"/>
      <c r="L72" s="12"/>
      <c r="M72" s="12"/>
      <c r="N72" s="12"/>
      <c r="O72" s="26"/>
    </row>
    <row r="73" spans="1:15" ht="15.75" x14ac:dyDescent="0.25">
      <c r="A73" s="62" t="s">
        <v>191</v>
      </c>
      <c r="B73" s="63"/>
      <c r="C73" s="63"/>
      <c r="D73" s="63"/>
      <c r="E73" s="63"/>
      <c r="F73" s="63"/>
      <c r="G73" s="63"/>
      <c r="H73" s="63"/>
      <c r="I73" s="13"/>
      <c r="J73" s="14"/>
      <c r="K73" s="14"/>
      <c r="L73" s="14"/>
      <c r="M73" s="14"/>
      <c r="N73" s="14"/>
      <c r="O73" s="26"/>
    </row>
    <row r="74" spans="1:15" ht="15.75" x14ac:dyDescent="0.25">
      <c r="A74" s="27"/>
      <c r="B74" s="52" t="s">
        <v>180</v>
      </c>
      <c r="C74" s="52" t="s">
        <v>179</v>
      </c>
      <c r="D74" s="41" t="s">
        <v>11</v>
      </c>
      <c r="E74" s="31" t="s">
        <v>215</v>
      </c>
      <c r="F74" s="57" t="s">
        <v>180</v>
      </c>
      <c r="G74" s="57" t="s">
        <v>179</v>
      </c>
      <c r="H74" s="41" t="s">
        <v>11</v>
      </c>
      <c r="I74" s="13"/>
      <c r="J74" s="14"/>
      <c r="K74" s="14"/>
      <c r="L74" s="14"/>
      <c r="M74" s="14"/>
      <c r="N74" s="14"/>
      <c r="O74" s="26"/>
    </row>
    <row r="75" spans="1:15" ht="15.75" x14ac:dyDescent="0.25">
      <c r="A75" s="27" t="s">
        <v>193</v>
      </c>
      <c r="B75" s="52"/>
      <c r="C75" s="52"/>
      <c r="D75" s="41" t="str">
        <f>IF(SUM(B75:C75)=0,"-",SUM(B75:C75))</f>
        <v>-</v>
      </c>
      <c r="E75" s="15"/>
      <c r="F75" s="57"/>
      <c r="G75" s="57"/>
      <c r="H75" s="41" t="str">
        <f t="shared" ref="H75:H80" si="6">IF(SUM(F75:G75)=0,"-",SUM(F75:G75))</f>
        <v>-</v>
      </c>
      <c r="I75" s="13"/>
      <c r="J75" s="14"/>
      <c r="K75" s="14"/>
      <c r="L75" s="14"/>
      <c r="M75" s="14"/>
      <c r="N75" s="14"/>
      <c r="O75" s="26"/>
    </row>
    <row r="76" spans="1:15" ht="15" x14ac:dyDescent="0.2">
      <c r="A76" s="46" t="s">
        <v>172</v>
      </c>
      <c r="B76" s="52"/>
      <c r="C76" s="52"/>
      <c r="D76" s="41" t="str">
        <f t="shared" ref="D76:D79" si="7">IF(SUM(B76:C76)=0,"-",SUM(B76:C76))</f>
        <v>-</v>
      </c>
      <c r="E76" s="15"/>
      <c r="F76" s="57"/>
      <c r="G76" s="57"/>
      <c r="H76" s="41" t="str">
        <f t="shared" si="6"/>
        <v>-</v>
      </c>
      <c r="I76" s="13"/>
      <c r="J76" s="14"/>
      <c r="K76" s="14"/>
      <c r="L76" s="14"/>
      <c r="M76" s="14"/>
      <c r="N76" s="14"/>
      <c r="O76" s="26"/>
    </row>
    <row r="77" spans="1:15" ht="15" x14ac:dyDescent="0.2">
      <c r="A77" s="46" t="s">
        <v>175</v>
      </c>
      <c r="B77" s="52"/>
      <c r="C77" s="52"/>
      <c r="D77" s="41" t="str">
        <f t="shared" si="7"/>
        <v>-</v>
      </c>
      <c r="E77" s="15"/>
      <c r="F77" s="57"/>
      <c r="G77" s="57"/>
      <c r="H77" s="41" t="str">
        <f t="shared" si="6"/>
        <v>-</v>
      </c>
      <c r="I77" s="13"/>
      <c r="J77" s="14"/>
      <c r="K77" s="14"/>
      <c r="L77" s="14"/>
      <c r="M77" s="14"/>
      <c r="N77" s="14"/>
      <c r="O77" s="26"/>
    </row>
    <row r="78" spans="1:15" ht="15" x14ac:dyDescent="0.2">
      <c r="A78" s="46" t="s">
        <v>171</v>
      </c>
      <c r="B78" s="52"/>
      <c r="C78" s="52"/>
      <c r="D78" s="41" t="str">
        <f t="shared" si="7"/>
        <v>-</v>
      </c>
      <c r="E78" s="15"/>
      <c r="F78" s="58"/>
      <c r="G78" s="57"/>
      <c r="H78" s="41" t="str">
        <f t="shared" si="6"/>
        <v>-</v>
      </c>
      <c r="I78" s="13"/>
      <c r="J78" s="14"/>
      <c r="K78" s="14"/>
      <c r="L78" s="14"/>
      <c r="M78" s="14"/>
      <c r="N78" s="14"/>
      <c r="O78" s="26"/>
    </row>
    <row r="79" spans="1:15" ht="15" x14ac:dyDescent="0.2">
      <c r="A79" s="46" t="s">
        <v>174</v>
      </c>
      <c r="B79" s="52"/>
      <c r="C79" s="52"/>
      <c r="D79" s="41" t="str">
        <f t="shared" si="7"/>
        <v>-</v>
      </c>
      <c r="E79" s="15"/>
      <c r="F79" s="58"/>
      <c r="G79" s="57"/>
      <c r="H79" s="41" t="str">
        <f t="shared" si="6"/>
        <v>-</v>
      </c>
      <c r="I79" s="13"/>
      <c r="J79" s="14"/>
      <c r="K79" s="14"/>
      <c r="L79" s="14"/>
      <c r="M79" s="14"/>
      <c r="N79" s="14"/>
      <c r="O79" s="26"/>
    </row>
    <row r="80" spans="1:15" ht="15.75" x14ac:dyDescent="0.25">
      <c r="A80" s="27"/>
      <c r="B80" s="52"/>
      <c r="C80" s="52"/>
      <c r="D80" s="33"/>
      <c r="E80" s="15"/>
      <c r="F80" s="58"/>
      <c r="G80" s="57"/>
      <c r="H80" s="33" t="str">
        <f t="shared" si="6"/>
        <v>-</v>
      </c>
      <c r="I80" s="13"/>
      <c r="J80" s="14"/>
      <c r="K80" s="14"/>
      <c r="L80" s="14"/>
      <c r="M80" s="14"/>
      <c r="N80" s="14"/>
      <c r="O80" s="26"/>
    </row>
    <row r="81" spans="1:15" ht="15.75" x14ac:dyDescent="0.25">
      <c r="A81" s="27"/>
      <c r="B81" s="52"/>
      <c r="C81" s="52"/>
      <c r="D81" s="33"/>
      <c r="E81" s="15"/>
      <c r="F81" s="58"/>
      <c r="G81" s="57"/>
      <c r="H81" s="33"/>
      <c r="I81" s="13"/>
      <c r="J81" s="14"/>
      <c r="K81" s="14"/>
      <c r="L81" s="14"/>
      <c r="M81" s="14"/>
      <c r="N81" s="14"/>
      <c r="O81" s="26"/>
    </row>
    <row r="82" spans="1:15" ht="16.5" thickBot="1" x14ac:dyDescent="0.3">
      <c r="A82" s="16" t="s">
        <v>194</v>
      </c>
      <c r="B82" s="53" t="str">
        <f>IF(SUM(B75:B81)=0,"-",SUM(B75:B81))</f>
        <v>-</v>
      </c>
      <c r="C82" s="53" t="str">
        <f>IF(SUM(C75:C81)=0,"-",SUM(C75:C81))</f>
        <v>-</v>
      </c>
      <c r="D82" s="42" t="str">
        <f>IF(SUM(D75:D81)=0,"-",SUM(D75:D81))</f>
        <v>-</v>
      </c>
      <c r="E82" s="34" t="s">
        <v>196</v>
      </c>
      <c r="F82" s="53" t="str">
        <f>IF(SUM(F75:F81)=0,"-",SUM(F75:F81))</f>
        <v>-</v>
      </c>
      <c r="G82" s="53" t="str">
        <f>IF(SUM(G75:G81)=0,"-",SUM(G75:G81))</f>
        <v>-</v>
      </c>
      <c r="H82" s="42" t="str">
        <f>IF(SUM(H75:H81)=0,"-",SUM(H75:H81))</f>
        <v>-</v>
      </c>
      <c r="I82" s="17" t="str">
        <f>IFERROR(H82-D82,"-")</f>
        <v>-</v>
      </c>
      <c r="J82" s="18" t="str">
        <f>IF(OR(H82="-",D82="-"),"-",(H82-D82)/D82)</f>
        <v>-</v>
      </c>
      <c r="K82" s="18">
        <v>0.05</v>
      </c>
      <c r="L82" s="19">
        <f>K82*1</f>
        <v>0.05</v>
      </c>
      <c r="M82" s="18">
        <f>K82*-1</f>
        <v>-0.05</v>
      </c>
      <c r="N82" s="24" t="str">
        <f>IF(J82="-","-",IF(OR(J82&gt;L82,J82&lt;M82,COUNTIF(E83:H83,"&gt;"&amp;L82)&gt;0,COUNTIF(E83:H83,"&lt;"&amp;M82)&gt;0),"CHECK","OK"))</f>
        <v>-</v>
      </c>
      <c r="O82" s="26"/>
    </row>
    <row r="83" spans="1:15" ht="15.75" thickBot="1" x14ac:dyDescent="0.25">
      <c r="A83" s="28"/>
      <c r="B83" s="28"/>
      <c r="C83" s="28"/>
      <c r="D83" s="28"/>
      <c r="E83" s="28"/>
      <c r="F83" s="59" t="str">
        <f>IF(OR(F82="-",B82="-"),"-",(F82-B82)/B82)</f>
        <v>-</v>
      </c>
      <c r="G83" s="59" t="str">
        <f>IF(OR(G82="-",C82="-"),"-",(G82-C82)/C82)</f>
        <v>-</v>
      </c>
      <c r="H83" s="29"/>
      <c r="I83" s="28"/>
      <c r="J83" s="28"/>
      <c r="K83" s="28"/>
      <c r="L83" s="28"/>
      <c r="M83" s="28"/>
      <c r="N83" s="28"/>
      <c r="O83" s="26"/>
    </row>
    <row r="84" spans="1:15" ht="15" x14ac:dyDescent="0.2">
      <c r="A84" s="35"/>
      <c r="B84" s="35"/>
      <c r="C84" s="35"/>
      <c r="D84" s="35"/>
      <c r="E84" s="35"/>
      <c r="F84" s="60"/>
      <c r="G84" s="60"/>
      <c r="H84" s="36"/>
      <c r="I84" s="35"/>
      <c r="J84" s="35"/>
      <c r="K84" s="35"/>
      <c r="L84" s="35"/>
      <c r="M84" s="35"/>
      <c r="N84" s="35"/>
      <c r="O84" s="26"/>
    </row>
    <row r="85" spans="1:15" ht="15.75" x14ac:dyDescent="0.25">
      <c r="A85" s="62" t="s">
        <v>184</v>
      </c>
      <c r="B85" s="63"/>
      <c r="C85" s="63"/>
      <c r="D85" s="63"/>
      <c r="E85" s="63"/>
      <c r="F85" s="63"/>
      <c r="G85" s="63"/>
      <c r="H85" s="63"/>
      <c r="I85" s="12"/>
      <c r="J85" s="12"/>
      <c r="K85" s="12"/>
      <c r="L85" s="12"/>
      <c r="M85" s="12"/>
      <c r="N85" s="12"/>
      <c r="O85" s="26"/>
    </row>
    <row r="86" spans="1:15" ht="15.75" x14ac:dyDescent="0.25">
      <c r="A86" s="27"/>
      <c r="B86" s="51" t="s">
        <v>180</v>
      </c>
      <c r="C86" s="51" t="s">
        <v>179</v>
      </c>
      <c r="D86" s="43" t="s">
        <v>11</v>
      </c>
      <c r="E86" s="32" t="s">
        <v>216</v>
      </c>
      <c r="F86" s="56" t="s">
        <v>180</v>
      </c>
      <c r="G86" s="56" t="s">
        <v>179</v>
      </c>
      <c r="H86" s="44" t="s">
        <v>11</v>
      </c>
      <c r="I86" s="13"/>
      <c r="J86" s="14"/>
      <c r="K86" s="14"/>
      <c r="L86" s="14"/>
      <c r="M86" s="14"/>
      <c r="N86" s="14"/>
      <c r="O86" s="26"/>
    </row>
    <row r="87" spans="1:15" ht="15.75" x14ac:dyDescent="0.25">
      <c r="A87" s="27" t="s">
        <v>185</v>
      </c>
      <c r="B87" s="52"/>
      <c r="C87" s="52"/>
      <c r="D87" s="41" t="str">
        <f>IF(SUM(B87:C87)=0,"-",SUM(B87:C87))</f>
        <v>-</v>
      </c>
      <c r="E87" s="15"/>
      <c r="F87" s="57"/>
      <c r="G87" s="57"/>
      <c r="H87" s="41" t="str">
        <f t="shared" ref="H87:H92" si="8">IF(SUM(F87:G87)=0,"-",SUM(F87:G87))</f>
        <v>-</v>
      </c>
      <c r="I87" s="13"/>
      <c r="J87" s="14"/>
      <c r="K87" s="14"/>
      <c r="L87" s="14"/>
      <c r="M87" s="14"/>
      <c r="N87" s="14"/>
      <c r="O87" s="26"/>
    </row>
    <row r="88" spans="1:15" ht="15" x14ac:dyDescent="0.2">
      <c r="A88" s="46" t="s">
        <v>172</v>
      </c>
      <c r="B88" s="52"/>
      <c r="C88" s="52"/>
      <c r="D88" s="41" t="str">
        <f>IF(SUM(B88:C88)=0,"-",SUM(B88:C88))</f>
        <v>-</v>
      </c>
      <c r="E88" s="15"/>
      <c r="F88" s="57"/>
      <c r="G88" s="57"/>
      <c r="H88" s="41" t="str">
        <f t="shared" si="8"/>
        <v>-</v>
      </c>
      <c r="I88" s="13"/>
      <c r="J88" s="14"/>
      <c r="K88" s="14"/>
      <c r="L88" s="14"/>
      <c r="M88" s="14"/>
      <c r="N88" s="14"/>
      <c r="O88" s="26"/>
    </row>
    <row r="89" spans="1:15" ht="15" x14ac:dyDescent="0.2">
      <c r="A89" s="46" t="s">
        <v>175</v>
      </c>
      <c r="B89" s="52"/>
      <c r="C89" s="52"/>
      <c r="D89" s="41" t="str">
        <f t="shared" ref="D89:D92" si="9">IF(SUM(B89:C89)=0,"-",SUM(B89:C89))</f>
        <v>-</v>
      </c>
      <c r="E89" s="15"/>
      <c r="F89" s="57"/>
      <c r="G89" s="57"/>
      <c r="H89" s="41" t="str">
        <f t="shared" si="8"/>
        <v>-</v>
      </c>
      <c r="I89" s="13"/>
      <c r="J89" s="14"/>
      <c r="K89" s="14"/>
      <c r="L89" s="14"/>
      <c r="M89" s="14"/>
      <c r="N89" s="14"/>
      <c r="O89" s="26"/>
    </row>
    <row r="90" spans="1:15" ht="15.75" x14ac:dyDescent="0.25">
      <c r="A90" s="27" t="s">
        <v>186</v>
      </c>
      <c r="B90" s="52"/>
      <c r="C90" s="52"/>
      <c r="D90" s="41" t="str">
        <f t="shared" si="9"/>
        <v>-</v>
      </c>
      <c r="E90" s="15"/>
      <c r="F90" s="57"/>
      <c r="G90" s="57"/>
      <c r="H90" s="41" t="str">
        <f t="shared" si="8"/>
        <v>-</v>
      </c>
      <c r="I90" s="13"/>
      <c r="J90" s="14"/>
      <c r="K90" s="14"/>
      <c r="L90" s="14"/>
      <c r="M90" s="14"/>
      <c r="N90" s="14"/>
      <c r="O90" s="26"/>
    </row>
    <row r="91" spans="1:15" ht="15" x14ac:dyDescent="0.2">
      <c r="A91" s="46" t="s">
        <v>171</v>
      </c>
      <c r="B91" s="52"/>
      <c r="C91" s="52"/>
      <c r="D91" s="41" t="str">
        <f t="shared" si="9"/>
        <v>-</v>
      </c>
      <c r="E91" s="15"/>
      <c r="F91" s="58"/>
      <c r="G91" s="57"/>
      <c r="H91" s="41" t="str">
        <f t="shared" si="8"/>
        <v>-</v>
      </c>
      <c r="I91" s="13"/>
      <c r="J91" s="14"/>
      <c r="K91" s="14"/>
      <c r="L91" s="14"/>
      <c r="M91" s="14"/>
      <c r="N91" s="14"/>
      <c r="O91" s="26"/>
    </row>
    <row r="92" spans="1:15" ht="15" x14ac:dyDescent="0.2">
      <c r="A92" s="46" t="s">
        <v>174</v>
      </c>
      <c r="B92" s="52"/>
      <c r="C92" s="52"/>
      <c r="D92" s="41" t="str">
        <f t="shared" si="9"/>
        <v>-</v>
      </c>
      <c r="E92" s="15"/>
      <c r="F92" s="58"/>
      <c r="G92" s="57"/>
      <c r="H92" s="41" t="str">
        <f t="shared" si="8"/>
        <v>-</v>
      </c>
      <c r="I92" s="13"/>
      <c r="J92" s="14"/>
      <c r="K92" s="14"/>
      <c r="L92" s="14"/>
      <c r="M92" s="14"/>
      <c r="N92" s="14"/>
      <c r="O92" s="26"/>
    </row>
    <row r="93" spans="1:15" ht="15.75" x14ac:dyDescent="0.25">
      <c r="A93" s="27"/>
      <c r="B93" s="52"/>
      <c r="C93" s="52"/>
      <c r="D93" s="33"/>
      <c r="E93" s="15"/>
      <c r="F93" s="58"/>
      <c r="G93" s="57"/>
      <c r="H93" s="33"/>
      <c r="I93" s="13"/>
      <c r="J93" s="14"/>
      <c r="K93" s="14"/>
      <c r="L93" s="14"/>
      <c r="M93" s="14"/>
      <c r="N93" s="14"/>
      <c r="O93" s="26"/>
    </row>
    <row r="94" spans="1:15" ht="16.5" thickBot="1" x14ac:dyDescent="0.3">
      <c r="A94" s="16" t="s">
        <v>188</v>
      </c>
      <c r="B94" s="53" t="str">
        <f>IF(SUM(B87:B93)=0,"-",SUM(B87:B93))</f>
        <v>-</v>
      </c>
      <c r="C94" s="53" t="str">
        <f>IF(SUM(C87:C93)=0,"-",SUM(C87:C93))</f>
        <v>-</v>
      </c>
      <c r="D94" s="42" t="str">
        <f>IF(SUM(D87:D93)=0,"-",SUM(D87:D93))</f>
        <v>-</v>
      </c>
      <c r="E94" s="34" t="s">
        <v>187</v>
      </c>
      <c r="F94" s="53" t="str">
        <f>IF(SUM(F87:F93)=0,"-",SUM(F87:F93))</f>
        <v>-</v>
      </c>
      <c r="G94" s="53" t="str">
        <f>IF(SUM(G87:G93)=0,"-",SUM(G87:G93))</f>
        <v>-</v>
      </c>
      <c r="H94" s="42" t="str">
        <f>IF(SUM(H87:H93)=0,"-",SUM(H87:H93))</f>
        <v>-</v>
      </c>
      <c r="I94" s="17" t="str">
        <f>IFERROR(H94-D94,"-")</f>
        <v>-</v>
      </c>
      <c r="J94" s="18" t="str">
        <f>IF(OR(H94="-",D94="-"),"-",(H94-D94)/D94)</f>
        <v>-</v>
      </c>
      <c r="K94" s="18">
        <v>0.05</v>
      </c>
      <c r="L94" s="19">
        <f>K94*1</f>
        <v>0.05</v>
      </c>
      <c r="M94" s="18">
        <f>K94*-1</f>
        <v>-0.05</v>
      </c>
      <c r="N94" s="24" t="str">
        <f>IF(J94="-","-",IF(OR(J94&gt;L94,J94&lt;M94,COUNTIF(E95:H95,"&gt;"&amp;L94)&gt;0,COUNTIF(E95:H95,"&lt;"&amp;M94)&gt;0),"CHECK","OK"))</f>
        <v>-</v>
      </c>
      <c r="O94" s="26"/>
    </row>
    <row r="95" spans="1:15" ht="15.75" thickBot="1" x14ac:dyDescent="0.25">
      <c r="A95" s="28"/>
      <c r="B95" s="28"/>
      <c r="C95" s="28"/>
      <c r="D95" s="28"/>
      <c r="E95" s="28"/>
      <c r="F95" s="59" t="str">
        <f>IF(OR(F94="-",B94="-"),"-",(F94-B94)/B94)</f>
        <v>-</v>
      </c>
      <c r="G95" s="59" t="str">
        <f>IF(OR(G94="-",C94="-"),"-",(G94-C94)/C94)</f>
        <v>-</v>
      </c>
      <c r="H95" s="29"/>
      <c r="I95" s="28"/>
      <c r="J95" s="28"/>
      <c r="K95" s="28"/>
      <c r="L95" s="28"/>
      <c r="M95" s="28"/>
      <c r="N95" s="28"/>
      <c r="O95" s="26"/>
    </row>
    <row r="96" spans="1:15" ht="15.75" x14ac:dyDescent="0.25">
      <c r="A96" s="39"/>
      <c r="B96" s="40"/>
      <c r="C96" s="40"/>
      <c r="D96" s="40"/>
      <c r="E96" s="40"/>
      <c r="F96" s="40"/>
      <c r="G96" s="40"/>
      <c r="H96" s="40"/>
      <c r="I96" s="12"/>
      <c r="J96" s="12"/>
      <c r="K96" s="12"/>
      <c r="L96" s="12"/>
      <c r="M96" s="12"/>
      <c r="N96" s="12"/>
      <c r="O96" s="26"/>
    </row>
    <row r="97" spans="1:15" ht="15.75" x14ac:dyDescent="0.25">
      <c r="A97" s="62" t="s">
        <v>197</v>
      </c>
      <c r="B97" s="63"/>
      <c r="C97" s="63"/>
      <c r="D97" s="63"/>
      <c r="E97" s="63"/>
      <c r="F97" s="63"/>
      <c r="G97" s="63"/>
      <c r="H97" s="63"/>
      <c r="I97" s="12"/>
      <c r="J97" s="12"/>
      <c r="K97" s="12"/>
      <c r="L97" s="12"/>
      <c r="M97" s="12"/>
      <c r="N97" s="12"/>
      <c r="O97" s="26"/>
    </row>
    <row r="98" spans="1:15" ht="15.75" x14ac:dyDescent="0.25">
      <c r="A98" s="27"/>
      <c r="B98" s="51" t="s">
        <v>180</v>
      </c>
      <c r="C98" s="51" t="s">
        <v>179</v>
      </c>
      <c r="D98" s="43" t="s">
        <v>11</v>
      </c>
      <c r="E98" s="32" t="s">
        <v>217</v>
      </c>
      <c r="F98" s="56" t="s">
        <v>180</v>
      </c>
      <c r="G98" s="56" t="s">
        <v>179</v>
      </c>
      <c r="H98" s="44" t="s">
        <v>11</v>
      </c>
      <c r="I98" s="13"/>
      <c r="J98" s="14"/>
      <c r="K98" s="14"/>
      <c r="L98" s="14"/>
      <c r="M98" s="14"/>
      <c r="N98" s="14"/>
      <c r="O98" s="26"/>
    </row>
    <row r="99" spans="1:15" ht="15.75" x14ac:dyDescent="0.25">
      <c r="A99" s="27" t="s">
        <v>198</v>
      </c>
      <c r="B99" s="52"/>
      <c r="C99" s="52"/>
      <c r="D99" s="41" t="str">
        <f>IF(SUM(B99:C99)=0,"-",SUM(B99:C99))</f>
        <v>-</v>
      </c>
      <c r="E99" s="15"/>
      <c r="F99" s="57"/>
      <c r="G99" s="57"/>
      <c r="H99" s="41" t="str">
        <f t="shared" ref="H99:H104" si="10">IF(SUM(F99:G99)=0,"-",SUM(F99:G99))</f>
        <v>-</v>
      </c>
      <c r="I99" s="13"/>
      <c r="J99" s="14"/>
      <c r="K99" s="14"/>
      <c r="L99" s="14"/>
      <c r="M99" s="14"/>
      <c r="N99" s="14"/>
      <c r="O99" s="26"/>
    </row>
    <row r="100" spans="1:15" ht="15.75" x14ac:dyDescent="0.25">
      <c r="A100" s="27"/>
      <c r="B100" s="52"/>
      <c r="C100" s="52"/>
      <c r="D100" s="45"/>
      <c r="E100" s="15"/>
      <c r="F100" s="57"/>
      <c r="G100" s="57"/>
      <c r="H100" s="41" t="str">
        <f t="shared" si="10"/>
        <v>-</v>
      </c>
      <c r="I100" s="13"/>
      <c r="J100" s="14"/>
      <c r="K100" s="14"/>
      <c r="L100" s="14"/>
      <c r="M100" s="14"/>
      <c r="N100" s="14"/>
      <c r="O100" s="26"/>
    </row>
    <row r="101" spans="1:15" ht="15.75" x14ac:dyDescent="0.25">
      <c r="A101" s="27"/>
      <c r="B101" s="52"/>
      <c r="C101" s="52"/>
      <c r="D101" s="33"/>
      <c r="E101" s="15"/>
      <c r="F101" s="57"/>
      <c r="G101" s="57"/>
      <c r="H101" s="41" t="str">
        <f t="shared" si="10"/>
        <v>-</v>
      </c>
      <c r="I101" s="13"/>
      <c r="J101" s="14"/>
      <c r="K101" s="14"/>
      <c r="L101" s="14"/>
      <c r="M101" s="14"/>
      <c r="N101" s="14"/>
      <c r="O101" s="26"/>
    </row>
    <row r="102" spans="1:15" ht="15.75" x14ac:dyDescent="0.25">
      <c r="A102" s="27"/>
      <c r="B102" s="52"/>
      <c r="C102" s="52"/>
      <c r="D102" s="33"/>
      <c r="E102" s="15"/>
      <c r="F102" s="57"/>
      <c r="G102" s="57"/>
      <c r="H102" s="41" t="str">
        <f t="shared" si="10"/>
        <v>-</v>
      </c>
      <c r="I102" s="13"/>
      <c r="J102" s="14"/>
      <c r="K102" s="14"/>
      <c r="L102" s="14"/>
      <c r="M102" s="14"/>
      <c r="N102" s="14"/>
      <c r="O102" s="26"/>
    </row>
    <row r="103" spans="1:15" ht="15.75" x14ac:dyDescent="0.25">
      <c r="A103" s="27"/>
      <c r="B103" s="52"/>
      <c r="C103" s="52"/>
      <c r="D103" s="33"/>
      <c r="E103" s="15"/>
      <c r="F103" s="58"/>
      <c r="G103" s="57"/>
      <c r="H103" s="41" t="str">
        <f t="shared" si="10"/>
        <v>-</v>
      </c>
      <c r="I103" s="13"/>
      <c r="J103" s="14"/>
      <c r="K103" s="14"/>
      <c r="L103" s="14"/>
      <c r="M103" s="14"/>
      <c r="N103" s="14"/>
      <c r="O103" s="26"/>
    </row>
    <row r="104" spans="1:15" ht="15.75" x14ac:dyDescent="0.25">
      <c r="A104" s="27"/>
      <c r="B104" s="52"/>
      <c r="C104" s="52"/>
      <c r="D104" s="33"/>
      <c r="E104" s="15"/>
      <c r="F104" s="58"/>
      <c r="G104" s="57"/>
      <c r="H104" s="41" t="str">
        <f t="shared" si="10"/>
        <v>-</v>
      </c>
      <c r="I104" s="13"/>
      <c r="J104" s="14"/>
      <c r="K104" s="14"/>
      <c r="L104" s="14"/>
      <c r="M104" s="14"/>
      <c r="N104" s="14"/>
      <c r="O104" s="26"/>
    </row>
    <row r="105" spans="1:15" ht="15.75" x14ac:dyDescent="0.25">
      <c r="A105" s="27"/>
      <c r="B105" s="52"/>
      <c r="C105" s="52"/>
      <c r="D105" s="33"/>
      <c r="E105" s="15"/>
      <c r="F105" s="58"/>
      <c r="G105" s="57"/>
      <c r="H105" s="33"/>
      <c r="I105" s="13"/>
      <c r="J105" s="14"/>
      <c r="K105" s="14"/>
      <c r="L105" s="14"/>
      <c r="M105" s="14"/>
      <c r="N105" s="14"/>
      <c r="O105" s="26"/>
    </row>
    <row r="106" spans="1:15" ht="16.5" thickBot="1" x14ac:dyDescent="0.3">
      <c r="A106" s="16" t="s">
        <v>199</v>
      </c>
      <c r="B106" s="53" t="str">
        <f>IF(SUM(B99:B105)=0,"-",SUM(B99:B105))</f>
        <v>-</v>
      </c>
      <c r="C106" s="53" t="str">
        <f>IF(SUM(C99:C105)=0,"-",SUM(C99:C105))</f>
        <v>-</v>
      </c>
      <c r="D106" s="42" t="str">
        <f>IF(SUM(D99:D105)=0,"-",SUM(D99:D105))</f>
        <v>-</v>
      </c>
      <c r="E106" s="34" t="s">
        <v>199</v>
      </c>
      <c r="F106" s="53" t="str">
        <f>IF(SUM(F99:F105)=0,"-",SUM(F99:F105))</f>
        <v>-</v>
      </c>
      <c r="G106" s="53" t="str">
        <f>IF(SUM(G99:G105)=0,"-",SUM(G99:G105))</f>
        <v>-</v>
      </c>
      <c r="H106" s="42" t="str">
        <f>IF(SUM(H99:H105)=0,"-",SUM(H99:H105))</f>
        <v>-</v>
      </c>
      <c r="I106" s="17" t="str">
        <f>IFERROR(H106-D106,"-")</f>
        <v>-</v>
      </c>
      <c r="J106" s="18" t="str">
        <f>IF(OR(H106="-",D106="-"),"-",(H106-D106)/D106)</f>
        <v>-</v>
      </c>
      <c r="K106" s="18">
        <v>0.05</v>
      </c>
      <c r="L106" s="19">
        <f>K106*1</f>
        <v>0.05</v>
      </c>
      <c r="M106" s="18">
        <f>K106*-1</f>
        <v>-0.05</v>
      </c>
      <c r="N106" s="24" t="str">
        <f>IF(J106="-","-",IF(OR(J106&gt;L106,J106&lt;M106,COUNTIF(E107:H107,"&gt;"&amp;L106)&gt;0,COUNTIF(E107:H107,"&lt;"&amp;M106)&gt;0),"CHECK","OK"))</f>
        <v>-</v>
      </c>
      <c r="O106" s="26"/>
    </row>
    <row r="107" spans="1:15" ht="15.75" thickBot="1" x14ac:dyDescent="0.25">
      <c r="A107" s="28"/>
      <c r="B107" s="28"/>
      <c r="C107" s="28"/>
      <c r="D107" s="28"/>
      <c r="E107" s="28"/>
      <c r="F107" s="59" t="str">
        <f>IF(OR(F106="-",B106="-"),"-",(F106-B106)/B106)</f>
        <v>-</v>
      </c>
      <c r="G107" s="59" t="str">
        <f>IF(OR(G106="-",C106="-"),"-",(G106-C106)/C106)</f>
        <v>-</v>
      </c>
      <c r="H107" s="29"/>
      <c r="I107" s="28"/>
      <c r="J107" s="28"/>
      <c r="K107" s="28"/>
      <c r="L107" s="28"/>
      <c r="M107" s="28"/>
      <c r="N107" s="28"/>
      <c r="O107" s="26"/>
    </row>
    <row r="108" spans="1:15" ht="15.75" x14ac:dyDescent="0.25">
      <c r="A108" s="39"/>
      <c r="B108" s="40"/>
      <c r="C108" s="40"/>
      <c r="D108" s="40"/>
      <c r="E108" s="40"/>
      <c r="F108" s="40"/>
      <c r="G108" s="40"/>
      <c r="H108" s="40"/>
      <c r="I108" s="12"/>
      <c r="J108" s="12"/>
      <c r="K108" s="12"/>
      <c r="L108" s="12"/>
      <c r="M108" s="12"/>
      <c r="N108" s="12"/>
      <c r="O108" s="26"/>
    </row>
    <row r="109" spans="1:15" ht="15.75" x14ac:dyDescent="0.25">
      <c r="A109" s="62" t="s">
        <v>200</v>
      </c>
      <c r="B109" s="63"/>
      <c r="C109" s="63"/>
      <c r="D109" s="63"/>
      <c r="E109" s="63"/>
      <c r="F109" s="63"/>
      <c r="G109" s="63"/>
      <c r="H109" s="63"/>
      <c r="I109" s="12"/>
      <c r="J109" s="12"/>
      <c r="K109" s="12"/>
      <c r="L109" s="12"/>
      <c r="M109" s="12"/>
      <c r="N109" s="12"/>
      <c r="O109" s="26"/>
    </row>
    <row r="110" spans="1:15" ht="15.75" x14ac:dyDescent="0.25">
      <c r="A110" s="27"/>
      <c r="B110" s="51" t="s">
        <v>180</v>
      </c>
      <c r="C110" s="51" t="s">
        <v>179</v>
      </c>
      <c r="D110" s="43" t="s">
        <v>11</v>
      </c>
      <c r="E110" s="32" t="s">
        <v>218</v>
      </c>
      <c r="F110" s="56" t="s">
        <v>180</v>
      </c>
      <c r="G110" s="56" t="s">
        <v>179</v>
      </c>
      <c r="H110" s="44" t="s">
        <v>11</v>
      </c>
      <c r="I110" s="13"/>
      <c r="J110" s="14"/>
      <c r="K110" s="14"/>
      <c r="L110" s="14"/>
      <c r="M110" s="14"/>
      <c r="N110" s="14"/>
      <c r="O110" s="26"/>
    </row>
    <row r="111" spans="1:15" ht="15.75" x14ac:dyDescent="0.25">
      <c r="A111" s="27" t="s">
        <v>201</v>
      </c>
      <c r="B111" s="52"/>
      <c r="C111" s="52"/>
      <c r="D111" s="41" t="str">
        <f>IF(SUM(B111:C111)=0,"-",SUM(B111:C111))</f>
        <v>-</v>
      </c>
      <c r="E111" s="15"/>
      <c r="F111" s="57"/>
      <c r="G111" s="57"/>
      <c r="H111" s="41" t="str">
        <f t="shared" ref="H111:H116" si="11">IF(SUM(F111:G111)=0,"-",SUM(F111:G111))</f>
        <v>-</v>
      </c>
      <c r="I111" s="13"/>
      <c r="J111" s="14"/>
      <c r="K111" s="14"/>
      <c r="L111" s="14"/>
      <c r="M111" s="14"/>
      <c r="N111" s="14"/>
      <c r="O111" s="26"/>
    </row>
    <row r="112" spans="1:15" ht="15.75" x14ac:dyDescent="0.25">
      <c r="A112" s="27"/>
      <c r="B112" s="52"/>
      <c r="C112" s="52"/>
      <c r="D112" s="45"/>
      <c r="E112" s="15"/>
      <c r="F112" s="57"/>
      <c r="G112" s="57"/>
      <c r="H112" s="41" t="str">
        <f t="shared" si="11"/>
        <v>-</v>
      </c>
      <c r="I112" s="13"/>
      <c r="J112" s="14"/>
      <c r="K112" s="14"/>
      <c r="L112" s="14"/>
      <c r="M112" s="14"/>
      <c r="N112" s="14"/>
      <c r="O112" s="26"/>
    </row>
    <row r="113" spans="1:15" ht="15.75" x14ac:dyDescent="0.25">
      <c r="A113" s="27"/>
      <c r="B113" s="52"/>
      <c r="C113" s="52"/>
      <c r="D113" s="33"/>
      <c r="E113" s="15"/>
      <c r="F113" s="57"/>
      <c r="G113" s="57"/>
      <c r="H113" s="41" t="str">
        <f t="shared" si="11"/>
        <v>-</v>
      </c>
      <c r="I113" s="13"/>
      <c r="J113" s="14"/>
      <c r="K113" s="14"/>
      <c r="L113" s="14"/>
      <c r="M113" s="14"/>
      <c r="N113" s="14"/>
      <c r="O113" s="26"/>
    </row>
    <row r="114" spans="1:15" ht="15.75" x14ac:dyDescent="0.25">
      <c r="A114" s="27"/>
      <c r="B114" s="52"/>
      <c r="C114" s="52"/>
      <c r="D114" s="33"/>
      <c r="E114" s="15"/>
      <c r="F114" s="57"/>
      <c r="G114" s="57"/>
      <c r="H114" s="41" t="str">
        <f t="shared" si="11"/>
        <v>-</v>
      </c>
      <c r="I114" s="13"/>
      <c r="J114" s="14"/>
      <c r="K114" s="14"/>
      <c r="L114" s="14"/>
      <c r="M114" s="14"/>
      <c r="N114" s="14"/>
      <c r="O114" s="26"/>
    </row>
    <row r="115" spans="1:15" ht="15.75" x14ac:dyDescent="0.25">
      <c r="A115" s="27"/>
      <c r="B115" s="52"/>
      <c r="C115" s="52"/>
      <c r="D115" s="33"/>
      <c r="E115" s="15"/>
      <c r="F115" s="58"/>
      <c r="G115" s="57"/>
      <c r="H115" s="41" t="str">
        <f t="shared" si="11"/>
        <v>-</v>
      </c>
      <c r="I115" s="13"/>
      <c r="J115" s="14"/>
      <c r="K115" s="14"/>
      <c r="L115" s="14"/>
      <c r="M115" s="14"/>
      <c r="N115" s="14"/>
      <c r="O115" s="26"/>
    </row>
    <row r="116" spans="1:15" ht="15.75" x14ac:dyDescent="0.25">
      <c r="A116" s="27"/>
      <c r="B116" s="52"/>
      <c r="C116" s="52"/>
      <c r="D116" s="33"/>
      <c r="E116" s="15"/>
      <c r="F116" s="58"/>
      <c r="G116" s="57"/>
      <c r="H116" s="41" t="str">
        <f t="shared" si="11"/>
        <v>-</v>
      </c>
      <c r="I116" s="13"/>
      <c r="J116" s="14"/>
      <c r="K116" s="14"/>
      <c r="L116" s="14"/>
      <c r="M116" s="14"/>
      <c r="N116" s="14"/>
      <c r="O116" s="26"/>
    </row>
    <row r="117" spans="1:15" ht="15.75" x14ac:dyDescent="0.25">
      <c r="A117" s="27"/>
      <c r="B117" s="52"/>
      <c r="C117" s="52"/>
      <c r="D117" s="33"/>
      <c r="E117" s="15"/>
      <c r="F117" s="58"/>
      <c r="G117" s="57"/>
      <c r="H117" s="33"/>
      <c r="I117" s="13"/>
      <c r="J117" s="14"/>
      <c r="K117" s="14"/>
      <c r="L117" s="14"/>
      <c r="M117" s="14"/>
      <c r="N117" s="14"/>
      <c r="O117" s="26"/>
    </row>
    <row r="118" spans="1:15" ht="16.5" thickBot="1" x14ac:dyDescent="0.3">
      <c r="A118" s="16" t="s">
        <v>202</v>
      </c>
      <c r="B118" s="53" t="str">
        <f>IF(SUM(B111:B117)=0,"-",SUM(B111:B117))</f>
        <v>-</v>
      </c>
      <c r="C118" s="53" t="str">
        <f>IF(SUM(C111:C117)=0,"-",SUM(C111:C117))</f>
        <v>-</v>
      </c>
      <c r="D118" s="42" t="str">
        <f>IF(SUM(D111:D117)=0,"-",SUM(D111:D117))</f>
        <v>-</v>
      </c>
      <c r="E118" s="34" t="s">
        <v>202</v>
      </c>
      <c r="F118" s="53" t="str">
        <f>IF(SUM(F111:F117)=0,"-",SUM(F111:F117))</f>
        <v>-</v>
      </c>
      <c r="G118" s="53" t="str">
        <f>IF(SUM(G111:G117)=0,"-",SUM(G111:G117))</f>
        <v>-</v>
      </c>
      <c r="H118" s="42" t="str">
        <f>IF(SUM(H111:H117)=0,"-",SUM(H111:H117))</f>
        <v>-</v>
      </c>
      <c r="I118" s="17" t="str">
        <f>IFERROR(H118-D118,"-")</f>
        <v>-</v>
      </c>
      <c r="J118" s="18" t="str">
        <f>IF(OR(H118="-",D118="-"),"-",(H118-D118)/D118)</f>
        <v>-</v>
      </c>
      <c r="K118" s="18">
        <v>0.05</v>
      </c>
      <c r="L118" s="19">
        <f>K118*1</f>
        <v>0.05</v>
      </c>
      <c r="M118" s="18">
        <f>K118*-1</f>
        <v>-0.05</v>
      </c>
      <c r="N118" s="24" t="str">
        <f>IF(J118="-","-",IF(OR(J118&gt;L118,J118&lt;M118,COUNTIF(E119:H119,"&gt;"&amp;L118)&gt;0,COUNTIF(E119:H119,"&lt;"&amp;M118)&gt;0),"CHECK","OK"))</f>
        <v>-</v>
      </c>
      <c r="O118" s="26"/>
    </row>
    <row r="119" spans="1:15" ht="15.75" thickBot="1" x14ac:dyDescent="0.25">
      <c r="A119" s="28"/>
      <c r="B119" s="28"/>
      <c r="C119" s="28"/>
      <c r="D119" s="28"/>
      <c r="E119" s="28"/>
      <c r="F119" s="59" t="str">
        <f>IF(OR(F118="-",B118="-"),"-",(F118-B118)/B118)</f>
        <v>-</v>
      </c>
      <c r="G119" s="59" t="str">
        <f>IF(OR(G118="-",C118="-"),"-",(G118-C118)/C118)</f>
        <v>-</v>
      </c>
      <c r="H119" s="29"/>
      <c r="I119" s="28"/>
      <c r="J119" s="28"/>
      <c r="K119" s="28"/>
      <c r="L119" s="28"/>
      <c r="M119" s="28"/>
      <c r="N119" s="28"/>
      <c r="O119" s="26"/>
    </row>
    <row r="120" spans="1:15" ht="15.75" x14ac:dyDescent="0.25">
      <c r="A120" s="39"/>
      <c r="B120" s="40"/>
      <c r="C120" s="40"/>
      <c r="D120" s="40"/>
      <c r="E120" s="40"/>
      <c r="F120" s="40"/>
      <c r="G120" s="40"/>
      <c r="H120" s="40"/>
      <c r="I120" s="12"/>
      <c r="J120" s="12"/>
      <c r="K120" s="12"/>
      <c r="L120" s="12"/>
      <c r="M120" s="12"/>
      <c r="N120" s="12"/>
      <c r="O120" s="26"/>
    </row>
    <row r="121" spans="1:15" ht="15.75" x14ac:dyDescent="0.25">
      <c r="A121" s="62" t="s">
        <v>209</v>
      </c>
      <c r="B121" s="63"/>
      <c r="C121" s="63"/>
      <c r="D121" s="63"/>
      <c r="E121" s="63"/>
      <c r="F121" s="63"/>
      <c r="G121" s="63"/>
      <c r="H121" s="63"/>
      <c r="I121" s="12"/>
      <c r="J121" s="12"/>
      <c r="K121" s="12"/>
      <c r="L121" s="12"/>
      <c r="M121" s="12"/>
      <c r="N121" s="12"/>
      <c r="O121" s="26"/>
    </row>
    <row r="122" spans="1:15" ht="15.75" x14ac:dyDescent="0.25">
      <c r="A122" s="27"/>
      <c r="B122" s="51" t="s">
        <v>180</v>
      </c>
      <c r="C122" s="51" t="s">
        <v>179</v>
      </c>
      <c r="D122" s="43" t="s">
        <v>11</v>
      </c>
      <c r="E122" s="32" t="s">
        <v>219</v>
      </c>
      <c r="F122" s="56" t="s">
        <v>180</v>
      </c>
      <c r="G122" s="56" t="s">
        <v>179</v>
      </c>
      <c r="H122" s="44" t="s">
        <v>11</v>
      </c>
      <c r="I122" s="13"/>
      <c r="J122" s="14"/>
      <c r="K122" s="14"/>
      <c r="L122" s="14"/>
      <c r="M122" s="14"/>
      <c r="N122" s="14"/>
      <c r="O122" s="26"/>
    </row>
    <row r="123" spans="1:15" ht="15.75" x14ac:dyDescent="0.25">
      <c r="A123" s="27" t="s">
        <v>97</v>
      </c>
      <c r="B123" s="52"/>
      <c r="C123" s="52"/>
      <c r="D123" s="41" t="str">
        <f>IF(SUM(B123:C123)=0,"-",SUM(B123:C123))</f>
        <v>-</v>
      </c>
      <c r="E123" s="15"/>
      <c r="F123" s="57"/>
      <c r="G123" s="57"/>
      <c r="H123" s="41" t="str">
        <f t="shared" ref="H123:H128" si="12">IF(SUM(F123:G123)=0,"-",SUM(F123:G123))</f>
        <v>-</v>
      </c>
      <c r="I123" s="13"/>
      <c r="J123" s="14"/>
      <c r="K123" s="14"/>
      <c r="L123" s="14"/>
      <c r="M123" s="14"/>
      <c r="N123" s="14"/>
      <c r="O123" s="26"/>
    </row>
    <row r="124" spans="1:15" ht="15.75" x14ac:dyDescent="0.25">
      <c r="A124" s="27" t="s">
        <v>98</v>
      </c>
      <c r="B124" s="52"/>
      <c r="C124" s="52"/>
      <c r="D124" s="45"/>
      <c r="E124" s="15"/>
      <c r="F124" s="57"/>
      <c r="G124" s="57"/>
      <c r="H124" s="41" t="str">
        <f t="shared" si="12"/>
        <v>-</v>
      </c>
      <c r="I124" s="13"/>
      <c r="J124" s="14"/>
      <c r="K124" s="14"/>
      <c r="L124" s="14"/>
      <c r="M124" s="14"/>
      <c r="N124" s="14"/>
      <c r="O124" s="26"/>
    </row>
    <row r="125" spans="1:15" ht="15.75" x14ac:dyDescent="0.25">
      <c r="A125" s="27"/>
      <c r="B125" s="52"/>
      <c r="C125" s="52"/>
      <c r="D125" s="33"/>
      <c r="E125" s="15"/>
      <c r="F125" s="57"/>
      <c r="G125" s="57"/>
      <c r="H125" s="41" t="str">
        <f t="shared" si="12"/>
        <v>-</v>
      </c>
      <c r="I125" s="13"/>
      <c r="J125" s="14"/>
      <c r="K125" s="14"/>
      <c r="L125" s="14"/>
      <c r="M125" s="14"/>
      <c r="N125" s="14"/>
      <c r="O125" s="26"/>
    </row>
    <row r="126" spans="1:15" ht="15.75" x14ac:dyDescent="0.25">
      <c r="A126" s="27"/>
      <c r="B126" s="52"/>
      <c r="C126" s="52"/>
      <c r="D126" s="33"/>
      <c r="E126" s="15"/>
      <c r="F126" s="57"/>
      <c r="G126" s="57"/>
      <c r="H126" s="41" t="str">
        <f t="shared" si="12"/>
        <v>-</v>
      </c>
      <c r="I126" s="13"/>
      <c r="J126" s="14"/>
      <c r="K126" s="14"/>
      <c r="L126" s="14"/>
      <c r="M126" s="14"/>
      <c r="N126" s="14"/>
      <c r="O126" s="26"/>
    </row>
    <row r="127" spans="1:15" ht="15.75" x14ac:dyDescent="0.25">
      <c r="A127" s="27"/>
      <c r="B127" s="52"/>
      <c r="C127" s="52"/>
      <c r="D127" s="33"/>
      <c r="E127" s="15"/>
      <c r="F127" s="58"/>
      <c r="G127" s="57"/>
      <c r="H127" s="41" t="str">
        <f t="shared" si="12"/>
        <v>-</v>
      </c>
      <c r="I127" s="13"/>
      <c r="J127" s="14"/>
      <c r="K127" s="14"/>
      <c r="L127" s="14"/>
      <c r="M127" s="14"/>
      <c r="N127" s="14"/>
      <c r="O127" s="26"/>
    </row>
    <row r="128" spans="1:15" ht="15.75" x14ac:dyDescent="0.25">
      <c r="A128" s="27"/>
      <c r="B128" s="52"/>
      <c r="C128" s="52"/>
      <c r="D128" s="33"/>
      <c r="E128" s="15"/>
      <c r="F128" s="58"/>
      <c r="G128" s="57"/>
      <c r="H128" s="41" t="str">
        <f t="shared" si="12"/>
        <v>-</v>
      </c>
      <c r="I128" s="13"/>
      <c r="J128" s="14"/>
      <c r="K128" s="14"/>
      <c r="L128" s="14"/>
      <c r="M128" s="14"/>
      <c r="N128" s="14"/>
      <c r="O128" s="26"/>
    </row>
    <row r="129" spans="1:15" ht="15.75" x14ac:dyDescent="0.25">
      <c r="A129" s="27"/>
      <c r="B129" s="52"/>
      <c r="C129" s="52"/>
      <c r="D129" s="33"/>
      <c r="E129" s="15"/>
      <c r="F129" s="58"/>
      <c r="G129" s="57"/>
      <c r="H129" s="33"/>
      <c r="I129" s="13"/>
      <c r="J129" s="14"/>
      <c r="K129" s="14"/>
      <c r="L129" s="14"/>
      <c r="M129" s="14"/>
      <c r="N129" s="14"/>
      <c r="O129" s="26"/>
    </row>
    <row r="130" spans="1:15" ht="16.5" thickBot="1" x14ac:dyDescent="0.3">
      <c r="A130" s="16" t="s">
        <v>69</v>
      </c>
      <c r="B130" s="53" t="str">
        <f>IF(SUM(B123:B129)=0,"-",SUM(B123:B129))</f>
        <v>-</v>
      </c>
      <c r="C130" s="53" t="str">
        <f>IF(SUM(C123:C129)=0,"-",SUM(C123:C129))</f>
        <v>-</v>
      </c>
      <c r="D130" s="42" t="str">
        <f>IF(SUM(D123:D129)=0,"-",SUM(D123:D129))</f>
        <v>-</v>
      </c>
      <c r="E130" s="34" t="s">
        <v>208</v>
      </c>
      <c r="F130" s="53" t="str">
        <f>IF(SUM(F123:F129)=0,"-",SUM(F123:F129))</f>
        <v>-</v>
      </c>
      <c r="G130" s="53" t="str">
        <f>IF(SUM(G123:G129)=0,"-",SUM(G123:G129))</f>
        <v>-</v>
      </c>
      <c r="H130" s="42" t="str">
        <f>IF(SUM(H123:H129)=0,"-",SUM(H123:H129))</f>
        <v>-</v>
      </c>
      <c r="I130" s="17" t="str">
        <f>IFERROR(H130-D130,"-")</f>
        <v>-</v>
      </c>
      <c r="J130" s="18" t="str">
        <f>IF(OR(H130="-",D130="-"),"-",(H130-D130)/D130)</f>
        <v>-</v>
      </c>
      <c r="K130" s="18">
        <v>0.05</v>
      </c>
      <c r="L130" s="19">
        <f>K130*1</f>
        <v>0.05</v>
      </c>
      <c r="M130" s="18">
        <f>K130*-1</f>
        <v>-0.05</v>
      </c>
      <c r="N130" s="24" t="str">
        <f>IF(J130="-","-",IF(OR(J130&gt;L130,J130&lt;M130,COUNTIF(E131:H131,"&gt;"&amp;L130)&gt;0,COUNTIF(E131:H131,"&lt;"&amp;M130)&gt;0),"CHECK","OK"))</f>
        <v>-</v>
      </c>
      <c r="O130" s="26"/>
    </row>
    <row r="131" spans="1:15" ht="15.75" thickBot="1" x14ac:dyDescent="0.25">
      <c r="A131" s="28"/>
      <c r="B131" s="28"/>
      <c r="C131" s="28"/>
      <c r="D131" s="28"/>
      <c r="E131" s="28"/>
      <c r="F131" s="59" t="str">
        <f>IF(OR(F130="-",B130="-"),"-",(F130-B130)/B130)</f>
        <v>-</v>
      </c>
      <c r="G131" s="59" t="str">
        <f>IF(OR(G130="-",C130="-"),"-",(G130-C130)/C130)</f>
        <v>-</v>
      </c>
      <c r="H131" s="29"/>
      <c r="I131" s="28"/>
      <c r="J131" s="28"/>
      <c r="K131" s="28"/>
      <c r="L131" s="28"/>
      <c r="M131" s="28"/>
      <c r="N131" s="28"/>
      <c r="O131" s="61"/>
    </row>
  </sheetData>
  <mergeCells count="18">
    <mergeCell ref="A10:N10"/>
    <mergeCell ref="A11:H11"/>
    <mergeCell ref="A13:H13"/>
    <mergeCell ref="A7:N7"/>
    <mergeCell ref="A2:N2"/>
    <mergeCell ref="B3:C3"/>
    <mergeCell ref="A8:N8"/>
    <mergeCell ref="A9:N9"/>
    <mergeCell ref="A97:H97"/>
    <mergeCell ref="A121:H121"/>
    <mergeCell ref="A109:H109"/>
    <mergeCell ref="A25:H25"/>
    <mergeCell ref="A72:H72"/>
    <mergeCell ref="A37:H37"/>
    <mergeCell ref="A49:H49"/>
    <mergeCell ref="A85:H85"/>
    <mergeCell ref="A61:H61"/>
    <mergeCell ref="A73:H73"/>
  </mergeCells>
  <phoneticPr fontId="16" type="noConversion"/>
  <conditionalFormatting sqref="N22">
    <cfRule type="cellIs" dxfId="7" priority="61" stopIfTrue="1" operator="equal">
      <formula>"OK"</formula>
    </cfRule>
    <cfRule type="cellIs" dxfId="6" priority="62" stopIfTrue="1" operator="equal">
      <formula>"CHECK"</formula>
    </cfRule>
  </conditionalFormatting>
  <conditionalFormatting sqref="N34 N46 N58 N70 N82 N94 N106 N118 N130">
    <cfRule type="cellIs" dxfId="5" priority="1" stopIfTrue="1" operator="equal">
      <formula>"OK"</formula>
    </cfRule>
    <cfRule type="cellIs" dxfId="4" priority="2" stopIfTrue="1" operator="equal">
      <formula>"CHECK"</formula>
    </cfRule>
  </conditionalFormatting>
  <conditionalFormatting sqref="N96 N108">
    <cfRule type="cellIs" dxfId="3" priority="33" stopIfTrue="1" operator="equal">
      <formula>"OK"</formula>
    </cfRule>
    <cfRule type="cellIs" dxfId="2" priority="34" stopIfTrue="1" operator="equal">
      <formula>"CHECK"</formula>
    </cfRule>
  </conditionalFormatting>
  <conditionalFormatting sqref="N120">
    <cfRule type="cellIs" dxfId="1" priority="5" stopIfTrue="1" operator="equal">
      <formula>"OK"</formula>
    </cfRule>
    <cfRule type="cellIs" dxfId="0" priority="6" stopIfTrue="1" operator="equal">
      <formula>"CHECK"</formula>
    </cfRule>
  </conditionalFormatting>
  <pageMargins left="0.70866141732283472" right="0.70866141732283472" top="0.74803149606299213" bottom="0.74803149606299213" header="0.31496062992125984" footer="0.31496062992125984"/>
  <pageSetup paperSize="9" scale="28" orientation="portrait" r:id="rId1"/>
  <headerFooter>
    <oddHeader>&amp;C&amp;"Arial,Italic"&amp;8&amp;K00-034T_05E</oddHeader>
    <oddFooter>&amp;C&amp;"Arial,Italic"&amp;8&amp;K00-032T_05E &amp;"Arial,Regular"Bulk Check Page 2 of 4</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90C0C731C78B4C896281C7559A5F56" ma:contentTypeVersion="0" ma:contentTypeDescription="Create a new document." ma:contentTypeScope="" ma:versionID="1337f85d3d819a680ee0e6f80490ad0c">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B293A1-7C88-46D5-B647-F6E1C1687FA7}">
  <ds:schemaRefs>
    <ds:schemaRef ds:uri="http://schemas.microsoft.com/office/2006/metadata/properties"/>
    <ds:schemaRef ds:uri="http://purl.org/dc/terms/"/>
    <ds:schemaRef ds:uri="http://www.w3.org/XML/1998/namespace"/>
    <ds:schemaRef ds:uri="http://purl.org/dc/elements/1.1/"/>
    <ds:schemaRef ds:uri="http://schemas.microsoft.com/office/2006/documentManagement/type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A825DEDC-C5E3-42D0-8818-322A58D77E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89C35377-5D91-4844-9240-0A4E48D831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General Definitions</vt:lpstr>
      <vt:lpstr>Element Definitions</vt:lpstr>
      <vt:lpstr>&lt;PROJECT NAME&gt;</vt:lpstr>
      <vt:lpstr>'&lt;PROJECT NAME&gt;'!Print_Area</vt:lpstr>
      <vt:lpstr>'Element Definitions'!Print_Area</vt:lpstr>
      <vt:lpstr>'General Definitions'!Print_Area</vt:lpstr>
      <vt:lpstr>'Element Definitions'!Print_Titles</vt:lpstr>
      <vt:lpstr>'General Definitions'!Print_Titles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Pretender Estimate Information Data</dc:title>
  <dc:creator>Ivy Blackman</dc:creator>
  <cp:lastModifiedBy>Carl B. Lee</cp:lastModifiedBy>
  <cp:lastPrinted>2019-07-18T03:02:21Z</cp:lastPrinted>
  <dcterms:created xsi:type="dcterms:W3CDTF">2000-01-28T02:40:25Z</dcterms:created>
  <dcterms:modified xsi:type="dcterms:W3CDTF">2026-06-29T01:24:31Z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0x0101005490C0C731C78B4C896281C7559A5F56</vt:lpwstr>
  </property>
</Properties>
</file>